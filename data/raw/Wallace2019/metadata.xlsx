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enotype data" sheetId="1" state="visible" r:id="rId2"/>
    <sheet name="Data ke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<sst xmlns="http://schemas.openxmlformats.org/spreadsheetml/2006/main" count="6407" uniqueCount="1236">
  <si>
    <t xml:space="preserve">Country</t>
  </si>
  <si>
    <t xml:space="preserve">Cow ID</t>
  </si>
  <si>
    <t xml:space="preserve">Cow Code</t>
  </si>
  <si>
    <t xml:space="preserve">Sampling week</t>
  </si>
  <si>
    <t xml:space="preserve">Farm/Research site code</t>
  </si>
  <si>
    <t xml:space="preserve">ear tag number</t>
  </si>
  <si>
    <t xml:space="preserve">Holstein (1)/Nordic Red(2)</t>
  </si>
  <si>
    <t xml:space="preserve">Days in milk</t>
  </si>
  <si>
    <t xml:space="preserve">Lactation number</t>
  </si>
  <si>
    <t xml:space="preserve">Live weight, kg</t>
  </si>
  <si>
    <t xml:space="preserve">DM (g/kg)</t>
  </si>
  <si>
    <t xml:space="preserve">OM</t>
  </si>
  <si>
    <t xml:space="preserve">CP</t>
  </si>
  <si>
    <t xml:space="preserve">NDF</t>
  </si>
  <si>
    <t xml:space="preserve">iNDF</t>
  </si>
  <si>
    <t xml:space="preserve">Acid-Hydrolysis EE</t>
  </si>
  <si>
    <t xml:space="preserve">AIA</t>
  </si>
  <si>
    <t xml:space="preserve">Starch</t>
  </si>
  <si>
    <t xml:space="preserve">Intake Method</t>
  </si>
  <si>
    <t xml:space="preserve">Forage, kg DM/d</t>
  </si>
  <si>
    <t xml:space="preserve">Concentrate, kg DM/d</t>
  </si>
  <si>
    <t xml:space="preserve">DM</t>
  </si>
  <si>
    <t xml:space="preserve">Lipid</t>
  </si>
  <si>
    <t xml:space="preserve">Digestibility Method</t>
  </si>
  <si>
    <t xml:space="preserve">Milk</t>
  </si>
  <si>
    <t xml:space="preserve">Fat</t>
  </si>
  <si>
    <t xml:space="preserve">Protein </t>
  </si>
  <si>
    <t xml:space="preserve">Lactose</t>
  </si>
  <si>
    <t xml:space="preserve">FCM</t>
  </si>
  <si>
    <t xml:space="preserve">Energy corrected milk (ECM)</t>
  </si>
  <si>
    <t xml:space="preserve">Fat, g/kg</t>
  </si>
  <si>
    <t xml:space="preserve">Protein, g/kg </t>
  </si>
  <si>
    <t xml:space="preserve">Lactose, g/kg</t>
  </si>
  <si>
    <t xml:space="preserve">Urea-N, mg/100 ml</t>
  </si>
  <si>
    <t xml:space="preserve">ECM/DMI</t>
  </si>
  <si>
    <t xml:space="preserve">NRC_DMI</t>
  </si>
  <si>
    <t xml:space="preserve">RFI NRC</t>
  </si>
  <si>
    <t xml:space="preserve">FCE ecm</t>
  </si>
  <si>
    <t xml:space="preserve">FCE fcm</t>
  </si>
  <si>
    <t xml:space="preserve">FCE solids</t>
  </si>
  <si>
    <t xml:space="preserve">Rumen pH</t>
  </si>
  <si>
    <t xml:space="preserve">Total VFA</t>
  </si>
  <si>
    <t xml:space="preserve">Acetate</t>
  </si>
  <si>
    <t xml:space="preserve">Propionate</t>
  </si>
  <si>
    <t xml:space="preserve">Butyrate</t>
  </si>
  <si>
    <t xml:space="preserve">Isobutyrate</t>
  </si>
  <si>
    <t xml:space="preserve">Valerate</t>
  </si>
  <si>
    <t xml:space="preserve">Isovalerate</t>
  </si>
  <si>
    <t xml:space="preserve">Caproate</t>
  </si>
  <si>
    <t xml:space="preserve">Wolin</t>
  </si>
  <si>
    <t xml:space="preserve">Ammonia</t>
  </si>
  <si>
    <t xml:space="preserve">Measurement method </t>
  </si>
  <si>
    <t xml:space="preserve">methane g/d</t>
  </si>
  <si>
    <t xml:space="preserve">methane g/kg DMI</t>
  </si>
  <si>
    <t xml:space="preserve">methane g/kg DOMI</t>
  </si>
  <si>
    <t xml:space="preserve">methane g/kg ECM</t>
  </si>
  <si>
    <t xml:space="preserve">CO2 g/d</t>
  </si>
  <si>
    <t xml:space="preserve">CO2 g/kg DMI</t>
  </si>
  <si>
    <t xml:space="preserve">CO2 g/kg DOMI</t>
  </si>
  <si>
    <t xml:space="preserve">CO2 g/kg ECM</t>
  </si>
  <si>
    <t xml:space="preserve">NEFA</t>
  </si>
  <si>
    <t xml:space="preserve">BHB</t>
  </si>
  <si>
    <t xml:space="preserve">Glucose</t>
  </si>
  <si>
    <t xml:space="preserve">Insulin</t>
  </si>
  <si>
    <t xml:space="preserve">Urea</t>
  </si>
  <si>
    <t xml:space="preserve">Cholesterol</t>
  </si>
  <si>
    <t xml:space="preserve">Creatinine</t>
  </si>
  <si>
    <t xml:space="preserve">Albumin</t>
  </si>
  <si>
    <t xml:space="preserve">Haptoglobulin</t>
  </si>
  <si>
    <t xml:space="preserve">protozoa_count_mean</t>
  </si>
  <si>
    <t xml:space="preserve">archaea_count_mean</t>
  </si>
  <si>
    <t xml:space="preserve">bacteria_count_mean</t>
  </si>
  <si>
    <t xml:space="preserve">A2BRatio</t>
  </si>
  <si>
    <t xml:space="preserve">UK</t>
  </si>
  <si>
    <t xml:space="preserve">UK0</t>
  </si>
  <si>
    <t xml:space="preserve">UK1</t>
  </si>
  <si>
    <t xml:space="preserve">Alkane</t>
  </si>
  <si>
    <t xml:space="preserve">Robot</t>
  </si>
  <si>
    <t xml:space="preserve">UK2</t>
  </si>
  <si>
    <t xml:space="preserve">UK3</t>
  </si>
  <si>
    <t xml:space="preserve">UK4</t>
  </si>
  <si>
    <t xml:space="preserve">UK5</t>
  </si>
  <si>
    <t xml:space="preserve">UK6</t>
  </si>
  <si>
    <t xml:space="preserve">UK7</t>
  </si>
  <si>
    <t xml:space="preserve">UK8</t>
  </si>
  <si>
    <t xml:space="preserve">UK9</t>
  </si>
  <si>
    <t xml:space="preserve">UK10</t>
  </si>
  <si>
    <t xml:space="preserve">UK11</t>
  </si>
  <si>
    <t xml:space="preserve">UK12</t>
  </si>
  <si>
    <t xml:space="preserve">UK13</t>
  </si>
  <si>
    <t xml:space="preserve">2158a</t>
  </si>
  <si>
    <t xml:space="preserve">UK14</t>
  </si>
  <si>
    <t xml:space="preserve">UK15</t>
  </si>
  <si>
    <t xml:space="preserve">UK16</t>
  </si>
  <si>
    <t xml:space="preserve">UK17</t>
  </si>
  <si>
    <t xml:space="preserve">UK18</t>
  </si>
  <si>
    <t xml:space="preserve">UK19</t>
  </si>
  <si>
    <t xml:space="preserve">UK20</t>
  </si>
  <si>
    <t xml:space="preserve">UK21</t>
  </si>
  <si>
    <t xml:space="preserve">2217a</t>
  </si>
  <si>
    <t xml:space="preserve">UK22</t>
  </si>
  <si>
    <t xml:space="preserve">UK23</t>
  </si>
  <si>
    <t xml:space="preserve">UK24</t>
  </si>
  <si>
    <t xml:space="preserve">UK25</t>
  </si>
  <si>
    <t xml:space="preserve">UK26</t>
  </si>
  <si>
    <t xml:space="preserve">UK27</t>
  </si>
  <si>
    <t xml:space="preserve">UK28</t>
  </si>
  <si>
    <t xml:space="preserve">UK29</t>
  </si>
  <si>
    <t xml:space="preserve">UK30</t>
  </si>
  <si>
    <t xml:space="preserve">UK31</t>
  </si>
  <si>
    <t xml:space="preserve">UK32</t>
  </si>
  <si>
    <t xml:space="preserve">UK33</t>
  </si>
  <si>
    <t xml:space="preserve">UK34</t>
  </si>
  <si>
    <t xml:space="preserve">UK35</t>
  </si>
  <si>
    <t xml:space="preserve">UK36</t>
  </si>
  <si>
    <t xml:space="preserve">UK37</t>
  </si>
  <si>
    <t xml:space="preserve">UK38</t>
  </si>
  <si>
    <t xml:space="preserve">UK39</t>
  </si>
  <si>
    <t xml:space="preserve">UK40</t>
  </si>
  <si>
    <t xml:space="preserve">UK41</t>
  </si>
  <si>
    <t xml:space="preserve">UK42</t>
  </si>
  <si>
    <t xml:space="preserve">UK43</t>
  </si>
  <si>
    <t xml:space="preserve">UK44</t>
  </si>
  <si>
    <t xml:space="preserve">UK45</t>
  </si>
  <si>
    <t xml:space="preserve">UK46</t>
  </si>
  <si>
    <t xml:space="preserve">UK47</t>
  </si>
  <si>
    <t xml:space="preserve">UK48</t>
  </si>
  <si>
    <t xml:space="preserve">UK49</t>
  </si>
  <si>
    <t xml:space="preserve">UK50</t>
  </si>
  <si>
    <t xml:space="preserve">UK51</t>
  </si>
  <si>
    <t xml:space="preserve">UK52</t>
  </si>
  <si>
    <t xml:space="preserve">UK53</t>
  </si>
  <si>
    <t xml:space="preserve">UK54</t>
  </si>
  <si>
    <t xml:space="preserve">UK55</t>
  </si>
  <si>
    <t xml:space="preserve">UK56</t>
  </si>
  <si>
    <t xml:space="preserve">UK57</t>
  </si>
  <si>
    <t xml:space="preserve">UK58</t>
  </si>
  <si>
    <t xml:space="preserve">UK59</t>
  </si>
  <si>
    <t xml:space="preserve">UK60</t>
  </si>
  <si>
    <t xml:space="preserve">UK61</t>
  </si>
  <si>
    <t xml:space="preserve">UK62</t>
  </si>
  <si>
    <t xml:space="preserve">UK63</t>
  </si>
  <si>
    <t xml:space="preserve">UK64</t>
  </si>
  <si>
    <t xml:space="preserve">UK65</t>
  </si>
  <si>
    <t xml:space="preserve">UK66</t>
  </si>
  <si>
    <t xml:space="preserve">UK67</t>
  </si>
  <si>
    <t xml:space="preserve">UK68</t>
  </si>
  <si>
    <t xml:space="preserve">UK69</t>
  </si>
  <si>
    <t xml:space="preserve">UK70</t>
  </si>
  <si>
    <t xml:space="preserve">UK71</t>
  </si>
  <si>
    <t xml:space="preserve">UK72</t>
  </si>
  <si>
    <t xml:space="preserve">UK73</t>
  </si>
  <si>
    <t xml:space="preserve">UK74</t>
  </si>
  <si>
    <t xml:space="preserve">UK75</t>
  </si>
  <si>
    <t xml:space="preserve">UK76</t>
  </si>
  <si>
    <t xml:space="preserve">UK77</t>
  </si>
  <si>
    <t xml:space="preserve">UK78</t>
  </si>
  <si>
    <t xml:space="preserve">UK79</t>
  </si>
  <si>
    <t xml:space="preserve">UK80</t>
  </si>
  <si>
    <t xml:space="preserve">UK81</t>
  </si>
  <si>
    <t xml:space="preserve">UK82</t>
  </si>
  <si>
    <t xml:space="preserve">UK83</t>
  </si>
  <si>
    <t xml:space="preserve">UK84</t>
  </si>
  <si>
    <t xml:space="preserve">UK85</t>
  </si>
  <si>
    <t xml:space="preserve">UK86</t>
  </si>
  <si>
    <t xml:space="preserve">UK87</t>
  </si>
  <si>
    <t xml:space="preserve">UK88</t>
  </si>
  <si>
    <t xml:space="preserve">UK89</t>
  </si>
  <si>
    <t xml:space="preserve">UK90</t>
  </si>
  <si>
    <t xml:space="preserve">UK91</t>
  </si>
  <si>
    <t xml:space="preserve">UK92</t>
  </si>
  <si>
    <t xml:space="preserve">UK93</t>
  </si>
  <si>
    <t xml:space="preserve">UK94</t>
  </si>
  <si>
    <t xml:space="preserve">UK95</t>
  </si>
  <si>
    <t xml:space="preserve">UK96</t>
  </si>
  <si>
    <t xml:space="preserve">UK97</t>
  </si>
  <si>
    <t xml:space="preserve">UK98</t>
  </si>
  <si>
    <t xml:space="preserve">UK99</t>
  </si>
  <si>
    <t xml:space="preserve">UK100</t>
  </si>
  <si>
    <t xml:space="preserve">UK101</t>
  </si>
  <si>
    <t xml:space="preserve">UK102</t>
  </si>
  <si>
    <t xml:space="preserve">UK103</t>
  </si>
  <si>
    <t xml:space="preserve">UK104</t>
  </si>
  <si>
    <t xml:space="preserve">UK105</t>
  </si>
  <si>
    <t xml:space="preserve">UK106</t>
  </si>
  <si>
    <t xml:space="preserve">UK107</t>
  </si>
  <si>
    <t xml:space="preserve">UK108</t>
  </si>
  <si>
    <t xml:space="preserve">UK109</t>
  </si>
  <si>
    <t xml:space="preserve">UK110</t>
  </si>
  <si>
    <t xml:space="preserve">UK111</t>
  </si>
  <si>
    <t xml:space="preserve">UK112</t>
  </si>
  <si>
    <t xml:space="preserve">UK113</t>
  </si>
  <si>
    <t xml:space="preserve">UK114</t>
  </si>
  <si>
    <t xml:space="preserve">UK115</t>
  </si>
  <si>
    <t xml:space="preserve">UK116</t>
  </si>
  <si>
    <t xml:space="preserve">UK117</t>
  </si>
  <si>
    <t xml:space="preserve">UK118</t>
  </si>
  <si>
    <t xml:space="preserve">UK119</t>
  </si>
  <si>
    <t xml:space="preserve">UK120</t>
  </si>
  <si>
    <t xml:space="preserve">UK121</t>
  </si>
  <si>
    <t xml:space="preserve">UK122</t>
  </si>
  <si>
    <t xml:space="preserve">UK123</t>
  </si>
  <si>
    <t xml:space="preserve">UK124</t>
  </si>
  <si>
    <t xml:space="preserve">UK125</t>
  </si>
  <si>
    <t xml:space="preserve">UK126</t>
  </si>
  <si>
    <t xml:space="preserve">UK127</t>
  </si>
  <si>
    <t xml:space="preserve">UK128</t>
  </si>
  <si>
    <t xml:space="preserve">UK129</t>
  </si>
  <si>
    <t xml:space="preserve">UK130</t>
  </si>
  <si>
    <t xml:space="preserve">UK131</t>
  </si>
  <si>
    <t xml:space="preserve">UK132</t>
  </si>
  <si>
    <t xml:space="preserve">UK133</t>
  </si>
  <si>
    <t xml:space="preserve">UK134</t>
  </si>
  <si>
    <t xml:space="preserve">UK135</t>
  </si>
  <si>
    <t xml:space="preserve">UK136</t>
  </si>
  <si>
    <t xml:space="preserve">UK137</t>
  </si>
  <si>
    <t xml:space="preserve">UK138</t>
  </si>
  <si>
    <t xml:space="preserve">UK139</t>
  </si>
  <si>
    <t xml:space="preserve">UK140</t>
  </si>
  <si>
    <t xml:space="preserve">UK141</t>
  </si>
  <si>
    <t xml:space="preserve">UK142</t>
  </si>
  <si>
    <t xml:space="preserve">UK143</t>
  </si>
  <si>
    <t xml:space="preserve">UK144</t>
  </si>
  <si>
    <t xml:space="preserve">UK145</t>
  </si>
  <si>
    <t xml:space="preserve">UK146</t>
  </si>
  <si>
    <t xml:space="preserve">UK147</t>
  </si>
  <si>
    <t xml:space="preserve">UK148</t>
  </si>
  <si>
    <t xml:space="preserve">UK149</t>
  </si>
  <si>
    <t xml:space="preserve">UK150</t>
  </si>
  <si>
    <t xml:space="preserve">UK151</t>
  </si>
  <si>
    <t xml:space="preserve">UK152</t>
  </si>
  <si>
    <t xml:space="preserve">UK153</t>
  </si>
  <si>
    <t xml:space="preserve">UK154</t>
  </si>
  <si>
    <t xml:space="preserve">UK155</t>
  </si>
  <si>
    <t xml:space="preserve">UK156</t>
  </si>
  <si>
    <t xml:space="preserve">UK157</t>
  </si>
  <si>
    <t xml:space="preserve">UK158</t>
  </si>
  <si>
    <t xml:space="preserve">UK159</t>
  </si>
  <si>
    <t xml:space="preserve">UK160</t>
  </si>
  <si>
    <t xml:space="preserve">UK161</t>
  </si>
  <si>
    <t xml:space="preserve">UK162</t>
  </si>
  <si>
    <t xml:space="preserve">UK163</t>
  </si>
  <si>
    <t xml:space="preserve">UK164</t>
  </si>
  <si>
    <t xml:space="preserve">UK165</t>
  </si>
  <si>
    <t xml:space="preserve">UK166</t>
  </si>
  <si>
    <t xml:space="preserve">UK167</t>
  </si>
  <si>
    <t xml:space="preserve">UK168</t>
  </si>
  <si>
    <t xml:space="preserve">UK169</t>
  </si>
  <si>
    <t xml:space="preserve">UK170</t>
  </si>
  <si>
    <t xml:space="preserve">UK171</t>
  </si>
  <si>
    <t xml:space="preserve">UK172</t>
  </si>
  <si>
    <t xml:space="preserve">UK173</t>
  </si>
  <si>
    <t xml:space="preserve">UK174</t>
  </si>
  <si>
    <t xml:space="preserve">UK175</t>
  </si>
  <si>
    <t xml:space="preserve">UK176</t>
  </si>
  <si>
    <t xml:space="preserve">UK177</t>
  </si>
  <si>
    <t xml:space="preserve">UK178</t>
  </si>
  <si>
    <t xml:space="preserve">UK179</t>
  </si>
  <si>
    <t xml:space="preserve">UK180</t>
  </si>
  <si>
    <t xml:space="preserve">UK181</t>
  </si>
  <si>
    <t xml:space="preserve">UK182</t>
  </si>
  <si>
    <t xml:space="preserve">UK183</t>
  </si>
  <si>
    <t xml:space="preserve">UK184</t>
  </si>
  <si>
    <t xml:space="preserve">UK185</t>
  </si>
  <si>
    <t xml:space="preserve">UK186</t>
  </si>
  <si>
    <t xml:space="preserve">UK187</t>
  </si>
  <si>
    <t xml:space="preserve">UK188</t>
  </si>
  <si>
    <t xml:space="preserve">UK189</t>
  </si>
  <si>
    <t xml:space="preserve">UK190</t>
  </si>
  <si>
    <t xml:space="preserve">UK191</t>
  </si>
  <si>
    <t xml:space="preserve">UK192</t>
  </si>
  <si>
    <t xml:space="preserve">UK193</t>
  </si>
  <si>
    <t xml:space="preserve">UK194</t>
  </si>
  <si>
    <t xml:space="preserve">UK195</t>
  </si>
  <si>
    <t xml:space="preserve">UK196</t>
  </si>
  <si>
    <t xml:space="preserve">UK197</t>
  </si>
  <si>
    <t xml:space="preserve">UK198</t>
  </si>
  <si>
    <t xml:space="preserve">UK199</t>
  </si>
  <si>
    <t xml:space="preserve">UK200</t>
  </si>
  <si>
    <t xml:space="preserve">UK201</t>
  </si>
  <si>
    <t xml:space="preserve">UK202</t>
  </si>
  <si>
    <t xml:space="preserve">UK203</t>
  </si>
  <si>
    <t xml:space="preserve">UK204</t>
  </si>
  <si>
    <t xml:space="preserve">UK205</t>
  </si>
  <si>
    <t xml:space="preserve">UK206</t>
  </si>
  <si>
    <t xml:space="preserve">UK207</t>
  </si>
  <si>
    <t xml:space="preserve">UK208</t>
  </si>
  <si>
    <t xml:space="preserve">UK209</t>
  </si>
  <si>
    <t xml:space="preserve">UK210</t>
  </si>
  <si>
    <t xml:space="preserve">UK211</t>
  </si>
  <si>
    <t xml:space="preserve">UK212</t>
  </si>
  <si>
    <t xml:space="preserve">UK213</t>
  </si>
  <si>
    <t xml:space="preserve">UK214</t>
  </si>
  <si>
    <t xml:space="preserve">UK215</t>
  </si>
  <si>
    <t xml:space="preserve">UK216</t>
  </si>
  <si>
    <t xml:space="preserve">UK217</t>
  </si>
  <si>
    <t xml:space="preserve">UK218</t>
  </si>
  <si>
    <t xml:space="preserve">UK219</t>
  </si>
  <si>
    <t xml:space="preserve">UK220</t>
  </si>
  <si>
    <t xml:space="preserve">UK221</t>
  </si>
  <si>
    <t xml:space="preserve">UK222</t>
  </si>
  <si>
    <t xml:space="preserve">UK223</t>
  </si>
  <si>
    <t xml:space="preserve">UK224</t>
  </si>
  <si>
    <t xml:space="preserve">UK225</t>
  </si>
  <si>
    <t xml:space="preserve">UK226</t>
  </si>
  <si>
    <t xml:space="preserve">UK227</t>
  </si>
  <si>
    <t xml:space="preserve">UK228</t>
  </si>
  <si>
    <t xml:space="preserve">UK229</t>
  </si>
  <si>
    <t xml:space="preserve">UK230</t>
  </si>
  <si>
    <t xml:space="preserve">UK231</t>
  </si>
  <si>
    <t xml:space="preserve">UK232</t>
  </si>
  <si>
    <t xml:space="preserve">UK233</t>
  </si>
  <si>
    <t xml:space="preserve">UK234</t>
  </si>
  <si>
    <t xml:space="preserve">UK235</t>
  </si>
  <si>
    <t xml:space="preserve">UK236</t>
  </si>
  <si>
    <t xml:space="preserve">UK237</t>
  </si>
  <si>
    <t xml:space="preserve">UK238</t>
  </si>
  <si>
    <t xml:space="preserve">UK239</t>
  </si>
  <si>
    <t xml:space="preserve">UK240</t>
  </si>
  <si>
    <t xml:space="preserve">UK241</t>
  </si>
  <si>
    <t xml:space="preserve">UK242</t>
  </si>
  <si>
    <t xml:space="preserve">UK243</t>
  </si>
  <si>
    <t xml:space="preserve">UK244</t>
  </si>
  <si>
    <t xml:space="preserve">UK245</t>
  </si>
  <si>
    <t xml:space="preserve">UK246</t>
  </si>
  <si>
    <t xml:space="preserve">UK247</t>
  </si>
  <si>
    <t xml:space="preserve">UK248</t>
  </si>
  <si>
    <t xml:space="preserve">UK249</t>
  </si>
  <si>
    <t xml:space="preserve">UK250</t>
  </si>
  <si>
    <t xml:space="preserve">UK251</t>
  </si>
  <si>
    <t xml:space="preserve">UK252</t>
  </si>
  <si>
    <t xml:space="preserve">UK253</t>
  </si>
  <si>
    <t xml:space="preserve">UK254</t>
  </si>
  <si>
    <t xml:space="preserve">UK255</t>
  </si>
  <si>
    <t xml:space="preserve">UK256</t>
  </si>
  <si>
    <t xml:space="preserve">UK257</t>
  </si>
  <si>
    <t xml:space="preserve">UK258</t>
  </si>
  <si>
    <t xml:space="preserve">UK259</t>
  </si>
  <si>
    <t xml:space="preserve">UK260</t>
  </si>
  <si>
    <t xml:space="preserve">UK261</t>
  </si>
  <si>
    <t xml:space="preserve">UK262</t>
  </si>
  <si>
    <t xml:space="preserve">UK263</t>
  </si>
  <si>
    <t xml:space="preserve">UK264</t>
  </si>
  <si>
    <t xml:space="preserve">UK265</t>
  </si>
  <si>
    <t xml:space="preserve">UK266</t>
  </si>
  <si>
    <t xml:space="preserve">UK267</t>
  </si>
  <si>
    <t xml:space="preserve">UK268</t>
  </si>
  <si>
    <t xml:space="preserve">UK269</t>
  </si>
  <si>
    <t xml:space="preserve">UK270</t>
  </si>
  <si>
    <t xml:space="preserve">UK271</t>
  </si>
  <si>
    <t xml:space="preserve">UK272</t>
  </si>
  <si>
    <t xml:space="preserve">UK273</t>
  </si>
  <si>
    <t xml:space="preserve">UK274</t>
  </si>
  <si>
    <t xml:space="preserve">UK275</t>
  </si>
  <si>
    <t xml:space="preserve">UK276</t>
  </si>
  <si>
    <t xml:space="preserve">UK277</t>
  </si>
  <si>
    <t xml:space="preserve">UK278</t>
  </si>
  <si>
    <t xml:space="preserve">UK279</t>
  </si>
  <si>
    <t xml:space="preserve">UK280</t>
  </si>
  <si>
    <t xml:space="preserve">UK281</t>
  </si>
  <si>
    <t xml:space="preserve">UK282</t>
  </si>
  <si>
    <t xml:space="preserve">UK283</t>
  </si>
  <si>
    <t xml:space="preserve">UK284</t>
  </si>
  <si>
    <t xml:space="preserve">UK285</t>
  </si>
  <si>
    <t xml:space="preserve">UK286</t>
  </si>
  <si>
    <t xml:space="preserve">UK287</t>
  </si>
  <si>
    <t xml:space="preserve">UK288</t>
  </si>
  <si>
    <t xml:space="preserve">UK289</t>
  </si>
  <si>
    <t xml:space="preserve">UK290</t>
  </si>
  <si>
    <t xml:space="preserve">UK291</t>
  </si>
  <si>
    <t xml:space="preserve">UK292</t>
  </si>
  <si>
    <t xml:space="preserve">UK293</t>
  </si>
  <si>
    <t xml:space="preserve">UK294</t>
  </si>
  <si>
    <t xml:space="preserve">UK295</t>
  </si>
  <si>
    <t xml:space="preserve">UK296</t>
  </si>
  <si>
    <t xml:space="preserve">UK297</t>
  </si>
  <si>
    <t xml:space="preserve">UK298</t>
  </si>
  <si>
    <t xml:space="preserve">UK299</t>
  </si>
  <si>
    <t xml:space="preserve">UK300</t>
  </si>
  <si>
    <t xml:space="preserve">UK301</t>
  </si>
  <si>
    <t xml:space="preserve">UK302</t>
  </si>
  <si>
    <t xml:space="preserve">UK303</t>
  </si>
  <si>
    <t xml:space="preserve">UK304</t>
  </si>
  <si>
    <t xml:space="preserve">UK305</t>
  </si>
  <si>
    <t xml:space="preserve">UK306</t>
  </si>
  <si>
    <t xml:space="preserve">UK307</t>
  </si>
  <si>
    <t xml:space="preserve">UK308</t>
  </si>
  <si>
    <t xml:space="preserve">UK309</t>
  </si>
  <si>
    <t xml:space="preserve">UK310</t>
  </si>
  <si>
    <t xml:space="preserve">UK311</t>
  </si>
  <si>
    <t xml:space="preserve">UK312</t>
  </si>
  <si>
    <t xml:space="preserve">UK313</t>
  </si>
  <si>
    <t xml:space="preserve">UK314</t>
  </si>
  <si>
    <t xml:space="preserve">UK315</t>
  </si>
  <si>
    <t xml:space="preserve">UK316</t>
  </si>
  <si>
    <t xml:space="preserve">UK317</t>
  </si>
  <si>
    <t xml:space="preserve">UK318</t>
  </si>
  <si>
    <t xml:space="preserve">UK319</t>
  </si>
  <si>
    <t xml:space="preserve">UK320</t>
  </si>
  <si>
    <t xml:space="preserve">UK321</t>
  </si>
  <si>
    <t xml:space="preserve">UK322</t>
  </si>
  <si>
    <t xml:space="preserve">UK323</t>
  </si>
  <si>
    <t xml:space="preserve">UK324</t>
  </si>
  <si>
    <t xml:space="preserve">UK325</t>
  </si>
  <si>
    <t xml:space="preserve">UK326</t>
  </si>
  <si>
    <t xml:space="preserve">UK327</t>
  </si>
  <si>
    <t xml:space="preserve">UK328</t>
  </si>
  <si>
    <t xml:space="preserve">UK329</t>
  </si>
  <si>
    <t xml:space="preserve">UK330</t>
  </si>
  <si>
    <t xml:space="preserve">UK331</t>
  </si>
  <si>
    <t xml:space="preserve">UK332</t>
  </si>
  <si>
    <t xml:space="preserve">UK333</t>
  </si>
  <si>
    <t xml:space="preserve">UK334</t>
  </si>
  <si>
    <t xml:space="preserve">UK335</t>
  </si>
  <si>
    <t xml:space="preserve">UK336</t>
  </si>
  <si>
    <t xml:space="preserve">*</t>
  </si>
  <si>
    <t xml:space="preserve">UK337</t>
  </si>
  <si>
    <t xml:space="preserve">UK338</t>
  </si>
  <si>
    <t xml:space="preserve">UK339</t>
  </si>
  <si>
    <t xml:space="preserve">UK340</t>
  </si>
  <si>
    <t xml:space="preserve">UK341</t>
  </si>
  <si>
    <t xml:space="preserve">UK342</t>
  </si>
  <si>
    <t xml:space="preserve">UK343</t>
  </si>
  <si>
    <t xml:space="preserve">UK344</t>
  </si>
  <si>
    <t xml:space="preserve">UK345</t>
  </si>
  <si>
    <t xml:space="preserve">UK346</t>
  </si>
  <si>
    <t xml:space="preserve">UK347</t>
  </si>
  <si>
    <t xml:space="preserve">UK348</t>
  </si>
  <si>
    <t xml:space="preserve">UK349</t>
  </si>
  <si>
    <t xml:space="preserve">UK350</t>
  </si>
  <si>
    <t xml:space="preserve">UK351</t>
  </si>
  <si>
    <t xml:space="preserve">UK352</t>
  </si>
  <si>
    <t xml:space="preserve">UK353</t>
  </si>
  <si>
    <t xml:space="preserve">UK354</t>
  </si>
  <si>
    <t xml:space="preserve">UK355</t>
  </si>
  <si>
    <t xml:space="preserve">UK356</t>
  </si>
  <si>
    <t xml:space="preserve">UK357</t>
  </si>
  <si>
    <t xml:space="preserve">UK358</t>
  </si>
  <si>
    <t xml:space="preserve">UK359</t>
  </si>
  <si>
    <t xml:space="preserve">UK360</t>
  </si>
  <si>
    <t xml:space="preserve">UK361</t>
  </si>
  <si>
    <t xml:space="preserve">UK362</t>
  </si>
  <si>
    <t xml:space="preserve">UK363</t>
  </si>
  <si>
    <t xml:space="preserve">UK364</t>
  </si>
  <si>
    <t xml:space="preserve">UK365</t>
  </si>
  <si>
    <t xml:space="preserve">UK366</t>
  </si>
  <si>
    <t xml:space="preserve">UK367</t>
  </si>
  <si>
    <t xml:space="preserve">UK368</t>
  </si>
  <si>
    <t xml:space="preserve">UK369</t>
  </si>
  <si>
    <t xml:space="preserve">UK370</t>
  </si>
  <si>
    <t xml:space="preserve">UK371</t>
  </si>
  <si>
    <t xml:space="preserve">UK372</t>
  </si>
  <si>
    <t xml:space="preserve">UK373</t>
  </si>
  <si>
    <t xml:space="preserve">UK374</t>
  </si>
  <si>
    <t xml:space="preserve">UK375</t>
  </si>
  <si>
    <t xml:space="preserve">UK376</t>
  </si>
  <si>
    <t xml:space="preserve">UK377</t>
  </si>
  <si>
    <t xml:space="preserve">UK378</t>
  </si>
  <si>
    <t xml:space="preserve">UK379</t>
  </si>
  <si>
    <t xml:space="preserve">UK380</t>
  </si>
  <si>
    <t xml:space="preserve">UK381</t>
  </si>
  <si>
    <t xml:space="preserve">UK382</t>
  </si>
  <si>
    <t xml:space="preserve">UK383</t>
  </si>
  <si>
    <t xml:space="preserve">UK384</t>
  </si>
  <si>
    <t xml:space="preserve">UK385</t>
  </si>
  <si>
    <t xml:space="preserve">UK386</t>
  </si>
  <si>
    <t xml:space="preserve">2158b</t>
  </si>
  <si>
    <t xml:space="preserve">UK387</t>
  </si>
  <si>
    <t xml:space="preserve">UK388</t>
  </si>
  <si>
    <t xml:space="preserve">UK389</t>
  </si>
  <si>
    <t xml:space="preserve">UK390</t>
  </si>
  <si>
    <t xml:space="preserve">UK391</t>
  </si>
  <si>
    <t xml:space="preserve">UK392</t>
  </si>
  <si>
    <t xml:space="preserve">UK393</t>
  </si>
  <si>
    <t xml:space="preserve">2217b</t>
  </si>
  <si>
    <t xml:space="preserve">UK394</t>
  </si>
  <si>
    <t xml:space="preserve">UK395</t>
  </si>
  <si>
    <t xml:space="preserve">UK396</t>
  </si>
  <si>
    <t xml:space="preserve">UK397</t>
  </si>
  <si>
    <t xml:space="preserve">UK398</t>
  </si>
  <si>
    <t xml:space="preserve">UK399</t>
  </si>
  <si>
    <t xml:space="preserve">UK1000</t>
  </si>
  <si>
    <t xml:space="preserve">UK1001</t>
  </si>
  <si>
    <t xml:space="preserve">UK1002</t>
  </si>
  <si>
    <t xml:space="preserve">UK1003</t>
  </si>
  <si>
    <t xml:space="preserve">UK1004</t>
  </si>
  <si>
    <t xml:space="preserve">UK1005</t>
  </si>
  <si>
    <t xml:space="preserve">UK1006</t>
  </si>
  <si>
    <t xml:space="preserve">IT</t>
  </si>
  <si>
    <t xml:space="preserve">IT400</t>
  </si>
  <si>
    <t xml:space="preserve">IT1</t>
  </si>
  <si>
    <t xml:space="preserve">GreenFeed</t>
  </si>
  <si>
    <t xml:space="preserve">IT401</t>
  </si>
  <si>
    <t xml:space="preserve">IT402</t>
  </si>
  <si>
    <t xml:space="preserve">IT403</t>
  </si>
  <si>
    <t xml:space="preserve">IT404</t>
  </si>
  <si>
    <t xml:space="preserve">IT405</t>
  </si>
  <si>
    <t xml:space="preserve">IT406</t>
  </si>
  <si>
    <t xml:space="preserve">IT407</t>
  </si>
  <si>
    <t xml:space="preserve">IT408</t>
  </si>
  <si>
    <t xml:space="preserve">IT409</t>
  </si>
  <si>
    <t xml:space="preserve">IT410</t>
  </si>
  <si>
    <t xml:space="preserve">IT411</t>
  </si>
  <si>
    <t xml:space="preserve">IT412</t>
  </si>
  <si>
    <t xml:space="preserve">IT413</t>
  </si>
  <si>
    <t xml:space="preserve">IT414</t>
  </si>
  <si>
    <t xml:space="preserve">IT415</t>
  </si>
  <si>
    <t xml:space="preserve">IT416</t>
  </si>
  <si>
    <t xml:space="preserve">IT417</t>
  </si>
  <si>
    <t xml:space="preserve">IT418</t>
  </si>
  <si>
    <t xml:space="preserve">IT419</t>
  </si>
  <si>
    <t xml:space="preserve">IT420</t>
  </si>
  <si>
    <t xml:space="preserve">IT421</t>
  </si>
  <si>
    <t xml:space="preserve">IT422</t>
  </si>
  <si>
    <t xml:space="preserve">IT423</t>
  </si>
  <si>
    <t xml:space="preserve">IT424</t>
  </si>
  <si>
    <t xml:space="preserve">IT425</t>
  </si>
  <si>
    <t xml:space="preserve">IT426</t>
  </si>
  <si>
    <t xml:space="preserve">IT427</t>
  </si>
  <si>
    <t xml:space="preserve">IT428</t>
  </si>
  <si>
    <t xml:space="preserve">IT429</t>
  </si>
  <si>
    <t xml:space="preserve">IT430</t>
  </si>
  <si>
    <t xml:space="preserve">IT431</t>
  </si>
  <si>
    <t xml:space="preserve">IT432</t>
  </si>
  <si>
    <t xml:space="preserve">IT433</t>
  </si>
  <si>
    <t xml:space="preserve">IT434</t>
  </si>
  <si>
    <t xml:space="preserve">IT435</t>
  </si>
  <si>
    <t xml:space="preserve">IT436</t>
  </si>
  <si>
    <t xml:space="preserve">IT437</t>
  </si>
  <si>
    <t xml:space="preserve">IT438</t>
  </si>
  <si>
    <t xml:space="preserve">IT439</t>
  </si>
  <si>
    <t xml:space="preserve">IT440</t>
  </si>
  <si>
    <t xml:space="preserve">IT441</t>
  </si>
  <si>
    <t xml:space="preserve">IT442</t>
  </si>
  <si>
    <t xml:space="preserve">IT443</t>
  </si>
  <si>
    <t xml:space="preserve">IT444</t>
  </si>
  <si>
    <t xml:space="preserve">IT445</t>
  </si>
  <si>
    <t xml:space="preserve">IT446</t>
  </si>
  <si>
    <t xml:space="preserve">IT447</t>
  </si>
  <si>
    <t xml:space="preserve">IT448</t>
  </si>
  <si>
    <t xml:space="preserve">IT449</t>
  </si>
  <si>
    <t xml:space="preserve">IT450</t>
  </si>
  <si>
    <t xml:space="preserve">IT451</t>
  </si>
  <si>
    <t xml:space="preserve">IT452</t>
  </si>
  <si>
    <t xml:space="preserve">IT453</t>
  </si>
  <si>
    <t xml:space="preserve">IT454</t>
  </si>
  <si>
    <t xml:space="preserve">IT455</t>
  </si>
  <si>
    <t xml:space="preserve">IT456</t>
  </si>
  <si>
    <t xml:space="preserve">IT457</t>
  </si>
  <si>
    <t xml:space="preserve">IT458</t>
  </si>
  <si>
    <t xml:space="preserve">IT459</t>
  </si>
  <si>
    <t xml:space="preserve">IT460</t>
  </si>
  <si>
    <t xml:space="preserve">IT461</t>
  </si>
  <si>
    <t xml:space="preserve">IT462</t>
  </si>
  <si>
    <t xml:space="preserve">IT463</t>
  </si>
  <si>
    <t xml:space="preserve">IT464</t>
  </si>
  <si>
    <t xml:space="preserve">IT465</t>
  </si>
  <si>
    <t xml:space="preserve">IT466</t>
  </si>
  <si>
    <t xml:space="preserve">IT467</t>
  </si>
  <si>
    <t xml:space="preserve">IT468</t>
  </si>
  <si>
    <t xml:space="preserve">IT469</t>
  </si>
  <si>
    <t xml:space="preserve">IT470</t>
  </si>
  <si>
    <t xml:space="preserve">IT471</t>
  </si>
  <si>
    <t xml:space="preserve">IT472</t>
  </si>
  <si>
    <t xml:space="preserve">IT473</t>
  </si>
  <si>
    <t xml:space="preserve">IT3</t>
  </si>
  <si>
    <t xml:space="preserve">IT474</t>
  </si>
  <si>
    <t xml:space="preserve">IT475</t>
  </si>
  <si>
    <t xml:space="preserve">IT476</t>
  </si>
  <si>
    <t xml:space="preserve">IT477</t>
  </si>
  <si>
    <t xml:space="preserve">IT478</t>
  </si>
  <si>
    <t xml:space="preserve">IT479</t>
  </si>
  <si>
    <t xml:space="preserve">IT480</t>
  </si>
  <si>
    <t xml:space="preserve">IT481</t>
  </si>
  <si>
    <t xml:space="preserve">IT482</t>
  </si>
  <si>
    <t xml:space="preserve">IT483</t>
  </si>
  <si>
    <t xml:space="preserve">IT484</t>
  </si>
  <si>
    <t xml:space="preserve">IT485</t>
  </si>
  <si>
    <t xml:space="preserve">IT486</t>
  </si>
  <si>
    <t xml:space="preserve">IT487</t>
  </si>
  <si>
    <t xml:space="preserve">IT488</t>
  </si>
  <si>
    <t xml:space="preserve">IT489</t>
  </si>
  <si>
    <t xml:space="preserve">IT490</t>
  </si>
  <si>
    <t xml:space="preserve">IT2</t>
  </si>
  <si>
    <t xml:space="preserve">IT491</t>
  </si>
  <si>
    <t xml:space="preserve">IT492</t>
  </si>
  <si>
    <t xml:space="preserve">IT493</t>
  </si>
  <si>
    <t xml:space="preserve">IT494</t>
  </si>
  <si>
    <t xml:space="preserve">IT496</t>
  </si>
  <si>
    <t xml:space="preserve">IT497</t>
  </si>
  <si>
    <t xml:space="preserve">IT498</t>
  </si>
  <si>
    <t xml:space="preserve">IT499</t>
  </si>
  <si>
    <t xml:space="preserve">IT500</t>
  </si>
  <si>
    <t xml:space="preserve">IT501</t>
  </si>
  <si>
    <t xml:space="preserve">IT502</t>
  </si>
  <si>
    <t xml:space="preserve">IT503</t>
  </si>
  <si>
    <t xml:space="preserve">IT504</t>
  </si>
  <si>
    <t xml:space="preserve">IT505</t>
  </si>
  <si>
    <t xml:space="preserve">IT506</t>
  </si>
  <si>
    <t xml:space="preserve">IT507</t>
  </si>
  <si>
    <t xml:space="preserve">IT508</t>
  </si>
  <si>
    <t xml:space="preserve">IT509</t>
  </si>
  <si>
    <t xml:space="preserve">IT510</t>
  </si>
  <si>
    <t xml:space="preserve">IT511</t>
  </si>
  <si>
    <t xml:space="preserve">IT512</t>
  </si>
  <si>
    <t xml:space="preserve">IT513</t>
  </si>
  <si>
    <t xml:space="preserve">IT514</t>
  </si>
  <si>
    <t xml:space="preserve">IT515</t>
  </si>
  <si>
    <t xml:space="preserve">IT516</t>
  </si>
  <si>
    <t xml:space="preserve">IT517</t>
  </si>
  <si>
    <t xml:space="preserve">IT518</t>
  </si>
  <si>
    <t xml:space="preserve">IT519</t>
  </si>
  <si>
    <t xml:space="preserve">IT520</t>
  </si>
  <si>
    <t xml:space="preserve">IT521</t>
  </si>
  <si>
    <t xml:space="preserve">IT522</t>
  </si>
  <si>
    <t xml:space="preserve">IT523</t>
  </si>
  <si>
    <t xml:space="preserve">IT524</t>
  </si>
  <si>
    <t xml:space="preserve">IT525</t>
  </si>
  <si>
    <t xml:space="preserve">IT526</t>
  </si>
  <si>
    <t xml:space="preserve">IT527</t>
  </si>
  <si>
    <t xml:space="preserve">IT528</t>
  </si>
  <si>
    <t xml:space="preserve">IT529</t>
  </si>
  <si>
    <t xml:space="preserve">IT530</t>
  </si>
  <si>
    <t xml:space="preserve">IT531</t>
  </si>
  <si>
    <t xml:space="preserve">IT532</t>
  </si>
  <si>
    <t xml:space="preserve">IT533</t>
  </si>
  <si>
    <t xml:space="preserve">IT534</t>
  </si>
  <si>
    <t xml:space="preserve">IT535</t>
  </si>
  <si>
    <t xml:space="preserve">IT536</t>
  </si>
  <si>
    <t xml:space="preserve">IT537</t>
  </si>
  <si>
    <t xml:space="preserve">IT538</t>
  </si>
  <si>
    <t xml:space="preserve">IT539</t>
  </si>
  <si>
    <t xml:space="preserve">IT540</t>
  </si>
  <si>
    <t xml:space="preserve">IT541</t>
  </si>
  <si>
    <t xml:space="preserve">IT542</t>
  </si>
  <si>
    <t xml:space="preserve">IT543</t>
  </si>
  <si>
    <t xml:space="preserve">IT544</t>
  </si>
  <si>
    <t xml:space="preserve">IT545</t>
  </si>
  <si>
    <t xml:space="preserve">IT546</t>
  </si>
  <si>
    <t xml:space="preserve">IT547</t>
  </si>
  <si>
    <t xml:space="preserve">IT548</t>
  </si>
  <si>
    <t xml:space="preserve">IT549</t>
  </si>
  <si>
    <t xml:space="preserve">IT550</t>
  </si>
  <si>
    <t xml:space="preserve">IT551</t>
  </si>
  <si>
    <t xml:space="preserve">IT552</t>
  </si>
  <si>
    <t xml:space="preserve">IT553</t>
  </si>
  <si>
    <t xml:space="preserve">IT554</t>
  </si>
  <si>
    <t xml:space="preserve">IT555</t>
  </si>
  <si>
    <t xml:space="preserve">IT556</t>
  </si>
  <si>
    <t xml:space="preserve">IT557</t>
  </si>
  <si>
    <t xml:space="preserve">IT558</t>
  </si>
  <si>
    <t xml:space="preserve">IT559</t>
  </si>
  <si>
    <t xml:space="preserve">IT560</t>
  </si>
  <si>
    <t xml:space="preserve">IT561</t>
  </si>
  <si>
    <t xml:space="preserve">IT562</t>
  </si>
  <si>
    <t xml:space="preserve">IT563</t>
  </si>
  <si>
    <t xml:space="preserve">IT564</t>
  </si>
  <si>
    <t xml:space="preserve">IT565</t>
  </si>
  <si>
    <t xml:space="preserve">IT566</t>
  </si>
  <si>
    <t xml:space="preserve">IT567</t>
  </si>
  <si>
    <t xml:space="preserve">IT568</t>
  </si>
  <si>
    <t xml:space="preserve">IT569</t>
  </si>
  <si>
    <t xml:space="preserve">IT570</t>
  </si>
  <si>
    <t xml:space="preserve">IT571</t>
  </si>
  <si>
    <t xml:space="preserve">IT572</t>
  </si>
  <si>
    <t xml:space="preserve">IT573</t>
  </si>
  <si>
    <t xml:space="preserve">IT574</t>
  </si>
  <si>
    <t xml:space="preserve">IT575</t>
  </si>
  <si>
    <t xml:space="preserve">IT576</t>
  </si>
  <si>
    <t xml:space="preserve">IT577</t>
  </si>
  <si>
    <t xml:space="preserve">IT578</t>
  </si>
  <si>
    <t xml:space="preserve">IT579</t>
  </si>
  <si>
    <t xml:space="preserve">IT580</t>
  </si>
  <si>
    <t xml:space="preserve">IT581</t>
  </si>
  <si>
    <t xml:space="preserve">IT582</t>
  </si>
  <si>
    <t xml:space="preserve">IT583</t>
  </si>
  <si>
    <t xml:space="preserve">IT584</t>
  </si>
  <si>
    <t xml:space="preserve">IT585</t>
  </si>
  <si>
    <t xml:space="preserve">IT586</t>
  </si>
  <si>
    <t xml:space="preserve">IT587</t>
  </si>
  <si>
    <t xml:space="preserve">IT588</t>
  </si>
  <si>
    <t xml:space="preserve">IT589</t>
  </si>
  <si>
    <t xml:space="preserve">IT590</t>
  </si>
  <si>
    <t xml:space="preserve">IT591</t>
  </si>
  <si>
    <t xml:space="preserve">IT592</t>
  </si>
  <si>
    <t xml:space="preserve">IT593</t>
  </si>
  <si>
    <t xml:space="preserve">IT594</t>
  </si>
  <si>
    <t xml:space="preserve">IT595</t>
  </si>
  <si>
    <t xml:space="preserve">IT596</t>
  </si>
  <si>
    <t xml:space="preserve">IT597</t>
  </si>
  <si>
    <t xml:space="preserve">IT598</t>
  </si>
  <si>
    <t xml:space="preserve">IT599</t>
  </si>
  <si>
    <t xml:space="preserve">IT600</t>
  </si>
  <si>
    <t xml:space="preserve">IT601</t>
  </si>
  <si>
    <t xml:space="preserve">IT602</t>
  </si>
  <si>
    <t xml:space="preserve">IT603</t>
  </si>
  <si>
    <t xml:space="preserve">IT604</t>
  </si>
  <si>
    <t xml:space="preserve">IT605</t>
  </si>
  <si>
    <t xml:space="preserve">IT606</t>
  </si>
  <si>
    <t xml:space="preserve">IT607</t>
  </si>
  <si>
    <t xml:space="preserve">IT608</t>
  </si>
  <si>
    <t xml:space="preserve">IT609</t>
  </si>
  <si>
    <t xml:space="preserve">IT610</t>
  </si>
  <si>
    <t xml:space="preserve">IT611</t>
  </si>
  <si>
    <t xml:space="preserve">IT612</t>
  </si>
  <si>
    <t xml:space="preserve">IT613</t>
  </si>
  <si>
    <t xml:space="preserve">IT614</t>
  </si>
  <si>
    <t xml:space="preserve">IT615</t>
  </si>
  <si>
    <t xml:space="preserve">IT616</t>
  </si>
  <si>
    <t xml:space="preserve">IT617</t>
  </si>
  <si>
    <t xml:space="preserve">IT618</t>
  </si>
  <si>
    <t xml:space="preserve">IT619</t>
  </si>
  <si>
    <t xml:space="preserve">IT620</t>
  </si>
  <si>
    <t xml:space="preserve">IT621</t>
  </si>
  <si>
    <t xml:space="preserve">IT622</t>
  </si>
  <si>
    <t xml:space="preserve">IT623</t>
  </si>
  <si>
    <t xml:space="preserve">IT624</t>
  </si>
  <si>
    <t xml:space="preserve">IT625</t>
  </si>
  <si>
    <t xml:space="preserve">IT626</t>
  </si>
  <si>
    <t xml:space="preserve">IT627</t>
  </si>
  <si>
    <t xml:space="preserve">IT628</t>
  </si>
  <si>
    <t xml:space="preserve">IT629</t>
  </si>
  <si>
    <t xml:space="preserve">IT630</t>
  </si>
  <si>
    <t xml:space="preserve">IT631</t>
  </si>
  <si>
    <t xml:space="preserve">IT632</t>
  </si>
  <si>
    <t xml:space="preserve">IT633</t>
  </si>
  <si>
    <t xml:space="preserve">IT634</t>
  </si>
  <si>
    <t xml:space="preserve">IT635</t>
  </si>
  <si>
    <t xml:space="preserve">IT636</t>
  </si>
  <si>
    <t xml:space="preserve">IT637</t>
  </si>
  <si>
    <t xml:space="preserve">IT638</t>
  </si>
  <si>
    <t xml:space="preserve">IT639</t>
  </si>
  <si>
    <t xml:space="preserve">IT640</t>
  </si>
  <si>
    <t xml:space="preserve">IT641</t>
  </si>
  <si>
    <t xml:space="preserve">IT642</t>
  </si>
  <si>
    <t xml:space="preserve">IT643</t>
  </si>
  <si>
    <t xml:space="preserve">IT644</t>
  </si>
  <si>
    <t xml:space="preserve">IT645</t>
  </si>
  <si>
    <t xml:space="preserve">IT646</t>
  </si>
  <si>
    <t xml:space="preserve">IT647</t>
  </si>
  <si>
    <t xml:space="preserve">IT648</t>
  </si>
  <si>
    <t xml:space="preserve">IT649</t>
  </si>
  <si>
    <t xml:space="preserve">IT650</t>
  </si>
  <si>
    <t xml:space="preserve">IT651</t>
  </si>
  <si>
    <t xml:space="preserve">IT652</t>
  </si>
  <si>
    <t xml:space="preserve">IT653</t>
  </si>
  <si>
    <t xml:space="preserve">IT654</t>
  </si>
  <si>
    <t xml:space="preserve">IT655</t>
  </si>
  <si>
    <t xml:space="preserve">IT656</t>
  </si>
  <si>
    <t xml:space="preserve">IT657</t>
  </si>
  <si>
    <t xml:space="preserve">IT658</t>
  </si>
  <si>
    <t xml:space="preserve">IT659</t>
  </si>
  <si>
    <t xml:space="preserve">IT660</t>
  </si>
  <si>
    <t xml:space="preserve">IT661</t>
  </si>
  <si>
    <t xml:space="preserve">IT662</t>
  </si>
  <si>
    <t xml:space="preserve">IT663</t>
  </si>
  <si>
    <t xml:space="preserve">IT664</t>
  </si>
  <si>
    <t xml:space="preserve">IT665</t>
  </si>
  <si>
    <t xml:space="preserve">IT666</t>
  </si>
  <si>
    <t xml:space="preserve">IT667</t>
  </si>
  <si>
    <t xml:space="preserve">IT668</t>
  </si>
  <si>
    <t xml:space="preserve">IT669</t>
  </si>
  <si>
    <t xml:space="preserve">IT670</t>
  </si>
  <si>
    <t xml:space="preserve">IT671</t>
  </si>
  <si>
    <t xml:space="preserve">IT672</t>
  </si>
  <si>
    <t xml:space="preserve">IT673</t>
  </si>
  <si>
    <t xml:space="preserve">IT674</t>
  </si>
  <si>
    <t xml:space="preserve">IT675</t>
  </si>
  <si>
    <t xml:space="preserve">IT676</t>
  </si>
  <si>
    <t xml:space="preserve">IT677</t>
  </si>
  <si>
    <t xml:space="preserve">IT678</t>
  </si>
  <si>
    <t xml:space="preserve">IT679</t>
  </si>
  <si>
    <t xml:space="preserve">IT680</t>
  </si>
  <si>
    <t xml:space="preserve">IT681</t>
  </si>
  <si>
    <t xml:space="preserve">IT682</t>
  </si>
  <si>
    <t xml:space="preserve">IT683</t>
  </si>
  <si>
    <t xml:space="preserve">IT684</t>
  </si>
  <si>
    <t xml:space="preserve">IT685</t>
  </si>
  <si>
    <t xml:space="preserve">IT686</t>
  </si>
  <si>
    <t xml:space="preserve">IT687</t>
  </si>
  <si>
    <t xml:space="preserve">IT688</t>
  </si>
  <si>
    <t xml:space="preserve">IT689</t>
  </si>
  <si>
    <t xml:space="preserve">IT690</t>
  </si>
  <si>
    <t xml:space="preserve">IT691</t>
  </si>
  <si>
    <t xml:space="preserve">IT692</t>
  </si>
  <si>
    <t xml:space="preserve">IT693</t>
  </si>
  <si>
    <t xml:space="preserve">IT694</t>
  </si>
  <si>
    <t xml:space="preserve">IT695</t>
  </si>
  <si>
    <t xml:space="preserve">IT696</t>
  </si>
  <si>
    <t xml:space="preserve">IT697</t>
  </si>
  <si>
    <t xml:space="preserve">IT698</t>
  </si>
  <si>
    <t xml:space="preserve">IT699</t>
  </si>
  <si>
    <t xml:space="preserve">IT700</t>
  </si>
  <si>
    <t xml:space="preserve">IT701</t>
  </si>
  <si>
    <t xml:space="preserve">IT702</t>
  </si>
  <si>
    <t xml:space="preserve">IT703</t>
  </si>
  <si>
    <t xml:space="preserve">IT704</t>
  </si>
  <si>
    <t xml:space="preserve">IT705</t>
  </si>
  <si>
    <t xml:space="preserve">IT706</t>
  </si>
  <si>
    <t xml:space="preserve">IT707</t>
  </si>
  <si>
    <t xml:space="preserve">IT708</t>
  </si>
  <si>
    <t xml:space="preserve">IT709</t>
  </si>
  <si>
    <t xml:space="preserve">IT710</t>
  </si>
  <si>
    <t xml:space="preserve">IT711</t>
  </si>
  <si>
    <t xml:space="preserve">IT712</t>
  </si>
  <si>
    <t xml:space="preserve">IT713</t>
  </si>
  <si>
    <t xml:space="preserve">IT714</t>
  </si>
  <si>
    <t xml:space="preserve">IT715</t>
  </si>
  <si>
    <t xml:space="preserve">IT716</t>
  </si>
  <si>
    <t xml:space="preserve">IT717</t>
  </si>
  <si>
    <t xml:space="preserve">IT718</t>
  </si>
  <si>
    <t xml:space="preserve">IT719</t>
  </si>
  <si>
    <t xml:space="preserve">IT720</t>
  </si>
  <si>
    <t xml:space="preserve">IT721</t>
  </si>
  <si>
    <t xml:space="preserve">IT722</t>
  </si>
  <si>
    <t xml:space="preserve">IT723</t>
  </si>
  <si>
    <t xml:space="preserve">IT724</t>
  </si>
  <si>
    <t xml:space="preserve">IT725</t>
  </si>
  <si>
    <t xml:space="preserve">IT726</t>
  </si>
  <si>
    <t xml:space="preserve">IT727</t>
  </si>
  <si>
    <t xml:space="preserve">IT728</t>
  </si>
  <si>
    <t xml:space="preserve">IT729</t>
  </si>
  <si>
    <t xml:space="preserve">IT730</t>
  </si>
  <si>
    <t xml:space="preserve">IT731</t>
  </si>
  <si>
    <t xml:space="preserve">IT732</t>
  </si>
  <si>
    <t xml:space="preserve">IT733</t>
  </si>
  <si>
    <t xml:space="preserve">IT734</t>
  </si>
  <si>
    <t xml:space="preserve">IT735</t>
  </si>
  <si>
    <t xml:space="preserve">IT736</t>
  </si>
  <si>
    <t xml:space="preserve">IT737</t>
  </si>
  <si>
    <t xml:space="preserve">IT738</t>
  </si>
  <si>
    <t xml:space="preserve">IT739</t>
  </si>
  <si>
    <t xml:space="preserve">IT740</t>
  </si>
  <si>
    <t xml:space="preserve">IT741</t>
  </si>
  <si>
    <t xml:space="preserve">IT742</t>
  </si>
  <si>
    <t xml:space="preserve">IT743</t>
  </si>
  <si>
    <t xml:space="preserve">IT744</t>
  </si>
  <si>
    <t xml:space="preserve">IT745</t>
  </si>
  <si>
    <t xml:space="preserve">IT746</t>
  </si>
  <si>
    <t xml:space="preserve">IT747</t>
  </si>
  <si>
    <t xml:space="preserve">IT748</t>
  </si>
  <si>
    <t xml:space="preserve">IT749</t>
  </si>
  <si>
    <t xml:space="preserve">IT750</t>
  </si>
  <si>
    <t xml:space="preserve">IT751</t>
  </si>
  <si>
    <t xml:space="preserve">IT752</t>
  </si>
  <si>
    <t xml:space="preserve">IT753</t>
  </si>
  <si>
    <t xml:space="preserve">IT754</t>
  </si>
  <si>
    <t xml:space="preserve">IT755</t>
  </si>
  <si>
    <t xml:space="preserve">IT756</t>
  </si>
  <si>
    <t xml:space="preserve">IT757</t>
  </si>
  <si>
    <t xml:space="preserve">IT758</t>
  </si>
  <si>
    <t xml:space="preserve">IT759</t>
  </si>
  <si>
    <t xml:space="preserve">IT760</t>
  </si>
  <si>
    <t xml:space="preserve">IT761</t>
  </si>
  <si>
    <t xml:space="preserve">IT762</t>
  </si>
  <si>
    <t xml:space="preserve">IT763</t>
  </si>
  <si>
    <t xml:space="preserve">IT764</t>
  </si>
  <si>
    <t xml:space="preserve">IT765</t>
  </si>
  <si>
    <t xml:space="preserve">IT766</t>
  </si>
  <si>
    <t xml:space="preserve">IT767</t>
  </si>
  <si>
    <t xml:space="preserve">IT768</t>
  </si>
  <si>
    <t xml:space="preserve">IT769</t>
  </si>
  <si>
    <t xml:space="preserve">IT770</t>
  </si>
  <si>
    <t xml:space="preserve">IT771</t>
  </si>
  <si>
    <t xml:space="preserve">IT772</t>
  </si>
  <si>
    <t xml:space="preserve">IT773</t>
  </si>
  <si>
    <t xml:space="preserve">IT774</t>
  </si>
  <si>
    <t xml:space="preserve">IT775</t>
  </si>
  <si>
    <t xml:space="preserve">IT776</t>
  </si>
  <si>
    <t xml:space="preserve">IT777</t>
  </si>
  <si>
    <t xml:space="preserve">IT778</t>
  </si>
  <si>
    <t xml:space="preserve">IT779</t>
  </si>
  <si>
    <t xml:space="preserve">IT780</t>
  </si>
  <si>
    <t xml:space="preserve">IT781</t>
  </si>
  <si>
    <t xml:space="preserve">IT782</t>
  </si>
  <si>
    <t xml:space="preserve">IT783</t>
  </si>
  <si>
    <t xml:space="preserve">IT784</t>
  </si>
  <si>
    <t xml:space="preserve">IT785</t>
  </si>
  <si>
    <t xml:space="preserve">IT786</t>
  </si>
  <si>
    <t xml:space="preserve">IT787</t>
  </si>
  <si>
    <t xml:space="preserve">IT788</t>
  </si>
  <si>
    <t xml:space="preserve">IT789</t>
  </si>
  <si>
    <t xml:space="preserve">IT790</t>
  </si>
  <si>
    <t xml:space="preserve">IT791</t>
  </si>
  <si>
    <t xml:space="preserve">IT792</t>
  </si>
  <si>
    <t xml:space="preserve">IT793</t>
  </si>
  <si>
    <t xml:space="preserve">IT794</t>
  </si>
  <si>
    <t xml:space="preserve">IT795</t>
  </si>
  <si>
    <t xml:space="preserve">IT796</t>
  </si>
  <si>
    <t xml:space="preserve">IT797</t>
  </si>
  <si>
    <t xml:space="preserve">IT798</t>
  </si>
  <si>
    <t xml:space="preserve">IT799</t>
  </si>
  <si>
    <t xml:space="preserve">IT1007</t>
  </si>
  <si>
    <t xml:space="preserve">IT1008</t>
  </si>
  <si>
    <t xml:space="preserve">IT1009</t>
  </si>
  <si>
    <t xml:space="preserve">IT1010</t>
  </si>
  <si>
    <t xml:space="preserve">IT1011</t>
  </si>
  <si>
    <t xml:space="preserve">IT1012</t>
  </si>
  <si>
    <t xml:space="preserve">IT1013</t>
  </si>
  <si>
    <t xml:space="preserve">IT1014</t>
  </si>
  <si>
    <t xml:space="preserve">IT1015</t>
  </si>
  <si>
    <t xml:space="preserve">IT1016</t>
  </si>
  <si>
    <t xml:space="preserve">SE</t>
  </si>
  <si>
    <t xml:space="preserve">SE800</t>
  </si>
  <si>
    <t xml:space="preserve">SE1</t>
  </si>
  <si>
    <t xml:space="preserve">AUT. FEEDER</t>
  </si>
  <si>
    <t xml:space="preserve">in situ iNDF</t>
  </si>
  <si>
    <t xml:space="preserve">SE801</t>
  </si>
  <si>
    <t xml:space="preserve">SE802</t>
  </si>
  <si>
    <t xml:space="preserve">SE803</t>
  </si>
  <si>
    <t xml:space="preserve">SE804</t>
  </si>
  <si>
    <t xml:space="preserve">SE805</t>
  </si>
  <si>
    <t xml:space="preserve">SE806</t>
  </si>
  <si>
    <t xml:space="preserve">SE807</t>
  </si>
  <si>
    <t xml:space="preserve">SE808</t>
  </si>
  <si>
    <t xml:space="preserve">SE809</t>
  </si>
  <si>
    <t xml:space="preserve">SE810</t>
  </si>
  <si>
    <t xml:space="preserve">SE811</t>
  </si>
  <si>
    <t xml:space="preserve">SE812</t>
  </si>
  <si>
    <t xml:space="preserve">SE813</t>
  </si>
  <si>
    <t xml:space="preserve">SE814</t>
  </si>
  <si>
    <t xml:space="preserve">SE815</t>
  </si>
  <si>
    <t xml:space="preserve">SE816</t>
  </si>
  <si>
    <t xml:space="preserve">SE817</t>
  </si>
  <si>
    <t xml:space="preserve">SE818</t>
  </si>
  <si>
    <t xml:space="preserve">SE819</t>
  </si>
  <si>
    <t xml:space="preserve">SE820</t>
  </si>
  <si>
    <t xml:space="preserve">SE821</t>
  </si>
  <si>
    <t xml:space="preserve">SE822</t>
  </si>
  <si>
    <t xml:space="preserve">SE823</t>
  </si>
  <si>
    <t xml:space="preserve">SE824</t>
  </si>
  <si>
    <t xml:space="preserve">SE825</t>
  </si>
  <si>
    <t xml:space="preserve">SE826</t>
  </si>
  <si>
    <t xml:space="preserve">SE827</t>
  </si>
  <si>
    <t xml:space="preserve">SE828</t>
  </si>
  <si>
    <t xml:space="preserve">SE829</t>
  </si>
  <si>
    <t xml:space="preserve">SE830</t>
  </si>
  <si>
    <t xml:space="preserve">SE831</t>
  </si>
  <si>
    <t xml:space="preserve">SE832</t>
  </si>
  <si>
    <t xml:space="preserve">SE833</t>
  </si>
  <si>
    <t xml:space="preserve">SE834</t>
  </si>
  <si>
    <t xml:space="preserve">SE835</t>
  </si>
  <si>
    <t xml:space="preserve">SE836</t>
  </si>
  <si>
    <t xml:space="preserve">SE837</t>
  </si>
  <si>
    <t xml:space="preserve">SE838</t>
  </si>
  <si>
    <t xml:space="preserve">SE839</t>
  </si>
  <si>
    <t xml:space="preserve">SE840</t>
  </si>
  <si>
    <t xml:space="preserve">SE841</t>
  </si>
  <si>
    <t xml:space="preserve">SE842</t>
  </si>
  <si>
    <t xml:space="preserve">SE843</t>
  </si>
  <si>
    <t xml:space="preserve">SE844</t>
  </si>
  <si>
    <t xml:space="preserve">SE845</t>
  </si>
  <si>
    <t xml:space="preserve">SE846</t>
  </si>
  <si>
    <t xml:space="preserve">SE847</t>
  </si>
  <si>
    <t xml:space="preserve">SE848</t>
  </si>
  <si>
    <t xml:space="preserve">SE849</t>
  </si>
  <si>
    <t xml:space="preserve">SE850</t>
  </si>
  <si>
    <t xml:space="preserve">SE851</t>
  </si>
  <si>
    <t xml:space="preserve">SE852</t>
  </si>
  <si>
    <t xml:space="preserve">SE853</t>
  </si>
  <si>
    <t xml:space="preserve">SE854</t>
  </si>
  <si>
    <t xml:space="preserve">SE855</t>
  </si>
  <si>
    <t xml:space="preserve">SE856</t>
  </si>
  <si>
    <t xml:space="preserve">SE857</t>
  </si>
  <si>
    <t xml:space="preserve">SE858</t>
  </si>
  <si>
    <t xml:space="preserve">SE859</t>
  </si>
  <si>
    <t xml:space="preserve">SE860</t>
  </si>
  <si>
    <t xml:space="preserve">SE861</t>
  </si>
  <si>
    <t xml:space="preserve">SE862</t>
  </si>
  <si>
    <t xml:space="preserve">SE863</t>
  </si>
  <si>
    <t xml:space="preserve">SE864</t>
  </si>
  <si>
    <t xml:space="preserve">SE865</t>
  </si>
  <si>
    <t xml:space="preserve">SE866</t>
  </si>
  <si>
    <t xml:space="preserve">SE867</t>
  </si>
  <si>
    <t xml:space="preserve">SE868</t>
  </si>
  <si>
    <t xml:space="preserve">SE869</t>
  </si>
  <si>
    <t xml:space="preserve">SE870</t>
  </si>
  <si>
    <t xml:space="preserve">SE871</t>
  </si>
  <si>
    <t xml:space="preserve">SE872</t>
  </si>
  <si>
    <t xml:space="preserve">SE873</t>
  </si>
  <si>
    <t xml:space="preserve">SE874</t>
  </si>
  <si>
    <t xml:space="preserve">SE875</t>
  </si>
  <si>
    <t xml:space="preserve">SE876</t>
  </si>
  <si>
    <t xml:space="preserve">SE877</t>
  </si>
  <si>
    <t xml:space="preserve">SE878</t>
  </si>
  <si>
    <t xml:space="preserve">SE879</t>
  </si>
  <si>
    <t xml:space="preserve">SE880</t>
  </si>
  <si>
    <t xml:space="preserve">SE881</t>
  </si>
  <si>
    <t xml:space="preserve">SE882</t>
  </si>
  <si>
    <t xml:space="preserve">SE883</t>
  </si>
  <si>
    <t xml:space="preserve">SE884</t>
  </si>
  <si>
    <t xml:space="preserve">SE885</t>
  </si>
  <si>
    <t xml:space="preserve">SE886</t>
  </si>
  <si>
    <t xml:space="preserve">SE887</t>
  </si>
  <si>
    <t xml:space="preserve">SE888</t>
  </si>
  <si>
    <t xml:space="preserve">SE889</t>
  </si>
  <si>
    <t xml:space="preserve">SE890</t>
  </si>
  <si>
    <t xml:space="preserve">SE891</t>
  </si>
  <si>
    <t xml:space="preserve">SE892</t>
  </si>
  <si>
    <t xml:space="preserve">SE893</t>
  </si>
  <si>
    <t xml:space="preserve">SE894</t>
  </si>
  <si>
    <t xml:space="preserve">SE895</t>
  </si>
  <si>
    <t xml:space="preserve">SE896</t>
  </si>
  <si>
    <t xml:space="preserve">SE897</t>
  </si>
  <si>
    <t xml:space="preserve">SE898</t>
  </si>
  <si>
    <t xml:space="preserve">SE899</t>
  </si>
  <si>
    <t xml:space="preserve">FI</t>
  </si>
  <si>
    <t xml:space="preserve">FI900</t>
  </si>
  <si>
    <t xml:space="preserve">FI1</t>
  </si>
  <si>
    <t xml:space="preserve">Direct measurement</t>
  </si>
  <si>
    <t xml:space="preserve">Total Collection</t>
  </si>
  <si>
    <t xml:space="preserve">Chambers</t>
  </si>
  <si>
    <t xml:space="preserve">FI901</t>
  </si>
  <si>
    <t xml:space="preserve">FI902</t>
  </si>
  <si>
    <t xml:space="preserve">FI903</t>
  </si>
  <si>
    <t xml:space="preserve">FI904</t>
  </si>
  <si>
    <t xml:space="preserve">FI905</t>
  </si>
  <si>
    <t xml:space="preserve">FI906</t>
  </si>
  <si>
    <t xml:space="preserve">FI907</t>
  </si>
  <si>
    <t xml:space="preserve">FI908</t>
  </si>
  <si>
    <t xml:space="preserve">FI909</t>
  </si>
  <si>
    <t xml:space="preserve">FI910</t>
  </si>
  <si>
    <t xml:space="preserve">FI911</t>
  </si>
  <si>
    <t xml:space="preserve">FI912</t>
  </si>
  <si>
    <t xml:space="preserve">FI913</t>
  </si>
  <si>
    <t xml:space="preserve">FI914</t>
  </si>
  <si>
    <t xml:space="preserve">FI915</t>
  </si>
  <si>
    <t xml:space="preserve">FI916</t>
  </si>
  <si>
    <t xml:space="preserve">FI917</t>
  </si>
  <si>
    <t xml:space="preserve">FI918</t>
  </si>
  <si>
    <t xml:space="preserve">FI919</t>
  </si>
  <si>
    <t xml:space="preserve">FI920</t>
  </si>
  <si>
    <t xml:space="preserve">FI921</t>
  </si>
  <si>
    <t xml:space="preserve">FI922</t>
  </si>
  <si>
    <t xml:space="preserve">FI923</t>
  </si>
  <si>
    <t xml:space="preserve">24.04.2013</t>
  </si>
  <si>
    <t xml:space="preserve">FI924</t>
  </si>
  <si>
    <t xml:space="preserve">10.04.2013</t>
  </si>
  <si>
    <t xml:space="preserve">FI925</t>
  </si>
  <si>
    <t xml:space="preserve">FI926</t>
  </si>
  <si>
    <t xml:space="preserve">FI927</t>
  </si>
  <si>
    <t xml:space="preserve">FI928</t>
  </si>
  <si>
    <t xml:space="preserve">FI929</t>
  </si>
  <si>
    <t xml:space="preserve">FI930</t>
  </si>
  <si>
    <t xml:space="preserve">FI931</t>
  </si>
  <si>
    <t xml:space="preserve">FI932</t>
  </si>
  <si>
    <t xml:space="preserve">FI933</t>
  </si>
  <si>
    <t xml:space="preserve">FI934</t>
  </si>
  <si>
    <t xml:space="preserve">FI935</t>
  </si>
  <si>
    <t xml:space="preserve">FI936</t>
  </si>
  <si>
    <t xml:space="preserve">FI937</t>
  </si>
  <si>
    <t xml:space="preserve">FI938</t>
  </si>
  <si>
    <t xml:space="preserve">FI939</t>
  </si>
  <si>
    <t xml:space="preserve">FI940</t>
  </si>
  <si>
    <t xml:space="preserve">FI941</t>
  </si>
  <si>
    <t xml:space="preserve">FI942</t>
  </si>
  <si>
    <t xml:space="preserve">FI943</t>
  </si>
  <si>
    <t xml:space="preserve">FI944</t>
  </si>
  <si>
    <t xml:space="preserve">FI945</t>
  </si>
  <si>
    <t xml:space="preserve">FI946</t>
  </si>
  <si>
    <t xml:space="preserve">FI947</t>
  </si>
  <si>
    <t xml:space="preserve">2.10.2013</t>
  </si>
  <si>
    <t xml:space="preserve">FI948</t>
  </si>
  <si>
    <t xml:space="preserve">19.12.2013</t>
  </si>
  <si>
    <t xml:space="preserve">FI949</t>
  </si>
  <si>
    <t xml:space="preserve">FI950</t>
  </si>
  <si>
    <t xml:space="preserve">FI951</t>
  </si>
  <si>
    <t xml:space="preserve">FI952</t>
  </si>
  <si>
    <t xml:space="preserve">FI953</t>
  </si>
  <si>
    <t xml:space="preserve">8.1.2014</t>
  </si>
  <si>
    <t xml:space="preserve">FI954</t>
  </si>
  <si>
    <t xml:space="preserve">FI955</t>
  </si>
  <si>
    <t xml:space="preserve">15.1.2014</t>
  </si>
  <si>
    <t xml:space="preserve">FI956</t>
  </si>
  <si>
    <t xml:space="preserve">FI957</t>
  </si>
  <si>
    <t xml:space="preserve">FI958</t>
  </si>
  <si>
    <t xml:space="preserve">FI959</t>
  </si>
  <si>
    <t xml:space="preserve">FI960</t>
  </si>
  <si>
    <t xml:space="preserve">5.2.2014</t>
  </si>
  <si>
    <t xml:space="preserve">FI961</t>
  </si>
  <si>
    <t xml:space="preserve">12.2.2014</t>
  </si>
  <si>
    <t xml:space="preserve">FI962</t>
  </si>
  <si>
    <t xml:space="preserve">FI963</t>
  </si>
  <si>
    <t xml:space="preserve">29.1.2014</t>
  </si>
  <si>
    <t xml:space="preserve">FI964</t>
  </si>
  <si>
    <t xml:space="preserve">FI965</t>
  </si>
  <si>
    <t xml:space="preserve">FI966</t>
  </si>
  <si>
    <t xml:space="preserve">26.2.2014</t>
  </si>
  <si>
    <t xml:space="preserve">FI967</t>
  </si>
  <si>
    <t xml:space="preserve">FI968</t>
  </si>
  <si>
    <t xml:space="preserve">FI969</t>
  </si>
  <si>
    <t xml:space="preserve">FI970</t>
  </si>
  <si>
    <t xml:space="preserve">FI971</t>
  </si>
  <si>
    <t xml:space="preserve">FI972</t>
  </si>
  <si>
    <t xml:space="preserve">19.2.2014</t>
  </si>
  <si>
    <t xml:space="preserve">FI973</t>
  </si>
  <si>
    <t xml:space="preserve">FI974</t>
  </si>
  <si>
    <t xml:space="preserve">FI975</t>
  </si>
  <si>
    <t xml:space="preserve">FI976</t>
  </si>
  <si>
    <t xml:space="preserve">9.4.2014</t>
  </si>
  <si>
    <t xml:space="preserve">FI977</t>
  </si>
  <si>
    <t xml:space="preserve">19.3.2014</t>
  </si>
  <si>
    <t xml:space="preserve">FI978</t>
  </si>
  <si>
    <t xml:space="preserve">FI979</t>
  </si>
  <si>
    <t xml:space="preserve">FI980</t>
  </si>
  <si>
    <t xml:space="preserve">26.3.2014</t>
  </si>
  <si>
    <t xml:space="preserve">FI981</t>
  </si>
  <si>
    <t xml:space="preserve">FI982</t>
  </si>
  <si>
    <t xml:space="preserve">2.4.2014</t>
  </si>
  <si>
    <t xml:space="preserve">FI983</t>
  </si>
  <si>
    <t xml:space="preserve">FI984</t>
  </si>
  <si>
    <t xml:space="preserve">FI985</t>
  </si>
  <si>
    <t xml:space="preserve">FI986</t>
  </si>
  <si>
    <t xml:space="preserve">16.4.2014</t>
  </si>
  <si>
    <t xml:space="preserve">FI987</t>
  </si>
  <si>
    <t xml:space="preserve">7.5.2014</t>
  </si>
  <si>
    <t xml:space="preserve">FI988</t>
  </si>
  <si>
    <t xml:space="preserve">23.4.2014</t>
  </si>
  <si>
    <t xml:space="preserve">FI989</t>
  </si>
  <si>
    <t xml:space="preserve">30.4.2014</t>
  </si>
  <si>
    <t xml:space="preserve">FI990</t>
  </si>
  <si>
    <t xml:space="preserve">FI991</t>
  </si>
  <si>
    <t xml:space="preserve">14.5.2014</t>
  </si>
  <si>
    <t xml:space="preserve">FI992</t>
  </si>
  <si>
    <t xml:space="preserve">FI993</t>
  </si>
  <si>
    <t xml:space="preserve">FI994</t>
  </si>
  <si>
    <t xml:space="preserve">FI995</t>
  </si>
  <si>
    <t xml:space="preserve">FI996</t>
  </si>
  <si>
    <t xml:space="preserve">FI997</t>
  </si>
  <si>
    <t xml:space="preserve">19.5.2014</t>
  </si>
  <si>
    <t xml:space="preserve">FI998</t>
  </si>
  <si>
    <t xml:space="preserve">FI999</t>
  </si>
  <si>
    <t xml:space="preserve">UK/IT/SE/FI</t>
  </si>
  <si>
    <t xml:space="preserve">ID number allocated to each cow (0 to 1016)</t>
  </si>
  <si>
    <t xml:space="preserve">Combination of country and cow ID</t>
  </si>
  <si>
    <t xml:space="preserve">Date for Monday of sampling week</t>
  </si>
  <si>
    <t xml:space="preserve">Code to indicate farm where cows were sampled</t>
  </si>
  <si>
    <t xml:space="preserve">Physical cow identifier (ear tag/freeze brand/collar)</t>
  </si>
  <si>
    <t xml:space="preserve">Breed</t>
  </si>
  <si>
    <t xml:space="preserve">Days in milk for Monday of sampling week</t>
  </si>
  <si>
    <t xml:space="preserve">Mean live weight or single live weight during sampling week</t>
  </si>
  <si>
    <t xml:space="preserve">Diet DM</t>
  </si>
  <si>
    <t xml:space="preserve">Oven dry matter (g/kg)</t>
  </si>
  <si>
    <t xml:space="preserve">Diet OM</t>
  </si>
  <si>
    <t xml:space="preserve">Organic matter (g/kg DM)</t>
  </si>
  <si>
    <t xml:space="preserve">Diet CP</t>
  </si>
  <si>
    <t xml:space="preserve">Crude Protein (g/kg DM)</t>
  </si>
  <si>
    <t xml:space="preserve">Diet NDF</t>
  </si>
  <si>
    <t xml:space="preserve">Neutral-detergent Fibre (g/kg DM)</t>
  </si>
  <si>
    <t xml:space="preserve">Diet iNDF</t>
  </si>
  <si>
    <t xml:space="preserve">Indigestible Neutral-detergent Fibre (g/kg DM)</t>
  </si>
  <si>
    <t xml:space="preserve">Diet Acid-Hydrolysis EE</t>
  </si>
  <si>
    <t xml:space="preserve">Ether extract by acid-hydrolysis method (g/kg DM)</t>
  </si>
  <si>
    <t xml:space="preserve">Diet AIA</t>
  </si>
  <si>
    <t xml:space="preserve">Acid-insoluble ash (g/kg DM)</t>
  </si>
  <si>
    <t xml:space="preserve">Diet Starch</t>
  </si>
  <si>
    <t xml:space="preserve">Starch (g/kg DM)</t>
  </si>
  <si>
    <t xml:space="preserve">Intake method (alkane, automatic feeder or direct measurement)</t>
  </si>
  <si>
    <t xml:space="preserve">Forage intake</t>
  </si>
  <si>
    <t xml:space="preserve">Forage intake  kg DM/d</t>
  </si>
  <si>
    <t xml:space="preserve">Concentrate intake</t>
  </si>
  <si>
    <t xml:space="preserve">Concentrate intake kg DM/d</t>
  </si>
  <si>
    <t xml:space="preserve">DM intake</t>
  </si>
  <si>
    <t xml:space="preserve">Dry matter intake (kg/d)</t>
  </si>
  <si>
    <t xml:space="preserve">OM intake</t>
  </si>
  <si>
    <t xml:space="preserve">Organic matter intake (kg/d)</t>
  </si>
  <si>
    <t xml:space="preserve">CP intake</t>
  </si>
  <si>
    <t xml:space="preserve">Crude protein intake (kg/d)</t>
  </si>
  <si>
    <t xml:space="preserve">NDF intake</t>
  </si>
  <si>
    <t xml:space="preserve">Neutral-detergent fibre intake (kg/d)</t>
  </si>
  <si>
    <t xml:space="preserve">iNDF intake</t>
  </si>
  <si>
    <t xml:space="preserve">Indigestible Neutral-detergent fibre intake (kg/d)</t>
  </si>
  <si>
    <t xml:space="preserve">Lipid intake</t>
  </si>
  <si>
    <t xml:space="preserve">Lipid intake (kg/d)</t>
  </si>
  <si>
    <t xml:space="preserve">AIA intake</t>
  </si>
  <si>
    <t xml:space="preserve">Acid-insoluble ash intake (kg/d)</t>
  </si>
  <si>
    <t xml:space="preserve">Starch intake</t>
  </si>
  <si>
    <t xml:space="preserve">Starch intake (kg/d)</t>
  </si>
  <si>
    <t xml:space="preserve">DM faecal output</t>
  </si>
  <si>
    <t xml:space="preserve">Dry matter faecal output (kg/d)</t>
  </si>
  <si>
    <t xml:space="preserve">OM faecal output</t>
  </si>
  <si>
    <t xml:space="preserve">Organic matter faecal output (kg/d)</t>
  </si>
  <si>
    <t xml:space="preserve">CP faecal output</t>
  </si>
  <si>
    <t xml:space="preserve">Crude Protein faecal output (kg/d)</t>
  </si>
  <si>
    <t xml:space="preserve">NDF faecal output</t>
  </si>
  <si>
    <t xml:space="preserve">Neutral-detergent Fibre faecal output (kg/d)</t>
  </si>
  <si>
    <t xml:space="preserve">iNDF faecal output</t>
  </si>
  <si>
    <t xml:space="preserve">Indigestible Neutral-detergent Fibre faecal output (kg/d)</t>
  </si>
  <si>
    <t xml:space="preserve">AIA faecal concentration</t>
  </si>
  <si>
    <t xml:space="preserve">Acid-insoluble ash faecal concentration (g/kg DM)</t>
  </si>
  <si>
    <t xml:space="preserve">Digestibility Method (AIA, iNDF, total faecal collection)</t>
  </si>
  <si>
    <t xml:space="preserve">DM digestibility</t>
  </si>
  <si>
    <t xml:space="preserve">DM digestibility (g/kg)</t>
  </si>
  <si>
    <t xml:space="preserve">OM digestibility</t>
  </si>
  <si>
    <t xml:space="preserve">OM digestibility (g/kg)</t>
  </si>
  <si>
    <t xml:space="preserve">CP digestibility</t>
  </si>
  <si>
    <t xml:space="preserve">CP digestibility (g/kg)</t>
  </si>
  <si>
    <t xml:space="preserve">NDF digestibility</t>
  </si>
  <si>
    <t xml:space="preserve">NDF digestibility (g/kg)</t>
  </si>
  <si>
    <t xml:space="preserve">Milk yield</t>
  </si>
  <si>
    <t xml:space="preserve">Milk yield (kg/d)</t>
  </si>
  <si>
    <t xml:space="preserve">Fat yield</t>
  </si>
  <si>
    <t xml:space="preserve">Milk Fat yield (kg/d)</t>
  </si>
  <si>
    <t xml:space="preserve">Protein  yield</t>
  </si>
  <si>
    <t xml:space="preserve">Milk Protein  yield (kg/d)</t>
  </si>
  <si>
    <t xml:space="preserve">Lactose yield</t>
  </si>
  <si>
    <t xml:space="preserve">Milk Lactose yield (kg/d)</t>
  </si>
  <si>
    <t xml:space="preserve">FCM yield</t>
  </si>
  <si>
    <t xml:space="preserve">Fat-Corrected Milk yield (kg/d) =0.4 x Milk yield + 0.15 x milk fat yield</t>
  </si>
  <si>
    <t xml:space="preserve">Energy corrected milk (ECM)  yield</t>
  </si>
  <si>
    <t xml:space="preserve">Energy-corrected milk yield (kg/d) = Milk Yield x((38.3Fat+24.2Protein+16.54Lactose+20.7)/3140)</t>
  </si>
  <si>
    <t xml:space="preserve">Milk Fat concentration (g/kg)</t>
  </si>
  <si>
    <t xml:space="preserve">Milk Protein  concentration (g/kg)</t>
  </si>
  <si>
    <t xml:space="preserve">Milk Lactose concentration (g/kg)</t>
  </si>
  <si>
    <t xml:space="preserve">Milk Urea-N, mg/100 ml</t>
  </si>
  <si>
    <t xml:space="preserve">Feed Efficiency = Energy-corrected milk yield / Dry matter intake </t>
  </si>
  <si>
    <t xml:space="preserve">Dry matter intake predicted by NRC(2001) = (0.372FCM+0.0968[Live weight]^0.75) x (1-EXP(-0.192*(([Week of Lactation]/7)+3.67)))</t>
  </si>
  <si>
    <t xml:space="preserve">Residual Feed intake (kg/d) = Dry matter intake - NRC_DMI</t>
  </si>
  <si>
    <t xml:space="preserve">Rumen Total Volatile Fatty Acids concentration (mmol/litre)</t>
  </si>
  <si>
    <t xml:space="preserve">Methane  method </t>
  </si>
  <si>
    <t xml:space="preserve">Methane measurement method </t>
  </si>
  <si>
    <t xml:space="preserve">Methane</t>
  </si>
  <si>
    <t xml:space="preserve">g/d</t>
  </si>
  <si>
    <t xml:space="preserve">g/kg DMI</t>
  </si>
  <si>
    <t xml:space="preserve">g/kg DOMI</t>
  </si>
  <si>
    <t xml:space="preserve">g/kg ECM</t>
  </si>
  <si>
    <t xml:space="preserve">Carbon Dioxide</t>
  </si>
  <si>
    <t xml:space="preserve">Plasma non-esterified fatty acids (mmol/L)</t>
  </si>
  <si>
    <t xml:space="preserve">Plasma beta hydroxybutyrate (mmol/L)</t>
  </si>
  <si>
    <t xml:space="preserve">Plasma glucose (mmol/L)</t>
  </si>
  <si>
    <t xml:space="preserve">Plasma insulin (ng/ml)</t>
  </si>
  <si>
    <t xml:space="preserve">Plasma urea (mmol/L)</t>
  </si>
  <si>
    <t xml:space="preserve">Plasma cholesterol (mmol/L)</t>
  </si>
  <si>
    <t xml:space="preserve">Plasma creatinine (mmol/L)</t>
  </si>
  <si>
    <t xml:space="preserve">Plasma albumin (mmol/L)</t>
  </si>
  <si>
    <t xml:space="preserve">Plasma haptoglobulin (mmol/L)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</si>
</sst>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"/>
    <numFmt numFmtId="167" formatCode="dd/mm/yyyy"/>
    <numFmt numFmtId="168" formatCode="0.0"/>
    <numFmt numFmtId="169" formatCode="0.00"/>
    <numFmt numFmtId="170" formatCode="0.000"/>
    <numFmt numFmtId="171" formatCode="0.00E+00"/>
    <numFmt numFmtId="172" formatCode="0.000E+00"/>
    <numFmt numFmtId="173" formatCode="d/m/yyyy;@"/>
    <numFmt numFmtId="174" formatCode="dd\.mm\.yyyy;@"/>
    <numFmt numFmtId="175" formatCode="d\.m\.yyyy;@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996600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0"/>
      <name val="Verdan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7030A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2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2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9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od 2" xfId="20"/>
    <cellStyle name="Normaali 2" xfId="21"/>
    <cellStyle name="Normal 2" xfId="22"/>
    <cellStyle name="Normal 2 2" xfId="23"/>
    <cellStyle name="Normal 3" xfId="24"/>
    <cellStyle name="Normal 3 2" xfId="25"/>
    <cellStyle name="Normal 4" xfId="26"/>
    <cellStyle name="Normal 5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966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992" activePane="bottomRight" state="frozen"/>
      <selection pane="topLeft" activeCell="A1" activeCellId="0" sqref="A1"/>
      <selection pane="topRight" activeCell="D1" activeCellId="0" sqref="D1"/>
      <selection pane="bottomLeft" activeCell="A992" activeCellId="0" sqref="A992"/>
      <selection pane="bottomRight" activeCell="I300" activeCellId="0" sqref="I300"/>
    </sheetView>
  </sheetViews>
  <sheetFormatPr defaultColWidth="15.1601562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7.57"/>
    <col collapsed="false" customWidth="true" hidden="false" outlineLevel="0" max="3" min="3" style="0" width="8"/>
    <col collapsed="false" customWidth="true" hidden="false" outlineLevel="0" max="4" min="4" style="0" width="18.85"/>
    <col collapsed="false" customWidth="true" hidden="false" outlineLevel="0" max="5" min="5" style="0" width="21.43"/>
    <col collapsed="false" customWidth="true" hidden="false" outlineLevel="0" max="6" min="6" style="0" width="19.43"/>
    <col collapsed="false" customWidth="true" hidden="false" outlineLevel="0" max="7" min="7" style="0" width="25.15"/>
    <col collapsed="false" customWidth="true" hidden="false" outlineLevel="0" max="8" min="8" style="0" width="17.43"/>
    <col collapsed="false" customWidth="true" hidden="false" outlineLevel="0" max="10" min="9" style="0" width="19.57"/>
    <col collapsed="false" customWidth="true" hidden="false" outlineLevel="0" max="11" min="11" style="0" width="12"/>
    <col collapsed="false" customWidth="true" hidden="false" outlineLevel="0" max="12" min="12" style="0" width="8.14"/>
    <col collapsed="false" customWidth="true" hidden="false" outlineLevel="0" max="13" min="13" style="0" width="9.57"/>
    <col collapsed="false" customWidth="true" hidden="false" outlineLevel="0" max="14" min="14" style="0" width="8.7"/>
    <col collapsed="false" customWidth="true" hidden="false" outlineLevel="0" max="15" min="15" style="0" width="10"/>
    <col collapsed="false" customWidth="true" hidden="false" outlineLevel="0" max="16" min="16" style="0" width="16.71"/>
    <col collapsed="false" customWidth="true" hidden="false" outlineLevel="0" max="17" min="17" style="0" width="10.14"/>
    <col collapsed="false" customWidth="true" hidden="false" outlineLevel="0" max="18" min="18" style="0" width="10.43"/>
    <col collapsed="false" customWidth="true" hidden="false" outlineLevel="0" max="20" min="19" style="0" width="22.43"/>
    <col collapsed="false" customWidth="true" hidden="false" outlineLevel="0" max="21" min="21" style="0" width="20.71"/>
    <col collapsed="false" customWidth="true" hidden="false" outlineLevel="0" max="22" min="22" style="0" width="10"/>
    <col collapsed="false" customWidth="true" hidden="false" outlineLevel="0" max="23" min="23" style="0" width="9.14"/>
    <col collapsed="false" customWidth="true" hidden="false" outlineLevel="0" max="24" min="24" style="0" width="8.28"/>
    <col collapsed="false" customWidth="true" hidden="false" outlineLevel="0" max="27" min="25" style="0" width="7.57"/>
    <col collapsed="false" customWidth="true" hidden="false" outlineLevel="0" max="28" min="28" style="0" width="7.43"/>
    <col collapsed="false" customWidth="true" hidden="false" outlineLevel="0" max="35" min="29" style="0" width="8"/>
    <col collapsed="false" customWidth="true" hidden="false" outlineLevel="0" max="36" min="36" style="0" width="12.71"/>
    <col collapsed="false" customWidth="true" hidden="false" outlineLevel="0" max="37" min="37" style="0" width="8.43"/>
    <col collapsed="false" customWidth="true" hidden="false" outlineLevel="0" max="44" min="38" style="0" width="8"/>
    <col collapsed="false" customWidth="true" hidden="false" outlineLevel="0" max="45" min="45" style="1" width="8"/>
    <col collapsed="false" customWidth="true" hidden="false" outlineLevel="0" max="46" min="46" style="0" width="25"/>
    <col collapsed="false" customWidth="true" hidden="false" outlineLevel="0" max="47" min="47" style="0" width="8"/>
    <col collapsed="false" customWidth="true" hidden="false" outlineLevel="0" max="48" min="48" style="0" width="11.71"/>
    <col collapsed="false" customWidth="true" hidden="false" outlineLevel="0" max="49" min="49" style="0" width="11.85"/>
    <col collapsed="false" customWidth="true" hidden="false" outlineLevel="0" max="50" min="50" style="0" width="15.43"/>
    <col collapsed="false" customWidth="true" hidden="false" outlineLevel="0" max="53" min="53" style="0" width="17.57"/>
    <col collapsed="false" customWidth="true" hidden="false" outlineLevel="0" max="56" min="54" style="1" width="17.57"/>
    <col collapsed="false" customWidth="true" hidden="false" outlineLevel="0" max="57" min="57" style="1" width="11.71"/>
    <col collapsed="false" customWidth="true" hidden="false" outlineLevel="0" max="66" min="58" style="1" width="8"/>
    <col collapsed="false" customWidth="true" hidden="false" outlineLevel="0" max="67" min="67" style="1" width="12.14"/>
    <col collapsed="false" customWidth="true" hidden="false" outlineLevel="0" max="68" min="68" style="1" width="20.14"/>
    <col collapsed="false" customWidth="true" hidden="false" outlineLevel="0" max="69" min="69" style="1" width="8"/>
    <col collapsed="false" customWidth="true" hidden="false" outlineLevel="0" max="70" min="70" style="1" width="14.43"/>
    <col collapsed="false" customWidth="true" hidden="false" outlineLevel="0" max="71" min="71" style="1" width="10.14"/>
    <col collapsed="false" customWidth="true" hidden="false" outlineLevel="0" max="72" min="72" style="1" width="8"/>
    <col collapsed="false" customWidth="true" hidden="false" outlineLevel="0" max="73" min="73" style="1" width="7.57"/>
    <col collapsed="false" customWidth="true" hidden="false" outlineLevel="0" max="74" min="74" style="1" width="9"/>
    <col collapsed="false" customWidth="true" hidden="false" outlineLevel="0" max="75" min="75" style="1" width="10.28"/>
    <col collapsed="false" customWidth="true" hidden="false" outlineLevel="0" max="76" min="76" style="1" width="7.57"/>
    <col collapsed="false" customWidth="true" hidden="false" outlineLevel="0" max="81" min="77" style="1" width="8"/>
    <col collapsed="false" customWidth="true" hidden="false" outlineLevel="0" max="83" min="82" style="1" width="13"/>
    <col collapsed="false" customWidth="true" hidden="false" outlineLevel="0" max="84" min="84" style="1" width="8"/>
    <col collapsed="false" customWidth="true" hidden="false" outlineLevel="0" max="85" min="85" style="1" width="13.4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3" t="s">
        <v>21</v>
      </c>
      <c r="W1" s="13" t="s">
        <v>11</v>
      </c>
      <c r="X1" s="13" t="s">
        <v>12</v>
      </c>
      <c r="Y1" s="13" t="s">
        <v>13</v>
      </c>
      <c r="Z1" s="13" t="s">
        <v>14</v>
      </c>
      <c r="AA1" s="13" t="s">
        <v>22</v>
      </c>
      <c r="AB1" s="13" t="s">
        <v>16</v>
      </c>
      <c r="AC1" s="14" t="s">
        <v>17</v>
      </c>
      <c r="AD1" s="15" t="s">
        <v>21</v>
      </c>
      <c r="AE1" s="15" t="s">
        <v>11</v>
      </c>
      <c r="AF1" s="15" t="s">
        <v>12</v>
      </c>
      <c r="AG1" s="15" t="s">
        <v>13</v>
      </c>
      <c r="AH1" s="15" t="s">
        <v>14</v>
      </c>
      <c r="AI1" s="15" t="s">
        <v>16</v>
      </c>
      <c r="AJ1" s="16" t="s">
        <v>23</v>
      </c>
      <c r="AK1" s="17" t="s">
        <v>21</v>
      </c>
      <c r="AL1" s="17" t="s">
        <v>11</v>
      </c>
      <c r="AM1" s="17" t="s">
        <v>12</v>
      </c>
      <c r="AN1" s="17" t="s">
        <v>13</v>
      </c>
      <c r="AO1" s="18" t="s">
        <v>24</v>
      </c>
      <c r="AP1" s="18" t="s">
        <v>25</v>
      </c>
      <c r="AQ1" s="18" t="s">
        <v>26</v>
      </c>
      <c r="AR1" s="18" t="s">
        <v>27</v>
      </c>
      <c r="AS1" s="18" t="s">
        <v>28</v>
      </c>
      <c r="AT1" s="18" t="s">
        <v>29</v>
      </c>
      <c r="AU1" s="18" t="s">
        <v>30</v>
      </c>
      <c r="AV1" s="18" t="s">
        <v>31</v>
      </c>
      <c r="AW1" s="18" t="s">
        <v>32</v>
      </c>
      <c r="AX1" s="18" t="s">
        <v>33</v>
      </c>
      <c r="AY1" s="19" t="s">
        <v>34</v>
      </c>
      <c r="AZ1" s="19" t="s">
        <v>35</v>
      </c>
      <c r="BA1" s="19" t="s">
        <v>36</v>
      </c>
      <c r="BB1" s="20" t="s">
        <v>37</v>
      </c>
      <c r="BC1" s="20" t="s">
        <v>38</v>
      </c>
      <c r="BD1" s="20" t="s">
        <v>39</v>
      </c>
      <c r="BE1" s="13" t="s">
        <v>40</v>
      </c>
      <c r="BF1" s="13" t="s">
        <v>41</v>
      </c>
      <c r="BG1" s="13" t="s">
        <v>42</v>
      </c>
      <c r="BH1" s="13" t="s">
        <v>43</v>
      </c>
      <c r="BI1" s="13" t="s">
        <v>44</v>
      </c>
      <c r="BJ1" s="13" t="s">
        <v>45</v>
      </c>
      <c r="BK1" s="13" t="s">
        <v>46</v>
      </c>
      <c r="BL1" s="13" t="s">
        <v>47</v>
      </c>
      <c r="BM1" s="13" t="s">
        <v>48</v>
      </c>
      <c r="BN1" s="21" t="s">
        <v>49</v>
      </c>
      <c r="BO1" s="14" t="s">
        <v>50</v>
      </c>
      <c r="BP1" s="22" t="s">
        <v>51</v>
      </c>
      <c r="BQ1" s="18" t="s">
        <v>52</v>
      </c>
      <c r="BR1" s="18" t="s">
        <v>53</v>
      </c>
      <c r="BS1" s="18" t="s">
        <v>54</v>
      </c>
      <c r="BT1" s="18" t="s">
        <v>55</v>
      </c>
      <c r="BU1" s="18" t="s">
        <v>56</v>
      </c>
      <c r="BV1" s="18" t="s">
        <v>57</v>
      </c>
      <c r="BW1" s="18" t="s">
        <v>58</v>
      </c>
      <c r="BX1" s="18" t="s">
        <v>59</v>
      </c>
      <c r="BY1" s="10" t="s">
        <v>60</v>
      </c>
      <c r="BZ1" s="10" t="s">
        <v>61</v>
      </c>
      <c r="CA1" s="10" t="s">
        <v>62</v>
      </c>
      <c r="CB1" s="10" t="s">
        <v>63</v>
      </c>
      <c r="CC1" s="10" t="s">
        <v>64</v>
      </c>
      <c r="CD1" s="10" t="s">
        <v>65</v>
      </c>
      <c r="CE1" s="10" t="s">
        <v>66</v>
      </c>
      <c r="CF1" s="10" t="s">
        <v>67</v>
      </c>
      <c r="CG1" s="10" t="s">
        <v>68</v>
      </c>
      <c r="CH1" s="23" t="s">
        <v>69</v>
      </c>
      <c r="CI1" s="23" t="s">
        <v>70</v>
      </c>
      <c r="CJ1" s="24" t="s">
        <v>71</v>
      </c>
      <c r="CK1" s="24" t="s">
        <v>72</v>
      </c>
    </row>
    <row r="2" customFormat="false" ht="15.75" hidden="false" customHeight="true" outlineLevel="0" collapsed="false">
      <c r="A2" s="25" t="s">
        <v>73</v>
      </c>
      <c r="B2" s="26" t="n">
        <v>0</v>
      </c>
      <c r="C2" s="27" t="s">
        <v>74</v>
      </c>
      <c r="D2" s="28" t="n">
        <v>41561</v>
      </c>
      <c r="E2" s="29" t="s">
        <v>75</v>
      </c>
      <c r="F2" s="25" t="n">
        <v>22</v>
      </c>
      <c r="G2" s="26" t="n">
        <v>1</v>
      </c>
      <c r="H2" s="26" t="n">
        <v>175</v>
      </c>
      <c r="I2" s="26" t="n">
        <v>2</v>
      </c>
      <c r="J2" s="30" t="n">
        <v>636.988095238095</v>
      </c>
      <c r="K2" s="31" t="n">
        <v>537.390035457598</v>
      </c>
      <c r="L2" s="31" t="n">
        <v>939.340025401155</v>
      </c>
      <c r="M2" s="31" t="n">
        <v>163.667433128507</v>
      </c>
      <c r="N2" s="31" t="n">
        <v>341.264873603686</v>
      </c>
      <c r="O2" s="32"/>
      <c r="P2" s="33" t="n">
        <v>66.9106430568113</v>
      </c>
      <c r="Q2" s="33" t="n">
        <v>10.3380701641637</v>
      </c>
      <c r="R2" s="31" t="n">
        <v>135.78536100186</v>
      </c>
      <c r="S2" s="34" t="s">
        <v>76</v>
      </c>
      <c r="T2" s="35" t="n">
        <v>14.9506212828571</v>
      </c>
      <c r="U2" s="35" t="n">
        <v>2.74370735714286</v>
      </c>
      <c r="V2" s="36" t="n">
        <v>17.69432864</v>
      </c>
      <c r="W2" s="36" t="n">
        <v>16.6165447142602</v>
      </c>
      <c r="X2" s="36" t="n">
        <v>2.96350893311705</v>
      </c>
      <c r="Y2" s="36" t="n">
        <v>5.66625860065669</v>
      </c>
      <c r="Z2" s="35"/>
      <c r="AA2" s="36" t="n">
        <v>1.09214031664057</v>
      </c>
      <c r="AB2" s="36" t="n">
        <v>0.182645474771522</v>
      </c>
      <c r="AC2" s="37" t="n">
        <v>2.60480598532303</v>
      </c>
      <c r="AD2" s="38" t="n">
        <v>4.63951268684553</v>
      </c>
      <c r="AE2" s="39" t="n">
        <v>4.03440505866003</v>
      </c>
      <c r="AF2" s="39" t="n">
        <v>0.991927181723112</v>
      </c>
      <c r="AG2" s="40"/>
      <c r="AH2" s="40"/>
      <c r="AI2" s="41" t="n">
        <v>39.3673834084728</v>
      </c>
      <c r="AJ2" s="42" t="s">
        <v>16</v>
      </c>
      <c r="AK2" s="43" t="n">
        <v>737.796625052086</v>
      </c>
      <c r="AL2" s="43" t="n">
        <v>757.205536527836</v>
      </c>
      <c r="AM2" s="43" t="n">
        <v>665.286252172761</v>
      </c>
      <c r="AN2" s="44"/>
      <c r="AO2" s="45" t="n">
        <v>25.6571428571429</v>
      </c>
      <c r="AP2" s="46" t="n">
        <v>0.960692670807453</v>
      </c>
      <c r="AQ2" s="46" t="n">
        <v>0.810542608695652</v>
      </c>
      <c r="AR2" s="46" t="n">
        <v>1.15312124223602</v>
      </c>
      <c r="AS2" s="45" t="n">
        <v>24.6732472049689</v>
      </c>
      <c r="AT2" s="47" t="n">
        <v>24.2080855497092</v>
      </c>
      <c r="AU2" s="47" t="n">
        <v>37.4434782608696</v>
      </c>
      <c r="AV2" s="47" t="n">
        <v>31.5913043478261</v>
      </c>
      <c r="AW2" s="47" t="n">
        <v>44.9434782608696</v>
      </c>
      <c r="AX2" s="47" t="n">
        <v>26.604347826087</v>
      </c>
      <c r="AY2" s="48" t="n">
        <v>1.36812681861148</v>
      </c>
      <c r="AZ2" s="48" t="n">
        <v>21.364837068172</v>
      </c>
      <c r="BA2" s="48" t="n">
        <v>-3.67050842817201</v>
      </c>
      <c r="BB2" s="49" t="n">
        <f aca="false">AT2/V2</f>
        <v>1.36812681861148</v>
      </c>
      <c r="BC2" s="49" t="n">
        <f aca="false">AS2/V2</f>
        <v>1.39441556144675</v>
      </c>
      <c r="BD2" s="49" t="n">
        <f aca="false">SUM(AP2:AR2)/V2</f>
        <v>0.165270837975073</v>
      </c>
      <c r="BE2" s="50" t="n">
        <v>6.4</v>
      </c>
      <c r="BF2" s="51" t="n">
        <v>170.142892194344</v>
      </c>
      <c r="BG2" s="51" t="n">
        <v>633.266788629063</v>
      </c>
      <c r="BH2" s="51" t="n">
        <v>187.440940706006</v>
      </c>
      <c r="BI2" s="51" t="n">
        <v>145.606846567988</v>
      </c>
      <c r="BJ2" s="51" t="n">
        <v>6.15789844540014</v>
      </c>
      <c r="BK2" s="51" t="n">
        <v>11.51256182924</v>
      </c>
      <c r="BL2" s="51" t="n">
        <v>11.0398394441942</v>
      </c>
      <c r="BM2" s="51"/>
      <c r="BN2" s="52" t="n">
        <f aca="false">(BG2*0.5-BH2*0.25+BI2*0.5)/SUM(BG2:BI2)*1000</f>
        <v>354.518695013861</v>
      </c>
      <c r="BO2" s="53" t="n">
        <v>3.25469414</v>
      </c>
      <c r="BP2" s="54" t="s">
        <v>77</v>
      </c>
      <c r="BQ2" s="55" t="n">
        <v>403.375693411887</v>
      </c>
      <c r="BR2" s="56" t="n">
        <v>22.7968916831357</v>
      </c>
      <c r="BS2" s="56" t="n">
        <v>32.0593877077456</v>
      </c>
      <c r="BT2" s="56" t="n">
        <v>16.6628497979978</v>
      </c>
      <c r="BU2" s="55"/>
      <c r="BV2" s="55"/>
      <c r="BW2" s="55"/>
      <c r="BX2" s="55"/>
      <c r="BY2" s="57" t="n">
        <v>0.11</v>
      </c>
      <c r="BZ2" s="58" t="n">
        <v>0.7478884</v>
      </c>
      <c r="CA2" s="59" t="n">
        <v>3.55</v>
      </c>
      <c r="CB2" s="59" t="n">
        <v>1.068</v>
      </c>
      <c r="CC2" s="60" t="n">
        <v>5.971986</v>
      </c>
      <c r="CD2" s="60" t="n">
        <v>8.317352</v>
      </c>
      <c r="CE2" s="61" t="n">
        <v>92.15072</v>
      </c>
      <c r="CF2" s="62" t="n">
        <v>37.714883</v>
      </c>
      <c r="CG2" s="58" t="n">
        <v>0.098</v>
      </c>
      <c r="CH2" s="63" t="n">
        <v>23324.0596787512</v>
      </c>
      <c r="CI2" s="63" t="n">
        <v>6890.38760718182</v>
      </c>
      <c r="CJ2" s="64" t="n">
        <v>971671.54782929</v>
      </c>
      <c r="CK2" s="65" t="n">
        <v>0.709127237755897</v>
      </c>
    </row>
    <row r="3" customFormat="false" ht="15" hidden="false" customHeight="false" outlineLevel="0" collapsed="false">
      <c r="A3" s="7" t="s">
        <v>73</v>
      </c>
      <c r="B3" s="66" t="n">
        <v>1</v>
      </c>
      <c r="C3" s="8" t="s">
        <v>75</v>
      </c>
      <c r="D3" s="67" t="n">
        <v>41561</v>
      </c>
      <c r="E3" s="4" t="s">
        <v>75</v>
      </c>
      <c r="F3" s="7" t="n">
        <v>134</v>
      </c>
      <c r="G3" s="68" t="n">
        <v>1</v>
      </c>
      <c r="H3" s="68" t="n">
        <v>142</v>
      </c>
      <c r="I3" s="66" t="n">
        <v>2</v>
      </c>
      <c r="J3" s="69" t="n">
        <v>671.785714285714</v>
      </c>
      <c r="K3" s="31" t="n">
        <v>537.390035457598</v>
      </c>
      <c r="L3" s="31" t="n">
        <v>939.340025401155</v>
      </c>
      <c r="M3" s="31" t="n">
        <v>163.667433128507</v>
      </c>
      <c r="N3" s="31" t="n">
        <v>341.264873603686</v>
      </c>
      <c r="O3" s="32"/>
      <c r="P3" s="33" t="n">
        <v>66.9106430568113</v>
      </c>
      <c r="Q3" s="33" t="n">
        <v>10.3380701641637</v>
      </c>
      <c r="R3" s="31" t="n">
        <v>135.78536100186</v>
      </c>
      <c r="S3" s="34" t="s">
        <v>76</v>
      </c>
      <c r="T3" s="35" t="n">
        <v>15.0454632542857</v>
      </c>
      <c r="U3" s="35" t="n">
        <v>2.91575278571429</v>
      </c>
      <c r="V3" s="70" t="n">
        <v>17.96121604</v>
      </c>
      <c r="W3" s="35" t="n">
        <v>16.8669639178102</v>
      </c>
      <c r="X3" s="35" t="n">
        <v>3.01142380610187</v>
      </c>
      <c r="Y3" s="35" t="n">
        <v>5.73399928577875</v>
      </c>
      <c r="Z3" s="35"/>
      <c r="AA3" s="35" t="n">
        <v>1.10424165142732</v>
      </c>
      <c r="AB3" s="35" t="n">
        <v>0.185387034450857</v>
      </c>
      <c r="AC3" s="71" t="n">
        <v>2.65372287489762</v>
      </c>
      <c r="AD3" s="38" t="n">
        <v>3.7071363181198</v>
      </c>
      <c r="AE3" s="38" t="n">
        <v>3.17118849627429</v>
      </c>
      <c r="AF3" s="38" t="n">
        <v>0.71572358585139</v>
      </c>
      <c r="AG3" s="72"/>
      <c r="AH3" s="72"/>
      <c r="AI3" s="73" t="n">
        <v>50.0081514523002</v>
      </c>
      <c r="AJ3" s="42" t="s">
        <v>16</v>
      </c>
      <c r="AK3" s="43" t="n">
        <v>793.603266623823</v>
      </c>
      <c r="AL3" s="43" t="n">
        <v>811.988185204703</v>
      </c>
      <c r="AM3" s="43" t="n">
        <v>762.330501472041</v>
      </c>
      <c r="AN3" s="74"/>
      <c r="AO3" s="75" t="n">
        <v>29.7142857142857</v>
      </c>
      <c r="AP3" s="76" t="n">
        <v>1.04715064335203</v>
      </c>
      <c r="AQ3" s="76" t="n">
        <v>0.945291718904652</v>
      </c>
      <c r="AR3" s="76" t="n">
        <v>1.30925397558562</v>
      </c>
      <c r="AS3" s="77" t="n">
        <v>27.5929739359947</v>
      </c>
      <c r="AT3" s="78" t="n">
        <v>27.1503425822761</v>
      </c>
      <c r="AU3" s="78" t="n">
        <v>35.2406466512702</v>
      </c>
      <c r="AV3" s="78" t="n">
        <v>31.8127020785219</v>
      </c>
      <c r="AW3" s="78" t="n">
        <v>44.0614318706697</v>
      </c>
      <c r="AX3" s="78" t="n">
        <v>21.1877598152425</v>
      </c>
      <c r="AY3" s="48" t="n">
        <v>1.51160937665979</v>
      </c>
      <c r="AZ3" s="48" t="n">
        <v>22.8060604615357</v>
      </c>
      <c r="BA3" s="48" t="n">
        <v>-4.84484442153575</v>
      </c>
      <c r="BB3" s="49" t="n">
        <f aca="false">AT3/V3</f>
        <v>1.51160937665979</v>
      </c>
      <c r="BC3" s="49" t="n">
        <f aca="false">AS3/V3</f>
        <v>1.53625310639016</v>
      </c>
      <c r="BD3" s="49" t="n">
        <f aca="false">SUM(AP3:AR3)/V3</f>
        <v>0.183823652612905</v>
      </c>
      <c r="BE3" s="50" t="n">
        <v>6.85</v>
      </c>
      <c r="BF3" s="51" t="n">
        <v>151.444570372384</v>
      </c>
      <c r="BG3" s="51" t="n">
        <v>627.204398196553</v>
      </c>
      <c r="BH3" s="51" t="n">
        <v>179.576567525205</v>
      </c>
      <c r="BI3" s="51" t="n">
        <v>147.10014967843</v>
      </c>
      <c r="BJ3" s="51" t="n">
        <v>12.8476617934268</v>
      </c>
      <c r="BK3" s="51" t="n">
        <v>14.209975996479</v>
      </c>
      <c r="BL3" s="51" t="n">
        <v>14.0861224317967</v>
      </c>
      <c r="BM3" s="51"/>
      <c r="BN3" s="52" t="n">
        <f aca="false">(BG3*0.5-BH3*0.25+BI3*0.5)/SUM(BG3:BI3)*1000</f>
        <v>358.805858015755</v>
      </c>
      <c r="BO3" s="53" t="n">
        <v>5.6239329</v>
      </c>
      <c r="BP3" s="54" t="s">
        <v>77</v>
      </c>
      <c r="BQ3" s="55" t="n">
        <v>487.751213417488</v>
      </c>
      <c r="BR3" s="56" t="n">
        <v>27.1558012737699</v>
      </c>
      <c r="BS3" s="56" t="n">
        <v>35.6132601773334</v>
      </c>
      <c r="BT3" s="56" t="n">
        <v>17.9648272186405</v>
      </c>
      <c r="BU3" s="55"/>
      <c r="BV3" s="55"/>
      <c r="BW3" s="55"/>
      <c r="BX3" s="55"/>
      <c r="BY3" s="79" t="n">
        <v>0.08</v>
      </c>
      <c r="BZ3" s="80" t="n">
        <v>0.621907</v>
      </c>
      <c r="CA3" s="81" t="n">
        <v>4.33</v>
      </c>
      <c r="CB3" s="81" t="n">
        <v>1.278</v>
      </c>
      <c r="CC3" s="82" t="n">
        <v>4.593499</v>
      </c>
      <c r="CD3" s="82" t="n">
        <v>4.69188</v>
      </c>
      <c r="CE3" s="83" t="n">
        <v>78.1528</v>
      </c>
      <c r="CF3" s="84" t="n">
        <v>36.74013</v>
      </c>
      <c r="CG3" s="80" t="n">
        <v>1.1348</v>
      </c>
      <c r="CH3" s="63" t="n">
        <v>49874.793694696</v>
      </c>
      <c r="CI3" s="63" t="n">
        <v>10762.3184069366</v>
      </c>
      <c r="CJ3" s="64" t="n">
        <v>877015.176673966</v>
      </c>
      <c r="CK3" s="65" t="n">
        <v>1.22715304058387</v>
      </c>
    </row>
    <row r="4" customFormat="false" ht="15" hidden="false" customHeight="false" outlineLevel="0" collapsed="false">
      <c r="A4" s="7" t="s">
        <v>73</v>
      </c>
      <c r="B4" s="66" t="n">
        <v>2</v>
      </c>
      <c r="C4" s="8" t="s">
        <v>78</v>
      </c>
      <c r="D4" s="67" t="n">
        <v>41561</v>
      </c>
      <c r="E4" s="4" t="s">
        <v>75</v>
      </c>
      <c r="F4" s="7" t="n">
        <v>144</v>
      </c>
      <c r="G4" s="68" t="n">
        <v>1</v>
      </c>
      <c r="H4" s="68" t="n">
        <v>187</v>
      </c>
      <c r="I4" s="66" t="n">
        <v>2</v>
      </c>
      <c r="J4" s="69" t="n">
        <v>647.52380952381</v>
      </c>
      <c r="K4" s="31" t="n">
        <v>537.390035457598</v>
      </c>
      <c r="L4" s="31" t="n">
        <v>939.340025401155</v>
      </c>
      <c r="M4" s="31" t="n">
        <v>163.667433128507</v>
      </c>
      <c r="N4" s="31" t="n">
        <v>341.264873603686</v>
      </c>
      <c r="O4" s="32"/>
      <c r="P4" s="33" t="n">
        <v>66.9106430568113</v>
      </c>
      <c r="Q4" s="33" t="n">
        <v>10.3380701641637</v>
      </c>
      <c r="R4" s="31" t="n">
        <v>135.78536100186</v>
      </c>
      <c r="S4" s="34" t="s">
        <v>76</v>
      </c>
      <c r="T4" s="35" t="n">
        <v>19.3113778728571</v>
      </c>
      <c r="U4" s="35" t="n">
        <v>5.20774885714286</v>
      </c>
      <c r="V4" s="70" t="n">
        <v>24.51912673</v>
      </c>
      <c r="W4" s="35" t="n">
        <v>23.0233575467471</v>
      </c>
      <c r="X4" s="35" t="n">
        <v>4.1411470286728</v>
      </c>
      <c r="Y4" s="35" t="n">
        <v>7.66106595779837</v>
      </c>
      <c r="Z4" s="35"/>
      <c r="AA4" s="35" t="n">
        <v>1.46635037702642</v>
      </c>
      <c r="AB4" s="35" t="n">
        <v>0.252949493554343</v>
      </c>
      <c r="AC4" s="71" t="n">
        <v>3.7130811417902</v>
      </c>
      <c r="AD4" s="38" t="n">
        <v>6.19171992645319</v>
      </c>
      <c r="AE4" s="38" t="n">
        <v>5.38848977603613</v>
      </c>
      <c r="AF4" s="38" t="n">
        <v>1.33614046633444</v>
      </c>
      <c r="AG4" s="72"/>
      <c r="AH4" s="72"/>
      <c r="AI4" s="73" t="n">
        <v>40.8528642378759</v>
      </c>
      <c r="AJ4" s="42" t="s">
        <v>16</v>
      </c>
      <c r="AK4" s="43" t="n">
        <v>747.473880508256</v>
      </c>
      <c r="AL4" s="43" t="n">
        <v>765.955518646869</v>
      </c>
      <c r="AM4" s="43" t="n">
        <v>677.350150312664</v>
      </c>
      <c r="AN4" s="74"/>
      <c r="AO4" s="75" t="n">
        <v>36.0857142857143</v>
      </c>
      <c r="AP4" s="76" t="n">
        <v>1.38338834714773</v>
      </c>
      <c r="AQ4" s="76" t="n">
        <v>1.22468509995124</v>
      </c>
      <c r="AR4" s="76" t="n">
        <v>1.55168571428571</v>
      </c>
      <c r="AS4" s="77" t="n">
        <v>35.1851109215017</v>
      </c>
      <c r="AT4" s="78" t="n">
        <v>34.7238882530504</v>
      </c>
      <c r="AU4" s="78" t="n">
        <v>38.3361774744027</v>
      </c>
      <c r="AV4" s="78" t="n">
        <v>33.9382252559727</v>
      </c>
      <c r="AW4" s="78" t="n">
        <v>43</v>
      </c>
      <c r="AX4" s="78" t="n">
        <v>28.3365187713311</v>
      </c>
      <c r="AY4" s="48" t="n">
        <v>1.41619596143954</v>
      </c>
      <c r="AZ4" s="48" t="n">
        <v>25.4397750043391</v>
      </c>
      <c r="BA4" s="48" t="n">
        <v>-0.920648274339104</v>
      </c>
      <c r="BB4" s="49" t="n">
        <f aca="false">AT4/V4</f>
        <v>1.41619596143954</v>
      </c>
      <c r="BC4" s="49" t="n">
        <f aca="false">AS4/V4</f>
        <v>1.43500669126407</v>
      </c>
      <c r="BD4" s="49" t="n">
        <f aca="false">SUM(AP4:AR4)/V4</f>
        <v>0.169653642529409</v>
      </c>
      <c r="BE4" s="50" t="n">
        <v>6.52</v>
      </c>
      <c r="BF4" s="51" t="n">
        <v>162.126908543311</v>
      </c>
      <c r="BG4" s="51" t="n">
        <v>586.810124124761</v>
      </c>
      <c r="BH4" s="51" t="n">
        <v>230.213553652597</v>
      </c>
      <c r="BI4" s="51" t="n">
        <v>143.243623897427</v>
      </c>
      <c r="BJ4" s="51" t="n">
        <v>9.38267606020962</v>
      </c>
      <c r="BK4" s="51" t="n">
        <v>14.743120118864</v>
      </c>
      <c r="BL4" s="51" t="n">
        <v>10.6317777680321</v>
      </c>
      <c r="BM4" s="51"/>
      <c r="BN4" s="52" t="n">
        <f aca="false">(BG4*0.5-BH4*0.25+BI4*0.5)/SUM(BG4:BI4)*1000</f>
        <v>320.195725775194</v>
      </c>
      <c r="BO4" s="53" t="n">
        <v>7.51524652</v>
      </c>
      <c r="BP4" s="54" t="s">
        <v>77</v>
      </c>
      <c r="BQ4" s="55" t="n">
        <v>432.434984277338</v>
      </c>
      <c r="BR4" s="56" t="n">
        <v>17.6366388998772</v>
      </c>
      <c r="BS4" s="56" t="n">
        <v>24.5215892684804</v>
      </c>
      <c r="BT4" s="56" t="n">
        <v>12.4535300057979</v>
      </c>
      <c r="BU4" s="55"/>
      <c r="BV4" s="55"/>
      <c r="BW4" s="55"/>
      <c r="BX4" s="55"/>
      <c r="BY4" s="79" t="n">
        <v>0.11</v>
      </c>
      <c r="BZ4" s="80" t="n">
        <v>0.6375326</v>
      </c>
      <c r="CA4" s="81" t="n">
        <v>3.75</v>
      </c>
      <c r="CB4" s="81" t="n">
        <v>0.422</v>
      </c>
      <c r="CC4" s="82" t="n">
        <v>6.04518</v>
      </c>
      <c r="CD4" s="82" t="n">
        <v>8.32356</v>
      </c>
      <c r="CE4" s="83" t="n">
        <v>87.337952</v>
      </c>
      <c r="CF4" s="84" t="n">
        <v>35.966357</v>
      </c>
      <c r="CG4" s="80" t="n">
        <v>0.0596</v>
      </c>
      <c r="CH4" s="63" t="n">
        <v>10458.6234616309</v>
      </c>
      <c r="CI4" s="63" t="n">
        <v>7028.86214392897</v>
      </c>
      <c r="CJ4" s="64" t="n">
        <v>1120454.16442525</v>
      </c>
      <c r="CK4" s="65" t="n">
        <v>0.627322595345478</v>
      </c>
    </row>
    <row r="5" customFormat="false" ht="15" hidden="false" customHeight="false" outlineLevel="0" collapsed="false">
      <c r="A5" s="7" t="s">
        <v>73</v>
      </c>
      <c r="B5" s="66" t="n">
        <v>3</v>
      </c>
      <c r="C5" s="8" t="s">
        <v>79</v>
      </c>
      <c r="D5" s="67" t="n">
        <v>41561</v>
      </c>
      <c r="E5" s="4" t="s">
        <v>75</v>
      </c>
      <c r="F5" s="7" t="n">
        <v>128</v>
      </c>
      <c r="G5" s="68" t="n">
        <v>1</v>
      </c>
      <c r="H5" s="68" t="n">
        <v>187</v>
      </c>
      <c r="I5" s="66" t="n">
        <v>2</v>
      </c>
      <c r="J5" s="69" t="n">
        <v>691.125</v>
      </c>
      <c r="K5" s="31" t="n">
        <v>537.390035457598</v>
      </c>
      <c r="L5" s="31" t="n">
        <v>939.340025401155</v>
      </c>
      <c r="M5" s="31" t="n">
        <v>163.667433128507</v>
      </c>
      <c r="N5" s="31" t="n">
        <v>341.264873603686</v>
      </c>
      <c r="O5" s="32"/>
      <c r="P5" s="33" t="n">
        <v>66.9106430568113</v>
      </c>
      <c r="Q5" s="33" t="n">
        <v>10.3380701641637</v>
      </c>
      <c r="R5" s="31" t="n">
        <v>135.78536100186</v>
      </c>
      <c r="S5" s="34" t="s">
        <v>76</v>
      </c>
      <c r="T5" s="35" t="n">
        <v>18.1987596614286</v>
      </c>
      <c r="U5" s="35" t="n">
        <v>4.54006042857143</v>
      </c>
      <c r="V5" s="70" t="n">
        <v>22.73882009</v>
      </c>
      <c r="W5" s="35" t="n">
        <v>21.35212630546</v>
      </c>
      <c r="X5" s="35" t="n">
        <v>3.83333676837689</v>
      </c>
      <c r="Y5" s="35" t="n">
        <v>7.14408428483144</v>
      </c>
      <c r="Z5" s="35"/>
      <c r="AA5" s="35" t="n">
        <v>1.36956834439723</v>
      </c>
      <c r="AB5" s="35" t="n">
        <v>0.234612633143085</v>
      </c>
      <c r="AC5" s="71" t="n">
        <v>3.4221416974092</v>
      </c>
      <c r="AD5" s="38" t="n">
        <v>5.80780537643009</v>
      </c>
      <c r="AE5" s="38" t="n">
        <v>5.0149945221959</v>
      </c>
      <c r="AF5" s="38" t="n">
        <v>1.2320796968318</v>
      </c>
      <c r="AG5" s="72"/>
      <c r="AH5" s="72"/>
      <c r="AI5" s="73" t="n">
        <v>40.3960907669559</v>
      </c>
      <c r="AJ5" s="42" t="s">
        <v>16</v>
      </c>
      <c r="AK5" s="43" t="n">
        <v>744.586335023416</v>
      </c>
      <c r="AL5" s="43" t="n">
        <v>765.129034436561</v>
      </c>
      <c r="AM5" s="43" t="n">
        <v>678.588193190893</v>
      </c>
      <c r="AN5" s="74"/>
      <c r="AO5" s="75" t="n">
        <v>37.6785714285714</v>
      </c>
      <c r="AP5" s="76" t="n">
        <v>1.58885266679231</v>
      </c>
      <c r="AQ5" s="76" t="n">
        <v>1.23891914813419</v>
      </c>
      <c r="AR5" s="76" t="n">
        <v>1.64679216924237</v>
      </c>
      <c r="AS5" s="77" t="n">
        <v>38.9042185733132</v>
      </c>
      <c r="AT5" s="78" t="n">
        <v>37.8512068251061</v>
      </c>
      <c r="AU5" s="78" t="n">
        <v>42.1686015831135</v>
      </c>
      <c r="AV5" s="78" t="n">
        <v>32.8812664907652</v>
      </c>
      <c r="AW5" s="78" t="n">
        <v>43.7063324538259</v>
      </c>
      <c r="AX5" s="78" t="n">
        <v>22.4284960422164</v>
      </c>
      <c r="AY5" s="48" t="n">
        <v>1.66460734001551</v>
      </c>
      <c r="AZ5" s="48" t="n">
        <v>27.4397835327659</v>
      </c>
      <c r="BA5" s="48" t="n">
        <v>-4.70096344276594</v>
      </c>
      <c r="BB5" s="49" t="n">
        <f aca="false">AT5/V5</f>
        <v>1.66460734001551</v>
      </c>
      <c r="BC5" s="49" t="n">
        <f aca="false">AS5/V5</f>
        <v>1.71091632808258</v>
      </c>
      <c r="BD5" s="49" t="n">
        <f aca="false">SUM(AP5:AR5)/V5</f>
        <v>0.196780834117979</v>
      </c>
      <c r="BE5" s="50" t="n">
        <v>6.4</v>
      </c>
      <c r="BF5" s="51" t="n">
        <v>249.535181877347</v>
      </c>
      <c r="BG5" s="51" t="n">
        <v>573.077563696351</v>
      </c>
      <c r="BH5" s="51" t="n">
        <v>238.782881088743</v>
      </c>
      <c r="BI5" s="51" t="n">
        <v>149.257445740072</v>
      </c>
      <c r="BJ5" s="51" t="n">
        <v>9.01612282996849</v>
      </c>
      <c r="BK5" s="51" t="n">
        <v>14.1177656285533</v>
      </c>
      <c r="BL5" s="51" t="n">
        <v>10.7730966382023</v>
      </c>
      <c r="BM5" s="51"/>
      <c r="BN5" s="52" t="n">
        <f aca="false">(BG5*0.5-BH5*0.25+BI5*0.5)/SUM(BG5:BI5)*1000</f>
        <v>313.667852214569</v>
      </c>
      <c r="BO5" s="53" t="n">
        <v>7.185159</v>
      </c>
      <c r="BP5" s="54" t="s">
        <v>77</v>
      </c>
      <c r="BQ5" s="55" t="n">
        <v>420.495228693091</v>
      </c>
      <c r="BR5" s="56" t="n">
        <v>18.4923943735328</v>
      </c>
      <c r="BS5" s="56" t="n">
        <v>25.7386201122432</v>
      </c>
      <c r="BT5" s="56" t="n">
        <v>11.1091630614584</v>
      </c>
      <c r="BU5" s="55"/>
      <c r="BV5" s="55"/>
      <c r="BW5" s="55"/>
      <c r="BX5" s="55"/>
      <c r="BY5" s="79" t="n">
        <v>0.1</v>
      </c>
      <c r="BZ5" s="80" t="n">
        <v>0.5076448</v>
      </c>
      <c r="CA5" s="81" t="n">
        <v>3.83</v>
      </c>
      <c r="CB5" s="81" t="n">
        <v>0.342</v>
      </c>
      <c r="CC5" s="82" t="n">
        <v>5.203449</v>
      </c>
      <c r="CD5" s="82" t="n">
        <v>7.889</v>
      </c>
      <c r="CE5" s="83" t="n">
        <v>90.475688</v>
      </c>
      <c r="CF5" s="84" t="n">
        <v>37.182286</v>
      </c>
      <c r="CG5" s="80" t="n">
        <v>0.1556</v>
      </c>
      <c r="CH5" s="63" t="n">
        <v>18071.0364953272</v>
      </c>
      <c r="CI5" s="63" t="n">
        <v>6140.05614595875</v>
      </c>
      <c r="CJ5" s="64" t="n">
        <v>1204918.50249726</v>
      </c>
      <c r="CK5" s="65" t="n">
        <v>0.50958269237572</v>
      </c>
    </row>
    <row r="6" customFormat="false" ht="15" hidden="false" customHeight="false" outlineLevel="0" collapsed="false">
      <c r="A6" s="7" t="s">
        <v>73</v>
      </c>
      <c r="B6" s="66" t="n">
        <v>4</v>
      </c>
      <c r="C6" s="8" t="s">
        <v>80</v>
      </c>
      <c r="D6" s="67" t="n">
        <v>41561</v>
      </c>
      <c r="E6" s="4" t="s">
        <v>75</v>
      </c>
      <c r="F6" s="7" t="n">
        <v>2111</v>
      </c>
      <c r="G6" s="68" t="n">
        <v>1</v>
      </c>
      <c r="H6" s="68" t="n">
        <v>190</v>
      </c>
      <c r="I6" s="66" t="n">
        <v>3</v>
      </c>
      <c r="J6" s="69" t="n">
        <v>674.279761904762</v>
      </c>
      <c r="K6" s="31" t="n">
        <v>537.390035457598</v>
      </c>
      <c r="L6" s="31" t="n">
        <v>939.340025401155</v>
      </c>
      <c r="M6" s="31" t="n">
        <v>163.667433128507</v>
      </c>
      <c r="N6" s="31" t="n">
        <v>341.264873603686</v>
      </c>
      <c r="O6" s="32"/>
      <c r="P6" s="33" t="n">
        <v>66.9106430568113</v>
      </c>
      <c r="Q6" s="33" t="n">
        <v>10.3380701641637</v>
      </c>
      <c r="R6" s="31" t="n">
        <v>135.78536100186</v>
      </c>
      <c r="S6" s="34" t="s">
        <v>76</v>
      </c>
      <c r="T6" s="35" t="n">
        <v>14.6793629357143</v>
      </c>
      <c r="U6" s="35" t="n">
        <v>3.00060971428571</v>
      </c>
      <c r="V6" s="70" t="n">
        <v>17.67997265</v>
      </c>
      <c r="W6" s="35" t="n">
        <v>16.6026432271812</v>
      </c>
      <c r="X6" s="35" t="n">
        <v>2.96748178063423</v>
      </c>
      <c r="Y6" s="35" t="n">
        <v>5.62650963420425</v>
      </c>
      <c r="Z6" s="35"/>
      <c r="AA6" s="35" t="n">
        <v>1.08258434366281</v>
      </c>
      <c r="AB6" s="35" t="n">
        <v>0.182470868916266</v>
      </c>
      <c r="AC6" s="71" t="n">
        <v>2.62178698037631</v>
      </c>
      <c r="AD6" s="38" t="n">
        <v>3.86547073307116</v>
      </c>
      <c r="AE6" s="38" t="n">
        <v>3.32656679201896</v>
      </c>
      <c r="AF6" s="38" t="n">
        <v>0.818790457704563</v>
      </c>
      <c r="AG6" s="72"/>
      <c r="AH6" s="72"/>
      <c r="AI6" s="73" t="n">
        <v>47.2053422511082</v>
      </c>
      <c r="AJ6" s="42" t="s">
        <v>16</v>
      </c>
      <c r="AK6" s="43" t="n">
        <v>781.364439323883</v>
      </c>
      <c r="AL6" s="43" t="n">
        <v>799.636314139858</v>
      </c>
      <c r="AM6" s="43" t="n">
        <v>724.079027865315</v>
      </c>
      <c r="AN6" s="74"/>
      <c r="AO6" s="75" t="n">
        <v>29.0857142857143</v>
      </c>
      <c r="AP6" s="76" t="n">
        <v>1.9417946031746</v>
      </c>
      <c r="AQ6" s="76" t="n">
        <v>1.23362927689594</v>
      </c>
      <c r="AR6" s="76" t="n">
        <v>1.29901827160494</v>
      </c>
      <c r="AS6" s="77" t="n">
        <v>40.7612047619048</v>
      </c>
      <c r="AT6" s="78" t="n">
        <v>40.2268784396589</v>
      </c>
      <c r="AU6" s="78" t="n">
        <v>66.7611111111111</v>
      </c>
      <c r="AV6" s="78" t="n">
        <v>42.4135802469136</v>
      </c>
      <c r="AW6" s="78" t="n">
        <v>44.6617283950617</v>
      </c>
      <c r="AX6" s="78" t="n">
        <v>18.4302469135802</v>
      </c>
      <c r="AY6" s="48" t="n">
        <v>2.27527944957873</v>
      </c>
      <c r="AZ6" s="48" t="n">
        <v>27.8964739119812</v>
      </c>
      <c r="BA6" s="48" t="n">
        <v>-10.2165012619812</v>
      </c>
      <c r="BB6" s="49" t="n">
        <f aca="false">AT6/V6</f>
        <v>2.27527944957873</v>
      </c>
      <c r="BC6" s="49" t="n">
        <f aca="false">AS6/V6</f>
        <v>2.30550157338081</v>
      </c>
      <c r="BD6" s="49" t="n">
        <f aca="false">SUM(AP6:AR6)/V6</f>
        <v>0.253079698722016</v>
      </c>
      <c r="BE6" s="50" t="n">
        <v>6.85</v>
      </c>
      <c r="BF6" s="51" t="n">
        <v>173.545105222067</v>
      </c>
      <c r="BG6" s="51" t="n">
        <v>547.958984925204</v>
      </c>
      <c r="BH6" s="51" t="n">
        <v>205.617399654715</v>
      </c>
      <c r="BI6" s="51" t="n">
        <v>200.242247841546</v>
      </c>
      <c r="BJ6" s="51" t="n">
        <v>11.3875819556045</v>
      </c>
      <c r="BK6" s="51" t="n">
        <v>15.1709392135244</v>
      </c>
      <c r="BL6" s="51" t="n">
        <v>14.647722031297</v>
      </c>
      <c r="BM6" s="51"/>
      <c r="BN6" s="52" t="n">
        <f aca="false">(BG6*0.5-BH6*0.25+BI6*0.5)/SUM(BG6:BI6)*1000</f>
        <v>338.320363537527</v>
      </c>
      <c r="BO6" s="53" t="n">
        <v>10.93918904</v>
      </c>
      <c r="BP6" s="54" t="s">
        <v>77</v>
      </c>
      <c r="BQ6" s="55" t="n">
        <v>675.942712805836</v>
      </c>
      <c r="BR6" s="56" t="n">
        <v>38.2321130347357</v>
      </c>
      <c r="BS6" s="56" t="n">
        <v>50.914343263012</v>
      </c>
      <c r="BT6" s="56" t="n">
        <v>16.8032603827255</v>
      </c>
      <c r="BU6" s="55"/>
      <c r="BV6" s="55"/>
      <c r="BW6" s="55"/>
      <c r="BX6" s="55"/>
      <c r="BY6" s="79" t="n">
        <v>0.128571428571429</v>
      </c>
      <c r="BZ6" s="80" t="n">
        <v>0.4295168</v>
      </c>
      <c r="CA6" s="81" t="n">
        <v>3.81</v>
      </c>
      <c r="CB6" s="81" t="n">
        <v>0.407</v>
      </c>
      <c r="CC6" s="82" t="n">
        <v>4.837479</v>
      </c>
      <c r="CD6" s="82" t="n">
        <v>6.225256</v>
      </c>
      <c r="CE6" s="83" t="n">
        <v>80.165984</v>
      </c>
      <c r="CF6" s="84" t="n">
        <v>40.448211</v>
      </c>
      <c r="CG6" s="80" t="n">
        <v>0.146</v>
      </c>
      <c r="CH6" s="63" t="n">
        <v>116535.27326143</v>
      </c>
      <c r="CI6" s="63" t="n">
        <v>6347.48606228942</v>
      </c>
      <c r="CJ6" s="64" t="n">
        <v>731397.309410753</v>
      </c>
      <c r="CK6" s="65" t="n">
        <v>0.867857453208741</v>
      </c>
    </row>
    <row r="7" customFormat="false" ht="15" hidden="false" customHeight="false" outlineLevel="0" collapsed="false">
      <c r="A7" s="7" t="s">
        <v>73</v>
      </c>
      <c r="B7" s="66" t="n">
        <v>5</v>
      </c>
      <c r="C7" s="8" t="s">
        <v>81</v>
      </c>
      <c r="D7" s="67" t="n">
        <v>41596</v>
      </c>
      <c r="E7" s="4" t="s">
        <v>75</v>
      </c>
      <c r="F7" s="7" t="n">
        <v>136</v>
      </c>
      <c r="G7" s="68" t="n">
        <v>1</v>
      </c>
      <c r="H7" s="68" t="n">
        <v>171</v>
      </c>
      <c r="I7" s="66" t="n">
        <v>2</v>
      </c>
      <c r="J7" s="69" t="n">
        <v>715.858333333333</v>
      </c>
      <c r="K7" s="31" t="n">
        <v>534.62294244509</v>
      </c>
      <c r="L7" s="31" t="n">
        <v>940.396856339768</v>
      </c>
      <c r="M7" s="31" t="n">
        <v>162.863824793449</v>
      </c>
      <c r="N7" s="31" t="n">
        <v>345.255958088341</v>
      </c>
      <c r="O7" s="32"/>
      <c r="P7" s="33" t="n">
        <v>69.2463863197116</v>
      </c>
      <c r="Q7" s="33" t="n">
        <v>10.3795787484632</v>
      </c>
      <c r="R7" s="31" t="n">
        <v>139.38337646961</v>
      </c>
      <c r="S7" s="34" t="s">
        <v>76</v>
      </c>
      <c r="T7" s="35" t="n">
        <v>16.5299500571429</v>
      </c>
      <c r="U7" s="35" t="n">
        <v>2.28145714285714</v>
      </c>
      <c r="V7" s="70" t="n">
        <v>18.8114072</v>
      </c>
      <c r="W7" s="35" t="n">
        <v>17.6840797937143</v>
      </c>
      <c r="X7" s="35" t="n">
        <v>3.12167857090336</v>
      </c>
      <c r="Y7" s="35" t="n">
        <v>6.17615668222653</v>
      </c>
      <c r="Z7" s="35"/>
      <c r="AA7" s="35" t="n">
        <v>1.22096038631198</v>
      </c>
      <c r="AB7" s="35" t="n">
        <v>0.187701852648628</v>
      </c>
      <c r="AC7" s="71" t="n">
        <v>2.78190214945764</v>
      </c>
      <c r="AD7" s="38" t="n">
        <v>5.39420515153728</v>
      </c>
      <c r="AE7" s="38" t="n">
        <v>4.77295975507303</v>
      </c>
      <c r="AF7" s="38" t="n">
        <v>1.14098806797799</v>
      </c>
      <c r="AG7" s="72"/>
      <c r="AH7" s="72"/>
      <c r="AI7" s="73" t="n">
        <v>34.7969436414808</v>
      </c>
      <c r="AJ7" s="42" t="s">
        <v>16</v>
      </c>
      <c r="AK7" s="43" t="n">
        <v>713.248185306558</v>
      </c>
      <c r="AL7" s="43" t="n">
        <v>730.098494761964</v>
      </c>
      <c r="AM7" s="43" t="n">
        <v>634.495338945865</v>
      </c>
      <c r="AN7" s="74"/>
      <c r="AO7" s="75" t="n">
        <v>25.7285714285714</v>
      </c>
      <c r="AP7" s="76" t="n">
        <v>1.47179451268358</v>
      </c>
      <c r="AQ7" s="76" t="n">
        <v>0.970472096128171</v>
      </c>
      <c r="AR7" s="76" t="n">
        <v>1.18024411214953</v>
      </c>
      <c r="AS7" s="77" t="n">
        <v>32.3683462616822</v>
      </c>
      <c r="AT7" s="78" t="n">
        <v>31.8181444603845</v>
      </c>
      <c r="AU7" s="78" t="n">
        <v>57.2046728971963</v>
      </c>
      <c r="AV7" s="78" t="n">
        <v>37.7196261682243</v>
      </c>
      <c r="AW7" s="78" t="n">
        <v>45.8728971962617</v>
      </c>
      <c r="AX7" s="78" t="n">
        <v>27.2560747663551</v>
      </c>
      <c r="AY7" s="48" t="n">
        <v>1.69142819152756</v>
      </c>
      <c r="AZ7" s="48" t="n">
        <v>25.3221824330629</v>
      </c>
      <c r="BA7" s="48" t="n">
        <v>-6.51077523306293</v>
      </c>
      <c r="BB7" s="49" t="n">
        <f aca="false">AT7/V7</f>
        <v>1.69142819152756</v>
      </c>
      <c r="BC7" s="49" t="n">
        <f aca="false">AS7/V7</f>
        <v>1.72067649791145</v>
      </c>
      <c r="BD7" s="49" t="n">
        <f aca="false">SUM(AP7:AR7)/V7</f>
        <v>0.192569895619573</v>
      </c>
      <c r="BE7" s="50" t="n">
        <v>7.02</v>
      </c>
      <c r="BF7" s="51" t="n">
        <v>207.197730902715</v>
      </c>
      <c r="BG7" s="51" t="n">
        <v>569.172472781373</v>
      </c>
      <c r="BH7" s="51" t="n">
        <v>213.09958881699</v>
      </c>
      <c r="BI7" s="51" t="n">
        <v>172.897754663118</v>
      </c>
      <c r="BJ7" s="51" t="n">
        <v>11.1654607766324</v>
      </c>
      <c r="BK7" s="51" t="n">
        <v>15.7721010285675</v>
      </c>
      <c r="BL7" s="51" t="n">
        <v>12.9174975552098</v>
      </c>
      <c r="BM7" s="51"/>
      <c r="BN7" s="52" t="n">
        <f aca="false">(BG7*0.5-BH7*0.25+BI7*0.5)/SUM(BG7:BI7)*1000</f>
        <v>332.674055553499</v>
      </c>
      <c r="BO7" s="53" t="n">
        <v>7.49575418</v>
      </c>
      <c r="BP7" s="54" t="s">
        <v>77</v>
      </c>
      <c r="BQ7" s="55" t="n">
        <v>497.046319277666</v>
      </c>
      <c r="BR7" s="56" t="n">
        <v>26.4226016689313</v>
      </c>
      <c r="BS7" s="56" t="n">
        <v>38.4975368356944</v>
      </c>
      <c r="BT7" s="56" t="n">
        <v>15.6214740899337</v>
      </c>
      <c r="BU7" s="55"/>
      <c r="BV7" s="55"/>
      <c r="BW7" s="55"/>
      <c r="BX7" s="55"/>
      <c r="BY7" s="79" t="n">
        <v>0.06</v>
      </c>
      <c r="BZ7" s="80" t="n">
        <v>0.4732895</v>
      </c>
      <c r="CA7" s="81" t="n">
        <v>4.04</v>
      </c>
      <c r="CB7" s="81" t="n">
        <v>0.552</v>
      </c>
      <c r="CC7" s="82" t="n">
        <v>5.268851</v>
      </c>
      <c r="CD7" s="82" t="n">
        <v>5.570353</v>
      </c>
      <c r="CE7" s="83" t="n">
        <v>83.578066</v>
      </c>
      <c r="CF7" s="84" t="n">
        <v>33.446598</v>
      </c>
      <c r="CG7" s="80" t="n">
        <v>0.1172</v>
      </c>
      <c r="CH7" s="63" t="n">
        <v>74912.7927960364</v>
      </c>
      <c r="CI7" s="63" t="n">
        <v>5732.79910132978</v>
      </c>
      <c r="CJ7" s="63" t="n">
        <v>953578.664646772</v>
      </c>
      <c r="CK7" s="85" t="n">
        <v>0.601187853070658</v>
      </c>
    </row>
    <row r="8" customFormat="false" ht="15" hidden="false" customHeight="false" outlineLevel="0" collapsed="false">
      <c r="A8" s="7" t="s">
        <v>73</v>
      </c>
      <c r="B8" s="66" t="n">
        <v>6</v>
      </c>
      <c r="C8" s="8" t="s">
        <v>82</v>
      </c>
      <c r="D8" s="67" t="n">
        <v>41596</v>
      </c>
      <c r="E8" s="4" t="s">
        <v>75</v>
      </c>
      <c r="F8" s="7" t="n">
        <v>255</v>
      </c>
      <c r="G8" s="68" t="n">
        <v>1</v>
      </c>
      <c r="H8" s="68" t="n">
        <v>173</v>
      </c>
      <c r="I8" s="66" t="n">
        <v>5</v>
      </c>
      <c r="J8" s="69" t="n">
        <v>685.583333333333</v>
      </c>
      <c r="K8" s="31" t="n">
        <v>534.62294244509</v>
      </c>
      <c r="L8" s="31" t="n">
        <v>940.396856339768</v>
      </c>
      <c r="M8" s="31" t="n">
        <v>162.863824793449</v>
      </c>
      <c r="N8" s="31" t="n">
        <v>345.255958088341</v>
      </c>
      <c r="O8" s="32"/>
      <c r="P8" s="33" t="n">
        <v>69.2463863197116</v>
      </c>
      <c r="Q8" s="33" t="n">
        <v>10.3795787484632</v>
      </c>
      <c r="R8" s="31" t="n">
        <v>139.38337646961</v>
      </c>
      <c r="S8" s="34" t="s">
        <v>76</v>
      </c>
      <c r="T8" s="35" t="n">
        <v>21.5845683428571</v>
      </c>
      <c r="U8" s="35" t="n">
        <v>5.94745285714286</v>
      </c>
      <c r="V8" s="70" t="n">
        <v>27.5320212</v>
      </c>
      <c r="W8" s="35" t="n">
        <v>25.8751024041333</v>
      </c>
      <c r="X8" s="35" t="n">
        <v>4.63511856421426</v>
      </c>
      <c r="Y8" s="35" t="n">
        <v>8.67506321337452</v>
      </c>
      <c r="Z8" s="35"/>
      <c r="AA8" s="35" t="n">
        <v>1.69361217678751</v>
      </c>
      <c r="AB8" s="35" t="n">
        <v>0.266082089094478</v>
      </c>
      <c r="AC8" s="71" t="n">
        <v>4.25435618181411</v>
      </c>
      <c r="AD8" s="38" t="n">
        <v>8.73718317102488</v>
      </c>
      <c r="AE8" s="38" t="n">
        <v>7.82468982474252</v>
      </c>
      <c r="AF8" s="38" t="n">
        <v>1.79451038215666</v>
      </c>
      <c r="AG8" s="72"/>
      <c r="AH8" s="72"/>
      <c r="AI8" s="73" t="n">
        <v>30.4539900201345</v>
      </c>
      <c r="AJ8" s="42" t="s">
        <v>16</v>
      </c>
      <c r="AK8" s="43" t="n">
        <v>682.653768586199</v>
      </c>
      <c r="AL8" s="43" t="n">
        <v>697.597725314022</v>
      </c>
      <c r="AM8" s="43" t="n">
        <v>612.8447725132</v>
      </c>
      <c r="AN8" s="74"/>
      <c r="AO8" s="75" t="n">
        <v>39.35</v>
      </c>
      <c r="AP8" s="76" t="n">
        <v>1.6049291</v>
      </c>
      <c r="AQ8" s="76" t="n">
        <v>1.22304522</v>
      </c>
      <c r="AR8" s="76" t="n">
        <v>1.79272304</v>
      </c>
      <c r="AS8" s="77" t="n">
        <v>39.8139365</v>
      </c>
      <c r="AT8" s="78" t="n">
        <v>38.7046697247134</v>
      </c>
      <c r="AU8" s="78" t="n">
        <v>40.786</v>
      </c>
      <c r="AV8" s="78" t="n">
        <v>31.0812</v>
      </c>
      <c r="AW8" s="78" t="n">
        <v>45.5584</v>
      </c>
      <c r="AX8" s="78" t="n">
        <v>33.4476</v>
      </c>
      <c r="AY8" s="48" t="n">
        <v>1.40580560517342</v>
      </c>
      <c r="AZ8" s="48" t="n">
        <v>27.6608259727427</v>
      </c>
      <c r="BA8" s="48" t="n">
        <v>-0.128804772742722</v>
      </c>
      <c r="BB8" s="49" t="n">
        <f aca="false">AT8/V8</f>
        <v>1.40580560517342</v>
      </c>
      <c r="BC8" s="49" t="n">
        <f aca="false">AS8/V8</f>
        <v>1.44609566478178</v>
      </c>
      <c r="BD8" s="49" t="n">
        <f aca="false">SUM(AP8:AR8)/V8</f>
        <v>0.167829936147223</v>
      </c>
      <c r="BE8" s="50" t="n">
        <v>6.44</v>
      </c>
      <c r="BF8" s="51" t="n">
        <v>148.245552009539</v>
      </c>
      <c r="BG8" s="51" t="n">
        <v>561.700896300793</v>
      </c>
      <c r="BH8" s="51" t="n">
        <v>262.411212144724</v>
      </c>
      <c r="BI8" s="51" t="n">
        <v>140.474324710893</v>
      </c>
      <c r="BJ8" s="51" t="n">
        <v>8.53431800292529</v>
      </c>
      <c r="BK8" s="51" t="n">
        <v>13.3017083200859</v>
      </c>
      <c r="BL8" s="51" t="n">
        <v>8.60241614246939</v>
      </c>
      <c r="BM8" s="51"/>
      <c r="BN8" s="52" t="n">
        <f aca="false">(BG8*0.5-BH8*0.25+BI8*0.5)/SUM(BG8:BI8)*1000</f>
        <v>295.966019898778</v>
      </c>
      <c r="BO8" s="53" t="n">
        <v>6.71272074</v>
      </c>
      <c r="BP8" s="54" t="s">
        <v>77</v>
      </c>
      <c r="BQ8" s="55" t="n">
        <v>466.649991453759</v>
      </c>
      <c r="BR8" s="56" t="n">
        <v>16.9493546465001</v>
      </c>
      <c r="BS8" s="56" t="n">
        <v>25.8525941942492</v>
      </c>
      <c r="BT8" s="56" t="n">
        <v>12.0566844975762</v>
      </c>
      <c r="BU8" s="55"/>
      <c r="BV8" s="55"/>
      <c r="BW8" s="55"/>
      <c r="BX8" s="55"/>
      <c r="BY8" s="79" t="n">
        <v>0.09</v>
      </c>
      <c r="BZ8" s="80" t="n">
        <v>0.462724</v>
      </c>
      <c r="CA8" s="81" t="n">
        <v>4.07</v>
      </c>
      <c r="CB8" s="81" t="n">
        <v>0.525</v>
      </c>
      <c r="CC8" s="82" t="n">
        <v>5.237342</v>
      </c>
      <c r="CD8" s="82" t="n">
        <v>6.56935</v>
      </c>
      <c r="CE8" s="83" t="n">
        <v>83.578066</v>
      </c>
      <c r="CF8" s="84" t="n">
        <v>35.33673</v>
      </c>
      <c r="CG8" s="80" t="n">
        <v>0.1844</v>
      </c>
      <c r="CH8" s="63" t="n">
        <v>40071.6393765674</v>
      </c>
      <c r="CI8" s="63" t="n">
        <v>2821.96472942188</v>
      </c>
      <c r="CJ8" s="64" t="n">
        <v>1040531.79424829</v>
      </c>
      <c r="CK8" s="65" t="n">
        <v>0.271204084778643</v>
      </c>
    </row>
    <row r="9" customFormat="false" ht="15" hidden="false" customHeight="false" outlineLevel="0" collapsed="false">
      <c r="A9" s="7" t="s">
        <v>73</v>
      </c>
      <c r="B9" s="66" t="n">
        <v>7</v>
      </c>
      <c r="C9" s="8" t="s">
        <v>83</v>
      </c>
      <c r="D9" s="67" t="n">
        <v>41596</v>
      </c>
      <c r="E9" s="4" t="s">
        <v>75</v>
      </c>
      <c r="F9" s="7" t="n">
        <v>10</v>
      </c>
      <c r="G9" s="68" t="n">
        <v>1</v>
      </c>
      <c r="H9" s="68" t="n">
        <v>175</v>
      </c>
      <c r="I9" s="66" t="n">
        <v>5</v>
      </c>
      <c r="J9" s="69" t="n">
        <v>717.404761904762</v>
      </c>
      <c r="K9" s="31" t="n">
        <v>534.62294244509</v>
      </c>
      <c r="L9" s="31" t="n">
        <v>940.396856339768</v>
      </c>
      <c r="M9" s="31" t="n">
        <v>162.863824793449</v>
      </c>
      <c r="N9" s="31" t="n">
        <v>345.255958088341</v>
      </c>
      <c r="O9" s="32"/>
      <c r="P9" s="33" t="n">
        <v>69.2463863197116</v>
      </c>
      <c r="Q9" s="33" t="n">
        <v>10.3795787484632</v>
      </c>
      <c r="R9" s="31" t="n">
        <v>139.38337646961</v>
      </c>
      <c r="S9" s="34" t="s">
        <v>76</v>
      </c>
      <c r="T9" s="35" t="n">
        <v>24.61091386</v>
      </c>
      <c r="U9" s="35" t="n">
        <v>7.18788</v>
      </c>
      <c r="V9" s="70" t="n">
        <v>31.79879386</v>
      </c>
      <c r="W9" s="35" t="n">
        <v>29.8842408659262</v>
      </c>
      <c r="X9" s="35" t="n">
        <v>5.36154563623504</v>
      </c>
      <c r="Y9" s="35" t="n">
        <v>9.97497263749728</v>
      </c>
      <c r="Z9" s="35"/>
      <c r="AA9" s="35" t="n">
        <v>1.94467140116404</v>
      </c>
      <c r="AB9" s="35" t="n">
        <v>0.306263030784336</v>
      </c>
      <c r="AC9" s="71" t="n">
        <v>4.93601346847619</v>
      </c>
      <c r="AD9" s="38" t="n">
        <v>8.01859356848101</v>
      </c>
      <c r="AE9" s="38" t="n">
        <v>6.97276704428549</v>
      </c>
      <c r="AF9" s="38" t="n">
        <v>2.00155620473114</v>
      </c>
      <c r="AG9" s="72"/>
      <c r="AH9" s="72"/>
      <c r="AI9" s="73" t="n">
        <v>38.1941082521225</v>
      </c>
      <c r="AJ9" s="42" t="s">
        <v>16</v>
      </c>
      <c r="AK9" s="43" t="n">
        <v>747.833405135291</v>
      </c>
      <c r="AL9" s="43" t="n">
        <v>766.674111764512</v>
      </c>
      <c r="AM9" s="43" t="n">
        <v>626.682986487333</v>
      </c>
      <c r="AN9" s="74"/>
      <c r="AO9" s="75" t="n">
        <v>42.1428571428571</v>
      </c>
      <c r="AP9" s="76" t="n">
        <v>1.64988576238576</v>
      </c>
      <c r="AQ9" s="76" t="n">
        <v>1.44730206830207</v>
      </c>
      <c r="AR9" s="76" t="n">
        <v>1.92824146224146</v>
      </c>
      <c r="AS9" s="77" t="n">
        <v>41.6054292929293</v>
      </c>
      <c r="AT9" s="78" t="n">
        <v>41.7136323823617</v>
      </c>
      <c r="AU9" s="78" t="n">
        <v>39.1498316498316</v>
      </c>
      <c r="AV9" s="78" t="n">
        <v>34.3427609427609</v>
      </c>
      <c r="AW9" s="78" t="n">
        <v>45.7548821548822</v>
      </c>
      <c r="AX9" s="78" t="n">
        <v>35.1138047138047</v>
      </c>
      <c r="AY9" s="48" t="n">
        <v>1.31179920112736</v>
      </c>
      <c r="AZ9" s="48" t="n">
        <v>28.7780093245844</v>
      </c>
      <c r="BA9" s="48" t="n">
        <v>3.02078453541557</v>
      </c>
      <c r="BB9" s="49" t="n">
        <f aca="false">AT9/V9</f>
        <v>1.31179920112736</v>
      </c>
      <c r="BC9" s="49" t="n">
        <f aca="false">AS9/V9</f>
        <v>1.30839645918977</v>
      </c>
      <c r="BD9" s="49" t="n">
        <f aca="false">SUM(AP9:AR9)/V9</f>
        <v>0.158038361928275</v>
      </c>
      <c r="BE9" s="50" t="n">
        <v>6.3</v>
      </c>
      <c r="BF9" s="51" t="n">
        <v>218.031624738101</v>
      </c>
      <c r="BG9" s="51" t="n">
        <v>573.264707692741</v>
      </c>
      <c r="BH9" s="51" t="n">
        <v>220.618043802144</v>
      </c>
      <c r="BI9" s="51" t="n">
        <v>168.874730570341</v>
      </c>
      <c r="BJ9" s="51" t="n">
        <v>8.51081911203629</v>
      </c>
      <c r="BK9" s="51" t="n">
        <v>14.0367502653444</v>
      </c>
      <c r="BL9" s="51" t="n">
        <v>9.71982417928428</v>
      </c>
      <c r="BM9" s="51"/>
      <c r="BN9" s="52" t="n">
        <f aca="false">(BG9*0.5-BH9*0.25+BI9*0.5)/SUM(BG9:BI9)*1000</f>
        <v>328.135812046176</v>
      </c>
      <c r="BO9" s="53" t="n">
        <v>7.42099544</v>
      </c>
      <c r="BP9" s="54" t="s">
        <v>77</v>
      </c>
      <c r="BQ9" s="55" t="n">
        <v>518.143218482708</v>
      </c>
      <c r="BR9" s="56" t="n">
        <v>16.2944299322776</v>
      </c>
      <c r="BS9" s="56" t="n">
        <v>22.6150103880835</v>
      </c>
      <c r="BT9" s="56" t="n">
        <v>12.4214360843291</v>
      </c>
      <c r="BU9" s="55"/>
      <c r="BV9" s="55"/>
      <c r="BW9" s="55"/>
      <c r="BX9" s="55"/>
      <c r="BY9" s="79" t="n">
        <v>0.15</v>
      </c>
      <c r="BZ9" s="80" t="n">
        <v>0.574142</v>
      </c>
      <c r="CA9" s="81" t="n">
        <v>3.93</v>
      </c>
      <c r="CB9" s="81" t="n">
        <v>0.058</v>
      </c>
      <c r="CC9" s="82" t="n">
        <v>5.604947</v>
      </c>
      <c r="CD9" s="82" t="n">
        <v>6.745274</v>
      </c>
      <c r="CE9" s="83" t="n">
        <v>91.585043</v>
      </c>
      <c r="CF9" s="84" t="n">
        <v>37.856906</v>
      </c>
      <c r="CG9" s="80" t="n">
        <v>0.2612</v>
      </c>
      <c r="CH9" s="63" t="n">
        <v>11409.7834074657</v>
      </c>
      <c r="CI9" s="63" t="n">
        <v>1179.73091600327</v>
      </c>
      <c r="CJ9" s="63" t="n">
        <v>414415.096822687</v>
      </c>
      <c r="CK9" s="85" t="n">
        <v>0.284673730529666</v>
      </c>
    </row>
    <row r="10" customFormat="false" ht="15" hidden="false" customHeight="false" outlineLevel="0" collapsed="false">
      <c r="A10" s="7" t="s">
        <v>73</v>
      </c>
      <c r="B10" s="66" t="n">
        <v>8</v>
      </c>
      <c r="C10" s="8" t="s">
        <v>84</v>
      </c>
      <c r="D10" s="67" t="n">
        <v>41596</v>
      </c>
      <c r="E10" s="4" t="s">
        <v>75</v>
      </c>
      <c r="F10" s="7" t="n">
        <v>535</v>
      </c>
      <c r="G10" s="68" t="n">
        <v>1</v>
      </c>
      <c r="H10" s="68" t="n">
        <v>175</v>
      </c>
      <c r="I10" s="66" t="n">
        <v>3</v>
      </c>
      <c r="J10" s="69" t="n">
        <v>746.741666666667</v>
      </c>
      <c r="K10" s="31" t="n">
        <v>534.62294244509</v>
      </c>
      <c r="L10" s="31" t="n">
        <v>940.396856339768</v>
      </c>
      <c r="M10" s="31" t="n">
        <v>162.863824793449</v>
      </c>
      <c r="N10" s="31" t="n">
        <v>345.255958088341</v>
      </c>
      <c r="O10" s="32"/>
      <c r="P10" s="33" t="n">
        <v>69.2463863197116</v>
      </c>
      <c r="Q10" s="33" t="n">
        <v>10.3795787484632</v>
      </c>
      <c r="R10" s="31" t="n">
        <v>139.38337646961</v>
      </c>
      <c r="S10" s="34" t="s">
        <v>76</v>
      </c>
      <c r="T10" s="35" t="n">
        <v>21.5425482128571</v>
      </c>
      <c r="U10" s="35" t="n">
        <v>6.04807285714286</v>
      </c>
      <c r="V10" s="70" t="n">
        <v>27.59062107</v>
      </c>
      <c r="W10" s="35" t="n">
        <v>25.9299401364783</v>
      </c>
      <c r="X10" s="35" t="n">
        <v>4.64721951512414</v>
      </c>
      <c r="Y10" s="35" t="n">
        <v>8.68124410313238</v>
      </c>
      <c r="Z10" s="35"/>
      <c r="AA10" s="35" t="n">
        <v>1.69406845313233</v>
      </c>
      <c r="AB10" s="35" t="n">
        <v>0.266357234464863</v>
      </c>
      <c r="AC10" s="71" t="n">
        <v>4.26957636921501</v>
      </c>
      <c r="AD10" s="38" t="n">
        <v>9.12096435456235</v>
      </c>
      <c r="AE10" s="38" t="n">
        <v>8.18216851195637</v>
      </c>
      <c r="AF10" s="38" t="n">
        <v>2.04712447066619</v>
      </c>
      <c r="AG10" s="72"/>
      <c r="AH10" s="72"/>
      <c r="AI10" s="73" t="n">
        <v>29.2027491952241</v>
      </c>
      <c r="AJ10" s="42" t="s">
        <v>16</v>
      </c>
      <c r="AK10" s="43" t="n">
        <v>669.417939834642</v>
      </c>
      <c r="AL10" s="43" t="n">
        <v>684.450929354608</v>
      </c>
      <c r="AM10" s="43" t="n">
        <v>559.494776606975</v>
      </c>
      <c r="AN10" s="74"/>
      <c r="AO10" s="75" t="n">
        <v>37.3</v>
      </c>
      <c r="AP10" s="76" t="n">
        <v>1.63100836431227</v>
      </c>
      <c r="AQ10" s="76" t="n">
        <v>1.34414501858736</v>
      </c>
      <c r="AR10" s="76" t="n">
        <v>1.82580033457249</v>
      </c>
      <c r="AS10" s="77" t="n">
        <v>39.385125464684</v>
      </c>
      <c r="AT10" s="78" t="n">
        <v>40.1168080690455</v>
      </c>
      <c r="AU10" s="78" t="n">
        <v>43.7267657992565</v>
      </c>
      <c r="AV10" s="78" t="n">
        <v>36.0360594795539</v>
      </c>
      <c r="AW10" s="78" t="n">
        <v>48.9490706319703</v>
      </c>
      <c r="AX10" s="78" t="n">
        <v>39.0884758364312</v>
      </c>
      <c r="AY10" s="48" t="n">
        <v>1.4540016321947</v>
      </c>
      <c r="AZ10" s="48" t="n">
        <v>28.3632198126391</v>
      </c>
      <c r="BA10" s="48" t="n">
        <v>-0.772598742639097</v>
      </c>
      <c r="BB10" s="49" t="n">
        <f aca="false">AT10/V10</f>
        <v>1.4540016321947</v>
      </c>
      <c r="BC10" s="49" t="n">
        <f aca="false">AS10/V10</f>
        <v>1.42748238123239</v>
      </c>
      <c r="BD10" s="49" t="n">
        <f aca="false">SUM(AP10:AR10)/V10</f>
        <v>0.174006728782641</v>
      </c>
      <c r="BE10" s="50" t="n">
        <v>6.8</v>
      </c>
      <c r="BF10" s="51" t="n">
        <v>150.16109221752</v>
      </c>
      <c r="BG10" s="51" t="n">
        <v>576.437819263954</v>
      </c>
      <c r="BH10" s="51" t="n">
        <v>222.479023932412</v>
      </c>
      <c r="BI10" s="51" t="n">
        <v>169.551301763774</v>
      </c>
      <c r="BJ10" s="51" t="n">
        <v>7.16874040982589</v>
      </c>
      <c r="BK10" s="51" t="n">
        <v>13.6245461794065</v>
      </c>
      <c r="BL10" s="51" t="n">
        <v>5.76344407251903</v>
      </c>
      <c r="BM10" s="51"/>
      <c r="BN10" s="52" t="n">
        <f aca="false">(BG10*0.5-BH10*0.25+BI10*0.5)/SUM(BG10:BI10)*1000</f>
        <v>327.708047169505</v>
      </c>
      <c r="BO10" s="53" t="n">
        <v>1.95827958</v>
      </c>
      <c r="BP10" s="54" t="s">
        <v>77</v>
      </c>
      <c r="BQ10" s="55" t="n">
        <v>553.185854122616</v>
      </c>
      <c r="BR10" s="56" t="n">
        <v>20.0497789708732</v>
      </c>
      <c r="BS10" s="56" t="n">
        <v>31.1693132989319</v>
      </c>
      <c r="BT10" s="56" t="n">
        <v>13.7893785859164</v>
      </c>
      <c r="BU10" s="55"/>
      <c r="BV10" s="55"/>
      <c r="BW10" s="55"/>
      <c r="BX10" s="55"/>
      <c r="BY10" s="79" t="n">
        <v>0.09</v>
      </c>
      <c r="BZ10" s="80" t="n">
        <v>0.401252</v>
      </c>
      <c r="CA10" s="81" t="n">
        <v>3.74</v>
      </c>
      <c r="CB10" s="81" t="n">
        <v>1.078</v>
      </c>
      <c r="CC10" s="82" t="n">
        <v>4.544144</v>
      </c>
      <c r="CD10" s="82" t="n">
        <v>6.19237</v>
      </c>
      <c r="CE10" s="83" t="n">
        <v>77.10618</v>
      </c>
      <c r="CF10" s="84" t="n">
        <v>37.460588</v>
      </c>
      <c r="CG10" s="80" t="n">
        <v>0.0884</v>
      </c>
      <c r="CH10" s="63" t="n">
        <v>35022.9177553232</v>
      </c>
      <c r="CI10" s="63" t="n">
        <v>1143.62392408337</v>
      </c>
      <c r="CJ10" s="63" t="n">
        <v>283332.583811927</v>
      </c>
      <c r="CK10" s="85" t="n">
        <v>0.403633040964501</v>
      </c>
    </row>
    <row r="11" customFormat="false" ht="15" hidden="false" customHeight="false" outlineLevel="0" collapsed="false">
      <c r="A11" s="7" t="s">
        <v>73</v>
      </c>
      <c r="B11" s="66" t="n">
        <v>9</v>
      </c>
      <c r="C11" s="8" t="s">
        <v>85</v>
      </c>
      <c r="D11" s="67" t="n">
        <v>41596</v>
      </c>
      <c r="E11" s="4" t="s">
        <v>75</v>
      </c>
      <c r="F11" s="7" t="n">
        <v>303</v>
      </c>
      <c r="G11" s="68" t="n">
        <v>1</v>
      </c>
      <c r="H11" s="68" t="n">
        <v>176</v>
      </c>
      <c r="I11" s="66" t="n">
        <v>4</v>
      </c>
      <c r="J11" s="69" t="n">
        <v>679.857142857143</v>
      </c>
      <c r="K11" s="31" t="n">
        <v>534.62294244509</v>
      </c>
      <c r="L11" s="31" t="n">
        <v>940.396856339768</v>
      </c>
      <c r="M11" s="31" t="n">
        <v>162.863824793449</v>
      </c>
      <c r="N11" s="31" t="n">
        <v>345.255958088341</v>
      </c>
      <c r="O11" s="32"/>
      <c r="P11" s="33" t="n">
        <v>69.2463863197116</v>
      </c>
      <c r="Q11" s="33" t="n">
        <v>10.3795787484632</v>
      </c>
      <c r="R11" s="31" t="n">
        <v>139.38337646961</v>
      </c>
      <c r="S11" s="34" t="s">
        <v>76</v>
      </c>
      <c r="T11" s="35" t="n">
        <v>19.15813924</v>
      </c>
      <c r="U11" s="35" t="n">
        <v>4.5666</v>
      </c>
      <c r="V11" s="70" t="n">
        <v>23.72473924</v>
      </c>
      <c r="W11" s="35" t="n">
        <v>22.2984435296156</v>
      </c>
      <c r="X11" s="35" t="n">
        <v>3.97995713255186</v>
      </c>
      <c r="Y11" s="35" t="n">
        <v>7.55340541849605</v>
      </c>
      <c r="Z11" s="35"/>
      <c r="AA11" s="35" t="n">
        <v>1.47939736597987</v>
      </c>
      <c r="AB11" s="35" t="n">
        <v>0.231135338381502</v>
      </c>
      <c r="AC11" s="71" t="n">
        <v>3.62690198414613</v>
      </c>
      <c r="AD11" s="38" t="n">
        <v>6.67750500911073</v>
      </c>
      <c r="AE11" s="38" t="n">
        <v>5.94981769115792</v>
      </c>
      <c r="AF11" s="38" t="n">
        <v>1.33729017758691</v>
      </c>
      <c r="AG11" s="72"/>
      <c r="AH11" s="72"/>
      <c r="AI11" s="73" t="n">
        <v>34.6140269555984</v>
      </c>
      <c r="AJ11" s="42" t="s">
        <v>16</v>
      </c>
      <c r="AK11" s="43" t="n">
        <v>718.54253311023</v>
      </c>
      <c r="AL11" s="43" t="n">
        <v>733.173408123499</v>
      </c>
      <c r="AM11" s="43" t="n">
        <v>663.99382379039</v>
      </c>
      <c r="AN11" s="74"/>
      <c r="AO11" s="75" t="n">
        <v>35.1071428571429</v>
      </c>
      <c r="AP11" s="76" t="n">
        <v>1.7914501023332</v>
      </c>
      <c r="AQ11" s="76" t="n">
        <v>1.13665662095784</v>
      </c>
      <c r="AR11" s="76" t="n">
        <v>1.64355749079001</v>
      </c>
      <c r="AS11" s="77" t="n">
        <v>40.9146086778551</v>
      </c>
      <c r="AT11" s="78" t="n">
        <v>39.5002509239971</v>
      </c>
      <c r="AU11" s="78" t="n">
        <v>51.0280802292264</v>
      </c>
      <c r="AV11" s="78" t="n">
        <v>32.3767908309456</v>
      </c>
      <c r="AW11" s="78" t="n">
        <v>46.8154727793696</v>
      </c>
      <c r="AX11" s="78" t="n">
        <v>27.0381088825215</v>
      </c>
      <c r="AY11" s="48" t="n">
        <v>1.66493930763207</v>
      </c>
      <c r="AZ11" s="48" t="n">
        <v>27.9970788318223</v>
      </c>
      <c r="BA11" s="48" t="n">
        <v>-4.27233959182235</v>
      </c>
      <c r="BB11" s="49" t="n">
        <f aca="false">AT11/V11</f>
        <v>1.66493930763207</v>
      </c>
      <c r="BC11" s="49" t="n">
        <f aca="false">AS11/V11</f>
        <v>1.72455462055713</v>
      </c>
      <c r="BD11" s="49" t="n">
        <f aca="false">SUM(AP11:AR11)/V11</f>
        <v>0.19269607846198</v>
      </c>
      <c r="BE11" s="50" t="n">
        <v>6.97</v>
      </c>
      <c r="BF11" s="51" t="n">
        <v>139.877945754069</v>
      </c>
      <c r="BG11" s="51" t="n">
        <v>589.283167513948</v>
      </c>
      <c r="BH11" s="51" t="n">
        <v>209.307755735239</v>
      </c>
      <c r="BI11" s="51" t="n">
        <v>167.914069233263</v>
      </c>
      <c r="BJ11" s="51" t="n">
        <v>7.83817892202642</v>
      </c>
      <c r="BK11" s="51" t="n">
        <v>11.813590689127</v>
      </c>
      <c r="BL11" s="51" t="n">
        <v>8.86811352828718</v>
      </c>
      <c r="BM11" s="51"/>
      <c r="BN11" s="52" t="n">
        <f aca="false">(BG11*0.5-BH11*0.25+BI11*0.5)/SUM(BG11:BI11)*1000</f>
        <v>337.578886790614</v>
      </c>
      <c r="BO11" s="53" t="n">
        <v>2.09246958</v>
      </c>
      <c r="BP11" s="54" t="s">
        <v>77</v>
      </c>
      <c r="BQ11" s="55" t="n">
        <v>462.46693076935</v>
      </c>
      <c r="BR11" s="56" t="n">
        <v>19.4930248164595</v>
      </c>
      <c r="BS11" s="56" t="n">
        <v>28.2878166849637</v>
      </c>
      <c r="BT11" s="56" t="n">
        <v>11.7079491889606</v>
      </c>
      <c r="BU11" s="55"/>
      <c r="BV11" s="55"/>
      <c r="BW11" s="55"/>
      <c r="BX11" s="55"/>
      <c r="BY11" s="79" t="n">
        <v>0.16</v>
      </c>
      <c r="BZ11" s="80" t="n">
        <v>0.4444745</v>
      </c>
      <c r="CA11" s="81" t="n">
        <v>4.06</v>
      </c>
      <c r="CB11" s="81" t="n">
        <v>0.785</v>
      </c>
      <c r="CC11" s="82" t="n">
        <v>3.766922</v>
      </c>
      <c r="CD11" s="82" t="n">
        <v>7.505517</v>
      </c>
      <c r="CE11" s="83" t="n">
        <v>73.207193</v>
      </c>
      <c r="CF11" s="84" t="n">
        <v>34.77782</v>
      </c>
      <c r="CG11" s="80" t="n">
        <v>0.8564</v>
      </c>
      <c r="CH11" s="63" t="n">
        <v>56655.044531134</v>
      </c>
      <c r="CI11" s="63" t="n">
        <v>6566.79528271667</v>
      </c>
      <c r="CJ11" s="64" t="n">
        <v>454220.613962876</v>
      </c>
      <c r="CK11" s="65" t="n">
        <v>1.44572815078212</v>
      </c>
    </row>
    <row r="12" customFormat="false" ht="15" hidden="false" customHeight="false" outlineLevel="0" collapsed="false">
      <c r="A12" s="7" t="s">
        <v>73</v>
      </c>
      <c r="B12" s="66" t="n">
        <v>10</v>
      </c>
      <c r="C12" s="8" t="s">
        <v>86</v>
      </c>
      <c r="D12" s="67" t="n">
        <v>41596</v>
      </c>
      <c r="E12" s="4" t="s">
        <v>75</v>
      </c>
      <c r="F12" s="7" t="n">
        <v>612</v>
      </c>
      <c r="G12" s="68" t="n">
        <v>1</v>
      </c>
      <c r="H12" s="68" t="n">
        <v>188</v>
      </c>
      <c r="I12" s="66" t="n">
        <v>2</v>
      </c>
      <c r="J12" s="69" t="n">
        <v>746.5</v>
      </c>
      <c r="K12" s="31" t="n">
        <v>534.62294244509</v>
      </c>
      <c r="L12" s="31" t="n">
        <v>940.396856339768</v>
      </c>
      <c r="M12" s="31" t="n">
        <v>162.863824793449</v>
      </c>
      <c r="N12" s="31" t="n">
        <v>345.255958088341</v>
      </c>
      <c r="O12" s="32"/>
      <c r="P12" s="33" t="n">
        <v>69.2463863197116</v>
      </c>
      <c r="Q12" s="33" t="n">
        <v>10.3795787484632</v>
      </c>
      <c r="R12" s="31" t="n">
        <v>139.38337646961</v>
      </c>
      <c r="S12" s="34" t="s">
        <v>76</v>
      </c>
      <c r="T12" s="35" t="n">
        <v>13.47000024</v>
      </c>
      <c r="U12" s="35" t="n">
        <v>2.06572</v>
      </c>
      <c r="V12" s="70" t="n">
        <v>15.53572024</v>
      </c>
      <c r="W12" s="35" t="n">
        <v>14.6042116913697</v>
      </c>
      <c r="X12" s="35" t="n">
        <v>2.58270493016618</v>
      </c>
      <c r="Y12" s="35" t="n">
        <v>5.07533282275583</v>
      </c>
      <c r="Z12" s="35"/>
      <c r="AA12" s="35" t="n">
        <v>1.00185291245676</v>
      </c>
      <c r="AB12" s="35" t="n">
        <v>0.154415787021051</v>
      </c>
      <c r="AC12" s="71" t="n">
        <v>2.31020507338655</v>
      </c>
      <c r="AD12" s="38" t="n">
        <v>4.06479919532402</v>
      </c>
      <c r="AE12" s="38" t="n">
        <v>3.80191936067937</v>
      </c>
      <c r="AF12" s="38" t="n">
        <v>0.820111014581001</v>
      </c>
      <c r="AG12" s="72"/>
      <c r="AH12" s="72"/>
      <c r="AI12" s="73" t="n">
        <v>37.9885400485919</v>
      </c>
      <c r="AJ12" s="42" t="s">
        <v>16</v>
      </c>
      <c r="AK12" s="43" t="n">
        <v>738.357853222773</v>
      </c>
      <c r="AL12" s="43" t="n">
        <v>739.669662353217</v>
      </c>
      <c r="AM12" s="43" t="n">
        <v>682.46042937308</v>
      </c>
      <c r="AN12" s="74"/>
      <c r="AO12" s="75" t="n">
        <v>20.6357142857143</v>
      </c>
      <c r="AP12" s="76" t="n">
        <v>0.74338059793148</v>
      </c>
      <c r="AQ12" s="76" t="n">
        <v>0.709112239819005</v>
      </c>
      <c r="AR12" s="76" t="n">
        <v>0.951222391725921</v>
      </c>
      <c r="AS12" s="77" t="n">
        <v>19.4049946832579</v>
      </c>
      <c r="AT12" s="78" t="n">
        <v>19.6790989647314</v>
      </c>
      <c r="AU12" s="78" t="n">
        <v>36.0239819004525</v>
      </c>
      <c r="AV12" s="78" t="n">
        <v>34.3633484162896</v>
      </c>
      <c r="AW12" s="78" t="n">
        <v>46.09592760181</v>
      </c>
      <c r="AX12" s="78" t="n">
        <v>20.4429864253394</v>
      </c>
      <c r="AY12" s="48" t="n">
        <v>1.26670013753617</v>
      </c>
      <c r="AZ12" s="48" t="n">
        <v>20.9831770078871</v>
      </c>
      <c r="BA12" s="48" t="n">
        <v>-5.44745676788712</v>
      </c>
      <c r="BB12" s="49" t="n">
        <f aca="false">AT12/V12</f>
        <v>1.26670013753617</v>
      </c>
      <c r="BC12" s="49" t="n">
        <f aca="false">AS12/V12</f>
        <v>1.24905665031838</v>
      </c>
      <c r="BD12" s="49" t="n">
        <f aca="false">SUM(AP12:AR12)/V12</f>
        <v>0.154721840528998</v>
      </c>
      <c r="BE12" s="50" t="n">
        <v>6.54</v>
      </c>
      <c r="BF12" s="51" t="n">
        <v>168.994403019418</v>
      </c>
      <c r="BG12" s="51" t="n">
        <v>542.64146563134</v>
      </c>
      <c r="BH12" s="51" t="n">
        <v>267.132548650947</v>
      </c>
      <c r="BI12" s="51" t="n">
        <v>152.273665187161</v>
      </c>
      <c r="BJ12" s="51" t="n">
        <v>8.72038199129958</v>
      </c>
      <c r="BK12" s="51" t="n">
        <v>13.6303306522156</v>
      </c>
      <c r="BL12" s="51" t="n">
        <v>10.6264835089281</v>
      </c>
      <c r="BM12" s="51"/>
      <c r="BN12" s="52" t="n">
        <f aca="false">(BG12*0.5-BH12*0.25+BI12*0.5)/SUM(BG12:BI12)*1000</f>
        <v>291.746900113413</v>
      </c>
      <c r="BO12" s="53" t="n">
        <v>3.51577818</v>
      </c>
      <c r="BP12" s="54" t="s">
        <v>77</v>
      </c>
      <c r="BQ12" s="55" t="n">
        <v>387.504878040515</v>
      </c>
      <c r="BR12" s="56" t="n">
        <v>24.9428331647478</v>
      </c>
      <c r="BS12" s="56" t="n">
        <v>35.8724672669316</v>
      </c>
      <c r="BT12" s="56" t="n">
        <v>19.6911900659169</v>
      </c>
      <c r="BU12" s="55"/>
      <c r="BV12" s="55"/>
      <c r="BW12" s="55"/>
      <c r="BX12" s="55"/>
      <c r="BY12" s="79" t="n">
        <v>0.05</v>
      </c>
      <c r="BZ12" s="80" t="n">
        <v>0.380121</v>
      </c>
      <c r="CA12" s="81" t="n">
        <v>4.11</v>
      </c>
      <c r="CB12" s="81" t="n">
        <v>1.784</v>
      </c>
      <c r="CC12" s="82" t="n">
        <v>4.596659</v>
      </c>
      <c r="CD12" s="82" t="n">
        <v>5.350448</v>
      </c>
      <c r="CE12" s="83" t="n">
        <v>75.772885</v>
      </c>
      <c r="CF12" s="84" t="n">
        <v>33.853078</v>
      </c>
      <c r="CG12" s="80" t="n">
        <v>0.8948</v>
      </c>
      <c r="CH12" s="63" t="n">
        <v>31009.3240936817</v>
      </c>
      <c r="CI12" s="63" t="n">
        <v>5071.25484739667</v>
      </c>
      <c r="CJ12" s="64" t="n">
        <v>337526.576664111</v>
      </c>
      <c r="CK12" s="65" t="n">
        <v>1.50247571539924</v>
      </c>
    </row>
    <row r="13" customFormat="false" ht="15" hidden="false" customHeight="false" outlineLevel="0" collapsed="false">
      <c r="A13" s="7" t="s">
        <v>73</v>
      </c>
      <c r="B13" s="66" t="n">
        <v>11</v>
      </c>
      <c r="C13" s="8" t="s">
        <v>87</v>
      </c>
      <c r="D13" s="67" t="n">
        <v>41596</v>
      </c>
      <c r="E13" s="4" t="s">
        <v>75</v>
      </c>
      <c r="F13" s="7" t="n">
        <v>232</v>
      </c>
      <c r="G13" s="68" t="n">
        <v>1</v>
      </c>
      <c r="H13" s="68" t="n">
        <v>95</v>
      </c>
      <c r="I13" s="66" t="n">
        <v>2</v>
      </c>
      <c r="J13" s="69" t="n">
        <v>576.505952380952</v>
      </c>
      <c r="K13" s="31" t="n">
        <v>534.62294244509</v>
      </c>
      <c r="L13" s="31" t="n">
        <v>940.396856339768</v>
      </c>
      <c r="M13" s="31" t="n">
        <v>162.863824793449</v>
      </c>
      <c r="N13" s="31" t="n">
        <v>345.255958088341</v>
      </c>
      <c r="O13" s="32"/>
      <c r="P13" s="33" t="n">
        <v>69.2463863197116</v>
      </c>
      <c r="Q13" s="33" t="n">
        <v>10.3795787484632</v>
      </c>
      <c r="R13" s="31" t="n">
        <v>139.38337646961</v>
      </c>
      <c r="S13" s="34" t="s">
        <v>76</v>
      </c>
      <c r="T13" s="35" t="n">
        <v>20.7076527985714</v>
      </c>
      <c r="U13" s="35" t="n">
        <v>5.35128857142857</v>
      </c>
      <c r="V13" s="70" t="n">
        <v>26.05894137</v>
      </c>
      <c r="W13" s="35" t="n">
        <v>24.4914189402139</v>
      </c>
      <c r="X13" s="35" t="n">
        <v>4.3800562577463</v>
      </c>
      <c r="Y13" s="35" t="n">
        <v>8.24972489577912</v>
      </c>
      <c r="Z13" s="35"/>
      <c r="AA13" s="35" t="n">
        <v>1.6129455928691</v>
      </c>
      <c r="AB13" s="35" t="n">
        <v>0.252765707817831</v>
      </c>
      <c r="AC13" s="71" t="n">
        <v>4.00724887463478</v>
      </c>
      <c r="AD13" s="38" t="n">
        <v>7.77191480594291</v>
      </c>
      <c r="AE13" s="38" t="n">
        <v>6.9045734581523</v>
      </c>
      <c r="AF13" s="38" t="n">
        <v>1.21509824356034</v>
      </c>
      <c r="AG13" s="72"/>
      <c r="AH13" s="72"/>
      <c r="AI13" s="73" t="n">
        <v>32.5229643053408</v>
      </c>
      <c r="AJ13" s="42" t="s">
        <v>16</v>
      </c>
      <c r="AK13" s="43" t="n">
        <v>701.756310987743</v>
      </c>
      <c r="AL13" s="43" t="n">
        <v>718.081934125291</v>
      </c>
      <c r="AM13" s="43" t="n">
        <v>722.583872887159</v>
      </c>
      <c r="AN13" s="74"/>
      <c r="AO13" s="75" t="n">
        <v>37.75</v>
      </c>
      <c r="AP13" s="76" t="n">
        <v>1.4944632231405</v>
      </c>
      <c r="AQ13" s="76" t="n">
        <v>1.22675020661157</v>
      </c>
      <c r="AR13" s="76" t="n">
        <v>1.80240650826446</v>
      </c>
      <c r="AS13" s="77" t="n">
        <v>37.5169483471074</v>
      </c>
      <c r="AT13" s="78" t="n">
        <v>37.4262818767437</v>
      </c>
      <c r="AU13" s="78" t="n">
        <v>39.5884297520661</v>
      </c>
      <c r="AV13" s="78" t="n">
        <v>32.496694214876</v>
      </c>
      <c r="AW13" s="78" t="n">
        <v>47.745867768595</v>
      </c>
      <c r="AX13" s="78" t="n">
        <v>29.2</v>
      </c>
      <c r="AY13" s="48" t="n">
        <v>1.43621651184304</v>
      </c>
      <c r="AZ13" s="48" t="n">
        <v>24.4199323781161</v>
      </c>
      <c r="BA13" s="48" t="n">
        <v>1.63900899188391</v>
      </c>
      <c r="BB13" s="49" t="n">
        <f aca="false">AT13/V13</f>
        <v>1.43621651184304</v>
      </c>
      <c r="BC13" s="49" t="n">
        <f aca="false">AS13/V13</f>
        <v>1.43969579632649</v>
      </c>
      <c r="BD13" s="49" t="n">
        <f aca="false">SUM(AP13:AR13)/V13</f>
        <v>0.173591853705319</v>
      </c>
      <c r="BE13" s="50" t="n">
        <v>6.28</v>
      </c>
      <c r="BF13" s="51" t="n">
        <v>193.979341945452</v>
      </c>
      <c r="BG13" s="51" t="n">
        <v>542.243534551009</v>
      </c>
      <c r="BH13" s="51" t="n">
        <v>275.081641086371</v>
      </c>
      <c r="BI13" s="51" t="n">
        <v>142.956003923866</v>
      </c>
      <c r="BJ13" s="51" t="n">
        <v>9.17625426805067</v>
      </c>
      <c r="BK13" s="51" t="n">
        <v>15.355811354607</v>
      </c>
      <c r="BL13" s="51" t="n">
        <v>10.2116304379874</v>
      </c>
      <c r="BM13" s="51"/>
      <c r="BN13" s="52" t="n">
        <f aca="false">(BG13*0.5-BH13*0.25+BI13*0.5)/SUM(BG13:BI13)*1000</f>
        <v>285.155394892731</v>
      </c>
      <c r="BO13" s="53" t="n">
        <v>5.3939213</v>
      </c>
      <c r="BP13" s="54" t="s">
        <v>77</v>
      </c>
      <c r="BQ13" s="55" t="n">
        <v>473.969054049992</v>
      </c>
      <c r="BR13" s="56" t="n">
        <v>18.1883464612128</v>
      </c>
      <c r="BS13" s="56" t="n">
        <v>26.9502028964453</v>
      </c>
      <c r="BT13" s="56" t="n">
        <v>12.6640700139789</v>
      </c>
      <c r="BU13" s="55"/>
      <c r="BV13" s="55"/>
      <c r="BW13" s="55"/>
      <c r="BX13" s="55"/>
      <c r="BY13" s="79" t="n">
        <v>0.11</v>
      </c>
      <c r="BZ13" s="80" t="n">
        <v>0.4848155</v>
      </c>
      <c r="CA13" s="81" t="n">
        <v>3.79</v>
      </c>
      <c r="CB13" s="81" t="n">
        <v>0.113</v>
      </c>
      <c r="CC13" s="82" t="n">
        <v>5.499917</v>
      </c>
      <c r="CD13" s="82" t="n">
        <v>8.008157</v>
      </c>
      <c r="CE13" s="83" t="n">
        <v>85.32216</v>
      </c>
      <c r="CF13" s="84" t="n">
        <v>37.206538</v>
      </c>
      <c r="CG13" s="80" t="n">
        <v>0.098</v>
      </c>
      <c r="CH13" s="63" t="n">
        <v>23656.7233609402</v>
      </c>
      <c r="CI13" s="63" t="n">
        <v>6222.54870078423</v>
      </c>
      <c r="CJ13" s="64" t="n">
        <v>382022.400725837</v>
      </c>
      <c r="CK13" s="65" t="n">
        <v>1.62884393401054</v>
      </c>
    </row>
    <row r="14" customFormat="false" ht="15" hidden="false" customHeight="false" outlineLevel="0" collapsed="false">
      <c r="A14" s="7" t="s">
        <v>73</v>
      </c>
      <c r="B14" s="66" t="n">
        <v>12</v>
      </c>
      <c r="C14" s="8" t="s">
        <v>88</v>
      </c>
      <c r="D14" s="67" t="n">
        <v>41596</v>
      </c>
      <c r="E14" s="4" t="s">
        <v>75</v>
      </c>
      <c r="F14" s="7" t="n">
        <v>149</v>
      </c>
      <c r="G14" s="68" t="n">
        <v>1</v>
      </c>
      <c r="H14" s="68" t="n">
        <v>183</v>
      </c>
      <c r="I14" s="66" t="n">
        <v>2</v>
      </c>
      <c r="J14" s="69" t="n">
        <v>674.285714285714</v>
      </c>
      <c r="K14" s="31" t="n">
        <v>534.62294244509</v>
      </c>
      <c r="L14" s="31" t="n">
        <v>940.396856339768</v>
      </c>
      <c r="M14" s="31" t="n">
        <v>162.863824793449</v>
      </c>
      <c r="N14" s="31" t="n">
        <v>345.255958088341</v>
      </c>
      <c r="O14" s="32"/>
      <c r="P14" s="33" t="n">
        <v>69.2463863197116</v>
      </c>
      <c r="Q14" s="33" t="n">
        <v>10.3795787484632</v>
      </c>
      <c r="R14" s="31" t="n">
        <v>139.38337646961</v>
      </c>
      <c r="S14" s="34" t="s">
        <v>76</v>
      </c>
      <c r="T14" s="35" t="n">
        <v>15.8850987942857</v>
      </c>
      <c r="U14" s="35" t="n">
        <v>1.70427428571429</v>
      </c>
      <c r="V14" s="70" t="n">
        <v>17.58937308</v>
      </c>
      <c r="W14" s="35" t="n">
        <v>16.5364281051739</v>
      </c>
      <c r="X14" s="35" t="n">
        <v>2.90798492209727</v>
      </c>
      <c r="Y14" s="35" t="n">
        <v>5.83484273307288</v>
      </c>
      <c r="Z14" s="35"/>
      <c r="AA14" s="35" t="n">
        <v>1.15699839678827</v>
      </c>
      <c r="AB14" s="35" t="n">
        <v>0.17692838318495</v>
      </c>
      <c r="AC14" s="71" t="n">
        <v>2.57111682740564</v>
      </c>
      <c r="AD14" s="38" t="n">
        <v>4.79291052428068</v>
      </c>
      <c r="AE14" s="38" t="n">
        <v>4.19777531318939</v>
      </c>
      <c r="AF14" s="38" t="n">
        <v>0.952441576199974</v>
      </c>
      <c r="AG14" s="72"/>
      <c r="AH14" s="72"/>
      <c r="AI14" s="73" t="n">
        <v>36.9146017411839</v>
      </c>
      <c r="AJ14" s="42" t="s">
        <v>16</v>
      </c>
      <c r="AK14" s="43" t="n">
        <v>727.511008921036</v>
      </c>
      <c r="AL14" s="43" t="n">
        <v>746.149816242602</v>
      </c>
      <c r="AM14" s="43" t="n">
        <v>672.473688235954</v>
      </c>
      <c r="AN14" s="74"/>
      <c r="AO14" s="75" t="n">
        <v>22.0857142857143</v>
      </c>
      <c r="AP14" s="76" t="n">
        <v>1.14096984301413</v>
      </c>
      <c r="AQ14" s="76" t="n">
        <v>0.803531679748823</v>
      </c>
      <c r="AR14" s="76" t="n">
        <v>0.97037590266876</v>
      </c>
      <c r="AS14" s="77" t="n">
        <v>25.9488333594976</v>
      </c>
      <c r="AT14" s="78" t="n">
        <v>25.3668163545281</v>
      </c>
      <c r="AU14" s="78" t="n">
        <v>51.660989010989</v>
      </c>
      <c r="AV14" s="78" t="n">
        <v>36.3824175824176</v>
      </c>
      <c r="AW14" s="78" t="n">
        <v>43.9368131868132</v>
      </c>
      <c r="AX14" s="78" t="n">
        <v>26.3247252747253</v>
      </c>
      <c r="AY14" s="48" t="n">
        <v>1.44216716759345</v>
      </c>
      <c r="AZ14" s="48" t="n">
        <v>22.3883935499301</v>
      </c>
      <c r="BA14" s="48" t="n">
        <v>-4.79902046993011</v>
      </c>
      <c r="BB14" s="49" t="n">
        <f aca="false">AT14/V14</f>
        <v>1.44216716759345</v>
      </c>
      <c r="BC14" s="49" t="n">
        <f aca="false">AS14/V14</f>
        <v>1.47525629489335</v>
      </c>
      <c r="BD14" s="49" t="n">
        <f aca="false">SUM(AP14:AR14)/V14</f>
        <v>0.165718096499191</v>
      </c>
      <c r="BE14" s="50" t="n">
        <v>6.71</v>
      </c>
      <c r="BF14" s="51" t="n">
        <v>190.664040605002</v>
      </c>
      <c r="BG14" s="51" t="n">
        <v>580.23051859697</v>
      </c>
      <c r="BH14" s="51" t="n">
        <v>218.43968626591</v>
      </c>
      <c r="BI14" s="51" t="n">
        <v>165.765506204713</v>
      </c>
      <c r="BJ14" s="51" t="n">
        <v>7.89902582953899</v>
      </c>
      <c r="BK14" s="51" t="n">
        <v>12.691377735078</v>
      </c>
      <c r="BL14" s="51" t="n">
        <v>9.99876098968105</v>
      </c>
      <c r="BM14" s="51"/>
      <c r="BN14" s="52" t="n">
        <f aca="false">(BG14*0.5-BH14*0.25+BI14*0.5)/SUM(BG14:BI14)*1000</f>
        <v>330.128890065591</v>
      </c>
      <c r="BO14" s="53" t="n">
        <v>3.11836704</v>
      </c>
      <c r="BP14" s="54" t="s">
        <v>77</v>
      </c>
      <c r="BQ14" s="55" t="n">
        <v>409.189437299931</v>
      </c>
      <c r="BR14" s="56" t="n">
        <v>23.2634463683757</v>
      </c>
      <c r="BS14" s="56" t="n">
        <v>33.1632183998039</v>
      </c>
      <c r="BT14" s="56" t="n">
        <v>16.130894456012</v>
      </c>
      <c r="BU14" s="55"/>
      <c r="BV14" s="55"/>
      <c r="BW14" s="55"/>
      <c r="BX14" s="55"/>
      <c r="BY14" s="79" t="n">
        <v>0.12</v>
      </c>
      <c r="BZ14" s="80" t="n">
        <v>0.4886575</v>
      </c>
      <c r="CA14" s="81" t="n">
        <v>4.04</v>
      </c>
      <c r="CB14" s="81" t="n">
        <v>1.168</v>
      </c>
      <c r="CC14" s="82" t="n">
        <v>4.46012</v>
      </c>
      <c r="CD14" s="82" t="n">
        <v>6.041578</v>
      </c>
      <c r="CE14" s="83" t="n">
        <v>86.965356</v>
      </c>
      <c r="CF14" s="84" t="n">
        <v>35.163976</v>
      </c>
      <c r="CG14" s="80" t="n">
        <v>0.146</v>
      </c>
      <c r="CH14" s="63" t="n">
        <v>58424.6802323195</v>
      </c>
      <c r="CI14" s="63" t="n">
        <v>2965.55643423792</v>
      </c>
      <c r="CJ14" s="64" t="n">
        <v>214132.586986576</v>
      </c>
      <c r="CK14" s="65" t="n">
        <v>1.3849159887205</v>
      </c>
    </row>
    <row r="15" customFormat="false" ht="15" hidden="false" customHeight="false" outlineLevel="0" collapsed="false">
      <c r="A15" s="7" t="s">
        <v>73</v>
      </c>
      <c r="B15" s="66" t="n">
        <v>13</v>
      </c>
      <c r="C15" s="8" t="s">
        <v>89</v>
      </c>
      <c r="D15" s="67" t="n">
        <v>41596</v>
      </c>
      <c r="E15" s="4" t="s">
        <v>75</v>
      </c>
      <c r="F15" s="86" t="s">
        <v>90</v>
      </c>
      <c r="G15" s="68" t="n">
        <v>1</v>
      </c>
      <c r="H15" s="68" t="n">
        <v>155</v>
      </c>
      <c r="I15" s="66" t="n">
        <v>2</v>
      </c>
      <c r="J15" s="69" t="n">
        <v>607.404761904762</v>
      </c>
      <c r="K15" s="31" t="n">
        <v>534.62294244509</v>
      </c>
      <c r="L15" s="31" t="n">
        <v>940.396856339768</v>
      </c>
      <c r="M15" s="31" t="n">
        <v>162.863824793449</v>
      </c>
      <c r="N15" s="31" t="n">
        <v>345.255958088341</v>
      </c>
      <c r="O15" s="32"/>
      <c r="P15" s="33" t="n">
        <v>69.2463863197116</v>
      </c>
      <c r="Q15" s="33" t="n">
        <v>10.3795787484632</v>
      </c>
      <c r="R15" s="31" t="n">
        <v>139.38337646961</v>
      </c>
      <c r="S15" s="34" t="s">
        <v>76</v>
      </c>
      <c r="T15" s="35" t="n">
        <v>19.4991331285714</v>
      </c>
      <c r="U15" s="35" t="n">
        <v>5.70990857142857</v>
      </c>
      <c r="V15" s="70" t="n">
        <v>25.2090417</v>
      </c>
      <c r="W15" s="35" t="n">
        <v>23.6912157888878</v>
      </c>
      <c r="X15" s="35" t="n">
        <v>4.25075229861865</v>
      </c>
      <c r="Y15" s="35" t="n">
        <v>7.90621253591134</v>
      </c>
      <c r="Z15" s="35"/>
      <c r="AA15" s="35" t="n">
        <v>1.54125680809197</v>
      </c>
      <c r="AB15" s="35" t="n">
        <v>0.242756916836688</v>
      </c>
      <c r="AC15" s="71" t="n">
        <v>3.91392225083358</v>
      </c>
      <c r="AD15" s="38" t="n">
        <v>7.48394592120045</v>
      </c>
      <c r="AE15" s="38" t="n">
        <v>6.66515086343146</v>
      </c>
      <c r="AF15" s="38" t="n">
        <v>1.63888984293051</v>
      </c>
      <c r="AG15" s="72"/>
      <c r="AH15" s="72"/>
      <c r="AI15" s="73" t="n">
        <v>32.4370217787129</v>
      </c>
      <c r="AJ15" s="42" t="s">
        <v>16</v>
      </c>
      <c r="AK15" s="43" t="n">
        <v>703.124537209185</v>
      </c>
      <c r="AL15" s="43" t="n">
        <v>718.665731517345</v>
      </c>
      <c r="AM15" s="43" t="n">
        <v>614.447107759467</v>
      </c>
      <c r="AN15" s="74"/>
      <c r="AO15" s="75" t="n">
        <v>48.4928571428571</v>
      </c>
      <c r="AP15" s="76" t="n">
        <v>1.79328001564129</v>
      </c>
      <c r="AQ15" s="76" t="n">
        <v>1.55601897810219</v>
      </c>
      <c r="AR15" s="76" t="n">
        <v>2.26475801355579</v>
      </c>
      <c r="AS15" s="77" t="n">
        <v>46.2963430917623</v>
      </c>
      <c r="AT15" s="78" t="n">
        <v>46.1150266102562</v>
      </c>
      <c r="AU15" s="78" t="n">
        <v>36.9802919708029</v>
      </c>
      <c r="AV15" s="78" t="n">
        <v>32.0875912408759</v>
      </c>
      <c r="AW15" s="78" t="n">
        <v>46.7029197080292</v>
      </c>
      <c r="AX15" s="78" t="n">
        <v>32.1992700729927</v>
      </c>
      <c r="AY15" s="48" t="n">
        <v>1.82930502313605</v>
      </c>
      <c r="AZ15" s="48" t="n">
        <v>28.8612073663425</v>
      </c>
      <c r="BA15" s="48" t="n">
        <v>-3.65216566634254</v>
      </c>
      <c r="BB15" s="49" t="n">
        <f aca="false">AT15/V15</f>
        <v>1.82930502313605</v>
      </c>
      <c r="BC15" s="49" t="n">
        <f aca="false">AS15/V15</f>
        <v>1.83649754095025</v>
      </c>
      <c r="BD15" s="49" t="n">
        <f aca="false">SUM(AP15:AR15)/V15</f>
        <v>0.222700135693745</v>
      </c>
      <c r="BE15" s="50" t="n">
        <v>6.25</v>
      </c>
      <c r="BF15" s="51" t="n">
        <v>156.039154169394</v>
      </c>
      <c r="BG15" s="51" t="n">
        <v>544.097429773812</v>
      </c>
      <c r="BH15" s="51" t="n">
        <v>243.715081426272</v>
      </c>
      <c r="BI15" s="51" t="n">
        <v>165.40162855376</v>
      </c>
      <c r="BJ15" s="51" t="n">
        <v>9.39902141853412</v>
      </c>
      <c r="BK15" s="51" t="n">
        <v>17.9041932781955</v>
      </c>
      <c r="BL15" s="51" t="n">
        <v>14.5075211713167</v>
      </c>
      <c r="BM15" s="51"/>
      <c r="BN15" s="52" t="n">
        <f aca="false">(BG15*0.5-BH15*0.25+BI15*0.5)/SUM(BG15:BI15)*1000</f>
        <v>308.242132122687</v>
      </c>
      <c r="BO15" s="53" t="n">
        <v>11.133357</v>
      </c>
      <c r="BP15" s="54" t="s">
        <v>77</v>
      </c>
      <c r="BQ15" s="55" t="n">
        <v>701.477748596256</v>
      </c>
      <c r="BR15" s="56" t="n">
        <v>27.8264345366312</v>
      </c>
      <c r="BS15" s="56" t="n">
        <v>41.2002275139601</v>
      </c>
      <c r="BT15" s="56" t="n">
        <v>15.2114787772939</v>
      </c>
      <c r="BU15" s="55"/>
      <c r="BV15" s="55"/>
      <c r="BW15" s="55"/>
      <c r="BX15" s="55"/>
      <c r="BY15" s="79" t="n">
        <v>0.06</v>
      </c>
      <c r="BZ15" s="80" t="n">
        <v>0.5059465</v>
      </c>
      <c r="CA15" s="81" t="n">
        <v>3.76</v>
      </c>
      <c r="CB15" s="81" t="n">
        <v>0.326</v>
      </c>
      <c r="CC15" s="82" t="n">
        <v>5.815007</v>
      </c>
      <c r="CD15" s="82" t="n">
        <v>6.701293</v>
      </c>
      <c r="CE15" s="83" t="n">
        <v>74.43959</v>
      </c>
      <c r="CF15" s="84" t="n">
        <v>36.596818</v>
      </c>
      <c r="CG15" s="80" t="n">
        <v>0.0884</v>
      </c>
      <c r="CH15" s="63" t="n">
        <v>39283.9004340845</v>
      </c>
      <c r="CI15" s="63" t="n">
        <v>10128.6638623871</v>
      </c>
      <c r="CJ15" s="64" t="n">
        <v>448543.866903132</v>
      </c>
      <c r="CK15" s="65" t="n">
        <v>2.25812113591433</v>
      </c>
    </row>
    <row r="16" customFormat="false" ht="15" hidden="false" customHeight="false" outlineLevel="0" collapsed="false">
      <c r="A16" s="7" t="s">
        <v>73</v>
      </c>
      <c r="B16" s="66" t="n">
        <v>14</v>
      </c>
      <c r="C16" s="8" t="s">
        <v>91</v>
      </c>
      <c r="D16" s="67" t="n">
        <v>41596</v>
      </c>
      <c r="E16" s="4" t="s">
        <v>75</v>
      </c>
      <c r="F16" s="7" t="n">
        <v>130</v>
      </c>
      <c r="G16" s="68" t="n">
        <v>1</v>
      </c>
      <c r="H16" s="68" t="n">
        <v>182</v>
      </c>
      <c r="I16" s="66" t="n">
        <v>2</v>
      </c>
      <c r="J16" s="69" t="n">
        <v>660.886904761905</v>
      </c>
      <c r="K16" s="31" t="n">
        <v>534.62294244509</v>
      </c>
      <c r="L16" s="31" t="n">
        <v>940.396856339768</v>
      </c>
      <c r="M16" s="31" t="n">
        <v>162.863824793449</v>
      </c>
      <c r="N16" s="31" t="n">
        <v>345.255958088341</v>
      </c>
      <c r="O16" s="32"/>
      <c r="P16" s="33" t="n">
        <v>69.2463863197116</v>
      </c>
      <c r="Q16" s="33" t="n">
        <v>10.3795787484632</v>
      </c>
      <c r="R16" s="31" t="n">
        <v>139.38337646961</v>
      </c>
      <c r="S16" s="34" t="s">
        <v>76</v>
      </c>
      <c r="T16" s="35" t="n">
        <v>18.7360299514286</v>
      </c>
      <c r="U16" s="35" t="n">
        <v>3.90833142857143</v>
      </c>
      <c r="V16" s="70" t="n">
        <v>22.64436138</v>
      </c>
      <c r="W16" s="35" t="n">
        <v>21.2842220425159</v>
      </c>
      <c r="X16" s="35" t="n">
        <v>3.78727345552475</v>
      </c>
      <c r="Y16" s="35" t="n">
        <v>7.27232233927138</v>
      </c>
      <c r="Z16" s="35"/>
      <c r="AA16" s="35" t="n">
        <v>1.42814691087621</v>
      </c>
      <c r="AB16" s="35" t="n">
        <v>0.222100630714127</v>
      </c>
      <c r="AC16" s="71" t="n">
        <v>3.43017798578967</v>
      </c>
      <c r="AD16" s="38" t="n">
        <v>6.62197145845401</v>
      </c>
      <c r="AE16" s="38" t="n">
        <v>5.91900226240118</v>
      </c>
      <c r="AF16" s="38" t="n">
        <v>1.07165821504907</v>
      </c>
      <c r="AG16" s="72"/>
      <c r="AH16" s="72"/>
      <c r="AI16" s="73" t="n">
        <v>33.539955904005</v>
      </c>
      <c r="AJ16" s="42" t="s">
        <v>16</v>
      </c>
      <c r="AK16" s="43" t="n">
        <v>707.56642912868</v>
      </c>
      <c r="AL16" s="43" t="n">
        <v>721.906572362486</v>
      </c>
      <c r="AM16" s="43" t="n">
        <v>717.037011550944</v>
      </c>
      <c r="AN16" s="74"/>
      <c r="AO16" s="75" t="n">
        <v>41.6928571428571</v>
      </c>
      <c r="AP16" s="76" t="n">
        <v>1.50083277699198</v>
      </c>
      <c r="AQ16" s="76" t="n">
        <v>1.24232330268741</v>
      </c>
      <c r="AR16" s="76" t="n">
        <v>2.00117458274399</v>
      </c>
      <c r="AS16" s="77" t="n">
        <v>39.1896345120226</v>
      </c>
      <c r="AT16" s="78" t="n">
        <v>38.6970028742902</v>
      </c>
      <c r="AU16" s="78" t="n">
        <v>35.9973597359736</v>
      </c>
      <c r="AV16" s="78" t="n">
        <v>29.7970297029703</v>
      </c>
      <c r="AW16" s="78" t="n">
        <v>47.9980198019802</v>
      </c>
      <c r="AX16" s="78" t="n">
        <v>32.3019801980198</v>
      </c>
      <c r="AY16" s="48" t="n">
        <v>1.70890237198158</v>
      </c>
      <c r="AZ16" s="48" t="n">
        <v>27.1046655774768</v>
      </c>
      <c r="BA16" s="48" t="n">
        <v>-4.46030419747684</v>
      </c>
      <c r="BB16" s="49" t="n">
        <f aca="false">AT16/V16</f>
        <v>1.70890237198158</v>
      </c>
      <c r="BC16" s="49" t="n">
        <f aca="false">AS16/V16</f>
        <v>1.73065752901452</v>
      </c>
      <c r="BD16" s="49" t="n">
        <f aca="false">SUM(AP16:AR16)/V16</f>
        <v>0.209514880230347</v>
      </c>
      <c r="BE16" s="50" t="n">
        <v>6.42</v>
      </c>
      <c r="BF16" s="51" t="n">
        <v>208.235932430715</v>
      </c>
      <c r="BG16" s="51" t="n">
        <v>563.30961131875</v>
      </c>
      <c r="BH16" s="51" t="n">
        <v>210.418733077447</v>
      </c>
      <c r="BI16" s="51" t="n">
        <v>182.244270633511</v>
      </c>
      <c r="BJ16" s="51" t="n">
        <v>9.44936666541535</v>
      </c>
      <c r="BK16" s="51" t="n">
        <v>16.0549184608521</v>
      </c>
      <c r="BL16" s="51" t="n">
        <v>13.5479754659159</v>
      </c>
      <c r="BM16" s="51"/>
      <c r="BN16" s="52" t="n">
        <f aca="false">(BG16*0.5-BH16*0.25+BI16*0.5)/SUM(BG16:BI16)*1000</f>
        <v>334.917813202023</v>
      </c>
      <c r="BO16" s="53" t="n">
        <v>9.8618322</v>
      </c>
      <c r="BP16" s="54" t="s">
        <v>77</v>
      </c>
      <c r="BQ16" s="55" t="n">
        <v>551.895630259107</v>
      </c>
      <c r="BR16" s="56" t="n">
        <v>24.3723203758156</v>
      </c>
      <c r="BS16" s="56" t="n">
        <v>35.9184989318119</v>
      </c>
      <c r="BT16" s="56" t="n">
        <v>14.261973519034</v>
      </c>
      <c r="BU16" s="55"/>
      <c r="BV16" s="55"/>
      <c r="BW16" s="55"/>
      <c r="BX16" s="55"/>
      <c r="BY16" s="79" t="n">
        <v>0.1</v>
      </c>
      <c r="BZ16" s="80" t="n">
        <v>0.902633</v>
      </c>
      <c r="CA16" s="81" t="n">
        <v>3.36</v>
      </c>
      <c r="CB16" s="81" t="n">
        <v>0.308</v>
      </c>
      <c r="CC16" s="82" t="n">
        <v>6.413678</v>
      </c>
      <c r="CD16" s="82" t="n">
        <v>6.682444</v>
      </c>
      <c r="CE16" s="83" t="n">
        <v>86.244656</v>
      </c>
      <c r="CF16" s="84" t="n">
        <v>38.18209</v>
      </c>
      <c r="CG16" s="80" t="n">
        <v>0.098</v>
      </c>
      <c r="CH16" s="63" t="n">
        <v>49498.394675597</v>
      </c>
      <c r="CI16" s="63" t="n">
        <v>1519.49527056598</v>
      </c>
      <c r="CJ16" s="64" t="n">
        <v>106287.11726334</v>
      </c>
      <c r="CK16" s="65" t="n">
        <v>1.42961377605269</v>
      </c>
    </row>
    <row r="17" customFormat="false" ht="15" hidden="false" customHeight="false" outlineLevel="0" collapsed="false">
      <c r="A17" s="7" t="s">
        <v>73</v>
      </c>
      <c r="B17" s="66" t="n">
        <v>15</v>
      </c>
      <c r="C17" s="8" t="s">
        <v>92</v>
      </c>
      <c r="D17" s="67" t="n">
        <v>41596</v>
      </c>
      <c r="E17" s="4" t="s">
        <v>75</v>
      </c>
      <c r="F17" s="7" t="n">
        <v>614</v>
      </c>
      <c r="G17" s="68" t="n">
        <v>1</v>
      </c>
      <c r="H17" s="68" t="n">
        <v>184</v>
      </c>
      <c r="I17" s="66" t="n">
        <v>3</v>
      </c>
      <c r="J17" s="69" t="n">
        <v>610.654761904762</v>
      </c>
      <c r="K17" s="31" t="n">
        <v>534.62294244509</v>
      </c>
      <c r="L17" s="31" t="n">
        <v>940.396856339768</v>
      </c>
      <c r="M17" s="31" t="n">
        <v>162.863824793449</v>
      </c>
      <c r="N17" s="31" t="n">
        <v>345.255958088341</v>
      </c>
      <c r="O17" s="32"/>
      <c r="P17" s="33" t="n">
        <v>69.2463863197116</v>
      </c>
      <c r="Q17" s="33" t="n">
        <v>10.3795787484632</v>
      </c>
      <c r="R17" s="31" t="n">
        <v>139.38337646961</v>
      </c>
      <c r="S17" s="34" t="s">
        <v>76</v>
      </c>
      <c r="T17" s="35" t="n">
        <v>18.1599293628571</v>
      </c>
      <c r="U17" s="35" t="n">
        <v>4.79290285714286</v>
      </c>
      <c r="V17" s="70" t="n">
        <v>22.95283222</v>
      </c>
      <c r="W17" s="35" t="n">
        <v>21.5719386886593</v>
      </c>
      <c r="X17" s="35" t="n">
        <v>3.85999265306139</v>
      </c>
      <c r="Y17" s="35" t="n">
        <v>7.25529789289461</v>
      </c>
      <c r="Z17" s="35"/>
      <c r="AA17" s="35" t="n">
        <v>1.41784539838956</v>
      </c>
      <c r="AB17" s="35" t="n">
        <v>0.222374106375839</v>
      </c>
      <c r="AC17" s="71" t="n">
        <v>3.5351722834256</v>
      </c>
      <c r="AD17" s="38" t="n">
        <v>5.61688331893833</v>
      </c>
      <c r="AE17" s="38" t="n">
        <v>4.88211401995476</v>
      </c>
      <c r="AF17" s="38" t="n">
        <v>0.999080799416391</v>
      </c>
      <c r="AG17" s="72"/>
      <c r="AH17" s="72"/>
      <c r="AI17" s="73" t="n">
        <v>39.5903019074769</v>
      </c>
      <c r="AJ17" s="42" t="s">
        <v>16</v>
      </c>
      <c r="AK17" s="43" t="n">
        <v>755.285828559142</v>
      </c>
      <c r="AL17" s="43" t="n">
        <v>773.682185434665</v>
      </c>
      <c r="AM17" s="43" t="n">
        <v>741.170284709218</v>
      </c>
      <c r="AN17" s="74"/>
      <c r="AO17" s="75" t="n">
        <v>37.2142857142857</v>
      </c>
      <c r="AP17" s="76" t="n">
        <v>1.32745764036958</v>
      </c>
      <c r="AQ17" s="76" t="n">
        <v>1.16810273631841</v>
      </c>
      <c r="AR17" s="76" t="n">
        <v>1.74709036958067</v>
      </c>
      <c r="AS17" s="77" t="n">
        <v>34.797578891258</v>
      </c>
      <c r="AT17" s="78" t="n">
        <v>34.6423325707676</v>
      </c>
      <c r="AU17" s="78" t="n">
        <v>35.6706467661691</v>
      </c>
      <c r="AV17" s="78" t="n">
        <v>31.3885572139303</v>
      </c>
      <c r="AW17" s="78" t="n">
        <v>46.9467661691542</v>
      </c>
      <c r="AX17" s="78" t="n">
        <v>28.4124378109453</v>
      </c>
      <c r="AY17" s="48" t="n">
        <v>1.50928357070384</v>
      </c>
      <c r="AZ17" s="48" t="n">
        <v>24.7568744370256</v>
      </c>
      <c r="BA17" s="48" t="n">
        <v>-1.80404221702559</v>
      </c>
      <c r="BB17" s="49" t="n">
        <f aca="false">AT17/V17</f>
        <v>1.50928357070384</v>
      </c>
      <c r="BC17" s="49" t="n">
        <f aca="false">AS17/V17</f>
        <v>1.51604728156106</v>
      </c>
      <c r="BD17" s="49" t="n">
        <f aca="false">SUM(AP17:AR17)/V17</f>
        <v>0.184842145213427</v>
      </c>
      <c r="BE17" s="50" t="n">
        <v>6.38</v>
      </c>
      <c r="BF17" s="51" t="n">
        <v>143.278189378823</v>
      </c>
      <c r="BG17" s="51" t="n">
        <v>556.377489332362</v>
      </c>
      <c r="BH17" s="51" t="n">
        <v>225.585541111448</v>
      </c>
      <c r="BI17" s="51" t="n">
        <v>180.857841594116</v>
      </c>
      <c r="BJ17" s="51" t="n">
        <v>8.59381676870028</v>
      </c>
      <c r="BK17" s="51" t="n">
        <v>14.5242721401361</v>
      </c>
      <c r="BL17" s="51" t="n">
        <v>9.08591467512845</v>
      </c>
      <c r="BM17" s="51"/>
      <c r="BN17" s="52" t="n">
        <f aca="false">(BG17*0.5-BH17*0.25+BI17*0.5)/SUM(BG17:BI17)*1000</f>
        <v>324.277640060423</v>
      </c>
      <c r="BO17" s="53" t="n">
        <v>4.96077586</v>
      </c>
      <c r="BP17" s="54" t="s">
        <v>77</v>
      </c>
      <c r="BQ17" s="55" t="n">
        <v>575.198884891582</v>
      </c>
      <c r="BR17" s="56" t="n">
        <v>25.0600396229264</v>
      </c>
      <c r="BS17" s="56" t="n">
        <v>34.4640459866634</v>
      </c>
      <c r="BT17" s="56" t="n">
        <v>16.6039305729936</v>
      </c>
      <c r="BU17" s="55"/>
      <c r="BV17" s="55"/>
      <c r="BW17" s="55"/>
      <c r="BX17" s="55"/>
      <c r="BY17" s="79" t="n">
        <v>0.1</v>
      </c>
      <c r="BZ17" s="80" t="n">
        <v>0.679797</v>
      </c>
      <c r="CA17" s="81" t="n">
        <v>3.7</v>
      </c>
      <c r="CB17" s="81" t="n">
        <v>0.138</v>
      </c>
      <c r="CC17" s="82" t="n">
        <v>6.602732</v>
      </c>
      <c r="CD17" s="82" t="n">
        <v>5.117977</v>
      </c>
      <c r="CE17" s="83" t="n">
        <v>92.716542</v>
      </c>
      <c r="CF17" s="84" t="n">
        <v>36.119204</v>
      </c>
      <c r="CG17" s="80" t="n">
        <v>0.1748</v>
      </c>
      <c r="CH17" s="63" t="n">
        <v>24463.6445038965</v>
      </c>
      <c r="CI17" s="63" t="n">
        <v>4923.42842132383</v>
      </c>
      <c r="CJ17" s="64" t="n">
        <v>343184.372959194</v>
      </c>
      <c r="CK17" s="65" t="n">
        <v>1.43463071435052</v>
      </c>
    </row>
    <row r="18" customFormat="false" ht="15" hidden="false" customHeight="false" outlineLevel="0" collapsed="false">
      <c r="A18" s="7" t="s">
        <v>73</v>
      </c>
      <c r="B18" s="66" t="n">
        <v>16</v>
      </c>
      <c r="C18" s="8" t="s">
        <v>93</v>
      </c>
      <c r="D18" s="67" t="n">
        <v>41596</v>
      </c>
      <c r="E18" s="4" t="s">
        <v>75</v>
      </c>
      <c r="F18" s="7" t="n">
        <v>145</v>
      </c>
      <c r="G18" s="68" t="n">
        <v>1</v>
      </c>
      <c r="H18" s="68" t="n">
        <v>188</v>
      </c>
      <c r="I18" s="66" t="n">
        <v>2</v>
      </c>
      <c r="J18" s="69" t="n">
        <v>564.85119047619</v>
      </c>
      <c r="K18" s="31" t="n">
        <v>534.62294244509</v>
      </c>
      <c r="L18" s="31" t="n">
        <v>940.396856339768</v>
      </c>
      <c r="M18" s="31" t="n">
        <v>162.863824793449</v>
      </c>
      <c r="N18" s="31" t="n">
        <v>345.255958088341</v>
      </c>
      <c r="O18" s="32"/>
      <c r="P18" s="33" t="n">
        <v>69.2463863197116</v>
      </c>
      <c r="Q18" s="33" t="n">
        <v>10.3795787484632</v>
      </c>
      <c r="R18" s="31" t="n">
        <v>139.38337646961</v>
      </c>
      <c r="S18" s="34" t="s">
        <v>76</v>
      </c>
      <c r="T18" s="35" t="n">
        <v>20.9957440528571</v>
      </c>
      <c r="U18" s="35" t="n">
        <v>5.16442285714286</v>
      </c>
      <c r="V18" s="70" t="n">
        <v>26.16016691</v>
      </c>
      <c r="W18" s="35" t="n">
        <v>24.5871114362974</v>
      </c>
      <c r="X18" s="35" t="n">
        <v>4.39179323988024</v>
      </c>
      <c r="Y18" s="35" t="n">
        <v>8.31076845065156</v>
      </c>
      <c r="Z18" s="35"/>
      <c r="AA18" s="35" t="n">
        <v>1.62664369394441</v>
      </c>
      <c r="AB18" s="35" t="n">
        <v>0.25443499424363</v>
      </c>
      <c r="AC18" s="71" t="n">
        <v>4.00826082995992</v>
      </c>
      <c r="AD18" s="38" t="n">
        <v>7.43738381303341</v>
      </c>
      <c r="AE18" s="38" t="n">
        <v>6.55190981892995</v>
      </c>
      <c r="AF18" s="38" t="n">
        <v>1.60103440305319</v>
      </c>
      <c r="AG18" s="72"/>
      <c r="AH18" s="72"/>
      <c r="AI18" s="73" t="n">
        <v>34.2102815505841</v>
      </c>
      <c r="AJ18" s="42" t="s">
        <v>16</v>
      </c>
      <c r="AK18" s="43" t="n">
        <v>715.698151368048</v>
      </c>
      <c r="AL18" s="43" t="n">
        <v>733.52258821028</v>
      </c>
      <c r="AM18" s="43" t="n">
        <v>635.448593409456</v>
      </c>
      <c r="AN18" s="74"/>
      <c r="AO18" s="75" t="n">
        <v>41.6571428571429</v>
      </c>
      <c r="AP18" s="76" t="n">
        <v>1.59291886699507</v>
      </c>
      <c r="AQ18" s="76" t="n">
        <v>1.37192054187192</v>
      </c>
      <c r="AR18" s="76" t="n">
        <v>1.99905206896552</v>
      </c>
      <c r="AS18" s="77" t="n">
        <v>40.5566401477832</v>
      </c>
      <c r="AT18" s="78" t="n">
        <v>40.8076094895046</v>
      </c>
      <c r="AU18" s="78" t="n">
        <v>38.2387931034483</v>
      </c>
      <c r="AV18" s="78" t="n">
        <v>32.9336206896552</v>
      </c>
      <c r="AW18" s="78" t="n">
        <v>47.9882183908046</v>
      </c>
      <c r="AX18" s="78" t="n">
        <v>30.7275862068966</v>
      </c>
      <c r="AY18" s="48" t="n">
        <v>1.55991395734962</v>
      </c>
      <c r="AZ18" s="48" t="n">
        <v>26.2278526919424</v>
      </c>
      <c r="BA18" s="48" t="n">
        <v>-0.067685781942366</v>
      </c>
      <c r="BB18" s="49" t="n">
        <f aca="false">AT18/V18</f>
        <v>1.55991395734962</v>
      </c>
      <c r="BC18" s="49" t="n">
        <f aca="false">AS18/V18</f>
        <v>1.55032038928926</v>
      </c>
      <c r="BD18" s="49" t="n">
        <f aca="false">SUM(AP18:AR18)/V18</f>
        <v>0.189749992609375</v>
      </c>
      <c r="BE18" s="50" t="n">
        <v>6.21</v>
      </c>
      <c r="BF18" s="51" t="n">
        <v>209.889890097886</v>
      </c>
      <c r="BG18" s="51" t="n">
        <v>552.399556100551</v>
      </c>
      <c r="BH18" s="51" t="n">
        <v>210.129268019306</v>
      </c>
      <c r="BI18" s="51" t="n">
        <v>195.364142714566</v>
      </c>
      <c r="BJ18" s="51" t="n">
        <v>8.86309123161825</v>
      </c>
      <c r="BK18" s="51" t="n">
        <v>17.0732773553386</v>
      </c>
      <c r="BL18" s="51" t="n">
        <v>11.1955402005113</v>
      </c>
      <c r="BM18" s="51"/>
      <c r="BN18" s="52" t="n">
        <f aca="false">(BG18*0.5-BH18*0.25+BI18*0.5)/SUM(BG18:BI18)*1000</f>
        <v>335.475406469165</v>
      </c>
      <c r="BO18" s="53" t="n">
        <v>4.59783664</v>
      </c>
      <c r="BP18" s="54" t="s">
        <v>77</v>
      </c>
      <c r="BQ18" s="55" t="n">
        <v>507.109878283801</v>
      </c>
      <c r="BR18" s="56" t="n">
        <v>19.3848105032523</v>
      </c>
      <c r="BS18" s="56" t="n">
        <v>28.1177826032988</v>
      </c>
      <c r="BT18" s="56" t="n">
        <v>12.4268459884725</v>
      </c>
      <c r="BU18" s="55"/>
      <c r="BV18" s="55"/>
      <c r="BW18" s="55"/>
      <c r="BX18" s="55"/>
      <c r="BY18" s="79" t="n">
        <v>0.14</v>
      </c>
      <c r="BZ18" s="80" t="n">
        <v>0.818109</v>
      </c>
      <c r="CA18" s="81" t="n">
        <v>3.54</v>
      </c>
      <c r="CB18" s="81" t="n">
        <v>0.76</v>
      </c>
      <c r="CC18" s="82" t="n">
        <v>6.319151</v>
      </c>
      <c r="CD18" s="82" t="n">
        <v>9.289889</v>
      </c>
      <c r="CE18" s="83" t="n">
        <v>92.918338</v>
      </c>
      <c r="CF18" s="84" t="n">
        <v>35.733048</v>
      </c>
      <c r="CG18" s="80" t="n">
        <v>0.0788</v>
      </c>
      <c r="CH18" s="63" t="n">
        <v>57566.0221133102</v>
      </c>
      <c r="CI18" s="63" t="n">
        <v>6037.32141445612</v>
      </c>
      <c r="CJ18" s="64" t="n">
        <v>393951.814888967</v>
      </c>
      <c r="CK18" s="65" t="n">
        <v>1.53250250063138</v>
      </c>
    </row>
    <row r="19" customFormat="false" ht="15" hidden="false" customHeight="false" outlineLevel="0" collapsed="false">
      <c r="A19" s="7" t="s">
        <v>73</v>
      </c>
      <c r="B19" s="66" t="n">
        <v>17</v>
      </c>
      <c r="C19" s="8" t="s">
        <v>94</v>
      </c>
      <c r="D19" s="67" t="n">
        <v>41603</v>
      </c>
      <c r="E19" s="4" t="s">
        <v>75</v>
      </c>
      <c r="F19" s="7" t="n">
        <v>292</v>
      </c>
      <c r="G19" s="68" t="n">
        <v>1</v>
      </c>
      <c r="H19" s="68" t="n">
        <v>172</v>
      </c>
      <c r="I19" s="66" t="n">
        <v>4</v>
      </c>
      <c r="J19" s="69" t="n">
        <v>608.130952380952</v>
      </c>
      <c r="K19" s="31" t="n">
        <v>567.33558375063</v>
      </c>
      <c r="L19" s="31" t="n">
        <v>943.345453867441</v>
      </c>
      <c r="M19" s="31" t="n">
        <v>164.240313431176</v>
      </c>
      <c r="N19" s="31" t="n">
        <v>312.183300229982</v>
      </c>
      <c r="O19" s="32"/>
      <c r="P19" s="33" t="n">
        <v>69.9457430311902</v>
      </c>
      <c r="Q19" s="33" t="n">
        <v>11.817759799204</v>
      </c>
      <c r="R19" s="31" t="n">
        <v>166.791119614514</v>
      </c>
      <c r="S19" s="34" t="s">
        <v>76</v>
      </c>
      <c r="T19" s="35" t="n">
        <v>16.6162780185714</v>
      </c>
      <c r="U19" s="35" t="n">
        <v>3.47097357142857</v>
      </c>
      <c r="V19" s="70" t="n">
        <v>20.08725159</v>
      </c>
      <c r="W19" s="35" t="n">
        <v>18.9296897380982</v>
      </c>
      <c r="X19" s="35" t="n">
        <v>3.3825699005837</v>
      </c>
      <c r="Y19" s="35" t="n">
        <v>5.90099524203527</v>
      </c>
      <c r="Z19" s="35"/>
      <c r="AA19" s="35" t="n">
        <v>1.27835161997935</v>
      </c>
      <c r="AB19" s="35" t="n">
        <v>0.220903971935962</v>
      </c>
      <c r="AC19" s="71" t="n">
        <v>3.49852016182531</v>
      </c>
      <c r="AD19" s="38" t="n">
        <v>5.84248283210669</v>
      </c>
      <c r="AE19" s="38" t="n">
        <v>5.1609960281998</v>
      </c>
      <c r="AF19" s="38" t="n">
        <v>1.29355442966073</v>
      </c>
      <c r="AG19" s="72"/>
      <c r="AH19" s="72"/>
      <c r="AI19" s="73" t="n">
        <v>37.8099479765707</v>
      </c>
      <c r="AJ19" s="42" t="s">
        <v>16</v>
      </c>
      <c r="AK19" s="43" t="n">
        <v>709.14473759988</v>
      </c>
      <c r="AL19" s="43" t="n">
        <v>727.359713782699</v>
      </c>
      <c r="AM19" s="43" t="n">
        <v>617.582350792658</v>
      </c>
      <c r="AN19" s="74"/>
      <c r="AO19" s="75" t="n">
        <v>31.0357142857143</v>
      </c>
      <c r="AP19" s="76" t="n">
        <v>1.42616640083218</v>
      </c>
      <c r="AQ19" s="76" t="n">
        <v>1.01194507628294</v>
      </c>
      <c r="AR19" s="76" t="n">
        <v>1.45973318307906</v>
      </c>
      <c r="AS19" s="77" t="n">
        <v>33.8067817267684</v>
      </c>
      <c r="AT19" s="78" t="n">
        <v>33.088429978268</v>
      </c>
      <c r="AU19" s="78" t="n">
        <v>45.952427184466</v>
      </c>
      <c r="AV19" s="78" t="n">
        <v>32.6058252427185</v>
      </c>
      <c r="AW19" s="78" t="n">
        <v>47.0339805825243</v>
      </c>
      <c r="AX19" s="78" t="n">
        <v>24.0291262135922</v>
      </c>
      <c r="AY19" s="48" t="n">
        <v>1.64723530394473</v>
      </c>
      <c r="AZ19" s="48" t="n">
        <v>24.3224460150247</v>
      </c>
      <c r="BA19" s="48" t="n">
        <v>-4.23519442502467</v>
      </c>
      <c r="BB19" s="49" t="n">
        <f aca="false">AT19/V19</f>
        <v>1.64723530394473</v>
      </c>
      <c r="BC19" s="49" t="n">
        <f aca="false">AS19/V19</f>
        <v>1.68299687865703</v>
      </c>
      <c r="BD19" s="49" t="n">
        <f aca="false">SUM(AP19:AR19)/V19</f>
        <v>0.194045693246289</v>
      </c>
      <c r="BE19" s="50" t="n">
        <v>7.1</v>
      </c>
      <c r="BF19" s="51" t="n">
        <v>96.1485178851156</v>
      </c>
      <c r="BG19" s="51" t="n">
        <v>646.296203074413</v>
      </c>
      <c r="BH19" s="51" t="n">
        <v>168.828182737652</v>
      </c>
      <c r="BI19" s="51" t="n">
        <v>141.372053877393</v>
      </c>
      <c r="BJ19" s="51" t="n">
        <v>13.8425931453104</v>
      </c>
      <c r="BK19" s="51" t="n">
        <v>8.94376544643379</v>
      </c>
      <c r="BL19" s="51" t="n">
        <v>15.7420773406894</v>
      </c>
      <c r="BM19" s="51"/>
      <c r="BN19" s="52" t="n">
        <f aca="false">(BG19*0.5-BH19*0.25+BI19*0.5)/SUM(BG19:BI19)*1000</f>
        <v>367.619855339609</v>
      </c>
      <c r="BO19" s="53" t="n">
        <v>3.10432182</v>
      </c>
      <c r="BP19" s="54" t="s">
        <v>77</v>
      </c>
      <c r="BQ19" s="55" t="n">
        <v>378.227090291964</v>
      </c>
      <c r="BR19" s="56" t="n">
        <v>18.8292105864924</v>
      </c>
      <c r="BS19" s="56" t="n">
        <v>27.4700780089293</v>
      </c>
      <c r="BT19" s="56" t="n">
        <v>11.4307959168923</v>
      </c>
      <c r="BU19" s="55"/>
      <c r="BV19" s="55"/>
      <c r="BW19" s="55"/>
      <c r="BX19" s="55"/>
      <c r="BY19" s="79" t="n">
        <v>0.33</v>
      </c>
      <c r="BZ19" s="80" t="n">
        <v>0.4636845</v>
      </c>
      <c r="CA19" s="81" t="n">
        <v>4.73</v>
      </c>
      <c r="CB19" s="81" t="n">
        <v>0.407</v>
      </c>
      <c r="CC19" s="82" t="n">
        <v>3.336299</v>
      </c>
      <c r="CD19" s="82" t="n">
        <v>5.256203</v>
      </c>
      <c r="CE19" s="83" t="n">
        <v>71.153198</v>
      </c>
      <c r="CF19" s="84" t="n">
        <v>37.77561</v>
      </c>
      <c r="CG19" s="80" t="n">
        <v>0.1076</v>
      </c>
      <c r="CH19" s="63" t="n">
        <v>98487.536713902</v>
      </c>
      <c r="CI19" s="63" t="n">
        <v>12660.4060684435</v>
      </c>
      <c r="CJ19" s="63" t="n">
        <v>396591.594901091</v>
      </c>
      <c r="CK19" s="85" t="n">
        <v>3.19230317314237</v>
      </c>
    </row>
    <row r="20" customFormat="false" ht="15" hidden="false" customHeight="false" outlineLevel="0" collapsed="false">
      <c r="A20" s="7" t="s">
        <v>73</v>
      </c>
      <c r="B20" s="66" t="n">
        <v>18</v>
      </c>
      <c r="C20" s="8" t="s">
        <v>95</v>
      </c>
      <c r="D20" s="67" t="n">
        <v>41603</v>
      </c>
      <c r="E20" s="4" t="s">
        <v>75</v>
      </c>
      <c r="F20" s="7" t="n">
        <v>278</v>
      </c>
      <c r="G20" s="68" t="n">
        <v>1</v>
      </c>
      <c r="H20" s="68" t="n">
        <v>168</v>
      </c>
      <c r="I20" s="66" t="n">
        <v>1</v>
      </c>
      <c r="J20" s="69" t="n">
        <v>661.52380952381</v>
      </c>
      <c r="K20" s="31" t="n">
        <v>567.33558375063</v>
      </c>
      <c r="L20" s="31" t="n">
        <v>943.345453867441</v>
      </c>
      <c r="M20" s="31" t="n">
        <v>164.240313431176</v>
      </c>
      <c r="N20" s="31" t="n">
        <v>312.183300229982</v>
      </c>
      <c r="O20" s="32"/>
      <c r="P20" s="33" t="n">
        <v>69.9457430311902</v>
      </c>
      <c r="Q20" s="33" t="n">
        <v>11.817759799204</v>
      </c>
      <c r="R20" s="31" t="n">
        <v>166.791119614514</v>
      </c>
      <c r="S20" s="34" t="s">
        <v>76</v>
      </c>
      <c r="T20" s="35" t="n">
        <v>23.7258376042857</v>
      </c>
      <c r="U20" s="35" t="n">
        <v>6.09791828571429</v>
      </c>
      <c r="V20" s="70" t="n">
        <v>29.82375589</v>
      </c>
      <c r="W20" s="35" t="n">
        <v>28.0997975903477</v>
      </c>
      <c r="X20" s="35" t="n">
        <v>5.04484150844983</v>
      </c>
      <c r="Y20" s="35" t="n">
        <v>8.66061003821701</v>
      </c>
      <c r="Z20" s="35"/>
      <c r="AA20" s="35" t="n">
        <v>1.86351364558816</v>
      </c>
      <c r="AB20" s="35" t="n">
        <v>0.323493272879365</v>
      </c>
      <c r="AC20" s="71" t="n">
        <v>5.23460351204904</v>
      </c>
      <c r="AD20" s="38" t="n">
        <v>9.60214395253397</v>
      </c>
      <c r="AE20" s="38" t="n">
        <v>8.4744770846527</v>
      </c>
      <c r="AF20" s="38" t="n">
        <v>1.9798474367098</v>
      </c>
      <c r="AG20" s="72"/>
      <c r="AH20" s="72"/>
      <c r="AI20" s="73" t="n">
        <v>33.6896920602816</v>
      </c>
      <c r="AJ20" s="42" t="s">
        <v>16</v>
      </c>
      <c r="AK20" s="43" t="n">
        <v>678.037065889692</v>
      </c>
      <c r="AL20" s="43" t="n">
        <v>698.415013225445</v>
      </c>
      <c r="AM20" s="43" t="n">
        <v>607.550121566027</v>
      </c>
      <c r="AN20" s="74"/>
      <c r="AO20" s="75" t="n">
        <v>38.3785714285714</v>
      </c>
      <c r="AP20" s="76" t="n">
        <v>1.5502450742115</v>
      </c>
      <c r="AQ20" s="76" t="n">
        <v>1.24997844155844</v>
      </c>
      <c r="AR20" s="76" t="n">
        <v>1.74600901669759</v>
      </c>
      <c r="AS20" s="77" t="n">
        <v>38.6051046846011</v>
      </c>
      <c r="AT20" s="78" t="n">
        <v>37.9927675773135</v>
      </c>
      <c r="AU20" s="78" t="n">
        <v>40.3935064935065</v>
      </c>
      <c r="AV20" s="78" t="n">
        <v>32.569696969697</v>
      </c>
      <c r="AW20" s="78" t="n">
        <v>45.4943722943723</v>
      </c>
      <c r="AX20" s="78" t="n">
        <v>26.1688311688312</v>
      </c>
      <c r="AY20" s="48" t="n">
        <v>1.27390955443183</v>
      </c>
      <c r="AZ20" s="48" t="n">
        <v>26.8546227782473</v>
      </c>
      <c r="BA20" s="48" t="n">
        <v>2.96913311175271</v>
      </c>
      <c r="BB20" s="49" t="n">
        <f aca="false">AT20/V20</f>
        <v>1.27390955443183</v>
      </c>
      <c r="BC20" s="49" t="n">
        <f aca="false">AS20/V20</f>
        <v>1.29444141197338</v>
      </c>
      <c r="BD20" s="49" t="n">
        <f aca="false">SUM(AP20:AR20)/V20</f>
        <v>0.152436619627506</v>
      </c>
      <c r="BE20" s="50" t="n">
        <v>7.07</v>
      </c>
      <c r="BF20" s="51" t="n">
        <v>99.6102215029979</v>
      </c>
      <c r="BG20" s="51" t="n">
        <v>636.079061780652</v>
      </c>
      <c r="BH20" s="51" t="n">
        <v>161.471597102105</v>
      </c>
      <c r="BI20" s="51" t="n">
        <v>159.376989249259</v>
      </c>
      <c r="BJ20" s="51" t="n">
        <v>14.2826113288937</v>
      </c>
      <c r="BK20" s="51" t="n">
        <v>10.1113796400513</v>
      </c>
      <c r="BL20" s="51" t="n">
        <v>13.7032365209296</v>
      </c>
      <c r="BM20" s="51"/>
      <c r="BN20" s="52" t="n">
        <f aca="false">(BG20*0.5-BH20*0.25+BI20*0.5)/SUM(BG20:BI20)*1000</f>
        <v>373.445293316605</v>
      </c>
      <c r="BO20" s="53" t="n">
        <v>3.23762716</v>
      </c>
      <c r="BP20" s="54" t="s">
        <v>77</v>
      </c>
      <c r="BQ20" s="55" t="n">
        <v>446.467652602501</v>
      </c>
      <c r="BR20" s="56" t="n">
        <v>14.9702020848488</v>
      </c>
      <c r="BS20" s="56" t="n">
        <v>22.7495725470033</v>
      </c>
      <c r="BT20" s="56" t="n">
        <v>11.7513853575937</v>
      </c>
      <c r="BU20" s="55"/>
      <c r="BV20" s="55"/>
      <c r="BW20" s="55"/>
      <c r="BX20" s="55"/>
      <c r="BY20" s="79" t="n">
        <v>0.15</v>
      </c>
      <c r="BZ20" s="80" t="n">
        <v>0.441593</v>
      </c>
      <c r="CA20" s="81" t="n">
        <v>3.73</v>
      </c>
      <c r="CB20" s="81" t="n">
        <v>0.318</v>
      </c>
      <c r="CC20" s="82" t="n">
        <v>5.258348</v>
      </c>
      <c r="CD20" s="82" t="n">
        <v>9.635454</v>
      </c>
      <c r="CE20" s="83" t="n">
        <v>82.035768</v>
      </c>
      <c r="CF20" s="84" t="n">
        <v>35.357054</v>
      </c>
      <c r="CG20" s="80" t="n">
        <v>0.098</v>
      </c>
      <c r="CH20" s="63" t="n">
        <v>120482.647620107</v>
      </c>
      <c r="CI20" s="63" t="n">
        <v>14863.4112950465</v>
      </c>
      <c r="CJ20" s="64" t="n">
        <v>629216.433539691</v>
      </c>
      <c r="CK20" s="65" t="n">
        <v>2.36220964723244</v>
      </c>
    </row>
    <row r="21" customFormat="false" ht="15" hidden="false" customHeight="false" outlineLevel="0" collapsed="false">
      <c r="A21" s="7" t="s">
        <v>73</v>
      </c>
      <c r="B21" s="66" t="n">
        <v>19</v>
      </c>
      <c r="C21" s="8" t="s">
        <v>96</v>
      </c>
      <c r="D21" s="67" t="n">
        <v>41603</v>
      </c>
      <c r="E21" s="4" t="s">
        <v>75</v>
      </c>
      <c r="F21" s="7" t="n">
        <v>3</v>
      </c>
      <c r="G21" s="68" t="n">
        <v>1</v>
      </c>
      <c r="H21" s="68" t="n">
        <v>169</v>
      </c>
      <c r="I21" s="66" t="n">
        <v>1</v>
      </c>
      <c r="J21" s="69" t="n">
        <v>534.910714285714</v>
      </c>
      <c r="K21" s="31" t="n">
        <v>567.33558375063</v>
      </c>
      <c r="L21" s="31" t="n">
        <v>943.345453867441</v>
      </c>
      <c r="M21" s="31" t="n">
        <v>164.240313431176</v>
      </c>
      <c r="N21" s="31" t="n">
        <v>312.183300229982</v>
      </c>
      <c r="O21" s="32"/>
      <c r="P21" s="33" t="n">
        <v>69.9457430311902</v>
      </c>
      <c r="Q21" s="33" t="n">
        <v>11.817759799204</v>
      </c>
      <c r="R21" s="31" t="n">
        <v>166.791119614514</v>
      </c>
      <c r="S21" s="34" t="s">
        <v>76</v>
      </c>
      <c r="T21" s="35" t="n">
        <v>24.4570100814286</v>
      </c>
      <c r="U21" s="35" t="n">
        <v>6.69486192857143</v>
      </c>
      <c r="V21" s="70" t="n">
        <v>31.15187201</v>
      </c>
      <c r="W21" s="35" t="n">
        <v>29.3493114837981</v>
      </c>
      <c r="X21" s="35" t="n">
        <v>5.27732072780374</v>
      </c>
      <c r="Y21" s="35" t="n">
        <v>9.01160812084737</v>
      </c>
      <c r="Z21" s="35"/>
      <c r="AA21" s="35" t="n">
        <v>1.93462547081624</v>
      </c>
      <c r="AB21" s="35" t="n">
        <v>0.336353970297842</v>
      </c>
      <c r="AC21" s="71" t="n">
        <v>5.48159969955373</v>
      </c>
      <c r="AD21" s="38" t="n">
        <v>9.3139224966045</v>
      </c>
      <c r="AE21" s="38" t="n">
        <v>8.23132188932071</v>
      </c>
      <c r="AF21" s="38" t="n">
        <v>2.03338402836476</v>
      </c>
      <c r="AG21" s="72"/>
      <c r="AH21" s="72"/>
      <c r="AI21" s="73" t="n">
        <v>36.1130308331923</v>
      </c>
      <c r="AJ21" s="42" t="s">
        <v>16</v>
      </c>
      <c r="AK21" s="43" t="n">
        <v>701.015640613359</v>
      </c>
      <c r="AL21" s="43" t="n">
        <v>719.539523308248</v>
      </c>
      <c r="AM21" s="43" t="n">
        <v>614.693869627479</v>
      </c>
      <c r="AN21" s="74"/>
      <c r="AO21" s="75" t="n">
        <v>41.0785714285714</v>
      </c>
      <c r="AP21" s="76" t="n">
        <v>1.46747853839802</v>
      </c>
      <c r="AQ21" s="76" t="n">
        <v>1.21407361684558</v>
      </c>
      <c r="AR21" s="76" t="n">
        <v>1.89747382741536</v>
      </c>
      <c r="AS21" s="77" t="n">
        <v>38.4436066473989</v>
      </c>
      <c r="AT21" s="78" t="n">
        <v>37.522150663162</v>
      </c>
      <c r="AU21" s="78" t="n">
        <v>35.7236994219653</v>
      </c>
      <c r="AV21" s="78" t="n">
        <v>29.5549132947977</v>
      </c>
      <c r="AW21" s="78" t="n">
        <v>46.1913294797688</v>
      </c>
      <c r="AX21" s="78" t="n">
        <v>34.5375722543353</v>
      </c>
      <c r="AY21" s="48" t="n">
        <v>1.20449103832723</v>
      </c>
      <c r="AZ21" s="48" t="n">
        <v>24.9476000920419</v>
      </c>
      <c r="BA21" s="48" t="n">
        <v>6.20427191795809</v>
      </c>
      <c r="BB21" s="49" t="n">
        <f aca="false">AT21/V21</f>
        <v>1.20449103832723</v>
      </c>
      <c r="BC21" s="49" t="n">
        <f aca="false">AS21/V21</f>
        <v>1.23407051220094</v>
      </c>
      <c r="BD21" s="49" t="n">
        <f aca="false">SUM(AP21:AR21)/V21</f>
        <v>0.146990395350528</v>
      </c>
      <c r="BE21" s="50" t="n">
        <v>7</v>
      </c>
      <c r="BF21" s="51" t="n">
        <v>118.939233492135</v>
      </c>
      <c r="BG21" s="51" t="n">
        <v>641.145899902393</v>
      </c>
      <c r="BH21" s="51" t="n">
        <v>171.30135606739</v>
      </c>
      <c r="BI21" s="51" t="n">
        <v>146.655672353833</v>
      </c>
      <c r="BJ21" s="51" t="n">
        <v>12.0772717357304</v>
      </c>
      <c r="BK21" s="51" t="n">
        <v>8.91646824679648</v>
      </c>
      <c r="BL21" s="51" t="n">
        <v>14.928207315748</v>
      </c>
      <c r="BM21" s="51"/>
      <c r="BN21" s="52" t="n">
        <f aca="false">(BG21*0.5-BH21*0.25+BI21*0.5)/SUM(BG21:BI21)*1000</f>
        <v>366.045641967644</v>
      </c>
      <c r="BO21" s="53" t="n">
        <v>3.9802048</v>
      </c>
      <c r="BP21" s="54" t="s">
        <v>77</v>
      </c>
      <c r="BQ21" s="55" t="n">
        <v>558.229672642448</v>
      </c>
      <c r="BR21" s="56" t="n">
        <v>17.9196188422722</v>
      </c>
      <c r="BS21" s="56" t="n">
        <v>26.4338454257233</v>
      </c>
      <c r="BT21" s="56" t="n">
        <v>14.8773367937702</v>
      </c>
      <c r="BU21" s="55"/>
      <c r="BV21" s="55"/>
      <c r="BW21" s="55"/>
      <c r="BX21" s="55"/>
      <c r="BY21" s="79" t="n">
        <v>0.38</v>
      </c>
      <c r="BZ21" s="80" t="n">
        <v>0.4483165</v>
      </c>
      <c r="CA21" s="81" t="n">
        <v>3.57</v>
      </c>
      <c r="CB21" s="81" t="n">
        <v>0.129</v>
      </c>
      <c r="CC21" s="82" t="n">
        <v>5.436899</v>
      </c>
      <c r="CD21" s="82" t="n">
        <v>6.060427</v>
      </c>
      <c r="CE21" s="83" t="n">
        <v>90.251748</v>
      </c>
      <c r="CF21" s="84" t="n">
        <v>37.186214</v>
      </c>
      <c r="CG21" s="80" t="n">
        <v>0.1364</v>
      </c>
      <c r="CH21" s="63" t="n">
        <v>81102.6628833503</v>
      </c>
      <c r="CI21" s="63" t="n">
        <v>15517.3451624806</v>
      </c>
      <c r="CJ21" s="63" t="n">
        <v>437949.045944507</v>
      </c>
      <c r="CK21" s="85" t="n">
        <v>3.5431850591237</v>
      </c>
    </row>
    <row r="22" customFormat="false" ht="15" hidden="false" customHeight="false" outlineLevel="0" collapsed="false">
      <c r="A22" s="7" t="s">
        <v>73</v>
      </c>
      <c r="B22" s="66" t="n">
        <v>20</v>
      </c>
      <c r="C22" s="8" t="s">
        <v>97</v>
      </c>
      <c r="D22" s="67" t="n">
        <v>41603</v>
      </c>
      <c r="E22" s="4" t="s">
        <v>75</v>
      </c>
      <c r="F22" s="7" t="n">
        <v>413</v>
      </c>
      <c r="G22" s="68" t="n">
        <v>1</v>
      </c>
      <c r="H22" s="68" t="n">
        <v>170</v>
      </c>
      <c r="I22" s="66" t="n">
        <v>3</v>
      </c>
      <c r="J22" s="69" t="n">
        <v>724.576190476191</v>
      </c>
      <c r="K22" s="31" t="n">
        <v>567.33558375063</v>
      </c>
      <c r="L22" s="31" t="n">
        <v>943.345453867441</v>
      </c>
      <c r="M22" s="31" t="n">
        <v>164.240313431176</v>
      </c>
      <c r="N22" s="31" t="n">
        <v>312.183300229982</v>
      </c>
      <c r="O22" s="32"/>
      <c r="P22" s="33" t="n">
        <v>69.9457430311902</v>
      </c>
      <c r="Q22" s="33" t="n">
        <v>11.817759799204</v>
      </c>
      <c r="R22" s="31" t="n">
        <v>166.791119614514</v>
      </c>
      <c r="S22" s="34" t="s">
        <v>76</v>
      </c>
      <c r="T22" s="35" t="n">
        <v>26.14340811</v>
      </c>
      <c r="U22" s="35" t="n">
        <v>8.634668</v>
      </c>
      <c r="V22" s="70" t="n">
        <v>34.77807611</v>
      </c>
      <c r="W22" s="35" t="n">
        <v>32.7591612690919</v>
      </c>
      <c r="X22" s="35" t="n">
        <v>5.91951764503444</v>
      </c>
      <c r="Y22" s="35" t="n">
        <v>9.93691910459464</v>
      </c>
      <c r="Z22" s="35"/>
      <c r="AA22" s="35" t="n">
        <v>2.11747373541048</v>
      </c>
      <c r="AB22" s="35" t="n">
        <v>0.369996173034899</v>
      </c>
      <c r="AC22" s="71" t="n">
        <v>6.16921140331717</v>
      </c>
      <c r="AD22" s="38" t="n">
        <v>9.96906125421338</v>
      </c>
      <c r="AE22" s="38" t="n">
        <v>8.6900488927103</v>
      </c>
      <c r="AF22" s="38" t="n">
        <v>2.06913708481215</v>
      </c>
      <c r="AG22" s="72"/>
      <c r="AH22" s="72"/>
      <c r="AI22" s="73" t="n">
        <v>37.1144447405739</v>
      </c>
      <c r="AJ22" s="42" t="s">
        <v>16</v>
      </c>
      <c r="AK22" s="43" t="n">
        <v>713.352135331405</v>
      </c>
      <c r="AL22" s="43" t="n">
        <v>734.729200746989</v>
      </c>
      <c r="AM22" s="43" t="n">
        <v>650.455120013396</v>
      </c>
      <c r="AN22" s="74"/>
      <c r="AO22" s="75" t="n">
        <v>46.1357142857143</v>
      </c>
      <c r="AP22" s="76" t="n">
        <v>1.63600692256342</v>
      </c>
      <c r="AQ22" s="76" t="n">
        <v>1.43736464619493</v>
      </c>
      <c r="AR22" s="76" t="n">
        <v>2.11094607476635</v>
      </c>
      <c r="AS22" s="77" t="n">
        <v>42.994389552737</v>
      </c>
      <c r="AT22" s="78" t="n">
        <v>42.4564799154286</v>
      </c>
      <c r="AU22" s="78" t="n">
        <v>35.4607476635514</v>
      </c>
      <c r="AV22" s="78" t="n">
        <v>31.1551401869159</v>
      </c>
      <c r="AW22" s="78" t="n">
        <v>45.7551401869159</v>
      </c>
      <c r="AX22" s="78" t="n">
        <v>34.2990654205607</v>
      </c>
      <c r="AY22" s="48" t="n">
        <v>1.22078288002886</v>
      </c>
      <c r="AZ22" s="48" t="n">
        <v>29.3750206697778</v>
      </c>
      <c r="BA22" s="48" t="n">
        <v>5.40305544022216</v>
      </c>
      <c r="BB22" s="49" t="n">
        <f aca="false">AT22/V22</f>
        <v>1.22078288002886</v>
      </c>
      <c r="BC22" s="49" t="n">
        <f aca="false">AS22/V22</f>
        <v>1.23624979762393</v>
      </c>
      <c r="BD22" s="49" t="n">
        <f aca="false">SUM(AP22:AR22)/V22</f>
        <v>0.149068557648996</v>
      </c>
      <c r="BE22" s="50" t="n">
        <v>6.92</v>
      </c>
      <c r="BF22" s="51" t="n">
        <v>99.8106631800537</v>
      </c>
      <c r="BG22" s="51" t="n">
        <v>636.276810863394</v>
      </c>
      <c r="BH22" s="51" t="n">
        <v>198.742290429582</v>
      </c>
      <c r="BI22" s="51" t="n">
        <v>128.500476163635</v>
      </c>
      <c r="BJ22" s="51" t="n">
        <v>11.0899455313883</v>
      </c>
      <c r="BK22" s="51" t="n">
        <v>9.45832010791271</v>
      </c>
      <c r="BL22" s="51" t="n">
        <v>10.9570325259792</v>
      </c>
      <c r="BM22" s="51"/>
      <c r="BN22" s="52" t="n">
        <f aca="false">(BG22*0.5-BH22*0.25+BI22*0.5)/SUM(BG22:BI22)*1000</f>
        <v>345.299751754241</v>
      </c>
      <c r="BO22" s="53" t="n">
        <v>2.28531552</v>
      </c>
      <c r="BP22" s="54" t="s">
        <v>77</v>
      </c>
      <c r="BQ22" s="55" t="n">
        <v>468.713608269855</v>
      </c>
      <c r="BR22" s="56" t="n">
        <v>13.4772724859004</v>
      </c>
      <c r="BS22" s="56" t="n">
        <v>19.4736557352149</v>
      </c>
      <c r="BT22" s="56" t="n">
        <v>11.0398603276464</v>
      </c>
      <c r="BU22" s="55"/>
      <c r="BV22" s="55"/>
      <c r="BW22" s="55"/>
      <c r="BX22" s="55"/>
      <c r="BY22" s="79" t="n">
        <v>0.23</v>
      </c>
      <c r="BZ22" s="80" t="n">
        <v>0.355148</v>
      </c>
      <c r="CA22" s="81" t="n">
        <v>4.29</v>
      </c>
      <c r="CB22" s="81" t="n">
        <v>0.764</v>
      </c>
      <c r="CC22" s="82" t="n">
        <v>5.268851</v>
      </c>
      <c r="CD22" s="82" t="n">
        <v>7.656309</v>
      </c>
      <c r="CE22" s="83" t="n">
        <v>79.981773</v>
      </c>
      <c r="CF22" s="84" t="n">
        <v>38.730838</v>
      </c>
      <c r="CG22" s="80" t="n">
        <v>0.0692</v>
      </c>
      <c r="CH22" s="63" t="n">
        <v>41925.3849552589</v>
      </c>
      <c r="CI22" s="63" t="n">
        <v>13978.2444884229</v>
      </c>
      <c r="CJ22" s="63" t="n">
        <v>558999.789081914</v>
      </c>
      <c r="CK22" s="85" t="n">
        <v>2.50058135288037</v>
      </c>
    </row>
    <row r="23" customFormat="false" ht="15" hidden="false" customHeight="false" outlineLevel="0" collapsed="false">
      <c r="A23" s="7" t="s">
        <v>73</v>
      </c>
      <c r="B23" s="66" t="n">
        <v>21</v>
      </c>
      <c r="C23" s="8" t="s">
        <v>98</v>
      </c>
      <c r="D23" s="67" t="n">
        <v>41603</v>
      </c>
      <c r="E23" s="4" t="s">
        <v>75</v>
      </c>
      <c r="F23" s="86" t="s">
        <v>99</v>
      </c>
      <c r="G23" s="68" t="n">
        <v>1</v>
      </c>
      <c r="H23" s="68" t="n">
        <v>170</v>
      </c>
      <c r="I23" s="66" t="n">
        <v>2</v>
      </c>
      <c r="J23" s="69" t="n">
        <v>698.261904761905</v>
      </c>
      <c r="K23" s="31" t="n">
        <v>567.33558375063</v>
      </c>
      <c r="L23" s="31" t="n">
        <v>943.345453867441</v>
      </c>
      <c r="M23" s="31" t="n">
        <v>164.240313431176</v>
      </c>
      <c r="N23" s="31" t="n">
        <v>312.183300229982</v>
      </c>
      <c r="O23" s="32"/>
      <c r="P23" s="33" t="n">
        <v>69.9457430311902</v>
      </c>
      <c r="Q23" s="33" t="n">
        <v>11.817759799204</v>
      </c>
      <c r="R23" s="31" t="n">
        <v>166.791119614514</v>
      </c>
      <c r="S23" s="34" t="s">
        <v>76</v>
      </c>
      <c r="T23" s="35" t="n">
        <v>19.7455992028571</v>
      </c>
      <c r="U23" s="35" t="n">
        <v>3.55245585714286</v>
      </c>
      <c r="V23" s="70" t="n">
        <v>23.29805506</v>
      </c>
      <c r="W23" s="35" t="n">
        <v>21.9581281746773</v>
      </c>
      <c r="X23" s="35" t="n">
        <v>3.91187189640015</v>
      </c>
      <c r="Y23" s="35" t="n">
        <v>6.89467072012677</v>
      </c>
      <c r="Z23" s="35"/>
      <c r="AA23" s="35" t="n">
        <v>1.49996012419428</v>
      </c>
      <c r="AB23" s="35" t="n">
        <v>0.258461547510766</v>
      </c>
      <c r="AC23" s="71" t="n">
        <v>4.03753142124606</v>
      </c>
      <c r="AD23" s="38" t="n">
        <v>6.9564735342981</v>
      </c>
      <c r="AE23" s="38" t="n">
        <v>6.12147862029699</v>
      </c>
      <c r="AF23" s="38" t="n">
        <v>1.55108330695538</v>
      </c>
      <c r="AG23" s="72"/>
      <c r="AH23" s="72"/>
      <c r="AI23" s="73" t="n">
        <v>37.154104911986</v>
      </c>
      <c r="AJ23" s="42" t="s">
        <v>16</v>
      </c>
      <c r="AK23" s="43" t="n">
        <v>701.413979991766</v>
      </c>
      <c r="AL23" s="43" t="n">
        <v>721.220380371199</v>
      </c>
      <c r="AM23" s="43" t="n">
        <v>603.49332799401</v>
      </c>
      <c r="AN23" s="74"/>
      <c r="AO23" s="75" t="n">
        <v>29.4071428571428</v>
      </c>
      <c r="AP23" s="76" t="n">
        <v>1.22345225978648</v>
      </c>
      <c r="AQ23" s="76" t="n">
        <v>1.03555003558719</v>
      </c>
      <c r="AR23" s="76" t="n">
        <v>1.31225973817997</v>
      </c>
      <c r="AS23" s="77" t="n">
        <v>30.1146410396543</v>
      </c>
      <c r="AT23" s="78" t="n">
        <v>30.0102026553094</v>
      </c>
      <c r="AU23" s="78" t="n">
        <v>41.6039145907473</v>
      </c>
      <c r="AV23" s="78" t="n">
        <v>35.2142348754448</v>
      </c>
      <c r="AW23" s="78" t="n">
        <v>44.6238434163701</v>
      </c>
      <c r="AX23" s="78" t="n">
        <v>35.9039145907473</v>
      </c>
      <c r="AY23" s="48" t="n">
        <v>1.28809905281894</v>
      </c>
      <c r="AZ23" s="48" t="n">
        <v>24.2379180056449</v>
      </c>
      <c r="BA23" s="48" t="n">
        <v>-0.939862945644911</v>
      </c>
      <c r="BB23" s="49" t="n">
        <f aca="false">AT23/V23</f>
        <v>1.28809905281894</v>
      </c>
      <c r="BC23" s="49" t="n">
        <f aca="false">AS23/V23</f>
        <v>1.29258176109977</v>
      </c>
      <c r="BD23" s="49" t="n">
        <f aca="false">SUM(AP23:AR23)/V23</f>
        <v>0.153285844005282</v>
      </c>
      <c r="BE23" s="50" t="n">
        <v>6.69</v>
      </c>
      <c r="BF23" s="51" t="n">
        <v>185.435242224417</v>
      </c>
      <c r="BG23" s="51" t="n">
        <v>634.735883988584</v>
      </c>
      <c r="BH23" s="51" t="n">
        <v>190.931068972795</v>
      </c>
      <c r="BI23" s="51" t="n">
        <v>145.426256884035</v>
      </c>
      <c r="BJ23" s="51" t="n">
        <v>7.53410906496177</v>
      </c>
      <c r="BK23" s="51" t="n">
        <v>9.57117471960313</v>
      </c>
      <c r="BL23" s="51" t="n">
        <v>6.82638199191127</v>
      </c>
      <c r="BM23" s="51"/>
      <c r="BN23" s="52" t="n">
        <f aca="false">(BG23*0.5-BH23*0.25+BI23*0.5)/SUM(BG23:BI23)*1000</f>
        <v>352.539076292798</v>
      </c>
      <c r="BO23" s="53" t="n">
        <v>3.01421572</v>
      </c>
      <c r="BP23" s="54" t="s">
        <v>77</v>
      </c>
      <c r="BQ23" s="55" t="n">
        <v>468.418287582727</v>
      </c>
      <c r="BR23" s="56" t="n">
        <v>20.1054674468061</v>
      </c>
      <c r="BS23" s="56" t="n">
        <v>29.5781178950927</v>
      </c>
      <c r="BT23" s="56" t="n">
        <v>15.6086346021344</v>
      </c>
      <c r="BU23" s="55"/>
      <c r="BV23" s="55"/>
      <c r="BW23" s="55"/>
      <c r="BX23" s="55"/>
      <c r="BY23" s="79" t="n">
        <v>0.07</v>
      </c>
      <c r="BZ23" s="80" t="n">
        <v>0.3234515</v>
      </c>
      <c r="CA23" s="81" t="n">
        <v>4.1</v>
      </c>
      <c r="CB23" s="81" t="n">
        <v>0.642</v>
      </c>
      <c r="CC23" s="82" t="n">
        <v>4.302575</v>
      </c>
      <c r="CD23" s="82" t="n">
        <v>7.335876</v>
      </c>
      <c r="CE23" s="83" t="n">
        <v>83.678964</v>
      </c>
      <c r="CF23" s="84" t="n">
        <v>34.605066</v>
      </c>
      <c r="CG23" s="80" t="n">
        <v>0.8084</v>
      </c>
      <c r="CH23" s="63" t="n">
        <v>68003.9375046174</v>
      </c>
      <c r="CI23" s="63" t="n">
        <v>9168.43397672831</v>
      </c>
      <c r="CJ23" s="64" t="n">
        <v>460482.253693224</v>
      </c>
      <c r="CK23" s="65" t="n">
        <v>1.99105044834939</v>
      </c>
    </row>
    <row r="24" customFormat="false" ht="15" hidden="false" customHeight="false" outlineLevel="0" collapsed="false">
      <c r="A24" s="7" t="s">
        <v>73</v>
      </c>
      <c r="B24" s="66" t="n">
        <v>22</v>
      </c>
      <c r="C24" s="8" t="s">
        <v>100</v>
      </c>
      <c r="D24" s="67" t="n">
        <v>41603</v>
      </c>
      <c r="E24" s="4" t="s">
        <v>75</v>
      </c>
      <c r="F24" s="7" t="n">
        <v>354</v>
      </c>
      <c r="G24" s="68" t="n">
        <v>1</v>
      </c>
      <c r="H24" s="68" t="n">
        <v>170</v>
      </c>
      <c r="I24" s="66" t="n">
        <v>1</v>
      </c>
      <c r="J24" s="69" t="n">
        <v>490.809523809524</v>
      </c>
      <c r="K24" s="31" t="n">
        <v>567.33558375063</v>
      </c>
      <c r="L24" s="31" t="n">
        <v>943.345453867441</v>
      </c>
      <c r="M24" s="31" t="n">
        <v>164.240313431176</v>
      </c>
      <c r="N24" s="31" t="n">
        <v>312.183300229982</v>
      </c>
      <c r="O24" s="32"/>
      <c r="P24" s="33" t="n">
        <v>69.9457430311902</v>
      </c>
      <c r="Q24" s="33" t="n">
        <v>11.817759799204</v>
      </c>
      <c r="R24" s="31" t="n">
        <v>166.791119614514</v>
      </c>
      <c r="S24" s="34" t="s">
        <v>76</v>
      </c>
      <c r="T24" s="35" t="n">
        <v>16.7587919357143</v>
      </c>
      <c r="U24" s="35" t="n">
        <v>4.68382021428571</v>
      </c>
      <c r="V24" s="70" t="n">
        <v>21.44261215</v>
      </c>
      <c r="W24" s="35" t="n">
        <v>20.2014394740841</v>
      </c>
      <c r="X24" s="35" t="n">
        <v>3.63432850170593</v>
      </c>
      <c r="Y24" s="35" t="n">
        <v>6.19486045286287</v>
      </c>
      <c r="Z24" s="35"/>
      <c r="AA24" s="35" t="n">
        <v>1.32889295102822</v>
      </c>
      <c r="AB24" s="35" t="n">
        <v>0.231161946903639</v>
      </c>
      <c r="AC24" s="71" t="n">
        <v>3.77634789912026</v>
      </c>
      <c r="AD24" s="38" t="n">
        <v>8.42342454992789</v>
      </c>
      <c r="AE24" s="38" t="n">
        <v>7.59478676317882</v>
      </c>
      <c r="AF24" s="38" t="n">
        <v>1.54361968242584</v>
      </c>
      <c r="AG24" s="72"/>
      <c r="AH24" s="72"/>
      <c r="AI24" s="73" t="n">
        <v>27.4427515238584</v>
      </c>
      <c r="AJ24" s="42" t="s">
        <v>16</v>
      </c>
      <c r="AK24" s="43" t="n">
        <v>607.164253543247</v>
      </c>
      <c r="AL24" s="43" t="n">
        <v>624.047248072496</v>
      </c>
      <c r="AM24" s="43" t="n">
        <v>575.266880332564</v>
      </c>
      <c r="AN24" s="74"/>
      <c r="AO24" s="75" t="n">
        <v>34.7928571428571</v>
      </c>
      <c r="AP24" s="76" t="n">
        <v>1.22770339963834</v>
      </c>
      <c r="AQ24" s="76" t="n">
        <v>1.11169784810127</v>
      </c>
      <c r="AR24" s="76" t="n">
        <v>1.57483922242315</v>
      </c>
      <c r="AS24" s="77" t="n">
        <v>32.3326938517179</v>
      </c>
      <c r="AT24" s="78" t="n">
        <v>32.0675735706799</v>
      </c>
      <c r="AU24" s="78" t="n">
        <v>35.2860759493671</v>
      </c>
      <c r="AV24" s="78" t="n">
        <v>31.9518987341772</v>
      </c>
      <c r="AW24" s="78" t="n">
        <v>45.2632911392405</v>
      </c>
      <c r="AX24" s="78" t="n">
        <v>27.0886075949367</v>
      </c>
      <c r="AY24" s="48" t="n">
        <v>1.4955068601882</v>
      </c>
      <c r="AZ24" s="48" t="n">
        <v>22.0184723238574</v>
      </c>
      <c r="BA24" s="48" t="n">
        <v>-0.575860173857368</v>
      </c>
      <c r="BB24" s="49" t="n">
        <f aca="false">AT24/V24</f>
        <v>1.4955068601882</v>
      </c>
      <c r="BC24" s="49" t="n">
        <f aca="false">AS24/V24</f>
        <v>1.50787103854406</v>
      </c>
      <c r="BD24" s="49" t="n">
        <f aca="false">SUM(AP24:AR24)/V24</f>
        <v>0.182544945680172</v>
      </c>
      <c r="BE24" s="50" t="n">
        <v>6.75</v>
      </c>
      <c r="BF24" s="51" t="n">
        <v>152.39077018094</v>
      </c>
      <c r="BG24" s="51" t="n">
        <v>617.065971227041</v>
      </c>
      <c r="BH24" s="51" t="n">
        <v>232.644571026554</v>
      </c>
      <c r="BI24" s="51" t="n">
        <v>119.640642095143</v>
      </c>
      <c r="BJ24" s="51" t="n">
        <v>10.0543267903943</v>
      </c>
      <c r="BK24" s="51" t="n">
        <v>8.55033835158566</v>
      </c>
      <c r="BL24" s="51" t="n">
        <v>7.06902613117358</v>
      </c>
      <c r="BM24" s="51"/>
      <c r="BN24" s="52" t="n">
        <f aca="false">(BG24*0.5-BH24*0.25+BI24*0.5)/SUM(BG24:BI24)*1000</f>
        <v>319.999778112261</v>
      </c>
      <c r="BO24" s="53" t="n">
        <v>1.688836</v>
      </c>
      <c r="BP24" s="54" t="s">
        <v>77</v>
      </c>
      <c r="BQ24" s="55" t="n">
        <v>397.385933941139</v>
      </c>
      <c r="BR24" s="56" t="n">
        <v>18.5325337771937</v>
      </c>
      <c r="BS24" s="56" t="n">
        <v>31.5219228334405</v>
      </c>
      <c r="BT24" s="56" t="n">
        <v>12.392142269987</v>
      </c>
      <c r="BU24" s="55"/>
      <c r="BV24" s="55"/>
      <c r="BW24" s="55"/>
      <c r="BX24" s="55"/>
      <c r="BY24" s="79" t="n">
        <v>0.16</v>
      </c>
      <c r="BZ24" s="80" t="n">
        <v>0.3003995</v>
      </c>
      <c r="CA24" s="81" t="n">
        <v>3.79</v>
      </c>
      <c r="CB24" s="81" t="n">
        <v>0.238</v>
      </c>
      <c r="CC24" s="82" t="n">
        <v>4.082012</v>
      </c>
      <c r="CD24" s="82" t="n">
        <v>6.852085</v>
      </c>
      <c r="CE24" s="83" t="n">
        <v>73.106295</v>
      </c>
      <c r="CF24" s="84" t="n">
        <v>35.53997</v>
      </c>
      <c r="CG24" s="80" t="n">
        <v>0.098</v>
      </c>
      <c r="CH24" s="63" t="n">
        <v>42088.8276572602</v>
      </c>
      <c r="CI24" s="63" t="n">
        <v>9486.08880558319</v>
      </c>
      <c r="CJ24" s="64" t="n">
        <v>371819.62362035</v>
      </c>
      <c r="CK24" s="65" t="n">
        <v>2.55126093486369</v>
      </c>
    </row>
    <row r="25" customFormat="false" ht="15" hidden="false" customHeight="false" outlineLevel="0" collapsed="false">
      <c r="A25" s="7" t="s">
        <v>73</v>
      </c>
      <c r="B25" s="66" t="n">
        <v>23</v>
      </c>
      <c r="C25" s="8" t="s">
        <v>101</v>
      </c>
      <c r="D25" s="67" t="n">
        <v>41603</v>
      </c>
      <c r="E25" s="4" t="s">
        <v>75</v>
      </c>
      <c r="F25" s="7" t="n">
        <v>337</v>
      </c>
      <c r="G25" s="68" t="n">
        <v>1</v>
      </c>
      <c r="H25" s="68" t="n">
        <v>170</v>
      </c>
      <c r="I25" s="66" t="n">
        <v>1</v>
      </c>
      <c r="J25" s="69" t="n">
        <v>516.994047619048</v>
      </c>
      <c r="K25" s="31" t="n">
        <v>567.33558375063</v>
      </c>
      <c r="L25" s="31" t="n">
        <v>943.345453867441</v>
      </c>
      <c r="M25" s="31" t="n">
        <v>164.240313431176</v>
      </c>
      <c r="N25" s="31" t="n">
        <v>312.183300229982</v>
      </c>
      <c r="O25" s="32"/>
      <c r="P25" s="33" t="n">
        <v>69.9457430311902</v>
      </c>
      <c r="Q25" s="33" t="n">
        <v>11.817759799204</v>
      </c>
      <c r="R25" s="31" t="n">
        <v>166.791119614514</v>
      </c>
      <c r="S25" s="34" t="s">
        <v>76</v>
      </c>
      <c r="T25" s="35" t="n">
        <v>16.89436538</v>
      </c>
      <c r="U25" s="35" t="n">
        <v>3.2672065</v>
      </c>
      <c r="V25" s="70" t="n">
        <v>20.16157188</v>
      </c>
      <c r="W25" s="35" t="n">
        <v>19.0009458412638</v>
      </c>
      <c r="X25" s="35" t="n">
        <v>3.38987824459312</v>
      </c>
      <c r="Y25" s="35" t="n">
        <v>5.94591269831401</v>
      </c>
      <c r="Z25" s="35"/>
      <c r="AA25" s="35" t="n">
        <v>1.29098607254313</v>
      </c>
      <c r="AB25" s="35" t="n">
        <v>0.22274988412355</v>
      </c>
      <c r="AC25" s="71" t="n">
        <v>3.50221912292077</v>
      </c>
      <c r="AD25" s="38" t="n">
        <v>6.12054184154204</v>
      </c>
      <c r="AE25" s="38" t="n">
        <v>5.42730314293025</v>
      </c>
      <c r="AF25" s="38" t="n">
        <v>1.20551351728079</v>
      </c>
      <c r="AG25" s="72"/>
      <c r="AH25" s="72"/>
      <c r="AI25" s="73" t="n">
        <v>36.3938177191562</v>
      </c>
      <c r="AJ25" s="42" t="s">
        <v>16</v>
      </c>
      <c r="AK25" s="43" t="n">
        <v>696.425364154591</v>
      </c>
      <c r="AL25" s="43" t="n">
        <v>714.366685307636</v>
      </c>
      <c r="AM25" s="43" t="n">
        <v>644.378520318954</v>
      </c>
      <c r="AN25" s="74"/>
      <c r="AO25" s="75" t="n">
        <v>29.3857142857143</v>
      </c>
      <c r="AP25" s="76" t="n">
        <v>1.23875044605184</v>
      </c>
      <c r="AQ25" s="76" t="n">
        <v>1.04030388185654</v>
      </c>
      <c r="AR25" s="76" t="n">
        <v>1.36942388185654</v>
      </c>
      <c r="AS25" s="77" t="n">
        <v>30.3355424050633</v>
      </c>
      <c r="AT25" s="78" t="n">
        <v>30.5344112472405</v>
      </c>
      <c r="AU25" s="78" t="n">
        <v>42.1548523206751</v>
      </c>
      <c r="AV25" s="78" t="n">
        <v>35.4016877637131</v>
      </c>
      <c r="AW25" s="78" t="n">
        <v>46.6016877637131</v>
      </c>
      <c r="AX25" s="78" t="n">
        <v>29.5021097046413</v>
      </c>
      <c r="AY25" s="48" t="n">
        <v>1.51448564769547</v>
      </c>
      <c r="AZ25" s="48" t="n">
        <v>21.678371694328</v>
      </c>
      <c r="BA25" s="48" t="n">
        <v>-1.51679981432796</v>
      </c>
      <c r="BB25" s="49" t="n">
        <f aca="false">AT25/V25</f>
        <v>1.51448564769547</v>
      </c>
      <c r="BC25" s="49" t="n">
        <f aca="false">AS25/V25</f>
        <v>1.50462189087329</v>
      </c>
      <c r="BD25" s="49" t="n">
        <f aca="false">SUM(AP25:AR25)/V25</f>
        <v>0.180961992025243</v>
      </c>
      <c r="BE25" s="50" t="n">
        <v>6.63</v>
      </c>
      <c r="BF25" s="51" t="n">
        <v>162.833118940022</v>
      </c>
      <c r="BG25" s="51" t="n">
        <v>630.400022723324</v>
      </c>
      <c r="BH25" s="51" t="n">
        <v>208.110630749263</v>
      </c>
      <c r="BI25" s="51" t="n">
        <v>131.230644567575</v>
      </c>
      <c r="BJ25" s="51" t="n">
        <v>8.94646113392368</v>
      </c>
      <c r="BK25" s="51" t="n">
        <v>8.98689079096364</v>
      </c>
      <c r="BL25" s="51" t="n">
        <v>7.3502256568411</v>
      </c>
      <c r="BM25" s="51"/>
      <c r="BN25" s="52" t="n">
        <f aca="false">(BG25*0.5-BH25*0.25+BI25*0.5)/SUM(BG25:BI25)*1000</f>
        <v>339.046791781076</v>
      </c>
      <c r="BO25" s="53" t="n">
        <v>1.5068346</v>
      </c>
      <c r="BP25" s="54" t="s">
        <v>77</v>
      </c>
      <c r="BQ25" s="55" t="n">
        <v>535.075482335671</v>
      </c>
      <c r="BR25" s="56" t="n">
        <v>26.5393732949195</v>
      </c>
      <c r="BS25" s="56" t="n">
        <v>39.4201832350696</v>
      </c>
      <c r="BT25" s="56" t="n">
        <v>17.5236875537932</v>
      </c>
      <c r="BU25" s="55"/>
      <c r="BV25" s="55"/>
      <c r="BW25" s="55"/>
      <c r="BX25" s="55"/>
      <c r="BY25" s="79" t="n">
        <v>0.12</v>
      </c>
      <c r="BZ25" s="80" t="n">
        <v>0.4060545</v>
      </c>
      <c r="CA25" s="81" t="n">
        <v>3.93</v>
      </c>
      <c r="CB25" s="81" t="n">
        <v>0.03</v>
      </c>
      <c r="CC25" s="82" t="n">
        <v>3.451832</v>
      </c>
      <c r="CD25" s="82" t="n">
        <v>5.809107</v>
      </c>
      <c r="CE25" s="83" t="n">
        <v>85.732959</v>
      </c>
      <c r="CF25" s="84" t="n">
        <v>36.667952</v>
      </c>
      <c r="CG25" s="80" t="n">
        <v>0.1076</v>
      </c>
      <c r="CH25" s="63" t="n">
        <v>19436.4499899902</v>
      </c>
      <c r="CI25" s="63" t="n">
        <v>6107.99002040136</v>
      </c>
      <c r="CJ25" s="63" t="n">
        <v>147651.913939583</v>
      </c>
      <c r="CK25" s="85" t="n">
        <v>4.13674964139014</v>
      </c>
    </row>
    <row r="26" customFormat="false" ht="15" hidden="false" customHeight="false" outlineLevel="0" collapsed="false">
      <c r="A26" s="7" t="s">
        <v>73</v>
      </c>
      <c r="B26" s="66" t="n">
        <v>24</v>
      </c>
      <c r="C26" s="8" t="s">
        <v>102</v>
      </c>
      <c r="D26" s="67" t="n">
        <v>41603</v>
      </c>
      <c r="E26" s="4" t="s">
        <v>75</v>
      </c>
      <c r="F26" s="7" t="n">
        <v>267</v>
      </c>
      <c r="G26" s="68" t="n">
        <v>1</v>
      </c>
      <c r="H26" s="68" t="n">
        <v>171</v>
      </c>
      <c r="I26" s="66" t="n">
        <v>2</v>
      </c>
      <c r="J26" s="69" t="n">
        <v>624.454761904762</v>
      </c>
      <c r="K26" s="31" t="n">
        <v>567.33558375063</v>
      </c>
      <c r="L26" s="31" t="n">
        <v>943.345453867441</v>
      </c>
      <c r="M26" s="31" t="n">
        <v>164.240313431176</v>
      </c>
      <c r="N26" s="31" t="n">
        <v>312.183300229982</v>
      </c>
      <c r="O26" s="32"/>
      <c r="P26" s="33" t="n">
        <v>69.9457430311902</v>
      </c>
      <c r="Q26" s="33" t="n">
        <v>11.817759799204</v>
      </c>
      <c r="R26" s="31" t="n">
        <v>166.791119614514</v>
      </c>
      <c r="S26" s="34" t="s">
        <v>76</v>
      </c>
      <c r="T26" s="35" t="n">
        <v>16.8304811228571</v>
      </c>
      <c r="U26" s="35" t="n">
        <v>4.79499935714286</v>
      </c>
      <c r="V26" s="70" t="n">
        <v>21.62548048</v>
      </c>
      <c r="W26" s="35" t="n">
        <v>20.3733219869405</v>
      </c>
      <c r="X26" s="35" t="n">
        <v>3.66703531822428</v>
      </c>
      <c r="Y26" s="35" t="n">
        <v>6.24010028699117</v>
      </c>
      <c r="Z26" s="35"/>
      <c r="AA26" s="35" t="n">
        <v>1.33762655564975</v>
      </c>
      <c r="AB26" s="35" t="n">
        <v>0.23279509314934</v>
      </c>
      <c r="AC26" s="71" t="n">
        <v>3.81159396102712</v>
      </c>
      <c r="AD26" s="38" t="n">
        <v>6.23945369741711</v>
      </c>
      <c r="AE26" s="38" t="n">
        <v>5.43652591828827</v>
      </c>
      <c r="AF26" s="38" t="n">
        <v>1.56361701530572</v>
      </c>
      <c r="AG26" s="72"/>
      <c r="AH26" s="72"/>
      <c r="AI26" s="73" t="n">
        <v>37.3101724027069</v>
      </c>
      <c r="AJ26" s="42" t="s">
        <v>16</v>
      </c>
      <c r="AK26" s="43" t="n">
        <v>711.476759871876</v>
      </c>
      <c r="AL26" s="43" t="n">
        <v>733.154665607645</v>
      </c>
      <c r="AM26" s="43" t="n">
        <v>573.601866462828</v>
      </c>
      <c r="AN26" s="74"/>
      <c r="AO26" s="75" t="n">
        <v>35.5857142857143</v>
      </c>
      <c r="AP26" s="76" t="n">
        <v>1.535675</v>
      </c>
      <c r="AQ26" s="76" t="n">
        <v>1.32401571428571</v>
      </c>
      <c r="AR26" s="76" t="n">
        <v>1.55865428571429</v>
      </c>
      <c r="AS26" s="77" t="n">
        <v>37.2694107142857</v>
      </c>
      <c r="AT26" s="78" t="n">
        <v>37.3803499863512</v>
      </c>
      <c r="AU26" s="78" t="n">
        <v>43.1542553191489</v>
      </c>
      <c r="AV26" s="78" t="n">
        <v>37.2063829787234</v>
      </c>
      <c r="AW26" s="78" t="n">
        <v>43.8</v>
      </c>
      <c r="AX26" s="78" t="n">
        <v>23.3723404255319</v>
      </c>
      <c r="AY26" s="48" t="n">
        <v>1.72853269183646</v>
      </c>
      <c r="AZ26" s="48" t="n">
        <v>25.8384729318227</v>
      </c>
      <c r="BA26" s="48" t="n">
        <v>-4.2129924518227</v>
      </c>
      <c r="BB26" s="49" t="n">
        <f aca="false">AT26/V26</f>
        <v>1.72853269183646</v>
      </c>
      <c r="BC26" s="49" t="n">
        <f aca="false">AS26/V26</f>
        <v>1.72340266607041</v>
      </c>
      <c r="BD26" s="49" t="n">
        <f aca="false">SUM(AP26:AR26)/V26</f>
        <v>0.204311992239259</v>
      </c>
      <c r="BE26" s="50" t="n">
        <v>7.3</v>
      </c>
      <c r="BF26" s="51" t="n">
        <v>82.9262562000488</v>
      </c>
      <c r="BG26" s="51" t="n">
        <v>667.067447128243</v>
      </c>
      <c r="BH26" s="51" t="n">
        <v>145.072557376596</v>
      </c>
      <c r="BI26" s="51" t="n">
        <v>150.743760218291</v>
      </c>
      <c r="BJ26" s="51" t="n">
        <v>12.5041293711266</v>
      </c>
      <c r="BK26" s="51" t="n">
        <v>7.27070506428617</v>
      </c>
      <c r="BL26" s="51" t="n">
        <v>12.366276463349</v>
      </c>
      <c r="BM26" s="51"/>
      <c r="BN26" s="52" t="n">
        <f aca="false">(BG26*0.5-BH26*0.25+BI26*0.5)/SUM(BG26:BI26)*1000</f>
        <v>387.001503173405</v>
      </c>
      <c r="BO26" s="53" t="n">
        <v>3.48823444</v>
      </c>
      <c r="BP26" s="54" t="s">
        <v>77</v>
      </c>
      <c r="BQ26" s="55" t="n">
        <v>472.23064878027</v>
      </c>
      <c r="BR26" s="56" t="n">
        <v>21.8367702496602</v>
      </c>
      <c r="BS26" s="56" t="n">
        <v>31.6152571548685</v>
      </c>
      <c r="BT26" s="56" t="n">
        <v>12.6331253975069</v>
      </c>
      <c r="BU26" s="55"/>
      <c r="BV26" s="55"/>
      <c r="BW26" s="55"/>
      <c r="BX26" s="55"/>
      <c r="BY26" s="79" t="n">
        <v>0.12</v>
      </c>
      <c r="BZ26" s="80" t="n">
        <v>0.4598425</v>
      </c>
      <c r="CA26" s="81" t="n">
        <v>3.99</v>
      </c>
      <c r="CB26" s="81" t="n">
        <v>0.395</v>
      </c>
      <c r="CC26" s="82" t="n">
        <v>4.281569</v>
      </c>
      <c r="CD26" s="82" t="n">
        <v>8.366288</v>
      </c>
      <c r="CE26" s="83" t="n">
        <v>83.988865</v>
      </c>
      <c r="CF26" s="84" t="n">
        <v>37.297996</v>
      </c>
      <c r="CG26" s="80" t="n">
        <v>0.1652</v>
      </c>
      <c r="CH26" s="63" t="n">
        <v>115237.534982259</v>
      </c>
      <c r="CI26" s="63" t="n">
        <v>12163.7208057301</v>
      </c>
      <c r="CJ26" s="64" t="n">
        <v>429261.939839499</v>
      </c>
      <c r="CK26" s="65" t="n">
        <v>2.83363598698691</v>
      </c>
    </row>
    <row r="27" customFormat="false" ht="15" hidden="false" customHeight="false" outlineLevel="0" collapsed="false">
      <c r="A27" s="7" t="s">
        <v>73</v>
      </c>
      <c r="B27" s="66" t="n">
        <v>25</v>
      </c>
      <c r="C27" s="8" t="s">
        <v>103</v>
      </c>
      <c r="D27" s="67" t="n">
        <v>41603</v>
      </c>
      <c r="E27" s="4" t="s">
        <v>75</v>
      </c>
      <c r="F27" s="7" t="n">
        <v>537</v>
      </c>
      <c r="G27" s="68" t="n">
        <v>1</v>
      </c>
      <c r="H27" s="68" t="n">
        <v>103</v>
      </c>
      <c r="I27" s="66" t="n">
        <v>2</v>
      </c>
      <c r="J27" s="69" t="n">
        <v>719.255952380952</v>
      </c>
      <c r="K27" s="31" t="n">
        <v>567.33558375063</v>
      </c>
      <c r="L27" s="31" t="n">
        <v>943.345453867441</v>
      </c>
      <c r="M27" s="31" t="n">
        <v>164.240313431176</v>
      </c>
      <c r="N27" s="31" t="n">
        <v>312.183300229982</v>
      </c>
      <c r="O27" s="32"/>
      <c r="P27" s="33" t="n">
        <v>69.9457430311902</v>
      </c>
      <c r="Q27" s="33" t="n">
        <v>11.817759799204</v>
      </c>
      <c r="R27" s="31" t="n">
        <v>166.791119614514</v>
      </c>
      <c r="S27" s="34" t="s">
        <v>76</v>
      </c>
      <c r="T27" s="35" t="n">
        <v>20.70416133</v>
      </c>
      <c r="U27" s="35" t="n">
        <v>6.9987025</v>
      </c>
      <c r="V27" s="70" t="n">
        <v>27.70286383</v>
      </c>
      <c r="W27" s="35" t="n">
        <v>26.0939958869255</v>
      </c>
      <c r="X27" s="35" t="n">
        <v>4.71815810019661</v>
      </c>
      <c r="Y27" s="35" t="n">
        <v>7.90250440985449</v>
      </c>
      <c r="Z27" s="35"/>
      <c r="AA27" s="35" t="n">
        <v>1.68229398752976</v>
      </c>
      <c r="AB27" s="35" t="n">
        <v>0.294151595978763</v>
      </c>
      <c r="AC27" s="71" t="n">
        <v>4.91930401425744</v>
      </c>
      <c r="AD27" s="38" t="n">
        <v>8.055585373448</v>
      </c>
      <c r="AE27" s="38" t="n">
        <v>7.01106644143889</v>
      </c>
      <c r="AF27" s="38" t="n">
        <v>1.53543136628909</v>
      </c>
      <c r="AG27" s="72"/>
      <c r="AH27" s="72"/>
      <c r="AI27" s="73" t="n">
        <v>36.5152353730016</v>
      </c>
      <c r="AJ27" s="42" t="s">
        <v>16</v>
      </c>
      <c r="AK27" s="43" t="n">
        <v>709.214707082939</v>
      </c>
      <c r="AL27" s="43" t="n">
        <v>731.314955677148</v>
      </c>
      <c r="AM27" s="43" t="n">
        <v>674.569750804851</v>
      </c>
      <c r="AN27" s="74"/>
      <c r="AO27" s="75" t="n">
        <v>55.1357142857143</v>
      </c>
      <c r="AP27" s="76" t="n">
        <v>2.09992602411874</v>
      </c>
      <c r="AQ27" s="76" t="n">
        <v>1.71493552875696</v>
      </c>
      <c r="AR27" s="76" t="n">
        <v>2.54031001113173</v>
      </c>
      <c r="AS27" s="77" t="n">
        <v>53.5531760760668</v>
      </c>
      <c r="AT27" s="78" t="n">
        <v>52.5753641367831</v>
      </c>
      <c r="AU27" s="78" t="n">
        <v>38.0864935064935</v>
      </c>
      <c r="AV27" s="78" t="n">
        <v>31.1038961038961</v>
      </c>
      <c r="AW27" s="78" t="n">
        <v>46.0737662337662</v>
      </c>
      <c r="AX27" s="78" t="n">
        <v>35.498961038961</v>
      </c>
      <c r="AY27" s="48" t="n">
        <v>1.89783137438116</v>
      </c>
      <c r="AZ27" s="48" t="n">
        <v>32.3880717625322</v>
      </c>
      <c r="BA27" s="48" t="n">
        <v>-4.68520793253216</v>
      </c>
      <c r="BB27" s="49" t="n">
        <f aca="false">AT27/V27</f>
        <v>1.89783137438116</v>
      </c>
      <c r="BC27" s="49" t="n">
        <f aca="false">AS27/V27</f>
        <v>1.93312779518748</v>
      </c>
      <c r="BD27" s="49" t="n">
        <f aca="false">SUM(AP27:AR27)/V27</f>
        <v>0.22940485875418</v>
      </c>
      <c r="BE27" s="50" t="n">
        <v>6.51</v>
      </c>
      <c r="BF27" s="51" t="n">
        <v>156.614894416414</v>
      </c>
      <c r="BG27" s="51" t="n">
        <v>592.122033868701</v>
      </c>
      <c r="BH27" s="51" t="n">
        <v>228.830656398639</v>
      </c>
      <c r="BI27" s="51" t="n">
        <v>138.977885794697</v>
      </c>
      <c r="BJ27" s="51" t="n">
        <v>10.0082526227577</v>
      </c>
      <c r="BK27" s="51" t="n">
        <v>13.2373953776091</v>
      </c>
      <c r="BL27" s="51" t="n">
        <v>11.8486515594863</v>
      </c>
      <c r="BM27" s="51"/>
      <c r="BN27" s="52" t="n">
        <f aca="false">(BG27*0.5-BH27*0.25+BI27*0.5)/SUM(BG27:BI27)*1000</f>
        <v>321.213120428943</v>
      </c>
      <c r="BO27" s="53" t="n">
        <v>6.38640048</v>
      </c>
      <c r="BP27" s="54" t="s">
        <v>77</v>
      </c>
      <c r="BQ27" s="55" t="n">
        <v>675.27983736911</v>
      </c>
      <c r="BR27" s="56" t="n">
        <v>24.3758133279288</v>
      </c>
      <c r="BS27" s="56" t="n">
        <v>35.3865919432419</v>
      </c>
      <c r="BT27" s="56" t="n">
        <v>12.8440353853235</v>
      </c>
      <c r="BU27" s="55"/>
      <c r="BV27" s="55"/>
      <c r="BW27" s="55"/>
      <c r="BX27" s="55"/>
      <c r="BY27" s="79" t="n">
        <v>0.15</v>
      </c>
      <c r="BZ27" s="80" t="n">
        <v>0.6423375</v>
      </c>
      <c r="CA27" s="81" t="n">
        <v>3.92</v>
      </c>
      <c r="CB27" s="81" t="n">
        <v>0.309</v>
      </c>
      <c r="CC27" s="82" t="n">
        <v>4.418108</v>
      </c>
      <c r="CD27" s="82" t="n">
        <v>7.913912</v>
      </c>
      <c r="CE27" s="83" t="n">
        <v>82.035768</v>
      </c>
      <c r="CF27" s="84" t="n">
        <v>37.226862</v>
      </c>
      <c r="CG27" s="80" t="n">
        <v>0.1172</v>
      </c>
      <c r="CH27" s="63" t="n">
        <v>42467.7945795586</v>
      </c>
      <c r="CI27" s="63" t="n">
        <v>11811.9110194203</v>
      </c>
      <c r="CJ27" s="64" t="n">
        <v>851007.755619325</v>
      </c>
      <c r="CK27" s="65" t="n">
        <v>1.38799099554905</v>
      </c>
    </row>
    <row r="28" customFormat="false" ht="15" hidden="false" customHeight="false" outlineLevel="0" collapsed="false">
      <c r="A28" s="7" t="s">
        <v>73</v>
      </c>
      <c r="B28" s="66" t="n">
        <v>26</v>
      </c>
      <c r="C28" s="8" t="s">
        <v>104</v>
      </c>
      <c r="D28" s="67" t="n">
        <v>41603</v>
      </c>
      <c r="E28" s="4" t="s">
        <v>75</v>
      </c>
      <c r="F28" s="7" t="n">
        <v>11</v>
      </c>
      <c r="G28" s="68" t="n">
        <v>1</v>
      </c>
      <c r="H28" s="68" t="n">
        <v>110</v>
      </c>
      <c r="I28" s="66" t="n">
        <v>3</v>
      </c>
      <c r="J28" s="69" t="n">
        <v>637.380952380952</v>
      </c>
      <c r="K28" s="31" t="n">
        <v>567.33558375063</v>
      </c>
      <c r="L28" s="31" t="n">
        <v>943.345453867441</v>
      </c>
      <c r="M28" s="31" t="n">
        <v>164.240313431176</v>
      </c>
      <c r="N28" s="31" t="n">
        <v>312.183300229982</v>
      </c>
      <c r="O28" s="32"/>
      <c r="P28" s="33" t="n">
        <v>69.9457430311902</v>
      </c>
      <c r="Q28" s="33" t="n">
        <v>11.817759799204</v>
      </c>
      <c r="R28" s="31" t="n">
        <v>166.791119614514</v>
      </c>
      <c r="S28" s="34" t="s">
        <v>76</v>
      </c>
      <c r="T28" s="35" t="n">
        <v>19.7885613485714</v>
      </c>
      <c r="U28" s="35" t="n">
        <v>5.60902457142857</v>
      </c>
      <c r="V28" s="70" t="n">
        <v>25.39758592</v>
      </c>
      <c r="W28" s="35" t="n">
        <v>23.9271407917471</v>
      </c>
      <c r="X28" s="35" t="n">
        <v>4.30613420005095</v>
      </c>
      <c r="Y28" s="35" t="n">
        <v>7.33093616298145</v>
      </c>
      <c r="Z28" s="35"/>
      <c r="AA28" s="35" t="n">
        <v>1.57176307958221</v>
      </c>
      <c r="AB28" s="35" t="n">
        <v>0.273507430920095</v>
      </c>
      <c r="AC28" s="71" t="n">
        <v>4.47549114436491</v>
      </c>
      <c r="AD28" s="38" t="n">
        <v>7.69230074819017</v>
      </c>
      <c r="AE28" s="38" t="n">
        <v>6.75167390879512</v>
      </c>
      <c r="AF28" s="38" t="n">
        <v>1.70554049517478</v>
      </c>
      <c r="AG28" s="72"/>
      <c r="AH28" s="72"/>
      <c r="AI28" s="73" t="n">
        <v>35.5559981172661</v>
      </c>
      <c r="AJ28" s="42" t="s">
        <v>16</v>
      </c>
      <c r="AK28" s="43" t="n">
        <v>697.124727821763</v>
      </c>
      <c r="AL28" s="43" t="n">
        <v>717.823622656832</v>
      </c>
      <c r="AM28" s="43" t="n">
        <v>603.927695714963</v>
      </c>
      <c r="AN28" s="74"/>
      <c r="AO28" s="75" t="n">
        <v>39.5428571428571</v>
      </c>
      <c r="AP28" s="76" t="n">
        <v>1.6052522965642</v>
      </c>
      <c r="AQ28" s="76" t="n">
        <v>1.28007486437613</v>
      </c>
      <c r="AR28" s="76" t="n">
        <v>1.80484361663653</v>
      </c>
      <c r="AS28" s="77" t="n">
        <v>39.8959273056058</v>
      </c>
      <c r="AT28" s="78" t="n">
        <v>39.21325644533</v>
      </c>
      <c r="AU28" s="78" t="n">
        <v>40.595253164557</v>
      </c>
      <c r="AV28" s="78" t="n">
        <v>32.371835443038</v>
      </c>
      <c r="AW28" s="78" t="n">
        <v>45.6427215189873</v>
      </c>
      <c r="AX28" s="78" t="n">
        <v>31.1455696202532</v>
      </c>
      <c r="AY28" s="48" t="n">
        <v>1.54397573725503</v>
      </c>
      <c r="AZ28" s="48" t="n">
        <v>26.4645454843157</v>
      </c>
      <c r="BA28" s="48" t="n">
        <v>-1.06695956431571</v>
      </c>
      <c r="BB28" s="49" t="n">
        <f aca="false">AT28/V28</f>
        <v>1.54397573725503</v>
      </c>
      <c r="BC28" s="49" t="n">
        <f aca="false">AS28/V28</f>
        <v>1.57085509745982</v>
      </c>
      <c r="BD28" s="49" t="n">
        <f aca="false">SUM(AP28:AR28)/V28</f>
        <v>0.184669944314804</v>
      </c>
      <c r="BE28" s="50" t="n">
        <v>6.63</v>
      </c>
      <c r="BF28" s="51" t="n">
        <v>155.796738742447</v>
      </c>
      <c r="BG28" s="51" t="n">
        <v>579.084498474951</v>
      </c>
      <c r="BH28" s="51" t="n">
        <v>249.298444837152</v>
      </c>
      <c r="BI28" s="51" t="n">
        <v>133.079891615696</v>
      </c>
      <c r="BJ28" s="51" t="n">
        <v>9.59451309278341</v>
      </c>
      <c r="BK28" s="51" t="n">
        <v>13.2685253023177</v>
      </c>
      <c r="BL28" s="51" t="n">
        <v>10.6990022989896</v>
      </c>
      <c r="BM28" s="51"/>
      <c r="BN28" s="52" t="n">
        <f aca="false">(BG28*0.5-BH28*0.25+BI28*0.5)/SUM(BG28:BI28)*1000</f>
        <v>305.531917786604</v>
      </c>
      <c r="BO28" s="53" t="n">
        <v>7.76011842</v>
      </c>
      <c r="BP28" s="54" t="s">
        <v>77</v>
      </c>
      <c r="BQ28" s="55" t="n">
        <v>474.281895840593</v>
      </c>
      <c r="BR28" s="56" t="n">
        <v>18.6742904358917</v>
      </c>
      <c r="BS28" s="56" t="n">
        <v>27.6139157714168</v>
      </c>
      <c r="BT28" s="56" t="n">
        <v>12.0949377540685</v>
      </c>
      <c r="BU28" s="55"/>
      <c r="BV28" s="55"/>
      <c r="BW28" s="55"/>
      <c r="BX28" s="55"/>
      <c r="BY28" s="79" t="n">
        <v>0.07</v>
      </c>
      <c r="BZ28" s="80" t="n">
        <v>0.4828945</v>
      </c>
      <c r="CA28" s="81" t="n">
        <v>3.65</v>
      </c>
      <c r="CB28" s="81" t="n">
        <v>0.097</v>
      </c>
      <c r="CC28" s="82" t="n">
        <v>6.046073</v>
      </c>
      <c r="CD28" s="82" t="n">
        <v>6.343162</v>
      </c>
      <c r="CE28" s="83" t="n">
        <v>92.507539</v>
      </c>
      <c r="CF28" s="84" t="n">
        <v>36.068394</v>
      </c>
      <c r="CG28" s="80" t="n">
        <v>0.0788</v>
      </c>
      <c r="CH28" s="63" t="n">
        <v>25621.6920011859</v>
      </c>
      <c r="CI28" s="63" t="n">
        <v>12045.7223612131</v>
      </c>
      <c r="CJ28" s="64" t="n">
        <v>725170.477454409</v>
      </c>
      <c r="CK28" s="65" t="n">
        <v>1.66108835587152</v>
      </c>
    </row>
    <row r="29" customFormat="false" ht="15" hidden="false" customHeight="false" outlineLevel="0" collapsed="false">
      <c r="A29" s="7" t="s">
        <v>73</v>
      </c>
      <c r="B29" s="66" t="n">
        <v>27</v>
      </c>
      <c r="C29" s="8" t="s">
        <v>105</v>
      </c>
      <c r="D29" s="67" t="n">
        <v>41603</v>
      </c>
      <c r="E29" s="4" t="s">
        <v>75</v>
      </c>
      <c r="F29" s="7" t="n">
        <v>268</v>
      </c>
      <c r="G29" s="68" t="n">
        <v>1</v>
      </c>
      <c r="H29" s="68" t="n">
        <v>112</v>
      </c>
      <c r="I29" s="66" t="n">
        <v>2</v>
      </c>
      <c r="J29" s="69" t="n">
        <v>624.404761904762</v>
      </c>
      <c r="K29" s="31" t="n">
        <v>567.33558375063</v>
      </c>
      <c r="L29" s="31" t="n">
        <v>943.345453867441</v>
      </c>
      <c r="M29" s="31" t="n">
        <v>164.240313431176</v>
      </c>
      <c r="N29" s="31" t="n">
        <v>312.183300229982</v>
      </c>
      <c r="O29" s="32"/>
      <c r="P29" s="33" t="n">
        <v>69.9457430311902</v>
      </c>
      <c r="Q29" s="33" t="n">
        <v>11.817759799204</v>
      </c>
      <c r="R29" s="31" t="n">
        <v>166.791119614514</v>
      </c>
      <c r="S29" s="34" t="s">
        <v>76</v>
      </c>
      <c r="T29" s="35" t="n">
        <v>20.3901153128571</v>
      </c>
      <c r="U29" s="35" t="n">
        <v>5.32629085714286</v>
      </c>
      <c r="V29" s="70" t="n">
        <v>25.71640617</v>
      </c>
      <c r="W29" s="35" t="n">
        <v>24.2294890877262</v>
      </c>
      <c r="X29" s="35" t="n">
        <v>4.35170113626243</v>
      </c>
      <c r="Y29" s="35" t="n">
        <v>7.46059807167574</v>
      </c>
      <c r="Z29" s="35"/>
      <c r="AA29" s="35" t="n">
        <v>1.60438099047325</v>
      </c>
      <c r="AB29" s="35" t="n">
        <v>0.278617767664304</v>
      </c>
      <c r="AC29" s="71" t="n">
        <v>4.5166001441481</v>
      </c>
      <c r="AD29" s="38" t="n">
        <v>7.50530023847786</v>
      </c>
      <c r="AE29" s="38" t="n">
        <v>6.57209100918487</v>
      </c>
      <c r="AF29" s="38" t="n">
        <v>1.29695405150159</v>
      </c>
      <c r="AG29" s="72"/>
      <c r="AH29" s="72"/>
      <c r="AI29" s="73" t="n">
        <v>37.1228010620945</v>
      </c>
      <c r="AJ29" s="42" t="s">
        <v>16</v>
      </c>
      <c r="AK29" s="43" t="n">
        <v>708.151279425921</v>
      </c>
      <c r="AL29" s="43" t="n">
        <v>728.75651709412</v>
      </c>
      <c r="AM29" s="43" t="n">
        <v>701.966194163897</v>
      </c>
      <c r="AN29" s="74"/>
      <c r="AO29" s="75" t="n">
        <v>38.4714285714286</v>
      </c>
      <c r="AP29" s="76" t="n">
        <v>1.17951036567528</v>
      </c>
      <c r="AQ29" s="76" t="n">
        <v>1.25705721111653</v>
      </c>
      <c r="AR29" s="76" t="n">
        <v>1.78341988298391</v>
      </c>
      <c r="AS29" s="77" t="n">
        <v>33.0812269137006</v>
      </c>
      <c r="AT29" s="78" t="n">
        <v>33.7229792835559</v>
      </c>
      <c r="AU29" s="78" t="n">
        <v>30.659385665529</v>
      </c>
      <c r="AV29" s="78" t="n">
        <v>32.6750853242321</v>
      </c>
      <c r="AW29" s="78" t="n">
        <v>46.3569965870307</v>
      </c>
      <c r="AX29" s="78" t="n">
        <v>32.5836177474403</v>
      </c>
      <c r="AY29" s="48" t="n">
        <v>1.3113410583356</v>
      </c>
      <c r="AZ29" s="48" t="n">
        <v>23.8388802001286</v>
      </c>
      <c r="BA29" s="48" t="n">
        <v>1.87752596987137</v>
      </c>
      <c r="BB29" s="49" t="n">
        <f aca="false">AT29/V29</f>
        <v>1.3113410583356</v>
      </c>
      <c r="BC29" s="49" t="n">
        <f aca="false">AS29/V29</f>
        <v>1.28638607957173</v>
      </c>
      <c r="BD29" s="49" t="n">
        <f aca="false">SUM(AP29:AR29)/V29</f>
        <v>0.164097091634003</v>
      </c>
      <c r="BE29" s="50" t="n">
        <v>6.35</v>
      </c>
      <c r="BF29" s="51" t="n">
        <v>182.996123666032</v>
      </c>
      <c r="BG29" s="51" t="n">
        <v>543.120929018387</v>
      </c>
      <c r="BH29" s="51" t="n">
        <v>257.825289858445</v>
      </c>
      <c r="BI29" s="51" t="n">
        <v>156.612233886333</v>
      </c>
      <c r="BJ29" s="51" t="n">
        <v>10.050406956057</v>
      </c>
      <c r="BK29" s="51" t="n">
        <v>13.9441353709305</v>
      </c>
      <c r="BL29" s="51" t="n">
        <v>13.4718805317386</v>
      </c>
      <c r="BM29" s="51"/>
      <c r="BN29" s="52" t="n">
        <f aca="false">(BG29*0.5-BH29*0.25+BI29*0.5)/SUM(BG29:BI29)*1000</f>
        <v>298.060403690405</v>
      </c>
      <c r="BO29" s="53" t="n">
        <v>10.70571832</v>
      </c>
      <c r="BP29" s="54" t="s">
        <v>77</v>
      </c>
      <c r="BQ29" s="55" t="n">
        <v>569.308318838989</v>
      </c>
      <c r="BR29" s="56" t="n">
        <v>22.1379424121527</v>
      </c>
      <c r="BS29" s="56" t="n">
        <v>32.2419144829078</v>
      </c>
      <c r="BT29" s="56" t="n">
        <v>16.8819105231487</v>
      </c>
      <c r="BU29" s="55"/>
      <c r="BV29" s="55"/>
      <c r="BW29" s="55"/>
      <c r="BX29" s="55"/>
      <c r="BY29" s="79" t="n">
        <v>0.11</v>
      </c>
      <c r="BZ29" s="80" t="n">
        <v>0.5059465</v>
      </c>
      <c r="CA29" s="81" t="n">
        <v>3.61</v>
      </c>
      <c r="CB29" s="81" t="n">
        <v>0.03</v>
      </c>
      <c r="CC29" s="82" t="n">
        <v>5.531426</v>
      </c>
      <c r="CD29" s="82" t="n">
        <v>4.646752</v>
      </c>
      <c r="CE29" s="83" t="n">
        <v>84.911361</v>
      </c>
      <c r="CF29" s="84" t="n">
        <v>36.81022</v>
      </c>
      <c r="CG29" s="80" t="n">
        <v>0.1076</v>
      </c>
      <c r="CH29" s="63" t="n">
        <v>38247.4808068553</v>
      </c>
      <c r="CI29" s="63" t="n">
        <v>2811.00379607301</v>
      </c>
      <c r="CJ29" s="64" t="n">
        <v>621692.985089999</v>
      </c>
      <c r="CK29" s="65" t="n">
        <v>0.452153050378408</v>
      </c>
    </row>
    <row r="30" customFormat="false" ht="15" hidden="false" customHeight="false" outlineLevel="0" collapsed="false">
      <c r="A30" s="7" t="s">
        <v>73</v>
      </c>
      <c r="B30" s="66" t="n">
        <v>28</v>
      </c>
      <c r="C30" s="8" t="s">
        <v>106</v>
      </c>
      <c r="D30" s="67" t="n">
        <v>41603</v>
      </c>
      <c r="E30" s="4" t="s">
        <v>75</v>
      </c>
      <c r="F30" s="7" t="n">
        <v>339</v>
      </c>
      <c r="G30" s="68" t="n">
        <v>1</v>
      </c>
      <c r="H30" s="68" t="n">
        <v>116</v>
      </c>
      <c r="I30" s="66" t="n">
        <v>1</v>
      </c>
      <c r="J30" s="69" t="n">
        <v>530</v>
      </c>
      <c r="K30" s="31" t="n">
        <v>567.33558375063</v>
      </c>
      <c r="L30" s="31" t="n">
        <v>943.345453867441</v>
      </c>
      <c r="M30" s="31" t="n">
        <v>164.240313431176</v>
      </c>
      <c r="N30" s="31" t="n">
        <v>312.183300229982</v>
      </c>
      <c r="O30" s="32"/>
      <c r="P30" s="33" t="n">
        <v>69.9457430311902</v>
      </c>
      <c r="Q30" s="33" t="n">
        <v>11.817759799204</v>
      </c>
      <c r="R30" s="31" t="n">
        <v>166.791119614514</v>
      </c>
      <c r="S30" s="34" t="s">
        <v>76</v>
      </c>
      <c r="T30" s="35" t="n">
        <v>17.3093185</v>
      </c>
      <c r="U30" s="35" t="n">
        <v>4.040736</v>
      </c>
      <c r="V30" s="70" t="n">
        <v>21.3500545</v>
      </c>
      <c r="W30" s="35" t="n">
        <v>20.1177436335853</v>
      </c>
      <c r="X30" s="35" t="n">
        <v>3.60366869038672</v>
      </c>
      <c r="Y30" s="35" t="n">
        <v>6.23450039272856</v>
      </c>
      <c r="Z30" s="35"/>
      <c r="AA30" s="35" t="n">
        <v>1.34588698731269</v>
      </c>
      <c r="AB30" s="35" t="n">
        <v>0.233121886846278</v>
      </c>
      <c r="AC30" s="71" t="n">
        <v>3.73346256171255</v>
      </c>
      <c r="AD30" s="38" t="n">
        <v>6.9408545183092</v>
      </c>
      <c r="AE30" s="38" t="n">
        <v>6.0782736295898</v>
      </c>
      <c r="AF30" s="38" t="n">
        <v>1.22840114628312</v>
      </c>
      <c r="AG30" s="72"/>
      <c r="AH30" s="72"/>
      <c r="AI30" s="73" t="n">
        <v>33.5869144399048</v>
      </c>
      <c r="AJ30" s="42" t="s">
        <v>16</v>
      </c>
      <c r="AK30" s="43" t="n">
        <v>674.902257588654</v>
      </c>
      <c r="AL30" s="43" t="n">
        <v>697.86504191044</v>
      </c>
      <c r="AM30" s="43" t="n">
        <v>659.12483865122</v>
      </c>
      <c r="AN30" s="74"/>
      <c r="AO30" s="75" t="n">
        <v>31.0714285714286</v>
      </c>
      <c r="AP30" s="76" t="n">
        <v>0.987284810126583</v>
      </c>
      <c r="AQ30" s="76" t="n">
        <v>1.1286794755877</v>
      </c>
      <c r="AR30" s="76" t="n">
        <v>1.46841998191682</v>
      </c>
      <c r="AS30" s="77" t="n">
        <v>27.2378435804702</v>
      </c>
      <c r="AT30" s="78" t="n">
        <v>28.6808587928036</v>
      </c>
      <c r="AU30" s="78" t="n">
        <v>31.7746835443038</v>
      </c>
      <c r="AV30" s="78" t="n">
        <v>36.3253164556962</v>
      </c>
      <c r="AW30" s="78" t="n">
        <v>47.2594936708861</v>
      </c>
      <c r="AX30" s="78" t="n">
        <v>32.126582278481</v>
      </c>
      <c r="AY30" s="48" t="n">
        <v>1.3433623222275</v>
      </c>
      <c r="AZ30" s="48" t="n">
        <v>20.3977212112386</v>
      </c>
      <c r="BA30" s="48" t="n">
        <v>0.952333288761402</v>
      </c>
      <c r="BB30" s="49" t="n">
        <f aca="false">AT30/V30</f>
        <v>1.3433623222275</v>
      </c>
      <c r="BC30" s="49" t="n">
        <f aca="false">AS30/V30</f>
        <v>1.27577396022433</v>
      </c>
      <c r="BD30" s="49" t="n">
        <f aca="false">SUM(AP30:AR30)/V30</f>
        <v>0.167886422380379</v>
      </c>
      <c r="BE30" s="50" t="n">
        <v>6.82</v>
      </c>
      <c r="BF30" s="51" t="n">
        <v>100.129391351342</v>
      </c>
      <c r="BG30" s="51" t="n">
        <v>557.251664143289</v>
      </c>
      <c r="BH30" s="51" t="n">
        <v>267.192314109969</v>
      </c>
      <c r="BI30" s="51" t="n">
        <v>122.26067774231</v>
      </c>
      <c r="BJ30" s="51" t="n">
        <v>12.9495238665569</v>
      </c>
      <c r="BK30" s="51" t="n">
        <v>22.6061406706754</v>
      </c>
      <c r="BL30" s="51" t="n">
        <v>12.7645550890907</v>
      </c>
      <c r="BM30" s="51"/>
      <c r="BN30" s="52" t="n">
        <f aca="false">(BG30*0.5-BH30*0.25+BI30*0.5)/SUM(BG30:BI30)*1000</f>
        <v>288.32444277805</v>
      </c>
      <c r="BO30" s="53" t="n">
        <v>2.00324814</v>
      </c>
      <c r="BP30" s="54" t="s">
        <v>77</v>
      </c>
      <c r="BQ30" s="55" t="n">
        <v>492.922327883639</v>
      </c>
      <c r="BR30" s="56" t="n">
        <v>23.08763792072</v>
      </c>
      <c r="BS30" s="56" t="n">
        <v>35.1097532701276</v>
      </c>
      <c r="BT30" s="56" t="n">
        <v>17.1864563555998</v>
      </c>
      <c r="BU30" s="55"/>
      <c r="BV30" s="55"/>
      <c r="BW30" s="55"/>
      <c r="BX30" s="55"/>
      <c r="BY30" s="79" t="n">
        <v>0.07</v>
      </c>
      <c r="BZ30" s="80" t="n">
        <v>0.276387</v>
      </c>
      <c r="CA30" s="81" t="n">
        <v>4.07</v>
      </c>
      <c r="CB30" s="81" t="n">
        <v>0.733</v>
      </c>
      <c r="CC30" s="82" t="n">
        <v>4.922252</v>
      </c>
      <c r="CD30" s="82" t="n">
        <v>4.653035</v>
      </c>
      <c r="CE30" s="83" t="n">
        <v>88.70945</v>
      </c>
      <c r="CF30" s="84" t="n">
        <v>36.424064</v>
      </c>
      <c r="CG30" s="80" t="n">
        <v>0.7508</v>
      </c>
      <c r="CH30" s="63" t="n">
        <v>32087.5518568119</v>
      </c>
      <c r="CI30" s="63" t="n">
        <v>11719.7578788266</v>
      </c>
      <c r="CJ30" s="64" t="n">
        <v>636569.752810114</v>
      </c>
      <c r="CK30" s="65" t="n">
        <v>1.84107991733666</v>
      </c>
    </row>
    <row r="31" customFormat="false" ht="15" hidden="false" customHeight="false" outlineLevel="0" collapsed="false">
      <c r="A31" s="7" t="s">
        <v>73</v>
      </c>
      <c r="B31" s="66" t="n">
        <v>29</v>
      </c>
      <c r="C31" s="8" t="s">
        <v>107</v>
      </c>
      <c r="D31" s="67" t="n">
        <v>41610</v>
      </c>
      <c r="E31" s="4" t="s">
        <v>75</v>
      </c>
      <c r="F31" s="7" t="n">
        <v>615</v>
      </c>
      <c r="G31" s="68" t="n">
        <v>1</v>
      </c>
      <c r="H31" s="68" t="n">
        <v>153</v>
      </c>
      <c r="I31" s="66" t="n">
        <v>3</v>
      </c>
      <c r="J31" s="69" t="n">
        <v>758.392857142857</v>
      </c>
      <c r="K31" s="31" t="n">
        <v>526.319356770953</v>
      </c>
      <c r="L31" s="31" t="n">
        <v>941.775780607897</v>
      </c>
      <c r="M31" s="31" t="n">
        <v>167.614855756187</v>
      </c>
      <c r="N31" s="31" t="n">
        <v>324.974566981965</v>
      </c>
      <c r="O31" s="32"/>
      <c r="P31" s="33" t="n">
        <v>70.5933388805967</v>
      </c>
      <c r="Q31" s="33" t="n">
        <v>11.622922561416</v>
      </c>
      <c r="R31" s="31" t="n">
        <v>156.795265669547</v>
      </c>
      <c r="S31" s="34" t="s">
        <v>76</v>
      </c>
      <c r="T31" s="35" t="n">
        <v>16.3756117614286</v>
      </c>
      <c r="U31" s="35" t="n">
        <v>4.55638142857143</v>
      </c>
      <c r="V31" s="70" t="n">
        <v>20.93199319</v>
      </c>
      <c r="W31" s="35" t="n">
        <v>19.6947620114282</v>
      </c>
      <c r="X31" s="35" t="n">
        <v>3.60266117339053</v>
      </c>
      <c r="Y31" s="35" t="n">
        <v>6.25849998940963</v>
      </c>
      <c r="Z31" s="35"/>
      <c r="AA31" s="35" t="n">
        <v>1.30843272585241</v>
      </c>
      <c r="AB31" s="35" t="n">
        <v>0.22254215437796</v>
      </c>
      <c r="AC31" s="71" t="n">
        <v>3.52205373976947</v>
      </c>
      <c r="AD31" s="38" t="n">
        <v>6.36815275208646</v>
      </c>
      <c r="AE31" s="38" t="n">
        <v>5.60925831760212</v>
      </c>
      <c r="AF31" s="38" t="n">
        <v>1.33277198168116</v>
      </c>
      <c r="AG31" s="72"/>
      <c r="AH31" s="72"/>
      <c r="AI31" s="73" t="n">
        <v>34.9461080852757</v>
      </c>
      <c r="AJ31" s="42" t="s">
        <v>16</v>
      </c>
      <c r="AK31" s="43" t="n">
        <v>695.76940455299</v>
      </c>
      <c r="AL31" s="43" t="n">
        <v>715.190347852528</v>
      </c>
      <c r="AM31" s="43" t="n">
        <v>630.05902649822</v>
      </c>
      <c r="AN31" s="74"/>
      <c r="AO31" s="75" t="n">
        <v>34.1928571428571</v>
      </c>
      <c r="AP31" s="76" t="n">
        <v>1.29932857142857</v>
      </c>
      <c r="AQ31" s="76" t="n">
        <v>1.24120071428571</v>
      </c>
      <c r="AR31" s="76" t="n">
        <v>1.56945214285714</v>
      </c>
      <c r="AS31" s="77" t="n">
        <v>33.1670714285714</v>
      </c>
      <c r="AT31" s="78" t="n">
        <v>33.906965655141</v>
      </c>
      <c r="AU31" s="78" t="n">
        <v>38</v>
      </c>
      <c r="AV31" s="78" t="n">
        <v>36.3</v>
      </c>
      <c r="AW31" s="78" t="n">
        <v>45.9</v>
      </c>
      <c r="AX31" s="78" t="n">
        <v>32.6</v>
      </c>
      <c r="AY31" s="48" t="n">
        <v>1.61986320879082</v>
      </c>
      <c r="AZ31" s="48" t="n">
        <v>26.1316399495688</v>
      </c>
      <c r="BA31" s="48" t="n">
        <v>-5.19964675956879</v>
      </c>
      <c r="BB31" s="49" t="n">
        <f aca="false">AT31/V31</f>
        <v>1.61986320879082</v>
      </c>
      <c r="BC31" s="49" t="n">
        <f aca="false">AS31/V31</f>
        <v>1.58451568025622</v>
      </c>
      <c r="BD31" s="49" t="n">
        <f aca="false">SUM(AP31:AR31)/V31</f>
        <v>0.196349262646183</v>
      </c>
      <c r="BE31" s="50" t="n">
        <v>6.6</v>
      </c>
      <c r="BF31" s="51" t="n">
        <v>168.306531740815</v>
      </c>
      <c r="BG31" s="51" t="n">
        <v>591.901688535889</v>
      </c>
      <c r="BH31" s="51" t="n">
        <v>212.377212025336</v>
      </c>
      <c r="BI31" s="51" t="n">
        <v>155.416448604068</v>
      </c>
      <c r="BJ31" s="51" t="n">
        <v>9.56471545429361</v>
      </c>
      <c r="BK31" s="51" t="n">
        <v>14.2323341581954</v>
      </c>
      <c r="BL31" s="51" t="n">
        <v>11.532476844109</v>
      </c>
      <c r="BM31" s="51"/>
      <c r="BN31" s="52" t="n">
        <f aca="false">(BG31*0.5-BH31*0.25+BI31*0.5)/SUM(BG31:BI31)*1000</f>
        <v>334.02763266745</v>
      </c>
      <c r="BO31" s="53" t="n">
        <v>7.90443728</v>
      </c>
      <c r="BP31" s="54" t="s">
        <v>77</v>
      </c>
      <c r="BQ31" s="55" t="n">
        <v>444.982434570981</v>
      </c>
      <c r="BR31" s="56" t="n">
        <v>21.258483629909</v>
      </c>
      <c r="BS31" s="56" t="n">
        <v>31.5915173673217</v>
      </c>
      <c r="BT31" s="56" t="n">
        <v>13.1236289055406</v>
      </c>
      <c r="BU31" s="55"/>
      <c r="BV31" s="55"/>
      <c r="BW31" s="55"/>
      <c r="BX31" s="55"/>
      <c r="BY31" s="79" t="n">
        <v>0.1</v>
      </c>
      <c r="BZ31" s="80" t="n">
        <v>0.6058385</v>
      </c>
      <c r="CA31" s="81" t="n">
        <v>3.81</v>
      </c>
      <c r="CB31" s="81" t="n">
        <v>0.931</v>
      </c>
      <c r="CC31" s="82" t="n">
        <v>3.955976</v>
      </c>
      <c r="CD31" s="82" t="n">
        <v>6.104408</v>
      </c>
      <c r="CE31" s="83" t="n">
        <v>79.261073</v>
      </c>
      <c r="CF31" s="84" t="n">
        <v>36.25131</v>
      </c>
      <c r="CG31" s="80" t="n">
        <v>0.146</v>
      </c>
      <c r="CH31" s="63" t="n">
        <v>66471.269056211</v>
      </c>
      <c r="CI31" s="63" t="n">
        <v>10991.4000871138</v>
      </c>
      <c r="CJ31" s="64" t="n">
        <v>553492.66417262</v>
      </c>
      <c r="CK31" s="65" t="n">
        <v>1.98582579292972</v>
      </c>
    </row>
    <row r="32" customFormat="false" ht="15" hidden="false" customHeight="false" outlineLevel="0" collapsed="false">
      <c r="A32" s="7" t="s">
        <v>73</v>
      </c>
      <c r="B32" s="66" t="n">
        <v>30</v>
      </c>
      <c r="C32" s="8" t="s">
        <v>108</v>
      </c>
      <c r="D32" s="67" t="n">
        <v>41610</v>
      </c>
      <c r="E32" s="4" t="s">
        <v>75</v>
      </c>
      <c r="F32" s="7" t="n">
        <v>15</v>
      </c>
      <c r="G32" s="68" t="n">
        <v>1</v>
      </c>
      <c r="H32" s="68" t="n">
        <v>154</v>
      </c>
      <c r="I32" s="66" t="n">
        <v>1</v>
      </c>
      <c r="J32" s="69" t="n">
        <v>532.87380952381</v>
      </c>
      <c r="K32" s="31" t="n">
        <v>526.319356770953</v>
      </c>
      <c r="L32" s="31" t="n">
        <v>941.775780607897</v>
      </c>
      <c r="M32" s="31" t="n">
        <v>167.614855756187</v>
      </c>
      <c r="N32" s="31" t="n">
        <v>324.974566981965</v>
      </c>
      <c r="O32" s="32"/>
      <c r="P32" s="33" t="n">
        <v>70.5933388805967</v>
      </c>
      <c r="Q32" s="33" t="n">
        <v>11.622922561416</v>
      </c>
      <c r="R32" s="31" t="n">
        <v>156.795265669547</v>
      </c>
      <c r="S32" s="34" t="s">
        <v>76</v>
      </c>
      <c r="T32" s="35" t="n">
        <v>21.5985445728571</v>
      </c>
      <c r="U32" s="35" t="n">
        <v>7.24271985714286</v>
      </c>
      <c r="V32" s="70" t="n">
        <v>28.84126443</v>
      </c>
      <c r="W32" s="35" t="n">
        <v>27.1326254158037</v>
      </c>
      <c r="X32" s="35" t="n">
        <v>4.98388013289286</v>
      </c>
      <c r="Y32" s="35" t="n">
        <v>8.50816134729857</v>
      </c>
      <c r="Z32" s="35"/>
      <c r="AA32" s="35" t="n">
        <v>1.76700247424708</v>
      </c>
      <c r="AB32" s="35" t="n">
        <v>0.302237993804958</v>
      </c>
      <c r="AC32" s="71" t="n">
        <v>4.90369815778542</v>
      </c>
      <c r="AD32" s="38" t="n">
        <v>8.19600412086966</v>
      </c>
      <c r="AE32" s="38" t="n">
        <v>7.15962452646867</v>
      </c>
      <c r="AF32" s="38" t="n">
        <v>1.8699058436416</v>
      </c>
      <c r="AG32" s="72"/>
      <c r="AH32" s="72"/>
      <c r="AI32" s="73" t="n">
        <v>36.8762618158479</v>
      </c>
      <c r="AJ32" s="42" t="s">
        <v>16</v>
      </c>
      <c r="AK32" s="43" t="n">
        <v>715.823689326728</v>
      </c>
      <c r="AL32" s="43" t="n">
        <v>736.124889620949</v>
      </c>
      <c r="AM32" s="43" t="n">
        <v>624.809226188948</v>
      </c>
      <c r="AN32" s="74"/>
      <c r="AO32" s="75" t="n">
        <v>42.4214285714286</v>
      </c>
      <c r="AP32" s="76" t="n">
        <v>1.96835428571429</v>
      </c>
      <c r="AQ32" s="76" t="n">
        <v>1.44657071428571</v>
      </c>
      <c r="AR32" s="76" t="n">
        <v>1.97683857142857</v>
      </c>
      <c r="AS32" s="77" t="n">
        <v>46.4938857142857</v>
      </c>
      <c r="AT32" s="78" t="n">
        <v>45.8503229208371</v>
      </c>
      <c r="AU32" s="78" t="n">
        <v>46.4</v>
      </c>
      <c r="AV32" s="78" t="n">
        <v>34.1</v>
      </c>
      <c r="AW32" s="78" t="n">
        <v>46.6</v>
      </c>
      <c r="AX32" s="78" t="n">
        <v>31.2</v>
      </c>
      <c r="AY32" s="48" t="n">
        <v>1.5897473230454</v>
      </c>
      <c r="AZ32" s="48" t="n">
        <v>27.8289063254727</v>
      </c>
      <c r="BA32" s="48" t="n">
        <v>1.01235810452731</v>
      </c>
      <c r="BB32" s="49" t="n">
        <f aca="false">AT32/V32</f>
        <v>1.5897473230454</v>
      </c>
      <c r="BC32" s="49" t="n">
        <f aca="false">AS32/V32</f>
        <v>1.61206128209566</v>
      </c>
      <c r="BD32" s="49" t="n">
        <f aca="false">SUM(AP32:AR32)/V32</f>
        <v>0.186946157805071</v>
      </c>
      <c r="BE32" s="50" t="n">
        <v>6.7</v>
      </c>
      <c r="BF32" s="51" t="n">
        <v>165.67983353942</v>
      </c>
      <c r="BG32" s="51" t="n">
        <v>585.387617761574</v>
      </c>
      <c r="BH32" s="51" t="n">
        <v>252.564202463537</v>
      </c>
      <c r="BI32" s="51" t="n">
        <v>123.448694841141</v>
      </c>
      <c r="BJ32" s="51" t="n">
        <v>8.74358633517744</v>
      </c>
      <c r="BK32" s="51" t="n">
        <v>15.1626495676389</v>
      </c>
      <c r="BL32" s="51" t="n">
        <v>9.71812465282158</v>
      </c>
      <c r="BM32" s="51"/>
      <c r="BN32" s="52" t="n">
        <f aca="false">(BG32*0.5-BH32*0.25+BI32*0.5)/SUM(BG32:BI32)*1000</f>
        <v>302.971655538796</v>
      </c>
      <c r="BO32" s="53" t="n">
        <v>4.97890642</v>
      </c>
      <c r="BP32" s="54" t="s">
        <v>77</v>
      </c>
      <c r="BQ32" s="55" t="n">
        <v>408.745972684329</v>
      </c>
      <c r="BR32" s="56" t="n">
        <v>14.1722625814963</v>
      </c>
      <c r="BS32" s="56" t="n">
        <v>20.4649253734618</v>
      </c>
      <c r="BT32" s="56" t="n">
        <v>8.91478939832222</v>
      </c>
      <c r="BU32" s="55"/>
      <c r="BV32" s="55"/>
      <c r="BW32" s="55"/>
      <c r="BX32" s="55"/>
      <c r="BY32" s="79" t="n">
        <v>0.07</v>
      </c>
      <c r="BZ32" s="80" t="n">
        <v>0.414699</v>
      </c>
      <c r="CA32" s="81" t="n">
        <v>3.89</v>
      </c>
      <c r="CB32" s="81" t="n">
        <v>0.388</v>
      </c>
      <c r="CC32" s="82" t="n">
        <v>5.30036</v>
      </c>
      <c r="CD32" s="82" t="n">
        <v>6.142106</v>
      </c>
      <c r="CE32" s="83" t="n">
        <v>72.075694</v>
      </c>
      <c r="CF32" s="84" t="n">
        <v>37.968688</v>
      </c>
      <c r="CG32" s="80" t="n">
        <v>0.1364</v>
      </c>
      <c r="CH32" s="63" t="n">
        <v>21889.3468443321</v>
      </c>
      <c r="CI32" s="63" t="n">
        <v>12457.2843904589</v>
      </c>
      <c r="CJ32" s="63" t="n">
        <v>944163.21378859</v>
      </c>
      <c r="CK32" s="85" t="n">
        <v>1.31939946489466</v>
      </c>
    </row>
    <row r="33" customFormat="false" ht="15" hidden="false" customHeight="false" outlineLevel="0" collapsed="false">
      <c r="A33" s="7" t="s">
        <v>73</v>
      </c>
      <c r="B33" s="66" t="n">
        <v>31</v>
      </c>
      <c r="C33" s="8" t="s">
        <v>109</v>
      </c>
      <c r="D33" s="67" t="n">
        <v>41610</v>
      </c>
      <c r="E33" s="4" t="s">
        <v>75</v>
      </c>
      <c r="F33" s="7" t="n">
        <v>252</v>
      </c>
      <c r="G33" s="68" t="n">
        <v>1</v>
      </c>
      <c r="H33" s="68" t="n">
        <v>156</v>
      </c>
      <c r="I33" s="66" t="n">
        <v>2</v>
      </c>
      <c r="J33" s="69" t="n">
        <v>554.333333333333</v>
      </c>
      <c r="K33" s="31" t="n">
        <v>526.319356770953</v>
      </c>
      <c r="L33" s="31" t="n">
        <v>941.775780607897</v>
      </c>
      <c r="M33" s="31" t="n">
        <v>167.614855756187</v>
      </c>
      <c r="N33" s="31" t="n">
        <v>324.974566981965</v>
      </c>
      <c r="O33" s="32"/>
      <c r="P33" s="33" t="n">
        <v>70.5933388805967</v>
      </c>
      <c r="Q33" s="33" t="n">
        <v>11.622922561416</v>
      </c>
      <c r="R33" s="31" t="n">
        <v>156.795265669547</v>
      </c>
      <c r="S33" s="34" t="s">
        <v>76</v>
      </c>
      <c r="T33" s="35" t="n">
        <v>15.5585318328571</v>
      </c>
      <c r="U33" s="35" t="n">
        <v>3.59669435714286</v>
      </c>
      <c r="V33" s="70" t="n">
        <v>19.15522619</v>
      </c>
      <c r="W33" s="35" t="n">
        <v>18.0253386964183</v>
      </c>
      <c r="X33" s="35" t="n">
        <v>3.28501868985112</v>
      </c>
      <c r="Y33" s="35" t="n">
        <v>5.79564746835708</v>
      </c>
      <c r="Z33" s="35"/>
      <c r="AA33" s="35" t="n">
        <v>1.21864812722552</v>
      </c>
      <c r="AB33" s="35" t="n">
        <v>0.206261137743498</v>
      </c>
      <c r="AC33" s="71" t="n">
        <v>3.19291169180578</v>
      </c>
      <c r="AD33" s="38" t="n">
        <v>6.42572818278518</v>
      </c>
      <c r="AE33" s="38" t="n">
        <v>5.73979114244233</v>
      </c>
      <c r="AF33" s="38" t="n">
        <v>1.43154275772334</v>
      </c>
      <c r="AG33" s="72"/>
      <c r="AH33" s="72"/>
      <c r="AI33" s="73" t="n">
        <v>32.0992628191277</v>
      </c>
      <c r="AJ33" s="42" t="s">
        <v>16</v>
      </c>
      <c r="AK33" s="43" t="n">
        <v>664.544384960605</v>
      </c>
      <c r="AL33" s="43" t="n">
        <v>681.570968562003</v>
      </c>
      <c r="AM33" s="43" t="n">
        <v>564.220817937502</v>
      </c>
      <c r="AN33" s="74"/>
      <c r="AO33" s="75" t="n">
        <v>30.7857142857143</v>
      </c>
      <c r="AP33" s="76" t="n">
        <v>1.57930714285714</v>
      </c>
      <c r="AQ33" s="76" t="n">
        <v>0.972828571428571</v>
      </c>
      <c r="AR33" s="76" t="n">
        <v>1.41306428571429</v>
      </c>
      <c r="AS33" s="77" t="n">
        <v>36.0038928571429</v>
      </c>
      <c r="AT33" s="78" t="n">
        <v>34.4074084622384</v>
      </c>
      <c r="AU33" s="78" t="n">
        <v>51.3</v>
      </c>
      <c r="AV33" s="78" t="n">
        <v>31.6</v>
      </c>
      <c r="AW33" s="78" t="n">
        <v>45.9</v>
      </c>
      <c r="AX33" s="78" t="n">
        <v>34.6</v>
      </c>
      <c r="AY33" s="48" t="n">
        <v>1.79624130359791</v>
      </c>
      <c r="AZ33" s="48" t="n">
        <v>24.2846373648014</v>
      </c>
      <c r="BA33" s="48" t="n">
        <v>-5.12941117480143</v>
      </c>
      <c r="BB33" s="49" t="n">
        <f aca="false">AT33/V33</f>
        <v>1.79624130359791</v>
      </c>
      <c r="BC33" s="49" t="n">
        <f aca="false">AS33/V33</f>
        <v>1.87958588951243</v>
      </c>
      <c r="BD33" s="49" t="n">
        <f aca="false">SUM(AP33:AR33)/V33</f>
        <v>0.20700355927251</v>
      </c>
      <c r="BE33" s="50" t="n">
        <v>6.78</v>
      </c>
      <c r="BF33" s="51" t="n">
        <v>117.410061243832</v>
      </c>
      <c r="BG33" s="51" t="n">
        <v>622.397341797148</v>
      </c>
      <c r="BH33" s="51" t="n">
        <v>211.799076370278</v>
      </c>
      <c r="BI33" s="51" t="n">
        <v>124.978034588973</v>
      </c>
      <c r="BJ33" s="51" t="n">
        <v>11.0284703616957</v>
      </c>
      <c r="BK33" s="51" t="n">
        <v>14.4036484491184</v>
      </c>
      <c r="BL33" s="51" t="n">
        <v>10.4183040546773</v>
      </c>
      <c r="BM33" s="51"/>
      <c r="BN33" s="52" t="n">
        <f aca="false">(BG33*0.5-BH33*0.25+BI33*0.5)/SUM(BG33:BI33)*1000</f>
        <v>334.389555704679</v>
      </c>
      <c r="BO33" s="53" t="n">
        <v>10.8631878</v>
      </c>
      <c r="BP33" s="54" t="s">
        <v>77</v>
      </c>
      <c r="BQ33" s="55" t="n">
        <v>410.031280177743</v>
      </c>
      <c r="BR33" s="56" t="n">
        <v>21.4057133082459</v>
      </c>
      <c r="BS33" s="56" t="n">
        <v>33.3750920238833</v>
      </c>
      <c r="BT33" s="56" t="n">
        <v>11.9169474977386</v>
      </c>
      <c r="BU33" s="55"/>
      <c r="BV33" s="55"/>
      <c r="BW33" s="55"/>
      <c r="BX33" s="55"/>
      <c r="BY33" s="79" t="n">
        <v>0.07</v>
      </c>
      <c r="BZ33" s="80" t="n">
        <v>0.6730735</v>
      </c>
      <c r="CA33" s="81" t="n">
        <v>3.34</v>
      </c>
      <c r="CB33" s="81" t="n">
        <v>0.03</v>
      </c>
      <c r="CC33" s="82" t="n">
        <v>5.61545</v>
      </c>
      <c r="CD33" s="82" t="n">
        <v>5.557787</v>
      </c>
      <c r="CE33" s="83" t="n">
        <v>72.486493</v>
      </c>
      <c r="CF33" s="84" t="n">
        <v>33.35514</v>
      </c>
      <c r="CG33" s="80" t="n">
        <v>0.098</v>
      </c>
      <c r="CH33" s="63" t="n">
        <v>69713.1171879457</v>
      </c>
      <c r="CI33" s="63" t="n">
        <v>12088.1515760799</v>
      </c>
      <c r="CJ33" s="64" t="n">
        <v>577981.110763802</v>
      </c>
      <c r="CK33" s="65" t="n">
        <v>2.09144405430576</v>
      </c>
    </row>
    <row r="34" customFormat="false" ht="15" hidden="false" customHeight="false" outlineLevel="0" collapsed="false">
      <c r="A34" s="7" t="s">
        <v>73</v>
      </c>
      <c r="B34" s="66" t="n">
        <v>32</v>
      </c>
      <c r="C34" s="8" t="s">
        <v>110</v>
      </c>
      <c r="D34" s="67" t="n">
        <v>41610</v>
      </c>
      <c r="E34" s="4" t="s">
        <v>75</v>
      </c>
      <c r="F34" s="7" t="n">
        <v>345</v>
      </c>
      <c r="G34" s="68" t="n">
        <v>1</v>
      </c>
      <c r="H34" s="68" t="n">
        <v>158</v>
      </c>
      <c r="I34" s="66" t="n">
        <v>1</v>
      </c>
      <c r="J34" s="69" t="n">
        <v>585.588095238095</v>
      </c>
      <c r="K34" s="31" t="n">
        <v>526.319356770953</v>
      </c>
      <c r="L34" s="31" t="n">
        <v>941.775780607897</v>
      </c>
      <c r="M34" s="31" t="n">
        <v>167.614855756187</v>
      </c>
      <c r="N34" s="31" t="n">
        <v>324.974566981965</v>
      </c>
      <c r="O34" s="32"/>
      <c r="P34" s="33" t="n">
        <v>70.5933388805967</v>
      </c>
      <c r="Q34" s="33" t="n">
        <v>11.622922561416</v>
      </c>
      <c r="R34" s="31" t="n">
        <v>156.795265669547</v>
      </c>
      <c r="S34" s="34" t="s">
        <v>76</v>
      </c>
      <c r="T34" s="35" t="n">
        <v>16.7897444671429</v>
      </c>
      <c r="U34" s="35" t="n">
        <v>5.80806714285714</v>
      </c>
      <c r="V34" s="70" t="n">
        <v>22.59781161</v>
      </c>
      <c r="W34" s="35" t="n">
        <v>21.2585121962466</v>
      </c>
      <c r="X34" s="35" t="n">
        <v>3.90774057188465</v>
      </c>
      <c r="Y34" s="35" t="n">
        <v>6.65044307659839</v>
      </c>
      <c r="Z34" s="35"/>
      <c r="AA34" s="35" t="n">
        <v>1.37954010033605</v>
      </c>
      <c r="AB34" s="35" t="n">
        <v>0.236203925211114</v>
      </c>
      <c r="AC34" s="71" t="n">
        <v>3.84918117547963</v>
      </c>
      <c r="AD34" s="38" t="n">
        <v>7.10172169938006</v>
      </c>
      <c r="AE34" s="38" t="n">
        <v>6.21802958642216</v>
      </c>
      <c r="AF34" s="38" t="n">
        <v>1.88898846435794</v>
      </c>
      <c r="AG34" s="72"/>
      <c r="AH34" s="72"/>
      <c r="AI34" s="73" t="n">
        <v>33.2600931449811</v>
      </c>
      <c r="AJ34" s="42" t="s">
        <v>16</v>
      </c>
      <c r="AK34" s="43" t="n">
        <v>685.734095763618</v>
      </c>
      <c r="AL34" s="43" t="n">
        <v>707.504009263639</v>
      </c>
      <c r="AM34" s="43" t="n">
        <v>516.60341068985</v>
      </c>
      <c r="AN34" s="74"/>
      <c r="AO34" s="75" t="n">
        <v>36.3</v>
      </c>
      <c r="AP34" s="76" t="n">
        <v>1.29800647058823</v>
      </c>
      <c r="AQ34" s="76" t="n">
        <v>1.08954352941176</v>
      </c>
      <c r="AR34" s="76" t="n">
        <v>1.59778235294118</v>
      </c>
      <c r="AS34" s="77" t="n">
        <v>33.9900970588235</v>
      </c>
      <c r="AT34" s="78" t="n">
        <v>32.8851373735481</v>
      </c>
      <c r="AU34" s="78" t="n">
        <v>35.7577540106952</v>
      </c>
      <c r="AV34" s="78" t="n">
        <v>30.0149732620321</v>
      </c>
      <c r="AW34" s="78" t="n">
        <v>44.0160427807487</v>
      </c>
      <c r="AX34" s="78" t="n">
        <v>37.5347593582888</v>
      </c>
      <c r="AY34" s="48" t="n">
        <v>1.45523548656348</v>
      </c>
      <c r="AZ34" s="48" t="n">
        <v>24.0107100724374</v>
      </c>
      <c r="BA34" s="48" t="n">
        <v>-1.41289846243738</v>
      </c>
      <c r="BB34" s="49" t="n">
        <f aca="false">AT34/V34</f>
        <v>1.45523548656348</v>
      </c>
      <c r="BC34" s="49" t="n">
        <f aca="false">AS34/V34</f>
        <v>1.50413224277798</v>
      </c>
      <c r="BD34" s="49" t="n">
        <f aca="false">SUM(AP34:AR34)/V34</f>
        <v>0.176359216623329</v>
      </c>
      <c r="BE34" s="50" t="n">
        <v>6.78</v>
      </c>
      <c r="BF34" s="51" t="n">
        <v>114.920570446915</v>
      </c>
      <c r="BG34" s="51" t="n">
        <v>627.68088852343</v>
      </c>
      <c r="BH34" s="51" t="n">
        <v>183.068403918954</v>
      </c>
      <c r="BI34" s="51" t="n">
        <v>153.832955464885</v>
      </c>
      <c r="BJ34" s="51" t="n">
        <v>9.77835607365078</v>
      </c>
      <c r="BK34" s="51" t="n">
        <v>10.7087100004253</v>
      </c>
      <c r="BL34" s="51" t="n">
        <v>9.95556164054499</v>
      </c>
      <c r="BM34" s="51"/>
      <c r="BN34" s="52" t="n">
        <f aca="false">(BG34*0.5-BH34*0.25+BI34*0.5)/SUM(BG34:BI34)*1000</f>
        <v>357.657236345474</v>
      </c>
      <c r="BO34" s="53" t="n">
        <v>5.11949778</v>
      </c>
      <c r="BP34" s="54" t="s">
        <v>77</v>
      </c>
      <c r="BQ34" s="55" t="n">
        <v>417.707976208871</v>
      </c>
      <c r="BR34" s="56" t="n">
        <v>18.4844436894069</v>
      </c>
      <c r="BS34" s="56" t="n">
        <v>27.7722455485586</v>
      </c>
      <c r="BT34" s="56" t="n">
        <v>12.7020292317484</v>
      </c>
      <c r="BU34" s="55"/>
      <c r="BV34" s="55"/>
      <c r="BW34" s="55"/>
      <c r="BX34" s="55"/>
      <c r="BY34" s="79" t="n">
        <v>0.13</v>
      </c>
      <c r="BZ34" s="80" t="n">
        <v>0.476171</v>
      </c>
      <c r="CA34" s="81" t="n">
        <v>4.16</v>
      </c>
      <c r="CB34" s="81" t="n">
        <v>0.763</v>
      </c>
      <c r="CC34" s="82" t="n">
        <v>5.237342</v>
      </c>
      <c r="CD34" s="82" t="n">
        <v>7.895063</v>
      </c>
      <c r="CE34" s="83" t="n">
        <v>83.779862</v>
      </c>
      <c r="CF34" s="84" t="n">
        <v>36.850868</v>
      </c>
      <c r="CG34" s="80" t="n">
        <v>0.1076</v>
      </c>
      <c r="CH34" s="63" t="n">
        <v>93230.7981698277</v>
      </c>
      <c r="CI34" s="63" t="n">
        <v>10294.5696483263</v>
      </c>
      <c r="CJ34" s="64" t="n">
        <v>353601.367915774</v>
      </c>
      <c r="CK34" s="65" t="n">
        <v>2.91134893199238</v>
      </c>
    </row>
    <row r="35" customFormat="false" ht="15" hidden="false" customHeight="false" outlineLevel="0" collapsed="false">
      <c r="A35" s="7" t="s">
        <v>73</v>
      </c>
      <c r="B35" s="66" t="n">
        <v>33</v>
      </c>
      <c r="C35" s="8" t="s">
        <v>111</v>
      </c>
      <c r="D35" s="67" t="n">
        <v>41610</v>
      </c>
      <c r="E35" s="4" t="s">
        <v>75</v>
      </c>
      <c r="F35" s="7" t="n">
        <v>28</v>
      </c>
      <c r="G35" s="68" t="n">
        <v>1</v>
      </c>
      <c r="H35" s="68" t="n">
        <v>158</v>
      </c>
      <c r="I35" s="66" t="n">
        <v>1</v>
      </c>
      <c r="J35" s="69" t="n">
        <v>642.369047619048</v>
      </c>
      <c r="K35" s="31" t="n">
        <v>526.319356770953</v>
      </c>
      <c r="L35" s="31" t="n">
        <v>941.775780607897</v>
      </c>
      <c r="M35" s="31" t="n">
        <v>167.614855756187</v>
      </c>
      <c r="N35" s="31" t="n">
        <v>324.974566981965</v>
      </c>
      <c r="O35" s="32"/>
      <c r="P35" s="33" t="n">
        <v>70.5933388805967</v>
      </c>
      <c r="Q35" s="33" t="n">
        <v>11.622922561416</v>
      </c>
      <c r="R35" s="31" t="n">
        <v>156.795265669547</v>
      </c>
      <c r="S35" s="34" t="s">
        <v>76</v>
      </c>
      <c r="T35" s="35" t="n">
        <v>11.6657920271429</v>
      </c>
      <c r="U35" s="35" t="n">
        <v>1.70548314285714</v>
      </c>
      <c r="V35" s="70" t="n">
        <v>13.37127517</v>
      </c>
      <c r="W35" s="35" t="n">
        <v>12.5858250980012</v>
      </c>
      <c r="X35" s="35" t="n">
        <v>2.27646462408582</v>
      </c>
      <c r="Y35" s="35" t="n">
        <v>4.14175199650654</v>
      </c>
      <c r="Z35" s="35"/>
      <c r="AA35" s="35" t="n">
        <v>0.880580358464405</v>
      </c>
      <c r="AB35" s="35" t="n">
        <v>0.147646892249012</v>
      </c>
      <c r="AC35" s="71" t="n">
        <v>2.18639230403837</v>
      </c>
      <c r="AD35" s="38" t="n">
        <v>4.01020120652814</v>
      </c>
      <c r="AE35" s="38" t="n">
        <v>3.48664938513116</v>
      </c>
      <c r="AF35" s="38" t="n">
        <v>0.944553988443279</v>
      </c>
      <c r="AG35" s="72"/>
      <c r="AH35" s="72"/>
      <c r="AI35" s="73" t="n">
        <v>36.817826499244</v>
      </c>
      <c r="AJ35" s="42" t="s">
        <v>16</v>
      </c>
      <c r="AK35" s="43" t="n">
        <v>700.088349424931</v>
      </c>
      <c r="AL35" s="43" t="n">
        <v>722.970138391254</v>
      </c>
      <c r="AM35" s="43" t="n">
        <v>585.078556262393</v>
      </c>
      <c r="AN35" s="74"/>
      <c r="AO35" s="75" t="n">
        <v>23.8642857142857</v>
      </c>
      <c r="AP35" s="76"/>
      <c r="AQ35" s="76"/>
      <c r="AR35" s="76"/>
      <c r="AS35" s="77"/>
      <c r="AT35" s="75"/>
      <c r="AU35" s="78"/>
      <c r="AV35" s="78"/>
      <c r="AW35" s="78"/>
      <c r="AX35" s="78"/>
      <c r="AY35" s="48"/>
      <c r="AZ35" s="48"/>
      <c r="BA35" s="48"/>
      <c r="BB35" s="49"/>
      <c r="BC35" s="49"/>
      <c r="BD35" s="49"/>
      <c r="BE35" s="50" t="n">
        <v>6.85</v>
      </c>
      <c r="BF35" s="51" t="n">
        <v>144.717190085831</v>
      </c>
      <c r="BG35" s="51" t="n">
        <v>612.678003083472</v>
      </c>
      <c r="BH35" s="51" t="n">
        <v>197.809035314765</v>
      </c>
      <c r="BI35" s="51" t="n">
        <v>151.572440046871</v>
      </c>
      <c r="BJ35" s="51" t="n">
        <v>10.9173645080965</v>
      </c>
      <c r="BK35" s="51" t="n">
        <v>11.8425149291967</v>
      </c>
      <c r="BL35" s="51" t="n">
        <v>10.2055177394901</v>
      </c>
      <c r="BM35" s="51"/>
      <c r="BN35" s="52" t="n">
        <f aca="false">(BG35*0.5-BH35*0.25+BI35*0.5)/SUM(BG35:BI35)*1000</f>
        <v>345.792510951766</v>
      </c>
      <c r="BO35" s="53" t="n">
        <v>2.88553248</v>
      </c>
      <c r="BP35" s="54" t="s">
        <v>77</v>
      </c>
      <c r="BQ35" s="55" t="n">
        <v>407.413302840364</v>
      </c>
      <c r="BR35" s="56" t="n">
        <v>30.4692931422459</v>
      </c>
      <c r="BS35" s="56" t="n">
        <v>44.774748361449</v>
      </c>
      <c r="BT35" s="56"/>
      <c r="BU35" s="55"/>
      <c r="BV35" s="55"/>
      <c r="BW35" s="55"/>
      <c r="BX35" s="55"/>
      <c r="BY35" s="79" t="n">
        <v>0.08</v>
      </c>
      <c r="BZ35" s="80" t="n">
        <v>0.5270775</v>
      </c>
      <c r="CA35" s="81" t="n">
        <v>3.79</v>
      </c>
      <c r="CB35" s="81" t="n">
        <v>0.764</v>
      </c>
      <c r="CC35" s="82" t="n">
        <v>4.491629</v>
      </c>
      <c r="CD35" s="82" t="n">
        <v>6.921198</v>
      </c>
      <c r="CE35" s="83" t="n">
        <v>90.042745</v>
      </c>
      <c r="CF35" s="84" t="n">
        <v>37.409778</v>
      </c>
      <c r="CG35" s="80" t="n">
        <v>0.1652</v>
      </c>
      <c r="CH35" s="63" t="n">
        <v>65999.911629849</v>
      </c>
      <c r="CI35" s="63" t="n">
        <v>5373.02751557562</v>
      </c>
      <c r="CJ35" s="63" t="n">
        <v>392461.37193271</v>
      </c>
      <c r="CK35" s="85" t="n">
        <v>1.36905894435309</v>
      </c>
    </row>
    <row r="36" customFormat="false" ht="15" hidden="false" customHeight="false" outlineLevel="0" collapsed="false">
      <c r="A36" s="7" t="s">
        <v>73</v>
      </c>
      <c r="B36" s="66" t="n">
        <v>34</v>
      </c>
      <c r="C36" s="8" t="s">
        <v>112</v>
      </c>
      <c r="D36" s="67" t="n">
        <v>41610</v>
      </c>
      <c r="E36" s="4" t="s">
        <v>75</v>
      </c>
      <c r="F36" s="7" t="n">
        <v>133</v>
      </c>
      <c r="G36" s="68" t="n">
        <v>1</v>
      </c>
      <c r="H36" s="68" t="n">
        <v>163</v>
      </c>
      <c r="I36" s="66" t="n">
        <v>2</v>
      </c>
      <c r="J36" s="69" t="n">
        <v>590.690476190476</v>
      </c>
      <c r="K36" s="31" t="n">
        <v>526.319356770953</v>
      </c>
      <c r="L36" s="31" t="n">
        <v>941.775780607897</v>
      </c>
      <c r="M36" s="31" t="n">
        <v>167.614855756187</v>
      </c>
      <c r="N36" s="31" t="n">
        <v>324.974566981965</v>
      </c>
      <c r="O36" s="32"/>
      <c r="P36" s="33" t="n">
        <v>70.5933388805967</v>
      </c>
      <c r="Q36" s="33" t="n">
        <v>11.622922561416</v>
      </c>
      <c r="R36" s="31" t="n">
        <v>156.795265669547</v>
      </c>
      <c r="S36" s="34" t="s">
        <v>76</v>
      </c>
      <c r="T36" s="35" t="n">
        <v>20.3032649014286</v>
      </c>
      <c r="U36" s="35" t="n">
        <v>5.26634492857143</v>
      </c>
      <c r="V36" s="70" t="n">
        <v>25.56960983</v>
      </c>
      <c r="W36" s="35" t="n">
        <v>24.0594771921046</v>
      </c>
      <c r="X36" s="35" t="n">
        <v>4.39466453799529</v>
      </c>
      <c r="Y36" s="35" t="n">
        <v>7.68086375191982</v>
      </c>
      <c r="Z36" s="35"/>
      <c r="AA36" s="35" t="n">
        <v>1.6094491261657</v>
      </c>
      <c r="AB36" s="35" t="n">
        <v>0.273211792298389</v>
      </c>
      <c r="AC36" s="71" t="n">
        <v>4.28660878935527</v>
      </c>
      <c r="AD36" s="38" t="n">
        <v>8.42840684561466</v>
      </c>
      <c r="AE36" s="38" t="n">
        <v>7.53761554187919</v>
      </c>
      <c r="AF36" s="38" t="n">
        <v>1.81401249731692</v>
      </c>
      <c r="AG36" s="72"/>
      <c r="AH36" s="72"/>
      <c r="AI36" s="73" t="n">
        <v>32.4155913807771</v>
      </c>
      <c r="AJ36" s="42" t="s">
        <v>16</v>
      </c>
      <c r="AK36" s="43" t="n">
        <v>670.374053352747</v>
      </c>
      <c r="AL36" s="43" t="n">
        <v>686.709088410585</v>
      </c>
      <c r="AM36" s="43" t="n">
        <v>587.22389806244</v>
      </c>
      <c r="AN36" s="74"/>
      <c r="AO36" s="75" t="n">
        <v>44.1714285714286</v>
      </c>
      <c r="AP36" s="76" t="n">
        <v>1.79560335208099</v>
      </c>
      <c r="AQ36" s="76" t="n">
        <v>1.43974510686164</v>
      </c>
      <c r="AR36" s="76" t="n">
        <v>2.02179932508436</v>
      </c>
      <c r="AS36" s="77" t="n">
        <v>44.6026217097863</v>
      </c>
      <c r="AT36" s="78" t="n">
        <v>43.9389647704069</v>
      </c>
      <c r="AU36" s="78" t="n">
        <v>40.6507874015748</v>
      </c>
      <c r="AV36" s="78" t="n">
        <v>32.5944881889764</v>
      </c>
      <c r="AW36" s="78" t="n">
        <v>45.7716535433071</v>
      </c>
      <c r="AX36" s="78" t="n">
        <v>37.4389763779528</v>
      </c>
      <c r="AY36" s="48" t="n">
        <v>1.71840575834109</v>
      </c>
      <c r="AZ36" s="48" t="n">
        <v>28.0311295291333</v>
      </c>
      <c r="BA36" s="48" t="n">
        <v>-2.46151969913332</v>
      </c>
      <c r="BB36" s="49" t="n">
        <f aca="false">AT36/V36</f>
        <v>1.71840575834109</v>
      </c>
      <c r="BC36" s="49" t="n">
        <f aca="false">AS36/V36</f>
        <v>1.74436066902575</v>
      </c>
      <c r="BD36" s="49" t="n">
        <f aca="false">SUM(AP36:AR36)/V36</f>
        <v>0.205601408037871</v>
      </c>
      <c r="BE36" s="50" t="n">
        <v>6.56</v>
      </c>
      <c r="BF36" s="51" t="n">
        <v>119.125282311086</v>
      </c>
      <c r="BG36" s="51" t="n">
        <v>587.745357444705</v>
      </c>
      <c r="BH36" s="51" t="n">
        <v>238.990632298723</v>
      </c>
      <c r="BI36" s="51" t="n">
        <v>136.660827510818</v>
      </c>
      <c r="BJ36" s="51" t="n">
        <v>9.72215045075558</v>
      </c>
      <c r="BK36" s="51" t="n">
        <v>10.9116187550455</v>
      </c>
      <c r="BL36" s="51" t="n">
        <v>10.9942891618436</v>
      </c>
      <c r="BM36" s="51"/>
      <c r="BN36" s="52" t="n">
        <f aca="false">(BG36*0.5-BH36*0.25+BI36*0.5)/SUM(BG36:BI36)*1000</f>
        <v>313.946889782241</v>
      </c>
      <c r="BO36" s="53" t="n">
        <v>11.06439328</v>
      </c>
      <c r="BP36" s="54" t="s">
        <v>77</v>
      </c>
      <c r="BQ36" s="55" t="n">
        <v>504.296157982324</v>
      </c>
      <c r="BR36" s="56" t="n">
        <v>19.7224815448944</v>
      </c>
      <c r="BS36" s="56" t="n">
        <v>30.5229621611947</v>
      </c>
      <c r="BT36" s="56" t="n">
        <v>11.4771970759304</v>
      </c>
      <c r="BU36" s="55"/>
      <c r="BV36" s="55"/>
      <c r="BW36" s="55"/>
      <c r="BX36" s="55"/>
      <c r="BY36" s="79" t="n">
        <v>0.09</v>
      </c>
      <c r="BZ36" s="80" t="n">
        <v>0.535722</v>
      </c>
      <c r="CA36" s="81" t="n">
        <v>3.555</v>
      </c>
      <c r="CB36" s="81" t="n">
        <v>0.156</v>
      </c>
      <c r="CC36" s="82" t="n">
        <v>4.901246</v>
      </c>
      <c r="CD36" s="82" t="n">
        <v>8.881494</v>
      </c>
      <c r="CE36" s="83" t="n">
        <v>85.632061</v>
      </c>
      <c r="CF36" s="84" t="n">
        <v>36.45455</v>
      </c>
      <c r="CG36" s="80" t="n">
        <v>0.1268</v>
      </c>
      <c r="CH36" s="63" t="n">
        <v>55704.4580720644</v>
      </c>
      <c r="CI36" s="63" t="n">
        <v>8930.68164055722</v>
      </c>
      <c r="CJ36" s="64" t="n">
        <v>786256.719985356</v>
      </c>
      <c r="CK36" s="65" t="n">
        <v>1.13584805236686</v>
      </c>
    </row>
    <row r="37" customFormat="false" ht="15" hidden="false" customHeight="false" outlineLevel="0" collapsed="false">
      <c r="A37" s="7" t="s">
        <v>73</v>
      </c>
      <c r="B37" s="66" t="n">
        <v>35</v>
      </c>
      <c r="C37" s="8" t="s">
        <v>113</v>
      </c>
      <c r="D37" s="67" t="n">
        <v>41610</v>
      </c>
      <c r="E37" s="4" t="s">
        <v>75</v>
      </c>
      <c r="F37" s="7" t="n">
        <v>404</v>
      </c>
      <c r="G37" s="68" t="n">
        <v>1</v>
      </c>
      <c r="H37" s="68" t="n">
        <v>135</v>
      </c>
      <c r="I37" s="66" t="n">
        <v>3</v>
      </c>
      <c r="J37" s="69" t="n">
        <v>675.504761904762</v>
      </c>
      <c r="K37" s="31" t="n">
        <v>526.319356770953</v>
      </c>
      <c r="L37" s="31" t="n">
        <v>941.775780607897</v>
      </c>
      <c r="M37" s="31" t="n">
        <v>167.614855756187</v>
      </c>
      <c r="N37" s="31" t="n">
        <v>324.974566981965</v>
      </c>
      <c r="O37" s="32"/>
      <c r="P37" s="33" t="n">
        <v>70.5933388805967</v>
      </c>
      <c r="Q37" s="33" t="n">
        <v>11.622922561416</v>
      </c>
      <c r="R37" s="31" t="n">
        <v>156.795265669547</v>
      </c>
      <c r="S37" s="34" t="s">
        <v>76</v>
      </c>
      <c r="T37" s="35" t="n">
        <v>15.64330246</v>
      </c>
      <c r="U37" s="35" t="n">
        <v>4.0171135</v>
      </c>
      <c r="V37" s="70" t="n">
        <v>19.66041596</v>
      </c>
      <c r="W37" s="35" t="n">
        <v>18.4994088250422</v>
      </c>
      <c r="X37" s="35" t="n">
        <v>3.37838308824441</v>
      </c>
      <c r="Y37" s="35" t="n">
        <v>5.90963861330085</v>
      </c>
      <c r="Z37" s="35"/>
      <c r="AA37" s="35" t="n">
        <v>1.23869655699406</v>
      </c>
      <c r="AB37" s="35" t="n">
        <v>0.210218420921334</v>
      </c>
      <c r="AC37" s="71" t="n">
        <v>3.29426945692867</v>
      </c>
      <c r="AD37" s="38" t="n">
        <v>5.41194433924262</v>
      </c>
      <c r="AE37" s="38" t="n">
        <v>4.74988976568112</v>
      </c>
      <c r="AF37" s="38" t="n">
        <v>1.03790240813145</v>
      </c>
      <c r="AG37" s="72"/>
      <c r="AH37" s="72"/>
      <c r="AI37" s="73" t="n">
        <v>38.843418879425</v>
      </c>
      <c r="AJ37" s="42" t="s">
        <v>16</v>
      </c>
      <c r="AK37" s="43" t="n">
        <v>724.728899416296</v>
      </c>
      <c r="AL37" s="43" t="n">
        <v>743.240997017628</v>
      </c>
      <c r="AM37" s="43" t="n">
        <v>692.781315492909</v>
      </c>
      <c r="AN37" s="74"/>
      <c r="AO37" s="75" t="n">
        <v>32.4214285714286</v>
      </c>
      <c r="AP37" s="76" t="n">
        <v>1.57009959499264</v>
      </c>
      <c r="AQ37" s="76" t="n">
        <v>1.16205753313697</v>
      </c>
      <c r="AR37" s="76" t="n">
        <v>1.42376865243004</v>
      </c>
      <c r="AS37" s="77" t="n">
        <v>36.520065353461</v>
      </c>
      <c r="AT37" s="78" t="n">
        <v>35.8206572843166</v>
      </c>
      <c r="AU37" s="78" t="n">
        <v>48.4278350515464</v>
      </c>
      <c r="AV37" s="78" t="n">
        <v>35.8422680412371</v>
      </c>
      <c r="AW37" s="78" t="n">
        <v>43.9144329896907</v>
      </c>
      <c r="AX37" s="78" t="n">
        <v>19.0257731958763</v>
      </c>
      <c r="AY37" s="48" t="n">
        <v>1.82196843429942</v>
      </c>
      <c r="AZ37" s="48" t="n">
        <v>26.0897822342146</v>
      </c>
      <c r="BA37" s="48" t="n">
        <v>-6.42936627421463</v>
      </c>
      <c r="BB37" s="49" t="n">
        <f aca="false">AT37/V37</f>
        <v>1.82196843429942</v>
      </c>
      <c r="BC37" s="49" t="n">
        <f aca="false">AS37/V37</f>
        <v>1.85754286317048</v>
      </c>
      <c r="BD37" s="49" t="n">
        <f aca="false">SUM(AP37:AR37)/V37</f>
        <v>0.211385445201926</v>
      </c>
      <c r="BE37" s="50" t="n">
        <v>7.08</v>
      </c>
      <c r="BF37" s="51" t="n">
        <v>106.54046303024</v>
      </c>
      <c r="BG37" s="51" t="n">
        <v>599.620348902687</v>
      </c>
      <c r="BH37" s="51" t="n">
        <v>229.485509101356</v>
      </c>
      <c r="BI37" s="51" t="n">
        <v>129.180198467492</v>
      </c>
      <c r="BJ37" s="51" t="n">
        <v>10.9146471257869</v>
      </c>
      <c r="BK37" s="51" t="n">
        <v>11.661760030734</v>
      </c>
      <c r="BL37" s="51" t="n">
        <v>14.1624119938342</v>
      </c>
      <c r="BM37" s="51"/>
      <c r="BN37" s="52" t="n">
        <f aca="false">(BG37*0.5-BH37*0.25+BI37*0.5)/SUM(BG37:BI37)*1000</f>
        <v>320.39378464949</v>
      </c>
      <c r="BO37" s="53" t="n">
        <v>5.54801118</v>
      </c>
      <c r="BP37" s="54" t="s">
        <v>77</v>
      </c>
      <c r="BQ37" s="55" t="n">
        <v>479.418363325349</v>
      </c>
      <c r="BR37" s="56" t="n">
        <v>24.3849552471701</v>
      </c>
      <c r="BS37" s="56" t="n">
        <v>34.8680096558684</v>
      </c>
      <c r="BT37" s="56" t="n">
        <v>13.383851656325</v>
      </c>
      <c r="BU37" s="55"/>
      <c r="BV37" s="55"/>
      <c r="BW37" s="55"/>
      <c r="BX37" s="55"/>
      <c r="BY37" s="79" t="n">
        <v>0.08</v>
      </c>
      <c r="BZ37" s="80" t="n">
        <v>0.387805</v>
      </c>
      <c r="CA37" s="81" t="n">
        <v>3.98</v>
      </c>
      <c r="CB37" s="81" t="n">
        <v>0.71</v>
      </c>
      <c r="CC37" s="82" t="n">
        <v>3.892958</v>
      </c>
      <c r="CD37" s="82" t="n">
        <v>5.023732</v>
      </c>
      <c r="CE37" s="83" t="n">
        <v>74.850389</v>
      </c>
      <c r="CF37" s="84" t="n">
        <v>31.282092</v>
      </c>
      <c r="CG37" s="80" t="n">
        <v>1.2116</v>
      </c>
      <c r="CH37" s="63" t="n">
        <v>23191.4858806328</v>
      </c>
      <c r="CI37" s="63" t="n">
        <v>13948.667011629</v>
      </c>
      <c r="CJ37" s="64" t="n">
        <v>1258017.91245395</v>
      </c>
      <c r="CK37" s="65" t="n">
        <v>1.10878127199477</v>
      </c>
    </row>
    <row r="38" customFormat="false" ht="15" hidden="false" customHeight="false" outlineLevel="0" collapsed="false">
      <c r="A38" s="7" t="s">
        <v>73</v>
      </c>
      <c r="B38" s="66" t="n">
        <v>36</v>
      </c>
      <c r="C38" s="8" t="s">
        <v>114</v>
      </c>
      <c r="D38" s="67" t="n">
        <v>41610</v>
      </c>
      <c r="E38" s="4" t="s">
        <v>75</v>
      </c>
      <c r="F38" s="7" t="n">
        <v>607</v>
      </c>
      <c r="G38" s="68" t="n">
        <v>1</v>
      </c>
      <c r="H38" s="68" t="n">
        <v>136</v>
      </c>
      <c r="I38" s="66" t="n">
        <v>3</v>
      </c>
      <c r="J38" s="69" t="n">
        <v>549.5</v>
      </c>
      <c r="K38" s="31" t="n">
        <v>526.319356770953</v>
      </c>
      <c r="L38" s="31" t="n">
        <v>941.775780607897</v>
      </c>
      <c r="M38" s="31" t="n">
        <v>167.614855756187</v>
      </c>
      <c r="N38" s="31" t="n">
        <v>324.974566981965</v>
      </c>
      <c r="O38" s="32"/>
      <c r="P38" s="33" t="n">
        <v>70.5933388805967</v>
      </c>
      <c r="Q38" s="33" t="n">
        <v>11.622922561416</v>
      </c>
      <c r="R38" s="31" t="n">
        <v>156.795265669547</v>
      </c>
      <c r="S38" s="34" t="s">
        <v>76</v>
      </c>
      <c r="T38" s="35" t="n">
        <v>14.45830425</v>
      </c>
      <c r="U38" s="35" t="n">
        <v>1.815926</v>
      </c>
      <c r="V38" s="70" t="n">
        <v>16.27423025</v>
      </c>
      <c r="W38" s="35" t="n">
        <v>15.3193098911824</v>
      </c>
      <c r="X38" s="35" t="n">
        <v>2.7653250932317</v>
      </c>
      <c r="Y38" s="35" t="n">
        <v>5.07195572549281</v>
      </c>
      <c r="Z38" s="35"/>
      <c r="AA38" s="35" t="n">
        <v>1.08140774049791</v>
      </c>
      <c r="AB38" s="35" t="n">
        <v>0.180884781313955</v>
      </c>
      <c r="AC38" s="71" t="n">
        <v>2.647379710621</v>
      </c>
      <c r="AD38" s="38" t="n">
        <v>4.32072893908284</v>
      </c>
      <c r="AE38" s="38" t="n">
        <v>3.64562904431412</v>
      </c>
      <c r="AF38" s="38" t="n">
        <v>0.959729849024823</v>
      </c>
      <c r="AG38" s="72"/>
      <c r="AH38" s="72"/>
      <c r="AI38" s="73" t="n">
        <v>41.8644131266311</v>
      </c>
      <c r="AJ38" s="42" t="s">
        <v>16</v>
      </c>
      <c r="AK38" s="43" t="n">
        <v>734.504866115997</v>
      </c>
      <c r="AL38" s="43" t="n">
        <v>762.023937748495</v>
      </c>
      <c r="AM38" s="43" t="n">
        <v>652.941402306072</v>
      </c>
      <c r="AN38" s="74"/>
      <c r="AO38" s="75" t="n">
        <v>9.4</v>
      </c>
      <c r="AP38" s="76"/>
      <c r="AQ38" s="76"/>
      <c r="AR38" s="76"/>
      <c r="AS38" s="77"/>
      <c r="AT38" s="75"/>
      <c r="AU38" s="78"/>
      <c r="AV38" s="78"/>
      <c r="AW38" s="78"/>
      <c r="AX38" s="78"/>
      <c r="AY38" s="48"/>
      <c r="AZ38" s="48"/>
      <c r="BA38" s="48"/>
      <c r="BB38" s="49"/>
      <c r="BC38" s="49"/>
      <c r="BD38" s="49"/>
      <c r="BE38" s="50" t="n">
        <v>6.64</v>
      </c>
      <c r="BF38" s="51" t="n">
        <v>112.44283246508</v>
      </c>
      <c r="BG38" s="51" t="n">
        <v>614.259784884034</v>
      </c>
      <c r="BH38" s="51" t="n">
        <v>232.884856966934</v>
      </c>
      <c r="BI38" s="51" t="n">
        <v>116.106673558108</v>
      </c>
      <c r="BJ38" s="51" t="n">
        <v>10.2590458626424</v>
      </c>
      <c r="BK38" s="51" t="n">
        <v>9.30006145780378</v>
      </c>
      <c r="BL38" s="51" t="n">
        <v>12.2144528923691</v>
      </c>
      <c r="BM38" s="51"/>
      <c r="BN38" s="52" t="n">
        <f aca="false">(BG38*0.5-BH38*0.25+BI38*0.5)/SUM(BG38:BI38)*1000</f>
        <v>318.672822002818</v>
      </c>
      <c r="BO38" s="53" t="n">
        <v>17.55672416</v>
      </c>
      <c r="BP38" s="54" t="s">
        <v>77</v>
      </c>
      <c r="BQ38" s="55" t="n">
        <v>283.670635138017</v>
      </c>
      <c r="BR38" s="56" t="n">
        <v>17.430663741409</v>
      </c>
      <c r="BS38" s="56" t="n">
        <v>24.3000163238244</v>
      </c>
      <c r="BT38" s="56"/>
      <c r="BU38" s="55"/>
      <c r="BV38" s="55"/>
      <c r="BW38" s="55"/>
      <c r="BX38" s="55"/>
      <c r="BY38" s="79" t="n">
        <v>0.14</v>
      </c>
      <c r="BZ38" s="80" t="n">
        <v>0.374358</v>
      </c>
      <c r="CA38" s="81" t="n">
        <v>3.4</v>
      </c>
      <c r="CB38" s="81" t="n">
        <v>0.825</v>
      </c>
      <c r="CC38" s="82" t="n">
        <v>5.279354</v>
      </c>
      <c r="CD38" s="82" t="n">
        <v>3.170247</v>
      </c>
      <c r="CE38" s="83" t="n">
        <v>91.073346</v>
      </c>
      <c r="CF38" s="84" t="n">
        <v>30.580914</v>
      </c>
      <c r="CG38" s="80" t="n">
        <v>0.8372</v>
      </c>
      <c r="CH38" s="63" t="n">
        <v>53598.5486157773</v>
      </c>
      <c r="CI38" s="63" t="n">
        <v>17782.2010876497</v>
      </c>
      <c r="CJ38" s="64" t="n">
        <v>1020915.04154627</v>
      </c>
      <c r="CK38" s="65" t="n">
        <v>1.74179048833651</v>
      </c>
    </row>
    <row r="39" customFormat="false" ht="15" hidden="false" customHeight="false" outlineLevel="0" collapsed="false">
      <c r="A39" s="7" t="s">
        <v>73</v>
      </c>
      <c r="B39" s="66" t="n">
        <v>37</v>
      </c>
      <c r="C39" s="8" t="s">
        <v>115</v>
      </c>
      <c r="D39" s="67" t="n">
        <v>41610</v>
      </c>
      <c r="E39" s="4" t="s">
        <v>75</v>
      </c>
      <c r="F39" s="7" t="n">
        <v>38</v>
      </c>
      <c r="G39" s="68" t="n">
        <v>1</v>
      </c>
      <c r="H39" s="68" t="n">
        <v>148</v>
      </c>
      <c r="I39" s="66" t="n">
        <v>3</v>
      </c>
      <c r="J39" s="69" t="n">
        <v>686.065476190476</v>
      </c>
      <c r="K39" s="31" t="n">
        <v>526.319356770953</v>
      </c>
      <c r="L39" s="31" t="n">
        <v>941.775780607897</v>
      </c>
      <c r="M39" s="31" t="n">
        <v>167.614855756187</v>
      </c>
      <c r="N39" s="31" t="n">
        <v>324.974566981965</v>
      </c>
      <c r="O39" s="32"/>
      <c r="P39" s="33" t="n">
        <v>70.5933388805967</v>
      </c>
      <c r="Q39" s="33" t="n">
        <v>11.622922561416</v>
      </c>
      <c r="R39" s="31" t="n">
        <v>156.795265669547</v>
      </c>
      <c r="S39" s="34" t="s">
        <v>76</v>
      </c>
      <c r="T39" s="35" t="n">
        <v>14.48705087</v>
      </c>
      <c r="U39" s="35" t="n">
        <v>3.260764</v>
      </c>
      <c r="V39" s="70" t="n">
        <v>17.74781487</v>
      </c>
      <c r="W39" s="35" t="n">
        <v>16.701235448345</v>
      </c>
      <c r="X39" s="35" t="n">
        <v>3.04217434168536</v>
      </c>
      <c r="Y39" s="35" t="n">
        <v>5.37837239243506</v>
      </c>
      <c r="Z39" s="35"/>
      <c r="AA39" s="35" t="n">
        <v>1.13177090492413</v>
      </c>
      <c r="AB39" s="35" t="n">
        <v>0.191432659589458</v>
      </c>
      <c r="AC39" s="71" t="n">
        <v>2.95454047115211</v>
      </c>
      <c r="AD39" s="38" t="n">
        <v>5.0026989391705</v>
      </c>
      <c r="AE39" s="38" t="n">
        <v>4.4055784792176</v>
      </c>
      <c r="AF39" s="38" t="n">
        <v>1.0630609561142</v>
      </c>
      <c r="AG39" s="72"/>
      <c r="AH39" s="72"/>
      <c r="AI39" s="73" t="n">
        <v>38.2658764633156</v>
      </c>
      <c r="AJ39" s="42" t="s">
        <v>16</v>
      </c>
      <c r="AK39" s="43" t="n">
        <v>718.123105530766</v>
      </c>
      <c r="AL39" s="43" t="n">
        <v>736.212420162356</v>
      </c>
      <c r="AM39" s="43" t="n">
        <v>650.558831705461</v>
      </c>
      <c r="AN39" s="74"/>
      <c r="AO39" s="75" t="n">
        <v>24.0214285714286</v>
      </c>
      <c r="AP39" s="76" t="n">
        <v>1.15105538265306</v>
      </c>
      <c r="AQ39" s="76" t="n">
        <v>0.80457487244898</v>
      </c>
      <c r="AR39" s="76" t="n">
        <v>1.0317918494898</v>
      </c>
      <c r="AS39" s="77" t="n">
        <v>26.8744021683674</v>
      </c>
      <c r="AT39" s="78" t="n">
        <v>25.8341445321234</v>
      </c>
      <c r="AU39" s="78" t="n">
        <v>47.9178571428572</v>
      </c>
      <c r="AV39" s="78" t="n">
        <v>33.4940476190476</v>
      </c>
      <c r="AW39" s="78" t="n">
        <v>42.9529761904762</v>
      </c>
      <c r="AX39" s="78" t="n">
        <v>18.7095238095238</v>
      </c>
      <c r="AY39" s="48" t="n">
        <v>1.45562395829315</v>
      </c>
      <c r="AZ39" s="48" t="n">
        <v>22.777554038349</v>
      </c>
      <c r="BA39" s="48" t="n">
        <v>-5.02973916834902</v>
      </c>
      <c r="BB39" s="49" t="n">
        <f aca="false">AT39/V39</f>
        <v>1.45562395829315</v>
      </c>
      <c r="BC39" s="49" t="n">
        <f aca="false">AS39/V39</f>
        <v>1.51423723794834</v>
      </c>
      <c r="BD39" s="49" t="n">
        <f aca="false">SUM(AP39:AR39)/V39</f>
        <v>0.168326192631276</v>
      </c>
      <c r="BE39" s="50" t="n">
        <v>6.74</v>
      </c>
      <c r="BF39" s="51" t="n">
        <v>142.930831475365</v>
      </c>
      <c r="BG39" s="51" t="n">
        <v>634.411620430857</v>
      </c>
      <c r="BH39" s="51" t="n">
        <v>192.095853146188</v>
      </c>
      <c r="BI39" s="51" t="n">
        <v>136.591393517039</v>
      </c>
      <c r="BJ39" s="51" t="n">
        <v>10.2173315670508</v>
      </c>
      <c r="BK39" s="51" t="n">
        <v>10.3832994848278</v>
      </c>
      <c r="BL39" s="51" t="n">
        <v>11.3253774759289</v>
      </c>
      <c r="BM39" s="51"/>
      <c r="BN39" s="52" t="n">
        <f aca="false">(BG39*0.5-BH39*0.25+BI39*0.5)/SUM(BG39:BI39)*1000</f>
        <v>350.40799570833</v>
      </c>
      <c r="BO39" s="53" t="n">
        <v>6.60003096</v>
      </c>
      <c r="BP39" s="54" t="s">
        <v>77</v>
      </c>
      <c r="BQ39" s="55" t="n">
        <v>461.93724886712</v>
      </c>
      <c r="BR39" s="56" t="n">
        <v>26.0278379198081</v>
      </c>
      <c r="BS39" s="56" t="n">
        <v>37.5691392519308</v>
      </c>
      <c r="BT39" s="56" t="n">
        <v>17.880880409751</v>
      </c>
      <c r="BU39" s="55"/>
      <c r="BV39" s="55"/>
      <c r="BW39" s="55"/>
      <c r="BX39" s="55"/>
      <c r="BY39" s="79" t="n">
        <v>0.07</v>
      </c>
      <c r="BZ39" s="80" t="n">
        <v>0.524196</v>
      </c>
      <c r="CA39" s="81" t="n">
        <v>4.53</v>
      </c>
      <c r="CB39" s="81" t="n">
        <v>2.397</v>
      </c>
      <c r="CC39" s="82" t="n">
        <v>4.691186</v>
      </c>
      <c r="CD39" s="82" t="n">
        <v>4.301187</v>
      </c>
      <c r="CE39" s="83" t="n">
        <v>73.927893</v>
      </c>
      <c r="CF39" s="84" t="n">
        <v>36.424064</v>
      </c>
      <c r="CG39" s="80" t="n">
        <v>1.2884</v>
      </c>
      <c r="CH39" s="63" t="n">
        <v>115345.241149189</v>
      </c>
      <c r="CI39" s="63" t="n">
        <v>9247.72864008563</v>
      </c>
      <c r="CJ39" s="64" t="n">
        <v>481515.116847169</v>
      </c>
      <c r="CK39" s="65" t="n">
        <v>1.92054793640483</v>
      </c>
    </row>
    <row r="40" customFormat="false" ht="15" hidden="false" customHeight="false" outlineLevel="0" collapsed="false">
      <c r="A40" s="7" t="s">
        <v>73</v>
      </c>
      <c r="B40" s="66" t="n">
        <v>38</v>
      </c>
      <c r="C40" s="8" t="s">
        <v>116</v>
      </c>
      <c r="D40" s="67" t="n">
        <v>41610</v>
      </c>
      <c r="E40" s="4" t="s">
        <v>75</v>
      </c>
      <c r="F40" s="7" t="n">
        <v>101</v>
      </c>
      <c r="G40" s="68" t="n">
        <v>1</v>
      </c>
      <c r="H40" s="68" t="n">
        <v>151</v>
      </c>
      <c r="I40" s="66" t="n">
        <v>5</v>
      </c>
      <c r="J40" s="69" t="n">
        <v>722.97619047619</v>
      </c>
      <c r="K40" s="31" t="n">
        <v>526.319356770953</v>
      </c>
      <c r="L40" s="31" t="n">
        <v>941.775780607897</v>
      </c>
      <c r="M40" s="31" t="n">
        <v>167.614855756187</v>
      </c>
      <c r="N40" s="31" t="n">
        <v>324.974566981965</v>
      </c>
      <c r="O40" s="32"/>
      <c r="P40" s="33" t="n">
        <v>70.5933388805967</v>
      </c>
      <c r="Q40" s="33" t="n">
        <v>11.622922561416</v>
      </c>
      <c r="R40" s="31" t="n">
        <v>156.795265669547</v>
      </c>
      <c r="S40" s="34" t="s">
        <v>76</v>
      </c>
      <c r="T40" s="35" t="n">
        <v>18.75614472</v>
      </c>
      <c r="U40" s="35" t="n">
        <v>4.776899</v>
      </c>
      <c r="V40" s="70" t="n">
        <v>23.53304372</v>
      </c>
      <c r="W40" s="35" t="n">
        <v>22.1434739113199</v>
      </c>
      <c r="X40" s="35" t="n">
        <v>4.04319242017385</v>
      </c>
      <c r="Y40" s="35" t="n">
        <v>7.07745351968863</v>
      </c>
      <c r="Z40" s="35"/>
      <c r="AA40" s="35" t="n">
        <v>1.48385942102636</v>
      </c>
      <c r="AB40" s="35" t="n">
        <v>0.251769773651577</v>
      </c>
      <c r="AC40" s="71" t="n">
        <v>3.94150234316998</v>
      </c>
      <c r="AD40" s="38" t="n">
        <v>6.91201847536064</v>
      </c>
      <c r="AE40" s="38" t="n">
        <v>6.09004521220442</v>
      </c>
      <c r="AF40" s="38" t="n">
        <v>1.13991511623714</v>
      </c>
      <c r="AG40" s="72"/>
      <c r="AH40" s="72"/>
      <c r="AI40" s="73" t="n">
        <v>36.4249277615597</v>
      </c>
      <c r="AJ40" s="42" t="s">
        <v>16</v>
      </c>
      <c r="AK40" s="43" t="n">
        <v>706.284552155643</v>
      </c>
      <c r="AL40" s="43" t="n">
        <v>724.973360702399</v>
      </c>
      <c r="AM40" s="43" t="n">
        <v>718.065578440087</v>
      </c>
      <c r="AN40" s="74"/>
      <c r="AO40" s="75" t="n">
        <v>34.7142857142857</v>
      </c>
      <c r="AP40" s="76" t="n">
        <v>1.7881243902439</v>
      </c>
      <c r="AQ40" s="76" t="n">
        <v>1.21398397212544</v>
      </c>
      <c r="AR40" s="76" t="n">
        <v>1.58110871080139</v>
      </c>
      <c r="AS40" s="77" t="n">
        <v>40.7075801393728</v>
      </c>
      <c r="AT40" s="78" t="n">
        <v>39.7241083002286</v>
      </c>
      <c r="AU40" s="78" t="n">
        <v>51.509756097561</v>
      </c>
      <c r="AV40" s="78" t="n">
        <v>34.9707317073171</v>
      </c>
      <c r="AW40" s="78" t="n">
        <v>45.5463414634146</v>
      </c>
      <c r="AX40" s="78" t="n">
        <v>22.2780487804878</v>
      </c>
      <c r="AY40" s="48" t="n">
        <v>1.68801404411909</v>
      </c>
      <c r="AZ40" s="48" t="n">
        <v>28.4146119035441</v>
      </c>
      <c r="BA40" s="48" t="n">
        <v>-4.88156818354409</v>
      </c>
      <c r="BB40" s="49" t="n">
        <f aca="false">AT40/V40</f>
        <v>1.68801404411909</v>
      </c>
      <c r="BC40" s="49" t="n">
        <f aca="false">AS40/V40</f>
        <v>1.72980514648756</v>
      </c>
      <c r="BD40" s="49" t="n">
        <f aca="false">SUM(AP40:AR40)/V40</f>
        <v>0.19475666334124</v>
      </c>
      <c r="BE40" s="50" t="n">
        <v>6.74</v>
      </c>
      <c r="BF40" s="51" t="n">
        <v>106.463289899629</v>
      </c>
      <c r="BG40" s="51" t="n">
        <v>605.243281429689</v>
      </c>
      <c r="BH40" s="51" t="n">
        <v>200.541504928268</v>
      </c>
      <c r="BI40" s="51" t="n">
        <v>156.478707845038</v>
      </c>
      <c r="BJ40" s="51" t="n">
        <v>9.5077611315496</v>
      </c>
      <c r="BK40" s="51" t="n">
        <v>12.2731703990544</v>
      </c>
      <c r="BL40" s="51" t="n">
        <v>10.9804498882918</v>
      </c>
      <c r="BM40" s="51"/>
      <c r="BN40" s="52" t="n">
        <f aca="false">(BG40*0.5-BH40*0.25+BI40*0.5)/SUM(BG40:BI40)*1000</f>
        <v>343.695485070047</v>
      </c>
      <c r="BO40" s="53" t="n">
        <v>5.00148016</v>
      </c>
      <c r="BP40" s="54" t="s">
        <v>77</v>
      </c>
      <c r="BQ40" s="55" t="n">
        <v>515.522043476803</v>
      </c>
      <c r="BR40" s="56" t="n">
        <v>21.9063054320796</v>
      </c>
      <c r="BS40" s="56" t="n">
        <v>32.1128933350673</v>
      </c>
      <c r="BT40" s="56" t="n">
        <v>12.9775611218399</v>
      </c>
      <c r="BU40" s="55"/>
      <c r="BV40" s="55"/>
      <c r="BW40" s="55"/>
      <c r="BX40" s="55"/>
      <c r="BY40" s="79" t="n">
        <v>0.12</v>
      </c>
      <c r="BZ40" s="80" t="n">
        <v>0.5597345</v>
      </c>
      <c r="CA40" s="81" t="n">
        <v>3.62</v>
      </c>
      <c r="CB40" s="81" t="n">
        <v>0.516</v>
      </c>
      <c r="CC40" s="82" t="n">
        <v>5.751989</v>
      </c>
      <c r="CD40" s="82" t="n">
        <v>4.879223</v>
      </c>
      <c r="CE40" s="83" t="n">
        <v>86.554557</v>
      </c>
      <c r="CF40" s="84" t="n">
        <v>36.088718</v>
      </c>
      <c r="CG40" s="80" t="n">
        <v>0.0884</v>
      </c>
      <c r="CH40" s="63" t="n">
        <v>52232.0053831098</v>
      </c>
      <c r="CI40" s="63" t="n">
        <v>8280.18410839078</v>
      </c>
      <c r="CJ40" s="64" t="n">
        <v>839760.247040099</v>
      </c>
      <c r="CK40" s="65" t="n">
        <v>0.986017632720283</v>
      </c>
    </row>
    <row r="41" customFormat="false" ht="15" hidden="false" customHeight="false" outlineLevel="0" collapsed="false">
      <c r="A41" s="7" t="s">
        <v>73</v>
      </c>
      <c r="B41" s="66" t="n">
        <v>39</v>
      </c>
      <c r="C41" s="8" t="s">
        <v>117</v>
      </c>
      <c r="D41" s="67" t="n">
        <v>41610</v>
      </c>
      <c r="E41" s="4" t="s">
        <v>75</v>
      </c>
      <c r="F41" s="7" t="n">
        <v>619</v>
      </c>
      <c r="G41" s="68" t="n">
        <v>1</v>
      </c>
      <c r="H41" s="68" t="n">
        <v>157</v>
      </c>
      <c r="I41" s="66" t="n">
        <v>3</v>
      </c>
      <c r="J41" s="69" t="n">
        <v>731.008333333333</v>
      </c>
      <c r="K41" s="31" t="n">
        <v>526.319356770953</v>
      </c>
      <c r="L41" s="31" t="n">
        <v>941.775780607897</v>
      </c>
      <c r="M41" s="31" t="n">
        <v>167.614855756187</v>
      </c>
      <c r="N41" s="31" t="n">
        <v>324.974566981965</v>
      </c>
      <c r="O41" s="32"/>
      <c r="P41" s="33" t="n">
        <v>70.5933388805967</v>
      </c>
      <c r="Q41" s="33" t="n">
        <v>11.622922561416</v>
      </c>
      <c r="R41" s="31" t="n">
        <v>156.795265669547</v>
      </c>
      <c r="S41" s="34" t="s">
        <v>76</v>
      </c>
      <c r="T41" s="35" t="n">
        <v>16.84404836</v>
      </c>
      <c r="U41" s="35" t="n">
        <v>3.124183</v>
      </c>
      <c r="V41" s="70" t="n">
        <v>19.96823136</v>
      </c>
      <c r="W41" s="35" t="n">
        <v>18.7929239399389</v>
      </c>
      <c r="X41" s="35" t="n">
        <v>3.41152696882274</v>
      </c>
      <c r="Y41" s="35" t="n">
        <v>6.11625405995872</v>
      </c>
      <c r="Z41" s="35"/>
      <c r="AA41" s="35" t="n">
        <v>1.29359021363475</v>
      </c>
      <c r="AB41" s="35" t="n">
        <v>0.217862349019555</v>
      </c>
      <c r="AC41" s="71" t="n">
        <v>3.29549659319579</v>
      </c>
      <c r="AD41" s="38" t="n">
        <v>6.20588276219188</v>
      </c>
      <c r="AE41" s="38" t="n">
        <v>5.46878867489196</v>
      </c>
      <c r="AF41" s="38" t="n">
        <v>1.27300207121684</v>
      </c>
      <c r="AG41" s="72"/>
      <c r="AH41" s="72"/>
      <c r="AI41" s="73" t="n">
        <v>35.1057790435293</v>
      </c>
      <c r="AJ41" s="42" t="s">
        <v>16</v>
      </c>
      <c r="AK41" s="43" t="n">
        <v>689.212196598273</v>
      </c>
      <c r="AL41" s="43" t="n">
        <v>708.997456044101</v>
      </c>
      <c r="AM41" s="43" t="n">
        <v>626.852701781183</v>
      </c>
      <c r="AN41" s="74"/>
      <c r="AO41" s="75" t="n">
        <v>29.1714285714286</v>
      </c>
      <c r="AP41" s="76" t="n">
        <v>1.30472860714286</v>
      </c>
      <c r="AQ41" s="76" t="n">
        <v>0.947244904761904</v>
      </c>
      <c r="AR41" s="76" t="n">
        <v>1.35106255952381</v>
      </c>
      <c r="AS41" s="77" t="n">
        <v>31.2395005357143</v>
      </c>
      <c r="AT41" s="78" t="n">
        <v>30.5238393804974</v>
      </c>
      <c r="AU41" s="78" t="n">
        <v>44.72625</v>
      </c>
      <c r="AV41" s="78" t="n">
        <v>32.4716666666667</v>
      </c>
      <c r="AW41" s="78" t="n">
        <v>46.3145833333333</v>
      </c>
      <c r="AX41" s="78" t="n">
        <v>25.8295833333333</v>
      </c>
      <c r="AY41" s="48" t="n">
        <v>1.52862007807272</v>
      </c>
      <c r="AZ41" s="48" t="n">
        <v>25.0616588212645</v>
      </c>
      <c r="BA41" s="48" t="n">
        <v>-5.09342746126453</v>
      </c>
      <c r="BB41" s="49" t="n">
        <f aca="false">AT41/V41</f>
        <v>1.52862007807272</v>
      </c>
      <c r="BC41" s="49" t="n">
        <f aca="false">AS41/V41</f>
        <v>1.56446006521603</v>
      </c>
      <c r="BD41" s="49" t="n">
        <f aca="false">SUM(AP41:AR41)/V41</f>
        <v>0.180438417728177</v>
      </c>
      <c r="BE41" s="50" t="n">
        <v>6.94</v>
      </c>
      <c r="BF41" s="51" t="n">
        <v>105.672267383514</v>
      </c>
      <c r="BG41" s="51" t="n">
        <v>599.345402664562</v>
      </c>
      <c r="BH41" s="51" t="n">
        <v>188.696866708565</v>
      </c>
      <c r="BI41" s="51" t="n">
        <v>173.841633812543</v>
      </c>
      <c r="BJ41" s="51" t="n">
        <v>10.6072104065754</v>
      </c>
      <c r="BK41" s="51" t="n">
        <v>12.7378613869696</v>
      </c>
      <c r="BL41" s="51" t="n">
        <v>9.79590064267544</v>
      </c>
      <c r="BM41" s="51"/>
      <c r="BN41" s="52" t="n">
        <f aca="false">(BG41*0.5-BH41*0.25+BI41*0.5)/SUM(BG41:BI41)*1000</f>
        <v>352.869302040804</v>
      </c>
      <c r="BO41" s="53" t="n">
        <v>1.64138244</v>
      </c>
      <c r="BP41" s="54" t="s">
        <v>77</v>
      </c>
      <c r="BQ41" s="55" t="n">
        <v>438.681290983893</v>
      </c>
      <c r="BR41" s="56" t="n">
        <v>21.9689607494558</v>
      </c>
      <c r="BS41" s="56" t="n">
        <v>32.9238094823819</v>
      </c>
      <c r="BT41" s="56" t="n">
        <v>14.371759905937</v>
      </c>
      <c r="BU41" s="55"/>
      <c r="BV41" s="55"/>
      <c r="BW41" s="55"/>
      <c r="BX41" s="55"/>
      <c r="BY41" s="79" t="n">
        <v>0.07</v>
      </c>
      <c r="BZ41" s="80" t="n">
        <v>0.593352</v>
      </c>
      <c r="CA41" s="81" t="n">
        <v>3.67</v>
      </c>
      <c r="CB41" s="81" t="n">
        <v>0.03</v>
      </c>
      <c r="CC41" s="82" t="n">
        <v>4.911749</v>
      </c>
      <c r="CD41" s="82" t="n">
        <v>7.141103</v>
      </c>
      <c r="CE41" s="83" t="n">
        <v>81.423173</v>
      </c>
      <c r="CF41" s="84" t="n">
        <v>37.511398</v>
      </c>
      <c r="CG41" s="80" t="n">
        <v>0.098</v>
      </c>
      <c r="CH41" s="63" t="n">
        <v>81193.5812611185</v>
      </c>
      <c r="CI41" s="63" t="n">
        <v>11295.0104170224</v>
      </c>
      <c r="CJ41" s="64" t="n">
        <v>871294.175577843</v>
      </c>
      <c r="CK41" s="65" t="n">
        <v>1.29634866542422</v>
      </c>
    </row>
    <row r="42" customFormat="false" ht="15" hidden="false" customHeight="false" outlineLevel="0" collapsed="false">
      <c r="A42" s="7" t="s">
        <v>73</v>
      </c>
      <c r="B42" s="66" t="n">
        <v>40</v>
      </c>
      <c r="C42" s="8" t="s">
        <v>118</v>
      </c>
      <c r="D42" s="67" t="n">
        <v>41610</v>
      </c>
      <c r="E42" s="4" t="s">
        <v>75</v>
      </c>
      <c r="F42" s="7" t="n">
        <v>328</v>
      </c>
      <c r="G42" s="68" t="n">
        <v>1</v>
      </c>
      <c r="H42" s="68" t="n">
        <v>168</v>
      </c>
      <c r="I42" s="66" t="n">
        <v>5</v>
      </c>
      <c r="J42" s="69" t="n">
        <v>700.035714285714</v>
      </c>
      <c r="K42" s="31" t="n">
        <v>526.319356770953</v>
      </c>
      <c r="L42" s="31" t="n">
        <v>941.775780607897</v>
      </c>
      <c r="M42" s="31" t="n">
        <v>167.614855756187</v>
      </c>
      <c r="N42" s="31" t="n">
        <v>324.974566981965</v>
      </c>
      <c r="O42" s="32"/>
      <c r="P42" s="33" t="n">
        <v>70.5933388805967</v>
      </c>
      <c r="Q42" s="33" t="n">
        <v>11.622922561416</v>
      </c>
      <c r="R42" s="31" t="n">
        <v>156.795265669547</v>
      </c>
      <c r="S42" s="34" t="s">
        <v>76</v>
      </c>
      <c r="T42" s="35" t="n">
        <v>14.52609405</v>
      </c>
      <c r="U42" s="35" t="n">
        <v>2.239413</v>
      </c>
      <c r="V42" s="70" t="n">
        <v>16.76550705</v>
      </c>
      <c r="W42" s="35" t="n">
        <v>15.7802646773641</v>
      </c>
      <c r="X42" s="35" t="n">
        <v>2.85642086205822</v>
      </c>
      <c r="Y42" s="35" t="n">
        <v>5.18105931900472</v>
      </c>
      <c r="Z42" s="35"/>
      <c r="AA42" s="35" t="n">
        <v>1.10036006532474</v>
      </c>
      <c r="AB42" s="35" t="n">
        <v>0.18466638475696</v>
      </c>
      <c r="AC42" s="71" t="n">
        <v>2.74671759329391</v>
      </c>
      <c r="AD42" s="38" t="n">
        <v>4.84471855884964</v>
      </c>
      <c r="AE42" s="38" t="n">
        <v>4.22277635165664</v>
      </c>
      <c r="AF42" s="38" t="n">
        <v>0.988416886283591</v>
      </c>
      <c r="AG42" s="72"/>
      <c r="AH42" s="72"/>
      <c r="AI42" s="73" t="n">
        <v>38.1170510760915</v>
      </c>
      <c r="AJ42" s="42" t="s">
        <v>16</v>
      </c>
      <c r="AK42" s="43" t="n">
        <v>711.030597261319</v>
      </c>
      <c r="AL42" s="43" t="n">
        <v>732.401424311091</v>
      </c>
      <c r="AM42" s="43" t="n">
        <v>653.966647767941</v>
      </c>
      <c r="AN42" s="74"/>
      <c r="AO42" s="75" t="n">
        <v>25.8428571428571</v>
      </c>
      <c r="AP42" s="76" t="n">
        <v>1.40460714285714</v>
      </c>
      <c r="AQ42" s="76" t="n">
        <v>0.924121428571428</v>
      </c>
      <c r="AR42" s="76" t="n">
        <v>1.10578714285714</v>
      </c>
      <c r="AS42" s="77" t="n">
        <v>31.40625</v>
      </c>
      <c r="AT42" s="78" t="n">
        <v>30.249954977252</v>
      </c>
      <c r="AU42" s="78" t="n">
        <v>54.3518518518519</v>
      </c>
      <c r="AV42" s="78" t="n">
        <v>35.7592592592592</v>
      </c>
      <c r="AW42" s="78" t="n">
        <v>42.7888888888889</v>
      </c>
      <c r="AX42" s="78" t="n">
        <v>28.7679012345679</v>
      </c>
      <c r="AY42" s="48" t="n">
        <v>1.80429705388791</v>
      </c>
      <c r="AZ42" s="48" t="n">
        <v>24.734541773546</v>
      </c>
      <c r="BA42" s="48" t="n">
        <v>-7.96903472354603</v>
      </c>
      <c r="BB42" s="49" t="n">
        <f aca="false">AT42/V42</f>
        <v>1.80429705388791</v>
      </c>
      <c r="BC42" s="49" t="n">
        <f aca="false">AS42/V42</f>
        <v>1.87326574175995</v>
      </c>
      <c r="BD42" s="49" t="n">
        <f aca="false">SUM(AP42:AR42)/V42</f>
        <v>0.204856059768602</v>
      </c>
      <c r="BE42" s="50" t="n">
        <v>6.73</v>
      </c>
      <c r="BF42" s="51" t="n">
        <v>113.576299976597</v>
      </c>
      <c r="BG42" s="51" t="n">
        <v>592.536582217383</v>
      </c>
      <c r="BH42" s="51" t="n">
        <v>251.736156088475</v>
      </c>
      <c r="BI42" s="51" t="n">
        <v>121.432746025758</v>
      </c>
      <c r="BJ42" s="51" t="n">
        <v>10.5433963220664</v>
      </c>
      <c r="BK42" s="51" t="n">
        <v>10.4874522017114</v>
      </c>
      <c r="BL42" s="51" t="n">
        <v>8.28854276649695</v>
      </c>
      <c r="BM42" s="51"/>
      <c r="BN42" s="52" t="n">
        <f aca="false">(BG42*0.5-BH42*0.25+BI42*0.5)/SUM(BG42:BI42)*1000</f>
        <v>304.493067369261</v>
      </c>
      <c r="BO42" s="53" t="n">
        <v>2.62763918</v>
      </c>
      <c r="BP42" s="54" t="s">
        <v>77</v>
      </c>
      <c r="BQ42" s="55" t="n">
        <v>493.48428755281</v>
      </c>
      <c r="BR42" s="56" t="n">
        <v>29.4344982278845</v>
      </c>
      <c r="BS42" s="56" t="n">
        <v>42.6982293769785</v>
      </c>
      <c r="BT42" s="56" t="n">
        <v>16.3135544474003</v>
      </c>
      <c r="BU42" s="55"/>
      <c r="BV42" s="55"/>
      <c r="BW42" s="55"/>
      <c r="BX42" s="55"/>
      <c r="BY42" s="79" t="n">
        <v>0.05</v>
      </c>
      <c r="BZ42" s="80" t="n">
        <v>0.276387</v>
      </c>
      <c r="CA42" s="81" t="n">
        <v>3.76</v>
      </c>
      <c r="CB42" s="81" t="n">
        <v>0.22</v>
      </c>
      <c r="CC42" s="82" t="n">
        <v>5.163821</v>
      </c>
      <c r="CD42" s="82" t="n">
        <v>4.301187</v>
      </c>
      <c r="CE42" s="83" t="n">
        <v>80.803371</v>
      </c>
      <c r="CF42" s="84" t="n">
        <v>37.460588</v>
      </c>
      <c r="CG42" s="80" t="n">
        <v>0.1025</v>
      </c>
      <c r="CH42" s="63" t="n">
        <v>45329.19385085</v>
      </c>
      <c r="CI42" s="63" t="n">
        <v>11002.8714744136</v>
      </c>
      <c r="CJ42" s="64" t="n">
        <v>1086556.4520631</v>
      </c>
      <c r="CK42" s="65" t="n">
        <v>1.01263689093392</v>
      </c>
    </row>
    <row r="43" customFormat="false" ht="15" hidden="false" customHeight="false" outlineLevel="0" collapsed="false">
      <c r="A43" s="7" t="s">
        <v>73</v>
      </c>
      <c r="B43" s="66" t="n">
        <v>41</v>
      </c>
      <c r="C43" s="8" t="s">
        <v>119</v>
      </c>
      <c r="D43" s="67" t="n">
        <v>41610</v>
      </c>
      <c r="E43" s="4" t="s">
        <v>75</v>
      </c>
      <c r="F43" s="7" t="n">
        <v>20</v>
      </c>
      <c r="G43" s="68" t="n">
        <v>1</v>
      </c>
      <c r="H43" s="68" t="n">
        <v>91</v>
      </c>
      <c r="I43" s="66" t="n">
        <v>2</v>
      </c>
      <c r="J43" s="69" t="n">
        <v>603.523809523809</v>
      </c>
      <c r="K43" s="31" t="n">
        <v>526.319356770953</v>
      </c>
      <c r="L43" s="31" t="n">
        <v>941.775780607897</v>
      </c>
      <c r="M43" s="31" t="n">
        <v>167.614855756187</v>
      </c>
      <c r="N43" s="31" t="n">
        <v>324.974566981965</v>
      </c>
      <c r="O43" s="32"/>
      <c r="P43" s="33" t="n">
        <v>70.5933388805967</v>
      </c>
      <c r="Q43" s="33" t="n">
        <v>11.622922561416</v>
      </c>
      <c r="R43" s="31" t="n">
        <v>156.795265669547</v>
      </c>
      <c r="S43" s="34" t="s">
        <v>76</v>
      </c>
      <c r="T43" s="35" t="n">
        <v>22.69139818</v>
      </c>
      <c r="U43" s="35" t="n">
        <v>6.9445855</v>
      </c>
      <c r="V43" s="70" t="n">
        <v>29.63598368</v>
      </c>
      <c r="W43" s="35" t="n">
        <v>27.882282091011</v>
      </c>
      <c r="X43" s="35" t="n">
        <v>5.11092655837467</v>
      </c>
      <c r="Y43" s="35" t="n">
        <v>8.80201123862196</v>
      </c>
      <c r="Z43" s="35"/>
      <c r="AA43" s="35" t="n">
        <v>1.83417723688557</v>
      </c>
      <c r="AB43" s="35" t="n">
        <v>0.312832593877285</v>
      </c>
      <c r="AC43" s="71" t="n">
        <v>5.0126015631438</v>
      </c>
      <c r="AD43" s="38" t="n">
        <v>7.99799128915871</v>
      </c>
      <c r="AE43" s="38" t="n">
        <v>7.00974286448305</v>
      </c>
      <c r="AF43" s="38" t="n">
        <v>1.84641068629177</v>
      </c>
      <c r="AG43" s="72"/>
      <c r="AH43" s="72"/>
      <c r="AI43" s="73" t="n">
        <v>39.1138952978519</v>
      </c>
      <c r="AJ43" s="42" t="s">
        <v>16</v>
      </c>
      <c r="AK43" s="43" t="n">
        <v>730.125668325422</v>
      </c>
      <c r="AL43" s="43" t="n">
        <v>748.59508122031</v>
      </c>
      <c r="AM43" s="43" t="n">
        <v>638.732690598679</v>
      </c>
      <c r="AN43" s="74"/>
      <c r="AO43" s="75" t="n">
        <v>42.2285714285714</v>
      </c>
      <c r="AP43" s="76" t="n">
        <v>1.86778251082251</v>
      </c>
      <c r="AQ43" s="76" t="n">
        <v>1.47081565862709</v>
      </c>
      <c r="AR43" s="76" t="n">
        <v>1.90653773654916</v>
      </c>
      <c r="AS43" s="77" t="n">
        <v>44.9081662337662</v>
      </c>
      <c r="AT43" s="78" t="n">
        <v>44.4388772912014</v>
      </c>
      <c r="AU43" s="78" t="n">
        <v>44.230303030303</v>
      </c>
      <c r="AV43" s="78" t="n">
        <v>34.8298701298701</v>
      </c>
      <c r="AW43" s="78" t="n">
        <v>45.1480519480519</v>
      </c>
      <c r="AX43" s="78" t="n">
        <v>28.4471861471861</v>
      </c>
      <c r="AY43" s="48" t="n">
        <v>1.49949054403047</v>
      </c>
      <c r="AZ43" s="48" t="n">
        <v>27.3319646768055</v>
      </c>
      <c r="BA43" s="48" t="n">
        <v>2.30401900319448</v>
      </c>
      <c r="BB43" s="49" t="n">
        <f aca="false">AT43/V43</f>
        <v>1.49949054403047</v>
      </c>
      <c r="BC43" s="49" t="n">
        <f aca="false">AS43/V43</f>
        <v>1.51532565001622</v>
      </c>
      <c r="BD43" s="49" t="n">
        <f aca="false">SUM(AP43:AR43)/V43</f>
        <v>0.176985382453779</v>
      </c>
      <c r="BE43" s="50" t="n">
        <v>6.62</v>
      </c>
      <c r="BF43" s="51" t="n">
        <v>145.009371099385</v>
      </c>
      <c r="BG43" s="51" t="n">
        <v>585.33831528084</v>
      </c>
      <c r="BH43" s="51" t="n">
        <v>198.800819258368</v>
      </c>
      <c r="BI43" s="51" t="n">
        <v>176.614358120201</v>
      </c>
      <c r="BJ43" s="51" t="n">
        <v>11.1599748063648</v>
      </c>
      <c r="BK43" s="51" t="n">
        <v>13.7347074511152</v>
      </c>
      <c r="BL43" s="51" t="n">
        <v>9.37670070500154</v>
      </c>
      <c r="BM43" s="51"/>
      <c r="BN43" s="52" t="n">
        <f aca="false">(BG43*0.5-BH43*0.25+BI43*0.5)/SUM(BG43:BI43)*1000</f>
        <v>344.808667797752</v>
      </c>
      <c r="BO43" s="53" t="n">
        <v>3.55257606</v>
      </c>
      <c r="BP43" s="54" t="s">
        <v>77</v>
      </c>
      <c r="BQ43" s="55" t="n">
        <v>385.252563929452</v>
      </c>
      <c r="BR43" s="56" t="n">
        <v>12.9994863031809</v>
      </c>
      <c r="BS43" s="56" t="n">
        <v>18.4573884254492</v>
      </c>
      <c r="BT43" s="56" t="n">
        <v>8.66926860921686</v>
      </c>
      <c r="BU43" s="55"/>
      <c r="BV43" s="55"/>
      <c r="BW43" s="55"/>
      <c r="BX43" s="55"/>
      <c r="BY43" s="79" t="n">
        <v>0.1</v>
      </c>
      <c r="BZ43" s="80" t="n">
        <v>0.7210985</v>
      </c>
      <c r="CA43" s="81" t="n">
        <v>3.34</v>
      </c>
      <c r="CB43" s="81" t="n">
        <v>0.122</v>
      </c>
      <c r="CC43" s="82" t="n">
        <v>5.815007</v>
      </c>
      <c r="CD43" s="82" t="n">
        <v>5.520089</v>
      </c>
      <c r="CE43" s="83" t="n">
        <v>80.082671</v>
      </c>
      <c r="CF43" s="84" t="n">
        <v>37.795934</v>
      </c>
      <c r="CG43" s="80" t="n">
        <v>0.1235</v>
      </c>
      <c r="CH43" s="63" t="n">
        <v>72638.7279792056</v>
      </c>
      <c r="CI43" s="63" t="n">
        <v>6368.36667049658</v>
      </c>
      <c r="CJ43" s="64" t="n">
        <v>595365.814395838</v>
      </c>
      <c r="CK43" s="65" t="n">
        <v>1.06965608647837</v>
      </c>
    </row>
    <row r="44" customFormat="false" ht="15" hidden="false" customHeight="false" outlineLevel="0" collapsed="false">
      <c r="A44" s="7" t="s">
        <v>73</v>
      </c>
      <c r="B44" s="66" t="n">
        <v>42</v>
      </c>
      <c r="C44" s="8" t="s">
        <v>120</v>
      </c>
      <c r="D44" s="67" t="n">
        <v>41610</v>
      </c>
      <c r="E44" s="4" t="s">
        <v>75</v>
      </c>
      <c r="F44" s="7" t="n">
        <v>272</v>
      </c>
      <c r="G44" s="68" t="n">
        <v>1</v>
      </c>
      <c r="H44" s="68" t="n">
        <v>107</v>
      </c>
      <c r="I44" s="66" t="n">
        <v>2</v>
      </c>
      <c r="J44" s="69" t="n">
        <v>547.535714285714</v>
      </c>
      <c r="K44" s="31" t="n">
        <v>526.319356770953</v>
      </c>
      <c r="L44" s="31" t="n">
        <v>941.775780607897</v>
      </c>
      <c r="M44" s="31" t="n">
        <v>167.614855756187</v>
      </c>
      <c r="N44" s="31" t="n">
        <v>324.974566981965</v>
      </c>
      <c r="O44" s="32"/>
      <c r="P44" s="33" t="n">
        <v>70.5933388805967</v>
      </c>
      <c r="Q44" s="33" t="n">
        <v>11.622922561416</v>
      </c>
      <c r="R44" s="31" t="n">
        <v>156.795265669547</v>
      </c>
      <c r="S44" s="34" t="s">
        <v>76</v>
      </c>
      <c r="T44" s="35" t="n">
        <v>16.71725889</v>
      </c>
      <c r="U44" s="35" t="n">
        <v>1.956802</v>
      </c>
      <c r="V44" s="70" t="n">
        <v>18.67406089</v>
      </c>
      <c r="W44" s="35" t="n">
        <v>17.5788408250818</v>
      </c>
      <c r="X44" s="35" t="n">
        <v>3.17048326959729</v>
      </c>
      <c r="Y44" s="35" t="n">
        <v>5.8350242023476</v>
      </c>
      <c r="Z44" s="35"/>
      <c r="AA44" s="35" t="n">
        <v>1.24558758443755</v>
      </c>
      <c r="AB44" s="35" t="n">
        <v>0.208136307983762</v>
      </c>
      <c r="AC44" s="71" t="n">
        <v>3.03108271231303</v>
      </c>
      <c r="AD44" s="38" t="n">
        <v>5.58961575361137</v>
      </c>
      <c r="AE44" s="38" t="n">
        <v>4.90545818326497</v>
      </c>
      <c r="AF44" s="38" t="n">
        <v>1.09800981376514</v>
      </c>
      <c r="AG44" s="72"/>
      <c r="AH44" s="72"/>
      <c r="AI44" s="73" t="n">
        <v>37.2362461318184</v>
      </c>
      <c r="AJ44" s="42" t="s">
        <v>16</v>
      </c>
      <c r="AK44" s="43" t="n">
        <v>700.67486731798</v>
      </c>
      <c r="AL44" s="43" t="n">
        <v>720.945298266438</v>
      </c>
      <c r="AM44" s="43" t="n">
        <v>653.677461636753</v>
      </c>
      <c r="AN44" s="74"/>
      <c r="AO44" s="75" t="n">
        <v>25.8857142857143</v>
      </c>
      <c r="AP44" s="76" t="n">
        <v>1.35227379077615</v>
      </c>
      <c r="AQ44" s="76" t="n">
        <v>0.818070101237345</v>
      </c>
      <c r="AR44" s="76" t="n">
        <v>1.14757282339708</v>
      </c>
      <c r="AS44" s="77" t="n">
        <v>30.638392575928</v>
      </c>
      <c r="AT44" s="78" t="n">
        <v>29.0146724271886</v>
      </c>
      <c r="AU44" s="78" t="n">
        <v>52.240157480315</v>
      </c>
      <c r="AV44" s="78" t="n">
        <v>31.6031496062992</v>
      </c>
      <c r="AW44" s="78" t="n">
        <v>44.3322834645669</v>
      </c>
      <c r="AX44" s="78" t="n">
        <v>19.6740157480315</v>
      </c>
      <c r="AY44" s="48" t="n">
        <v>1.55374198456888</v>
      </c>
      <c r="AZ44" s="48" t="n">
        <v>21.7671581979271</v>
      </c>
      <c r="BA44" s="48" t="n">
        <v>-3.09309730792708</v>
      </c>
      <c r="BB44" s="49" t="n">
        <f aca="false">AT44/V44</f>
        <v>1.55374198456888</v>
      </c>
      <c r="BC44" s="49" t="n">
        <f aca="false">AS44/V44</f>
        <v>1.64069254975681</v>
      </c>
      <c r="BD44" s="49" t="n">
        <f aca="false">SUM(AP44:AR44)/V44</f>
        <v>0.177675157800697</v>
      </c>
      <c r="BE44" s="50" t="n">
        <v>6.79</v>
      </c>
      <c r="BF44" s="51" t="n">
        <v>125.266356413594</v>
      </c>
      <c r="BG44" s="51" t="n">
        <v>626.659858881215</v>
      </c>
      <c r="BH44" s="51" t="n">
        <v>193.232067278852</v>
      </c>
      <c r="BI44" s="51" t="n">
        <v>144.940885300089</v>
      </c>
      <c r="BJ44" s="51" t="n">
        <v>10.8639186735766</v>
      </c>
      <c r="BK44" s="51" t="n">
        <v>10.6925664819475</v>
      </c>
      <c r="BL44" s="51" t="n">
        <v>8.63557900621003</v>
      </c>
      <c r="BM44" s="51"/>
      <c r="BN44" s="52" t="n">
        <f aca="false">(BG44*0.5-BH44*0.25+BI44*0.5)/SUM(BG44:BI44)*1000</f>
        <v>349.793613216973</v>
      </c>
      <c r="BO44" s="53" t="n">
        <v>2.62763918</v>
      </c>
      <c r="BP44" s="54" t="s">
        <v>77</v>
      </c>
      <c r="BQ44" s="55" t="n">
        <v>425.248573364932</v>
      </c>
      <c r="BR44" s="56" t="n">
        <v>22.7721530881724</v>
      </c>
      <c r="BS44" s="56" t="n">
        <v>33.554464927287</v>
      </c>
      <c r="BT44" s="56" t="n">
        <v>14.6563286017472</v>
      </c>
      <c r="BU44" s="55"/>
      <c r="BV44" s="55"/>
      <c r="BW44" s="55"/>
      <c r="BX44" s="55"/>
      <c r="BY44" s="79" t="n">
        <v>0.08</v>
      </c>
      <c r="BZ44" s="80" t="n">
        <v>0.639456</v>
      </c>
      <c r="CA44" s="81" t="n">
        <v>3.62</v>
      </c>
      <c r="CB44" s="81" t="n">
        <v>0.082</v>
      </c>
      <c r="CC44" s="82" t="n">
        <v>4.523138</v>
      </c>
      <c r="CD44" s="82" t="n">
        <v>6.110691</v>
      </c>
      <c r="CE44" s="83" t="n">
        <v>73.106295</v>
      </c>
      <c r="CF44" s="84" t="n">
        <v>35.763534</v>
      </c>
      <c r="CG44" s="80" t="n">
        <v>0.1445</v>
      </c>
      <c r="CH44" s="63" t="n">
        <v>100839.983019561</v>
      </c>
      <c r="CI44" s="63" t="n">
        <v>9407.25093673869</v>
      </c>
      <c r="CJ44" s="64" t="n">
        <v>637459.602386809</v>
      </c>
      <c r="CK44" s="65" t="n">
        <v>1.47574072168896</v>
      </c>
    </row>
    <row r="45" customFormat="false" ht="15" hidden="false" customHeight="false" outlineLevel="0" collapsed="false">
      <c r="A45" s="7" t="s">
        <v>73</v>
      </c>
      <c r="B45" s="66" t="n">
        <v>43</v>
      </c>
      <c r="C45" s="8" t="s">
        <v>121</v>
      </c>
      <c r="D45" s="67" t="n">
        <v>41610</v>
      </c>
      <c r="E45" s="4" t="s">
        <v>75</v>
      </c>
      <c r="F45" s="7" t="n">
        <v>533</v>
      </c>
      <c r="G45" s="68" t="n">
        <v>1</v>
      </c>
      <c r="H45" s="68" t="n">
        <v>99</v>
      </c>
      <c r="I45" s="66" t="n">
        <v>3</v>
      </c>
      <c r="J45" s="69" t="n">
        <v>749.244047619048</v>
      </c>
      <c r="K45" s="31" t="n">
        <v>526.319356770953</v>
      </c>
      <c r="L45" s="31" t="n">
        <v>941.775780607897</v>
      </c>
      <c r="M45" s="31" t="n">
        <v>167.614855756187</v>
      </c>
      <c r="N45" s="31" t="n">
        <v>324.974566981965</v>
      </c>
      <c r="O45" s="32"/>
      <c r="P45" s="33" t="n">
        <v>70.5933388805967</v>
      </c>
      <c r="Q45" s="33" t="n">
        <v>11.622922561416</v>
      </c>
      <c r="R45" s="31" t="n">
        <v>156.795265669547</v>
      </c>
      <c r="S45" s="34" t="s">
        <v>76</v>
      </c>
      <c r="T45" s="35" t="n">
        <v>21.31708366</v>
      </c>
      <c r="U45" s="35" t="n">
        <v>6.9119435</v>
      </c>
      <c r="V45" s="70" t="n">
        <v>28.22902716</v>
      </c>
      <c r="W45" s="35" t="n">
        <v>26.5573769230317</v>
      </c>
      <c r="X45" s="35" t="n">
        <v>4.87442526511902</v>
      </c>
      <c r="Y45" s="35" t="n">
        <v>8.34868241469905</v>
      </c>
      <c r="Z45" s="35"/>
      <c r="AA45" s="35" t="n">
        <v>1.73606782067447</v>
      </c>
      <c r="AB45" s="35" t="n">
        <v>0.296628291848888</v>
      </c>
      <c r="AC45" s="71" t="n">
        <v>4.7902779605891</v>
      </c>
      <c r="AD45" s="38" t="n">
        <v>8.51023889924852</v>
      </c>
      <c r="AE45" s="38" t="n">
        <v>7.52050114165214</v>
      </c>
      <c r="AF45" s="38" t="n">
        <v>1.67800695615175</v>
      </c>
      <c r="AG45" s="72"/>
      <c r="AH45" s="72"/>
      <c r="AI45" s="73" t="n">
        <v>34.85546003592</v>
      </c>
      <c r="AJ45" s="42" t="s">
        <v>16</v>
      </c>
      <c r="AK45" s="43" t="n">
        <v>698.528792685163</v>
      </c>
      <c r="AL45" s="43" t="n">
        <v>716.820634679096</v>
      </c>
      <c r="AM45" s="43" t="n">
        <v>655.752860104466</v>
      </c>
      <c r="AN45" s="74"/>
      <c r="AO45" s="75" t="n">
        <v>41.1428571428572</v>
      </c>
      <c r="AP45" s="76" t="n">
        <v>1.50717243359655</v>
      </c>
      <c r="AQ45" s="76" t="n">
        <v>1.34400689160086</v>
      </c>
      <c r="AR45" s="76" t="n">
        <v>1.81394515434315</v>
      </c>
      <c r="AS45" s="77" t="n">
        <v>39.0647293610912</v>
      </c>
      <c r="AT45" s="78" t="n">
        <v>38.5681468086566</v>
      </c>
      <c r="AU45" s="78" t="n">
        <v>36.6326633165829</v>
      </c>
      <c r="AV45" s="78" t="n">
        <v>32.6668341708543</v>
      </c>
      <c r="AW45" s="78" t="n">
        <v>44.0889447236181</v>
      </c>
      <c r="AX45" s="78" t="n">
        <v>30.1497487437186</v>
      </c>
      <c r="AY45" s="48" t="n">
        <v>1.3662584470253</v>
      </c>
      <c r="AZ45" s="48" t="n">
        <v>27.4658265254093</v>
      </c>
      <c r="BA45" s="48" t="n">
        <v>0.763200634590678</v>
      </c>
      <c r="BB45" s="49" t="n">
        <f aca="false">AT45/V45</f>
        <v>1.3662584470253</v>
      </c>
      <c r="BC45" s="49" t="n">
        <f aca="false">AS45/V45</f>
        <v>1.38384965020846</v>
      </c>
      <c r="BD45" s="49" t="n">
        <f aca="false">SUM(AP45:AR45)/V45</f>
        <v>0.165259838856613</v>
      </c>
      <c r="BE45" s="50" t="n">
        <v>6.62</v>
      </c>
      <c r="BF45" s="51" t="n">
        <v>199.10886569237</v>
      </c>
      <c r="BG45" s="51" t="n">
        <v>513.222956529023</v>
      </c>
      <c r="BH45" s="51" t="n">
        <v>311.317867505556</v>
      </c>
      <c r="BI45" s="51" t="n">
        <v>127.085728503618</v>
      </c>
      <c r="BJ45" s="51" t="n">
        <v>9.97233751903326</v>
      </c>
      <c r="BK45" s="51" t="n">
        <v>20.977730517399</v>
      </c>
      <c r="BL45" s="51" t="n">
        <v>12.4482550472614</v>
      </c>
      <c r="BM45" s="51"/>
      <c r="BN45" s="52" t="n">
        <f aca="false">(BG45*0.5-BH45*0.25+BI45*0.5)/SUM(BG45:BI45)*1000</f>
        <v>254.642827056053</v>
      </c>
      <c r="BO45" s="53" t="n">
        <v>3.38212494</v>
      </c>
      <c r="BP45" s="54" t="s">
        <v>77</v>
      </c>
      <c r="BQ45" s="55" t="n">
        <v>538.543521618995</v>
      </c>
      <c r="BR45" s="56" t="n">
        <v>19.0776507658791</v>
      </c>
      <c r="BS45" s="56" t="n">
        <v>28.2894907653785</v>
      </c>
      <c r="BT45" s="56" t="n">
        <v>13.963427496032</v>
      </c>
      <c r="BU45" s="55"/>
      <c r="BV45" s="55"/>
      <c r="BW45" s="55"/>
      <c r="BX45" s="55"/>
      <c r="BY45" s="79" t="n">
        <v>0.08</v>
      </c>
      <c r="BZ45" s="80" t="n">
        <v>0.4348695</v>
      </c>
      <c r="CA45" s="81" t="n">
        <v>2.83</v>
      </c>
      <c r="CB45" s="81" t="n">
        <v>0.196</v>
      </c>
      <c r="CC45" s="82" t="n">
        <v>5.667965</v>
      </c>
      <c r="CD45" s="82" t="n">
        <v>6.211219</v>
      </c>
      <c r="CE45" s="83" t="n">
        <v>86.864458</v>
      </c>
      <c r="CF45" s="84" t="n">
        <v>35.865154</v>
      </c>
      <c r="CG45" s="80" t="n">
        <v>0.1025</v>
      </c>
      <c r="CH45" s="63" t="n">
        <v>3900.91870221029</v>
      </c>
      <c r="CI45" s="63" t="n">
        <v>6811.34371175026</v>
      </c>
      <c r="CJ45" s="64" t="n">
        <v>1141825.00588453</v>
      </c>
      <c r="CK45" s="65" t="n">
        <v>0.596531314049631</v>
      </c>
    </row>
    <row r="46" customFormat="false" ht="15" hidden="false" customHeight="false" outlineLevel="0" collapsed="false">
      <c r="A46" s="7" t="s">
        <v>73</v>
      </c>
      <c r="B46" s="66" t="n">
        <v>44</v>
      </c>
      <c r="C46" s="8" t="s">
        <v>122</v>
      </c>
      <c r="D46" s="67" t="n">
        <v>41610</v>
      </c>
      <c r="E46" s="4" t="s">
        <v>75</v>
      </c>
      <c r="F46" s="7" t="n">
        <v>331</v>
      </c>
      <c r="G46" s="68" t="n">
        <v>1</v>
      </c>
      <c r="H46" s="68" t="n">
        <v>105</v>
      </c>
      <c r="I46" s="66" t="n">
        <v>1</v>
      </c>
      <c r="J46" s="69" t="n">
        <v>497.666666666667</v>
      </c>
      <c r="K46" s="31" t="n">
        <v>526.319356770953</v>
      </c>
      <c r="L46" s="31" t="n">
        <v>941.775780607897</v>
      </c>
      <c r="M46" s="31" t="n">
        <v>167.614855756187</v>
      </c>
      <c r="N46" s="31" t="n">
        <v>324.974566981965</v>
      </c>
      <c r="O46" s="32"/>
      <c r="P46" s="33" t="n">
        <v>70.5933388805967</v>
      </c>
      <c r="Q46" s="33" t="n">
        <v>11.622922561416</v>
      </c>
      <c r="R46" s="31" t="n">
        <v>156.795265669547</v>
      </c>
      <c r="S46" s="34" t="s">
        <v>76</v>
      </c>
      <c r="T46" s="35" t="n">
        <v>21.0292200785714</v>
      </c>
      <c r="U46" s="35" t="n">
        <v>5.73272057142857</v>
      </c>
      <c r="V46" s="70" t="n">
        <v>26.76194065</v>
      </c>
      <c r="W46" s="35" t="n">
        <v>25.1804937044671</v>
      </c>
      <c r="X46" s="35" t="n">
        <v>4.60415357994438</v>
      </c>
      <c r="Y46" s="35" t="n">
        <v>8.01267273538315</v>
      </c>
      <c r="Z46" s="35"/>
      <c r="AA46" s="35" t="n">
        <v>1.67629828673934</v>
      </c>
      <c r="AB46" s="35" t="n">
        <v>0.284946386667565</v>
      </c>
      <c r="AC46" s="71" t="n">
        <v>4.49812786651917</v>
      </c>
      <c r="AD46" s="38" t="n">
        <v>7.83608959166519</v>
      </c>
      <c r="AE46" s="38" t="n">
        <v>6.84516742355268</v>
      </c>
      <c r="AF46" s="38" t="n">
        <v>1.67983569990393</v>
      </c>
      <c r="AG46" s="72"/>
      <c r="AH46" s="72"/>
      <c r="AI46" s="73" t="n">
        <v>36.3633395629685</v>
      </c>
      <c r="AJ46" s="42" t="s">
        <v>16</v>
      </c>
      <c r="AK46" s="43" t="n">
        <v>707.192774464762</v>
      </c>
      <c r="AL46" s="43" t="n">
        <v>728.155948652495</v>
      </c>
      <c r="AM46" s="43" t="n">
        <v>635.147770217469</v>
      </c>
      <c r="AN46" s="74"/>
      <c r="AO46" s="75" t="n">
        <v>33.4428571428571</v>
      </c>
      <c r="AP46" s="76" t="n">
        <v>1.31096</v>
      </c>
      <c r="AQ46" s="76" t="n">
        <v>1.04341714285714</v>
      </c>
      <c r="AR46" s="76" t="n">
        <v>1.54506</v>
      </c>
      <c r="AS46" s="77" t="n">
        <v>33.0415428571429</v>
      </c>
      <c r="AT46" s="78" t="n">
        <v>32.3910899363057</v>
      </c>
      <c r="AU46" s="78" t="n">
        <v>39.2</v>
      </c>
      <c r="AV46" s="78" t="n">
        <v>31.2</v>
      </c>
      <c r="AW46" s="78" t="n">
        <v>46.2</v>
      </c>
      <c r="AX46" s="78" t="n">
        <v>28.3</v>
      </c>
      <c r="AY46" s="48" t="n">
        <v>1.21034159517523</v>
      </c>
      <c r="AZ46" s="48" t="n">
        <v>21.8669141113401</v>
      </c>
      <c r="BA46" s="48" t="n">
        <v>4.89502653865991</v>
      </c>
      <c r="BB46" s="49" t="n">
        <f aca="false">AT46/V46</f>
        <v>1.21034159517523</v>
      </c>
      <c r="BC46" s="49" t="n">
        <f aca="false">AS46/V46</f>
        <v>1.23464674289766</v>
      </c>
      <c r="BD46" s="49" t="n">
        <f aca="false">SUM(AP46:AR46)/V46</f>
        <v>0.145708309941161</v>
      </c>
      <c r="BE46" s="50" t="n">
        <v>6.71</v>
      </c>
      <c r="BF46" s="51" t="n">
        <v>173.979129854413</v>
      </c>
      <c r="BG46" s="51" t="n">
        <v>564.856309703006</v>
      </c>
      <c r="BH46" s="51" t="n">
        <v>236.984122472144</v>
      </c>
      <c r="BI46" s="51" t="n">
        <v>156.91817483413</v>
      </c>
      <c r="BJ46" s="51" t="n">
        <v>10.5606899813542</v>
      </c>
      <c r="BK46" s="51" t="n">
        <v>13.4654827819867</v>
      </c>
      <c r="BL46" s="51" t="n">
        <v>12.2400958492694</v>
      </c>
      <c r="BM46" s="51"/>
      <c r="BN46" s="52" t="n">
        <f aca="false">(BG46*0.5-BH46*0.25+BI46*0.5)/SUM(BG46:BI46)*1000</f>
        <v>314.616431545227</v>
      </c>
      <c r="BO46" s="53" t="n">
        <v>10.52655976</v>
      </c>
      <c r="BP46" s="54" t="s">
        <v>77</v>
      </c>
      <c r="BQ46" s="55" t="n">
        <v>523.545991107135</v>
      </c>
      <c r="BR46" s="56" t="n">
        <v>19.5630801949011</v>
      </c>
      <c r="BS46" s="56" t="n">
        <v>28.5539500680772</v>
      </c>
      <c r="BT46" s="56" t="n">
        <v>16.1632718175474</v>
      </c>
      <c r="BU46" s="55"/>
      <c r="BV46" s="55"/>
      <c r="BW46" s="55"/>
      <c r="BX46" s="55"/>
      <c r="BY46" s="79" t="n">
        <v>0.16</v>
      </c>
      <c r="BZ46" s="80" t="n">
        <v>0.599115</v>
      </c>
      <c r="CA46" s="81" t="n">
        <v>3.6</v>
      </c>
      <c r="CB46" s="81" t="n">
        <v>0.258</v>
      </c>
      <c r="CC46" s="82" t="n">
        <v>5.342372</v>
      </c>
      <c r="CD46" s="82" t="n">
        <v>4.923204</v>
      </c>
      <c r="CE46" s="83" t="n">
        <v>89.019351</v>
      </c>
      <c r="CF46" s="84" t="n">
        <v>36.820382</v>
      </c>
      <c r="CG46" s="80" t="n">
        <v>0.1655</v>
      </c>
      <c r="CH46" s="63" t="n">
        <v>41325.1770469348</v>
      </c>
      <c r="CI46" s="63" t="n">
        <v>8011.08042080569</v>
      </c>
      <c r="CJ46" s="64" t="n">
        <v>1124954.297137</v>
      </c>
      <c r="CK46" s="65" t="n">
        <v>0.712124967315904</v>
      </c>
    </row>
    <row r="47" customFormat="false" ht="15" hidden="false" customHeight="false" outlineLevel="0" collapsed="false">
      <c r="A47" s="7" t="s">
        <v>73</v>
      </c>
      <c r="B47" s="66" t="n">
        <v>45</v>
      </c>
      <c r="C47" s="8" t="s">
        <v>123</v>
      </c>
      <c r="D47" s="67" t="n">
        <v>41610</v>
      </c>
      <c r="E47" s="4" t="s">
        <v>75</v>
      </c>
      <c r="F47" s="7" t="n">
        <v>305</v>
      </c>
      <c r="G47" s="68" t="n">
        <v>1</v>
      </c>
      <c r="H47" s="68" t="n">
        <v>106</v>
      </c>
      <c r="I47" s="66" t="n">
        <v>1</v>
      </c>
      <c r="J47" s="69" t="n">
        <v>723.023809523809</v>
      </c>
      <c r="K47" s="31" t="n">
        <v>526.319356770953</v>
      </c>
      <c r="L47" s="31" t="n">
        <v>941.775780607897</v>
      </c>
      <c r="M47" s="31" t="n">
        <v>167.614855756187</v>
      </c>
      <c r="N47" s="31" t="n">
        <v>324.974566981965</v>
      </c>
      <c r="O47" s="32"/>
      <c r="P47" s="33" t="n">
        <v>70.5933388805967</v>
      </c>
      <c r="Q47" s="33" t="n">
        <v>11.622922561416</v>
      </c>
      <c r="R47" s="31" t="n">
        <v>156.795265669547</v>
      </c>
      <c r="S47" s="34" t="s">
        <v>76</v>
      </c>
      <c r="T47" s="35" t="n">
        <v>19.2943267528571</v>
      </c>
      <c r="U47" s="35" t="n">
        <v>5.05828285714286</v>
      </c>
      <c r="V47" s="70" t="n">
        <v>24.35260961</v>
      </c>
      <c r="W47" s="35" t="n">
        <v>22.9141798296187</v>
      </c>
      <c r="X47" s="35" t="n">
        <v>4.18637805130717</v>
      </c>
      <c r="Y47" s="35" t="n">
        <v>7.31020464028972</v>
      </c>
      <c r="Z47" s="35"/>
      <c r="AA47" s="35" t="n">
        <v>1.53126455929455</v>
      </c>
      <c r="AB47" s="35" t="n">
        <v>0.260014162929605</v>
      </c>
      <c r="AC47" s="71" t="n">
        <v>4.08482883984357</v>
      </c>
      <c r="AD47" s="38" t="n">
        <v>5.96263345705229</v>
      </c>
      <c r="AE47" s="38" t="n">
        <v>5.14958480269796</v>
      </c>
      <c r="AF47" s="38" t="n">
        <v>1.31908048225388</v>
      </c>
      <c r="AG47" s="72"/>
      <c r="AH47" s="72"/>
      <c r="AI47" s="73" t="n">
        <v>43.6072693051548</v>
      </c>
      <c r="AJ47" s="42" t="s">
        <v>16</v>
      </c>
      <c r="AK47" s="43" t="n">
        <v>755.154229770766</v>
      </c>
      <c r="AL47" s="43" t="n">
        <v>775.266457669951</v>
      </c>
      <c r="AM47" s="43" t="n">
        <v>684.911284626574</v>
      </c>
      <c r="AN47" s="74"/>
      <c r="AO47" s="75" t="n">
        <v>31.6285714285714</v>
      </c>
      <c r="AP47" s="76" t="n">
        <v>1.51393545918367</v>
      </c>
      <c r="AQ47" s="76" t="n">
        <v>1.08802285714286</v>
      </c>
      <c r="AR47" s="76" t="n">
        <v>1.49100474489796</v>
      </c>
      <c r="AS47" s="77" t="n">
        <v>35.3604604591837</v>
      </c>
      <c r="AT47" s="78" t="n">
        <v>34.9139525919667</v>
      </c>
      <c r="AU47" s="78" t="n">
        <v>47.8660714285714</v>
      </c>
      <c r="AV47" s="78" t="n">
        <v>34.4</v>
      </c>
      <c r="AW47" s="78" t="n">
        <v>47.1410714285714</v>
      </c>
      <c r="AX47" s="78" t="n">
        <v>28.0571428571429</v>
      </c>
      <c r="AY47" s="48" t="n">
        <v>1.43368423964017</v>
      </c>
      <c r="AZ47" s="48" t="n">
        <v>25.9316972420661</v>
      </c>
      <c r="BA47" s="48" t="n">
        <v>-1.57908763206606</v>
      </c>
      <c r="BB47" s="49" t="n">
        <f aca="false">AT47/V47</f>
        <v>1.43368423964017</v>
      </c>
      <c r="BC47" s="49" t="n">
        <f aca="false">AS47/V47</f>
        <v>1.4520193533864</v>
      </c>
      <c r="BD47" s="49" t="n">
        <f aca="false">SUM(AP47:AR47)/V47</f>
        <v>0.168070819791887</v>
      </c>
      <c r="BE47" s="50" t="n">
        <v>6.55</v>
      </c>
      <c r="BF47" s="51" t="n">
        <v>163.78603109539</v>
      </c>
      <c r="BG47" s="51" t="n">
        <v>548.53445437622</v>
      </c>
      <c r="BH47" s="51" t="n">
        <v>268.678241456549</v>
      </c>
      <c r="BI47" s="51" t="n">
        <v>140.337566777079</v>
      </c>
      <c r="BJ47" s="51" t="n">
        <v>9.94217765262975</v>
      </c>
      <c r="BK47" s="51" t="n">
        <v>13.5036385523734</v>
      </c>
      <c r="BL47" s="51" t="n">
        <v>14.0287968070399</v>
      </c>
      <c r="BM47" s="51"/>
      <c r="BN47" s="52" t="n">
        <f aca="false">(BG47*0.5-BH47*0.25+BI47*0.5)/SUM(BG47:BI47)*1000</f>
        <v>289.558116204584</v>
      </c>
      <c r="BO47" s="53" t="n">
        <v>11.26879944</v>
      </c>
      <c r="BP47" s="54" t="s">
        <v>77</v>
      </c>
      <c r="BQ47" s="55" t="n">
        <v>567.974738577381</v>
      </c>
      <c r="BR47" s="56" t="n">
        <v>23.3229517359056</v>
      </c>
      <c r="BS47" s="56" t="n">
        <v>31.9722874468381</v>
      </c>
      <c r="BT47" s="56" t="n">
        <v>16.2678441256767</v>
      </c>
      <c r="BU47" s="55"/>
      <c r="BV47" s="55"/>
      <c r="BW47" s="55"/>
      <c r="BX47" s="55"/>
      <c r="BY47" s="79" t="n">
        <v>0.36</v>
      </c>
      <c r="BZ47" s="80" t="n">
        <v>0.5386035</v>
      </c>
      <c r="CA47" s="81" t="n">
        <v>4.07</v>
      </c>
      <c r="CB47" s="81" t="n">
        <v>0.948</v>
      </c>
      <c r="CC47" s="82" t="n">
        <v>4.575653</v>
      </c>
      <c r="CD47" s="82" t="n">
        <v>4.150395</v>
      </c>
      <c r="CE47" s="83" t="n">
        <v>90.042745</v>
      </c>
      <c r="CF47" s="84" t="n">
        <v>35.814344</v>
      </c>
      <c r="CG47" s="80" t="n">
        <v>0.113</v>
      </c>
      <c r="CH47" s="63" t="n">
        <v>48205.6236396189</v>
      </c>
      <c r="CI47" s="63" t="n">
        <v>5157.84914215287</v>
      </c>
      <c r="CJ47" s="64" t="n">
        <v>634628.028444867</v>
      </c>
      <c r="CK47" s="65" t="n">
        <v>0.812735793405153</v>
      </c>
    </row>
    <row r="48" customFormat="false" ht="15" hidden="false" customHeight="false" outlineLevel="0" collapsed="false">
      <c r="A48" s="7" t="s">
        <v>73</v>
      </c>
      <c r="B48" s="66" t="n">
        <v>46</v>
      </c>
      <c r="C48" s="8" t="s">
        <v>124</v>
      </c>
      <c r="D48" s="67" t="n">
        <v>41610</v>
      </c>
      <c r="E48" s="4" t="s">
        <v>75</v>
      </c>
      <c r="F48" s="7" t="n">
        <v>625</v>
      </c>
      <c r="G48" s="68" t="n">
        <v>1</v>
      </c>
      <c r="H48" s="68" t="n">
        <v>107</v>
      </c>
      <c r="I48" s="66" t="n">
        <v>3</v>
      </c>
      <c r="J48" s="69" t="n">
        <v>545.130952380952</v>
      </c>
      <c r="K48" s="31" t="n">
        <v>526.319356770953</v>
      </c>
      <c r="L48" s="31" t="n">
        <v>941.775780607897</v>
      </c>
      <c r="M48" s="31" t="n">
        <v>167.614855756187</v>
      </c>
      <c r="N48" s="31" t="n">
        <v>324.974566981965</v>
      </c>
      <c r="O48" s="32"/>
      <c r="P48" s="33" t="n">
        <v>70.5933388805967</v>
      </c>
      <c r="Q48" s="33" t="n">
        <v>11.622922561416</v>
      </c>
      <c r="R48" s="31" t="n">
        <v>156.795265669547</v>
      </c>
      <c r="S48" s="34" t="s">
        <v>76</v>
      </c>
      <c r="T48" s="35" t="n">
        <v>16.0001885857143</v>
      </c>
      <c r="U48" s="35" t="n">
        <v>4.28223771428571</v>
      </c>
      <c r="V48" s="70" t="n">
        <v>20.2824263</v>
      </c>
      <c r="W48" s="35" t="n">
        <v>19.0841276656037</v>
      </c>
      <c r="X48" s="35" t="n">
        <v>3.48811950262819</v>
      </c>
      <c r="Y48" s="35" t="n">
        <v>6.08013001174847</v>
      </c>
      <c r="Z48" s="35"/>
      <c r="AA48" s="35" t="n">
        <v>1.2727594816324</v>
      </c>
      <c r="AB48" s="35" t="n">
        <v>0.216240680258316</v>
      </c>
      <c r="AC48" s="71" t="n">
        <v>3.40576367015516</v>
      </c>
      <c r="AD48" s="38" t="n">
        <v>5.50545113539973</v>
      </c>
      <c r="AE48" s="38" t="n">
        <v>4.84195614949569</v>
      </c>
      <c r="AF48" s="38" t="n">
        <v>1.17037658775523</v>
      </c>
      <c r="AG48" s="72"/>
      <c r="AH48" s="72"/>
      <c r="AI48" s="73" t="n">
        <v>39.2775587213737</v>
      </c>
      <c r="AJ48" s="42" t="s">
        <v>16</v>
      </c>
      <c r="AK48" s="43" t="n">
        <v>728.560525552126</v>
      </c>
      <c r="AL48" s="43" t="n">
        <v>746.283600993584</v>
      </c>
      <c r="AM48" s="43" t="n">
        <v>664.467749206015</v>
      </c>
      <c r="AN48" s="74"/>
      <c r="AO48" s="75" t="n">
        <v>44.0071428571429</v>
      </c>
      <c r="AP48" s="76" t="n">
        <v>1.40236095238095</v>
      </c>
      <c r="AQ48" s="76" t="n">
        <v>1.19232192239859</v>
      </c>
      <c r="AR48" s="76" t="n">
        <v>2.02291599647266</v>
      </c>
      <c r="AS48" s="77" t="n">
        <v>38.6382714285714</v>
      </c>
      <c r="AT48" s="78" t="n">
        <v>37.240316381222</v>
      </c>
      <c r="AU48" s="78" t="n">
        <v>31.8666666666667</v>
      </c>
      <c r="AV48" s="78" t="n">
        <v>27.0938271604938</v>
      </c>
      <c r="AW48" s="78" t="n">
        <v>45.9679012345679</v>
      </c>
      <c r="AX48" s="78" t="n">
        <v>39.1111111111111</v>
      </c>
      <c r="AY48" s="48" t="n">
        <v>1.83608784424485</v>
      </c>
      <c r="AZ48" s="48" t="n">
        <v>24.6297851232078</v>
      </c>
      <c r="BA48" s="48" t="n">
        <v>-4.34735882320785</v>
      </c>
      <c r="BB48" s="49" t="n">
        <f aca="false">AT48/V48</f>
        <v>1.83608784424485</v>
      </c>
      <c r="BC48" s="49" t="n">
        <f aca="false">AS48/V48</f>
        <v>1.90501229276358</v>
      </c>
      <c r="BD48" s="49" t="n">
        <f aca="false">SUM(AP48:AR48)/V48</f>
        <v>0.227665014182855</v>
      </c>
      <c r="BE48" s="50" t="n">
        <v>6.38</v>
      </c>
      <c r="BF48" s="51" t="n">
        <v>161.875136238665</v>
      </c>
      <c r="BG48" s="51" t="n">
        <v>542.536349224102</v>
      </c>
      <c r="BH48" s="51" t="n">
        <v>255.157554570329</v>
      </c>
      <c r="BI48" s="51" t="n">
        <v>165.772181178347</v>
      </c>
      <c r="BJ48" s="51" t="n">
        <v>8.06884379595897</v>
      </c>
      <c r="BK48" s="51" t="n">
        <v>12.6829402743224</v>
      </c>
      <c r="BL48" s="51" t="n">
        <v>10.8070065788321</v>
      </c>
      <c r="BM48" s="51"/>
      <c r="BN48" s="52" t="n">
        <f aca="false">(BG48*0.5-BH48*0.25+BI48*0.5)/SUM(BG48:BI48)*1000</f>
        <v>301.375296014541</v>
      </c>
      <c r="BO48" s="53" t="n">
        <v>13.653644</v>
      </c>
      <c r="BP48" s="54" t="s">
        <v>77</v>
      </c>
      <c r="BQ48" s="55" t="n">
        <v>350.314240226827</v>
      </c>
      <c r="BR48" s="56" t="n">
        <v>17.2718113230283</v>
      </c>
      <c r="BS48" s="56" t="n">
        <v>24.5969682243062</v>
      </c>
      <c r="BT48" s="56" t="n">
        <v>9.40685456698936</v>
      </c>
      <c r="BU48" s="55"/>
      <c r="BV48" s="55"/>
      <c r="BW48" s="55"/>
      <c r="BX48" s="55"/>
      <c r="BY48" s="79" t="n">
        <v>0.06</v>
      </c>
      <c r="BZ48" s="80" t="n">
        <v>0.6423375</v>
      </c>
      <c r="CA48" s="81" t="n">
        <v>3.63</v>
      </c>
      <c r="CB48" s="81" t="n">
        <v>0.554</v>
      </c>
      <c r="CC48" s="82" t="n">
        <v>4.187042</v>
      </c>
      <c r="CD48" s="82" t="n">
        <v>6.833236</v>
      </c>
      <c r="CE48" s="83" t="n">
        <v>79.880875</v>
      </c>
      <c r="CF48" s="84" t="n">
        <v>35.306244</v>
      </c>
      <c r="CG48" s="80" t="n">
        <v>0.2075</v>
      </c>
      <c r="CH48" s="63" t="n">
        <v>27516.3344787743</v>
      </c>
      <c r="CI48" s="63" t="n">
        <v>5251.3382395441</v>
      </c>
      <c r="CJ48" s="64" t="n">
        <v>778094.386708106</v>
      </c>
      <c r="CK48" s="65" t="n">
        <v>0.674897329842078</v>
      </c>
    </row>
    <row r="49" customFormat="false" ht="15" hidden="false" customHeight="false" outlineLevel="0" collapsed="false">
      <c r="A49" s="7" t="s">
        <v>73</v>
      </c>
      <c r="B49" s="66" t="n">
        <v>47</v>
      </c>
      <c r="C49" s="8" t="s">
        <v>125</v>
      </c>
      <c r="D49" s="67" t="n">
        <v>41617</v>
      </c>
      <c r="E49" s="4" t="s">
        <v>75</v>
      </c>
      <c r="F49" s="7" t="n">
        <v>234</v>
      </c>
      <c r="G49" s="68" t="n">
        <v>1</v>
      </c>
      <c r="H49" s="68" t="n">
        <v>151</v>
      </c>
      <c r="I49" s="66" t="n">
        <v>2</v>
      </c>
      <c r="J49" s="69" t="n">
        <v>616.484848484849</v>
      </c>
      <c r="K49" s="31" t="n">
        <v>525.684721054063</v>
      </c>
      <c r="L49" s="31" t="n">
        <v>940.604250929846</v>
      </c>
      <c r="M49" s="31" t="n">
        <v>170.138237066367</v>
      </c>
      <c r="N49" s="31" t="n">
        <v>325.395927069886</v>
      </c>
      <c r="O49" s="32"/>
      <c r="P49" s="33" t="n">
        <v>69.1877600341841</v>
      </c>
      <c r="Q49" s="33" t="n">
        <v>11.4068404436172</v>
      </c>
      <c r="R49" s="31" t="n">
        <v>149.396381154796</v>
      </c>
      <c r="S49" s="34" t="s">
        <v>76</v>
      </c>
      <c r="T49" s="35" t="n">
        <v>19.4546770945455</v>
      </c>
      <c r="U49" s="35" t="n">
        <v>5.81332154545455</v>
      </c>
      <c r="V49" s="70" t="n">
        <v>25.26799864</v>
      </c>
      <c r="W49" s="35" t="n">
        <v>23.7504166255775</v>
      </c>
      <c r="X49" s="35" t="n">
        <v>4.40450372564725</v>
      </c>
      <c r="Y49" s="35" t="n">
        <v>7.52575619123196</v>
      </c>
      <c r="Z49" s="35"/>
      <c r="AA49" s="35" t="n">
        <v>1.54049728417081</v>
      </c>
      <c r="AB49" s="35" t="n">
        <v>0.263011567037748</v>
      </c>
      <c r="AC49" s="71" t="n">
        <v>4.12418773707888</v>
      </c>
      <c r="AD49" s="38" t="n">
        <v>6.78412195412642</v>
      </c>
      <c r="AE49" s="38" t="n">
        <v>5.9452896623055</v>
      </c>
      <c r="AF49" s="38" t="n">
        <v>1.38400861839921</v>
      </c>
      <c r="AG49" s="72"/>
      <c r="AH49" s="72"/>
      <c r="AI49" s="73" t="n">
        <v>38.7686967917451</v>
      </c>
      <c r="AJ49" s="42" t="s">
        <v>16</v>
      </c>
      <c r="AK49" s="43" t="n">
        <v>731.513284816038</v>
      </c>
      <c r="AL49" s="43" t="n">
        <v>749.676405427648</v>
      </c>
      <c r="AM49" s="43" t="n">
        <v>685.774220069294</v>
      </c>
      <c r="AN49" s="74"/>
      <c r="AO49" s="75" t="n">
        <v>35.7</v>
      </c>
      <c r="AP49" s="76" t="n">
        <v>1.8921</v>
      </c>
      <c r="AQ49" s="76" t="n">
        <v>1.29234</v>
      </c>
      <c r="AR49" s="76" t="n">
        <v>1.45656</v>
      </c>
      <c r="AS49" s="77" t="n">
        <v>42.6615</v>
      </c>
      <c r="AT49" s="78" t="n">
        <v>40.9466721019108</v>
      </c>
      <c r="AU49" s="78" t="n">
        <v>53</v>
      </c>
      <c r="AV49" s="78" t="n">
        <v>36.2</v>
      </c>
      <c r="AW49" s="78" t="n">
        <v>40.8</v>
      </c>
      <c r="AX49" s="78" t="n">
        <v>54</v>
      </c>
      <c r="AY49" s="48" t="n">
        <v>1.62049526301189</v>
      </c>
      <c r="AZ49" s="48" t="n">
        <v>27.6274392779865</v>
      </c>
      <c r="BA49" s="48" t="n">
        <v>-2.35944063798654</v>
      </c>
      <c r="BB49" s="49" t="n">
        <f aca="false">AT49/V49</f>
        <v>1.62049526301189</v>
      </c>
      <c r="BC49" s="49" t="n">
        <f aca="false">AS49/V49</f>
        <v>1.68836086339128</v>
      </c>
      <c r="BD49" s="49" t="n">
        <f aca="false">SUM(AP49:AR49)/V49</f>
        <v>0.183671056268507</v>
      </c>
      <c r="BE49" s="50" t="n">
        <v>7.13</v>
      </c>
      <c r="BF49" s="51" t="n">
        <v>120.362737813535</v>
      </c>
      <c r="BG49" s="51" t="n">
        <v>559.959982400008</v>
      </c>
      <c r="BH49" s="51" t="n">
        <v>243.553671366969</v>
      </c>
      <c r="BI49" s="51" t="n">
        <v>165.479549273426</v>
      </c>
      <c r="BJ49" s="51" t="n">
        <v>5.86567896808575</v>
      </c>
      <c r="BK49" s="51" t="n">
        <v>10.1250906872041</v>
      </c>
      <c r="BL49" s="51" t="n">
        <v>10.0409029261982</v>
      </c>
      <c r="BM49" s="51"/>
      <c r="BN49" s="52" t="n">
        <f aca="false">(BG49*0.5-BH49*0.25+BI49*0.5)/SUM(BG49:BI49)*1000</f>
        <v>311.489644146028</v>
      </c>
      <c r="BO49" s="53" t="n">
        <v>11.71953868</v>
      </c>
      <c r="BP49" s="54" t="s">
        <v>77</v>
      </c>
      <c r="BQ49" s="55" t="n">
        <v>344.4945481537</v>
      </c>
      <c r="BR49" s="56" t="n">
        <v>13.6336301525818</v>
      </c>
      <c r="BS49" s="56" t="n">
        <v>19.348053449117</v>
      </c>
      <c r="BT49" s="56" t="n">
        <v>8.41324900095175</v>
      </c>
      <c r="BU49" s="55"/>
      <c r="BV49" s="55"/>
      <c r="BW49" s="55"/>
      <c r="BX49" s="55"/>
      <c r="BY49" s="79" t="n">
        <v>0.2</v>
      </c>
      <c r="BZ49" s="80" t="n">
        <v>0.199547</v>
      </c>
      <c r="CA49" s="81" t="n">
        <v>3.79</v>
      </c>
      <c r="CB49" s="81" t="n">
        <v>0.03</v>
      </c>
      <c r="CC49" s="82" t="n">
        <v>6.413678</v>
      </c>
      <c r="CD49" s="82" t="n">
        <v>7.046858</v>
      </c>
      <c r="CE49" s="83" t="n">
        <v>95.174129</v>
      </c>
      <c r="CF49" s="84" t="n">
        <v>37.531722</v>
      </c>
      <c r="CG49" s="80" t="n">
        <v>0.911</v>
      </c>
      <c r="CH49" s="63" t="n">
        <v>44552.5069371513</v>
      </c>
      <c r="CI49" s="63" t="n">
        <v>5379.0109430587</v>
      </c>
      <c r="CJ49" s="63" t="n">
        <v>441060.596583085</v>
      </c>
      <c r="CK49" s="85" t="n">
        <v>1.21956279584486</v>
      </c>
    </row>
    <row r="50" customFormat="false" ht="15" hidden="false" customHeight="false" outlineLevel="0" collapsed="false">
      <c r="A50" s="7" t="s">
        <v>73</v>
      </c>
      <c r="B50" s="66" t="n">
        <v>48</v>
      </c>
      <c r="C50" s="8" t="s">
        <v>126</v>
      </c>
      <c r="D50" s="67" t="n">
        <v>41617</v>
      </c>
      <c r="E50" s="4" t="s">
        <v>75</v>
      </c>
      <c r="F50" s="7" t="n">
        <v>5</v>
      </c>
      <c r="G50" s="68" t="n">
        <v>1</v>
      </c>
      <c r="H50" s="68" t="n">
        <v>152</v>
      </c>
      <c r="I50" s="66" t="n">
        <v>4</v>
      </c>
      <c r="J50" s="69" t="n">
        <v>749.19696969697</v>
      </c>
      <c r="K50" s="31" t="n">
        <v>525.684721054063</v>
      </c>
      <c r="L50" s="31" t="n">
        <v>940.604250929846</v>
      </c>
      <c r="M50" s="31" t="n">
        <v>170.138237066367</v>
      </c>
      <c r="N50" s="31" t="n">
        <v>325.395927069886</v>
      </c>
      <c r="O50" s="32"/>
      <c r="P50" s="33" t="n">
        <v>69.1877600341841</v>
      </c>
      <c r="Q50" s="33" t="n">
        <v>11.4068404436172</v>
      </c>
      <c r="R50" s="31" t="n">
        <v>149.396381154796</v>
      </c>
      <c r="S50" s="34" t="s">
        <v>76</v>
      </c>
      <c r="T50" s="35" t="n">
        <v>19.0559207690909</v>
      </c>
      <c r="U50" s="35" t="n">
        <v>5.87220209090909</v>
      </c>
      <c r="V50" s="70" t="n">
        <v>24.92812286</v>
      </c>
      <c r="W50" s="35" t="n">
        <v>23.430558163142</v>
      </c>
      <c r="X50" s="35" t="n">
        <v>4.34774592566788</v>
      </c>
      <c r="Y50" s="35" t="n">
        <v>7.40810900140944</v>
      </c>
      <c r="Z50" s="35"/>
      <c r="AA50" s="35" t="n">
        <v>1.51487794501567</v>
      </c>
      <c r="AB50" s="35" t="n">
        <v>0.258879251931341</v>
      </c>
      <c r="AC50" s="71" t="n">
        <v>4.07694882379541</v>
      </c>
      <c r="AD50" s="38" t="n">
        <v>7.25316452986857</v>
      </c>
      <c r="AE50" s="38" t="n">
        <v>6.3992725897372</v>
      </c>
      <c r="AF50" s="38" t="n">
        <v>1.49613863199027</v>
      </c>
      <c r="AG50" s="72"/>
      <c r="AH50" s="72"/>
      <c r="AI50" s="73" t="n">
        <v>35.6919039772605</v>
      </c>
      <c r="AJ50" s="42" t="s">
        <v>16</v>
      </c>
      <c r="AK50" s="43" t="n">
        <v>709.036874914192</v>
      </c>
      <c r="AL50" s="43" t="n">
        <v>726.8834764763</v>
      </c>
      <c r="AM50" s="43" t="n">
        <v>655.881770101265</v>
      </c>
      <c r="AN50" s="74"/>
      <c r="AO50" s="75" t="n">
        <v>37.0909090909091</v>
      </c>
      <c r="AP50" s="76" t="n">
        <v>1.15556234915527</v>
      </c>
      <c r="AQ50" s="76" t="n">
        <v>1.22825068382945</v>
      </c>
      <c r="AR50" s="76" t="n">
        <v>1.63147481898632</v>
      </c>
      <c r="AS50" s="77" t="n">
        <v>32.1697988736927</v>
      </c>
      <c r="AT50" s="78" t="n">
        <v>32.3993884858392</v>
      </c>
      <c r="AU50" s="78" t="n">
        <v>31.1548672566372</v>
      </c>
      <c r="AV50" s="78" t="n">
        <v>33.1146017699115</v>
      </c>
      <c r="AW50" s="78" t="n">
        <v>43.9858407079646</v>
      </c>
      <c r="AX50" s="78" t="n">
        <v>30</v>
      </c>
      <c r="AY50" s="48" t="n">
        <v>1.29971232361935</v>
      </c>
      <c r="AZ50" s="48" t="n">
        <v>25.6316051436973</v>
      </c>
      <c r="BA50" s="48" t="n">
        <v>-0.703482283697319</v>
      </c>
      <c r="BB50" s="49" t="n">
        <f aca="false">AT50/V50</f>
        <v>1.29971232361935</v>
      </c>
      <c r="BC50" s="49" t="n">
        <f aca="false">AS50/V50</f>
        <v>1.29050225941051</v>
      </c>
      <c r="BD50" s="49" t="n">
        <f aca="false">SUM(AP50:AR50)/V50</f>
        <v>0.16107461739183</v>
      </c>
      <c r="BE50" s="50" t="n">
        <v>6.94</v>
      </c>
      <c r="BF50" s="51" t="n">
        <v>120.362737813565</v>
      </c>
      <c r="BG50" s="51" t="n">
        <v>559.959982297338</v>
      </c>
      <c r="BH50" s="51" t="n">
        <v>243.553671418559</v>
      </c>
      <c r="BI50" s="51" t="n">
        <v>165.479549324379</v>
      </c>
      <c r="BJ50" s="51" t="n">
        <v>5.8656789677205</v>
      </c>
      <c r="BK50" s="51" t="n">
        <v>10.1250906876404</v>
      </c>
      <c r="BL50" s="51" t="n">
        <v>10.0409029262543</v>
      </c>
      <c r="BM50" s="51"/>
      <c r="BN50" s="52" t="n">
        <f aca="false">(BG50*0.5-BH50*0.25+BI50*0.5)/SUM(BG50:BI50)*1000</f>
        <v>311.489644106072</v>
      </c>
      <c r="BO50" s="53" t="n">
        <v>7.20309076</v>
      </c>
      <c r="BP50" s="54" t="s">
        <v>77</v>
      </c>
      <c r="BQ50" s="55" t="n">
        <v>373.053482949132</v>
      </c>
      <c r="BR50" s="56" t="n">
        <v>14.9651654496512</v>
      </c>
      <c r="BS50" s="56" t="n">
        <v>21.9040119632351</v>
      </c>
      <c r="BT50" s="56" t="n">
        <v>11.5142137053662</v>
      </c>
      <c r="BU50" s="55"/>
      <c r="BV50" s="55"/>
      <c r="BW50" s="55"/>
      <c r="BX50" s="55"/>
      <c r="BY50" s="79" t="n">
        <v>0.08</v>
      </c>
      <c r="BZ50" s="80" t="n">
        <v>0.535722</v>
      </c>
      <c r="CA50" s="81" t="n">
        <v>3.65</v>
      </c>
      <c r="CB50" s="81" t="n">
        <v>0.294</v>
      </c>
      <c r="CC50" s="82" t="n">
        <v>4.722695</v>
      </c>
      <c r="CD50" s="82" t="n">
        <v>3.99332</v>
      </c>
      <c r="CE50" s="83" t="n">
        <v>79.779977</v>
      </c>
      <c r="CF50" s="84" t="n">
        <v>36.972812</v>
      </c>
      <c r="CG50" s="80" t="n">
        <v>0.218</v>
      </c>
      <c r="CH50" s="63" t="n">
        <v>48082.3875508112</v>
      </c>
      <c r="CI50" s="63" t="n">
        <v>8306.26627167036</v>
      </c>
      <c r="CJ50" s="63" t="n">
        <v>685198.322063213</v>
      </c>
      <c r="CK50" s="85" t="n">
        <v>1.21224264628366</v>
      </c>
    </row>
    <row r="51" customFormat="false" ht="15" hidden="false" customHeight="false" outlineLevel="0" collapsed="false">
      <c r="A51" s="7" t="s">
        <v>73</v>
      </c>
      <c r="B51" s="66" t="n">
        <v>49</v>
      </c>
      <c r="C51" s="8" t="s">
        <v>127</v>
      </c>
      <c r="D51" s="67" t="n">
        <v>41617</v>
      </c>
      <c r="E51" s="4" t="s">
        <v>75</v>
      </c>
      <c r="F51" s="7" t="n">
        <v>141</v>
      </c>
      <c r="G51" s="68" t="n">
        <v>1</v>
      </c>
      <c r="H51" s="68" t="n">
        <v>154</v>
      </c>
      <c r="I51" s="66" t="n">
        <v>2</v>
      </c>
      <c r="J51" s="69" t="n">
        <v>714.465151515151</v>
      </c>
      <c r="K51" s="31" t="n">
        <v>525.684721054063</v>
      </c>
      <c r="L51" s="31" t="n">
        <v>940.604250929846</v>
      </c>
      <c r="M51" s="31" t="n">
        <v>170.138237066367</v>
      </c>
      <c r="N51" s="31" t="n">
        <v>325.395927069886</v>
      </c>
      <c r="O51" s="32"/>
      <c r="P51" s="33" t="n">
        <v>69.1877600341841</v>
      </c>
      <c r="Q51" s="33" t="n">
        <v>11.4068404436172</v>
      </c>
      <c r="R51" s="31" t="n">
        <v>149.396381154796</v>
      </c>
      <c r="S51" s="34" t="s">
        <v>76</v>
      </c>
      <c r="T51" s="35" t="n">
        <v>14.1887662709091</v>
      </c>
      <c r="U51" s="35" t="n">
        <v>3.22031290909091</v>
      </c>
      <c r="V51" s="70" t="n">
        <v>17.40907918</v>
      </c>
      <c r="W51" s="35" t="n">
        <v>16.3657639019171</v>
      </c>
      <c r="X51" s="35" t="n">
        <v>3.02036503775193</v>
      </c>
      <c r="Y51" s="35" t="n">
        <v>5.27909887006403</v>
      </c>
      <c r="Z51" s="35"/>
      <c r="AA51" s="35" t="n">
        <v>1.08941736805551</v>
      </c>
      <c r="AB51" s="35" t="n">
        <v>0.184613827803127</v>
      </c>
      <c r="AC51" s="71" t="n">
        <v>2.79431643524323</v>
      </c>
      <c r="AD51" s="38" t="n">
        <v>4.55449510791847</v>
      </c>
      <c r="AE51" s="38" t="n">
        <v>4.00988287570675</v>
      </c>
      <c r="AF51" s="38" t="n">
        <v>0.735186849604811</v>
      </c>
      <c r="AG51" s="72"/>
      <c r="AH51" s="72"/>
      <c r="AI51" s="73" t="n">
        <v>40.5344222419202</v>
      </c>
      <c r="AJ51" s="42" t="s">
        <v>16</v>
      </c>
      <c r="AK51" s="43" t="n">
        <v>738.383916758171</v>
      </c>
      <c r="AL51" s="43" t="n">
        <v>754.983458166775</v>
      </c>
      <c r="AM51" s="43" t="n">
        <v>756.590067619107</v>
      </c>
      <c r="AN51" s="74"/>
      <c r="AO51" s="75" t="n">
        <v>28.8545454545455</v>
      </c>
      <c r="AP51" s="76" t="n">
        <v>1.19457818181818</v>
      </c>
      <c r="AQ51" s="76" t="n">
        <v>1.05030545454545</v>
      </c>
      <c r="AR51" s="76" t="n">
        <v>1.29268363636364</v>
      </c>
      <c r="AS51" s="77" t="n">
        <v>29.4604909090909</v>
      </c>
      <c r="AT51" s="78" t="n">
        <v>29.6649722292994</v>
      </c>
      <c r="AU51" s="78" t="n">
        <v>41.4</v>
      </c>
      <c r="AV51" s="78" t="n">
        <v>36.4</v>
      </c>
      <c r="AW51" s="78" t="n">
        <v>44.8</v>
      </c>
      <c r="AX51" s="78" t="n">
        <v>25</v>
      </c>
      <c r="AY51" s="48" t="n">
        <v>1.70399433092241</v>
      </c>
      <c r="AZ51" s="48" t="n">
        <v>24.1602708533184</v>
      </c>
      <c r="BA51" s="48" t="n">
        <v>-6.75119167331839</v>
      </c>
      <c r="BB51" s="49" t="n">
        <f aca="false">AT51/V51</f>
        <v>1.70399433092241</v>
      </c>
      <c r="BC51" s="49" t="n">
        <f aca="false">AS51/V51</f>
        <v>1.69224865970716</v>
      </c>
      <c r="BD51" s="49" t="n">
        <f aca="false">SUM(AP51:AR51)/V51</f>
        <v>0.203202434554455</v>
      </c>
      <c r="BE51" s="50" t="n">
        <v>7.3</v>
      </c>
      <c r="BF51" s="51" t="n">
        <v>102.91323233093</v>
      </c>
      <c r="BG51" s="51" t="n">
        <v>594.035535267588</v>
      </c>
      <c r="BH51" s="51" t="n">
        <v>208.892360956765</v>
      </c>
      <c r="BI51" s="51" t="n">
        <v>156.890808209637</v>
      </c>
      <c r="BJ51" s="51" t="n">
        <v>10.7555936067639</v>
      </c>
      <c r="BK51" s="51" t="n">
        <v>13.0891755471683</v>
      </c>
      <c r="BL51" s="51" t="n">
        <v>11.3614020339694</v>
      </c>
      <c r="BM51" s="51"/>
      <c r="BN51" s="52" t="n">
        <f aca="false">(BG51*0.5-BH51*0.25+BI51*0.5)/SUM(BG51:BI51)*1000</f>
        <v>336.772017471818</v>
      </c>
      <c r="BO51" s="53" t="n">
        <v>6.24278736</v>
      </c>
      <c r="BP51" s="54" t="s">
        <v>77</v>
      </c>
      <c r="BQ51" s="55" t="n">
        <v>346.036341947729</v>
      </c>
      <c r="BR51" s="56" t="n">
        <v>19.8767745479189</v>
      </c>
      <c r="BS51" s="56" t="n">
        <v>28.005800736806</v>
      </c>
      <c r="BT51" s="56" t="n">
        <v>11.6648126036659</v>
      </c>
      <c r="BU51" s="55"/>
      <c r="BV51" s="55"/>
      <c r="BW51" s="55"/>
      <c r="BX51" s="55"/>
      <c r="BY51" s="79" t="n">
        <v>0.14</v>
      </c>
      <c r="BZ51" s="80" t="n">
        <v>0.4098965</v>
      </c>
      <c r="CA51" s="81" t="n">
        <v>3.58</v>
      </c>
      <c r="CB51" s="81" t="n">
        <v>0.337</v>
      </c>
      <c r="CC51" s="82" t="n">
        <v>4.764707</v>
      </c>
      <c r="CD51" s="82" t="n">
        <v>5.953616</v>
      </c>
      <c r="CE51" s="83" t="n">
        <v>79.570974</v>
      </c>
      <c r="CF51" s="84" t="n">
        <v>36.952488</v>
      </c>
      <c r="CG51" s="80" t="n">
        <v>1.142</v>
      </c>
      <c r="CH51" s="63" t="n">
        <v>87682.0533441748</v>
      </c>
      <c r="CI51" s="63" t="n">
        <v>5353.54719019689</v>
      </c>
      <c r="CJ51" s="64" t="n">
        <v>368090.895589125</v>
      </c>
      <c r="CK51" s="65" t="n">
        <v>1.4544090208014</v>
      </c>
    </row>
    <row r="52" customFormat="false" ht="15" hidden="false" customHeight="false" outlineLevel="0" collapsed="false">
      <c r="A52" s="7" t="s">
        <v>73</v>
      </c>
      <c r="B52" s="66" t="n">
        <v>50</v>
      </c>
      <c r="C52" s="8" t="s">
        <v>128</v>
      </c>
      <c r="D52" s="67" t="n">
        <v>41617</v>
      </c>
      <c r="E52" s="4" t="s">
        <v>75</v>
      </c>
      <c r="F52" s="7" t="n">
        <v>420</v>
      </c>
      <c r="G52" s="68" t="n">
        <v>1</v>
      </c>
      <c r="H52" s="68" t="n">
        <v>156</v>
      </c>
      <c r="I52" s="66" t="n">
        <v>4</v>
      </c>
      <c r="J52" s="69" t="n">
        <v>652.957575757576</v>
      </c>
      <c r="K52" s="31" t="n">
        <v>525.684721054063</v>
      </c>
      <c r="L52" s="31" t="n">
        <v>940.604250929846</v>
      </c>
      <c r="M52" s="31" t="n">
        <v>170.138237066367</v>
      </c>
      <c r="N52" s="31" t="n">
        <v>325.395927069886</v>
      </c>
      <c r="O52" s="32"/>
      <c r="P52" s="33" t="n">
        <v>69.1877600341841</v>
      </c>
      <c r="Q52" s="33" t="n">
        <v>11.4068404436172</v>
      </c>
      <c r="R52" s="31" t="n">
        <v>149.396381154796</v>
      </c>
      <c r="S52" s="34" t="s">
        <v>76</v>
      </c>
      <c r="T52" s="35" t="n">
        <v>22.6588837063636</v>
      </c>
      <c r="U52" s="35" t="n">
        <v>8.14363236363636</v>
      </c>
      <c r="V52" s="70" t="n">
        <v>30.80251607</v>
      </c>
      <c r="W52" s="35" t="n">
        <v>28.9494847513195</v>
      </c>
      <c r="X52" s="35" t="n">
        <v>5.38840753215718</v>
      </c>
      <c r="Y52" s="35" t="n">
        <v>9.04752976876861</v>
      </c>
      <c r="Z52" s="35"/>
      <c r="AA52" s="35" t="n">
        <v>1.84014453228302</v>
      </c>
      <c r="AB52" s="35" t="n">
        <v>0.316034728279437</v>
      </c>
      <c r="AC52" s="71" t="n">
        <v>5.09101999490982</v>
      </c>
      <c r="AD52" s="38" t="n">
        <v>8.23244705926572</v>
      </c>
      <c r="AE52" s="38" t="n">
        <v>7.35448614629581</v>
      </c>
      <c r="AF52" s="38" t="n">
        <v>1.83184205292924</v>
      </c>
      <c r="AG52" s="72"/>
      <c r="AH52" s="72"/>
      <c r="AI52" s="73" t="n">
        <v>38.3889171718068</v>
      </c>
      <c r="AJ52" s="42" t="s">
        <v>16</v>
      </c>
      <c r="AK52" s="43" t="n">
        <v>732.734590883513</v>
      </c>
      <c r="AL52" s="43" t="n">
        <v>745.954506290113</v>
      </c>
      <c r="AM52" s="43" t="n">
        <v>660.040180332113</v>
      </c>
      <c r="AN52" s="74"/>
      <c r="AO52" s="75" t="n">
        <v>49.5363636363636</v>
      </c>
      <c r="AP52" s="76" t="n">
        <v>1.37560658393753</v>
      </c>
      <c r="AQ52" s="76" t="n">
        <v>1.41178636363636</v>
      </c>
      <c r="AR52" s="76" t="n">
        <v>2.24952832682655</v>
      </c>
      <c r="AS52" s="77" t="n">
        <v>40.4486442136085</v>
      </c>
      <c r="AT52" s="78" t="n">
        <v>39.835529750889</v>
      </c>
      <c r="AU52" s="78" t="n">
        <v>27.7696319018405</v>
      </c>
      <c r="AV52" s="78" t="n">
        <v>28.5</v>
      </c>
      <c r="AW52" s="78" t="n">
        <v>45.4116564417178</v>
      </c>
      <c r="AX52" s="78" t="n">
        <v>26.6472392638037</v>
      </c>
      <c r="AY52" s="48" t="n">
        <v>1.2932557087337</v>
      </c>
      <c r="AZ52" s="48" t="n">
        <v>27.3618876014293</v>
      </c>
      <c r="BA52" s="48" t="n">
        <v>3.44062846857068</v>
      </c>
      <c r="BB52" s="49" t="n">
        <f aca="false">AT52/V52</f>
        <v>1.2932557087337</v>
      </c>
      <c r="BC52" s="49" t="n">
        <f aca="false">AS52/V52</f>
        <v>1.31316039643279</v>
      </c>
      <c r="BD52" s="49" t="n">
        <f aca="false">SUM(AP52:AR52)/V52</f>
        <v>0.16352304671975</v>
      </c>
      <c r="BE52" s="50" t="n">
        <v>6.7</v>
      </c>
      <c r="BF52" s="51" t="n">
        <v>175.967516639846</v>
      </c>
      <c r="BG52" s="51" t="n">
        <v>576.950104786527</v>
      </c>
      <c r="BH52" s="51" t="n">
        <v>255.722297412597</v>
      </c>
      <c r="BI52" s="51" t="n">
        <v>135.741297006718</v>
      </c>
      <c r="BJ52" s="51" t="n">
        <v>6.50778813017011</v>
      </c>
      <c r="BK52" s="51" t="n">
        <v>11.4498706574189</v>
      </c>
      <c r="BL52" s="51" t="n">
        <v>8.65351762845983</v>
      </c>
      <c r="BM52" s="51"/>
      <c r="BN52" s="52" t="n">
        <f aca="false">(BG52*0.5-BH52*0.25+BI52*0.5)/SUM(BG52:BI52)*1000</f>
        <v>301.952695199656</v>
      </c>
      <c r="BO52" s="53" t="n">
        <v>3.457659</v>
      </c>
      <c r="BP52" s="54" t="s">
        <v>77</v>
      </c>
      <c r="BQ52" s="55" t="n">
        <v>344.448046165872</v>
      </c>
      <c r="BR52" s="56" t="n">
        <v>11.1824646201985</v>
      </c>
      <c r="BS52" s="56" t="n">
        <v>15.9503620475225</v>
      </c>
      <c r="BT52" s="56" t="n">
        <v>8.64675450081558</v>
      </c>
      <c r="BU52" s="55"/>
      <c r="BV52" s="55"/>
      <c r="BW52" s="55"/>
      <c r="BX52" s="55"/>
      <c r="BY52" s="79" t="n">
        <v>0.06</v>
      </c>
      <c r="BZ52" s="80" t="n">
        <v>0.35899</v>
      </c>
      <c r="CA52" s="81" t="n">
        <v>3.69</v>
      </c>
      <c r="CB52" s="81" t="n">
        <v>0.231</v>
      </c>
      <c r="CC52" s="82" t="n">
        <v>4.176539</v>
      </c>
      <c r="CD52" s="82" t="n">
        <v>5.897069</v>
      </c>
      <c r="CE52" s="83" t="n">
        <v>76.493585</v>
      </c>
      <c r="CF52" s="84" t="n">
        <v>34.239234</v>
      </c>
      <c r="CG52" s="80" t="n">
        <v>0.806</v>
      </c>
      <c r="CH52" s="63" t="n">
        <v>49415.3017143562</v>
      </c>
      <c r="CI52" s="63" t="n">
        <v>9856.40497432455</v>
      </c>
      <c r="CJ52" s="63" t="n">
        <v>883600.687345651</v>
      </c>
      <c r="CK52" s="85" t="n">
        <v>1.1154818138421</v>
      </c>
    </row>
    <row r="53" customFormat="false" ht="15" hidden="false" customHeight="false" outlineLevel="0" collapsed="false">
      <c r="A53" s="7" t="s">
        <v>73</v>
      </c>
      <c r="B53" s="66" t="n">
        <v>51</v>
      </c>
      <c r="C53" s="8" t="s">
        <v>129</v>
      </c>
      <c r="D53" s="67" t="n">
        <v>41617</v>
      </c>
      <c r="E53" s="4" t="s">
        <v>75</v>
      </c>
      <c r="F53" s="7" t="n">
        <v>531</v>
      </c>
      <c r="G53" s="68" t="n">
        <v>1</v>
      </c>
      <c r="H53" s="68" t="n">
        <v>156</v>
      </c>
      <c r="I53" s="66" t="n">
        <v>3</v>
      </c>
      <c r="J53" s="69" t="n">
        <v>656.590909090909</v>
      </c>
      <c r="K53" s="31" t="n">
        <v>525.684721054063</v>
      </c>
      <c r="L53" s="31" t="n">
        <v>940.604250929846</v>
      </c>
      <c r="M53" s="31" t="n">
        <v>170.138237066367</v>
      </c>
      <c r="N53" s="31" t="n">
        <v>325.395927069886</v>
      </c>
      <c r="O53" s="32"/>
      <c r="P53" s="33" t="n">
        <v>69.1877600341841</v>
      </c>
      <c r="Q53" s="33" t="n">
        <v>11.4068404436172</v>
      </c>
      <c r="R53" s="31" t="n">
        <v>149.396381154796</v>
      </c>
      <c r="S53" s="34" t="s">
        <v>76</v>
      </c>
      <c r="T53" s="35" t="n">
        <v>19.3629278390909</v>
      </c>
      <c r="U53" s="35" t="n">
        <v>5.42380409090909</v>
      </c>
      <c r="V53" s="70" t="n">
        <v>24.78673193</v>
      </c>
      <c r="W53" s="35" t="n">
        <v>23.2988587947995</v>
      </c>
      <c r="X53" s="35" t="n">
        <v>4.31555618832459</v>
      </c>
      <c r="Y53" s="35" t="n">
        <v>7.4158122405691</v>
      </c>
      <c r="Z53" s="35"/>
      <c r="AA53" s="35" t="n">
        <v>1.52111891785363</v>
      </c>
      <c r="AB53" s="35" t="n">
        <v>0.259211445461615</v>
      </c>
      <c r="AC53" s="71" t="n">
        <v>4.02888764354235</v>
      </c>
      <c r="AD53" s="38" t="n">
        <v>6.67874470362471</v>
      </c>
      <c r="AE53" s="38" t="n">
        <v>5.92256989281932</v>
      </c>
      <c r="AF53" s="38" t="n">
        <v>1.25210475136056</v>
      </c>
      <c r="AG53" s="72"/>
      <c r="AH53" s="72"/>
      <c r="AI53" s="73" t="n">
        <v>38.8114019871031</v>
      </c>
      <c r="AJ53" s="42" t="s">
        <v>16</v>
      </c>
      <c r="AK53" s="43" t="n">
        <v>730.551622437113</v>
      </c>
      <c r="AL53" s="43" t="n">
        <v>745.800000550187</v>
      </c>
      <c r="AM53" s="43" t="n">
        <v>709.862484296223</v>
      </c>
      <c r="AN53" s="74"/>
      <c r="AO53" s="75" t="n">
        <v>43.1454545454545</v>
      </c>
      <c r="AP53" s="76" t="n">
        <v>1.48730544471744</v>
      </c>
      <c r="AQ53" s="76" t="n">
        <v>1.33075741031941</v>
      </c>
      <c r="AR53" s="76" t="n">
        <v>1.67845146928747</v>
      </c>
      <c r="AS53" s="77" t="n">
        <v>39.5677634889435</v>
      </c>
      <c r="AT53" s="78" t="n">
        <v>37.5231930170425</v>
      </c>
      <c r="AU53" s="78" t="n">
        <v>34.4718918918919</v>
      </c>
      <c r="AV53" s="78" t="n">
        <v>30.8435135135135</v>
      </c>
      <c r="AW53" s="78" t="n">
        <v>38.9021621621622</v>
      </c>
      <c r="AX53" s="78" t="n">
        <v>24.0675675675676</v>
      </c>
      <c r="AY53" s="48" t="n">
        <v>1.51384188617569</v>
      </c>
      <c r="AZ53" s="48" t="n">
        <v>27.0882332282408</v>
      </c>
      <c r="BA53" s="48" t="n">
        <v>-2.30150129824077</v>
      </c>
      <c r="BB53" s="49" t="n">
        <f aca="false">AT53/V53</f>
        <v>1.51384188617569</v>
      </c>
      <c r="BC53" s="49" t="n">
        <f aca="false">AS53/V53</f>
        <v>1.59632837441767</v>
      </c>
      <c r="BD53" s="49" t="n">
        <f aca="false">SUM(AP53:AR53)/V53</f>
        <v>0.181408115318425</v>
      </c>
      <c r="BE53" s="50" t="n">
        <v>6.78</v>
      </c>
      <c r="BF53" s="51" t="n">
        <v>129.383630782438</v>
      </c>
      <c r="BG53" s="51" t="n">
        <v>585.832268560387</v>
      </c>
      <c r="BH53" s="51" t="n">
        <v>212.929727112595</v>
      </c>
      <c r="BI53" s="51" t="n">
        <v>160.814380900724</v>
      </c>
      <c r="BJ53" s="51" t="n">
        <v>10.7597150335722</v>
      </c>
      <c r="BK53" s="51" t="n">
        <v>12.3461373890393</v>
      </c>
      <c r="BL53" s="51" t="n">
        <v>12.3426466255735</v>
      </c>
      <c r="BM53" s="51"/>
      <c r="BN53" s="52" t="n">
        <f aca="false">(BG53*0.5-BH53*0.25+BI53*0.5)/SUM(BG53:BI53)*1000</f>
        <v>333.575211694283</v>
      </c>
      <c r="BO53" s="53" t="n">
        <v>8.02743484</v>
      </c>
      <c r="BP53" s="54" t="s">
        <v>77</v>
      </c>
      <c r="BQ53" s="55" t="n">
        <v>410.531980160126</v>
      </c>
      <c r="BR53" s="56" t="n">
        <v>16.5625698990696</v>
      </c>
      <c r="BS53" s="56" t="n">
        <v>23.6259872563089</v>
      </c>
      <c r="BT53" s="56" t="n">
        <v>10.9407528291547</v>
      </c>
      <c r="BU53" s="55"/>
      <c r="BV53" s="55"/>
      <c r="BW53" s="55"/>
      <c r="BX53" s="55"/>
      <c r="BY53" s="79" t="n">
        <v>0.07</v>
      </c>
      <c r="BZ53" s="80" t="n">
        <v>0.6442585</v>
      </c>
      <c r="CA53" s="81" t="n">
        <v>3.76</v>
      </c>
      <c r="CB53" s="81" t="n">
        <v>0.405</v>
      </c>
      <c r="CC53" s="82" t="n">
        <v>4.691186</v>
      </c>
      <c r="CD53" s="82" t="n">
        <v>5.31275</v>
      </c>
      <c r="CE53" s="83" t="n">
        <v>71.362201</v>
      </c>
      <c r="CF53" s="84" t="n">
        <v>33.416112</v>
      </c>
      <c r="CG53" s="80" t="n">
        <v>0.197</v>
      </c>
      <c r="CH53" s="63" t="n">
        <v>77061.4428906153</v>
      </c>
      <c r="CI53" s="63" t="n">
        <v>18266.6150141216</v>
      </c>
      <c r="CJ53" s="64" t="n">
        <v>670905.888549004</v>
      </c>
      <c r="CK53" s="65" t="n">
        <v>2.72267919031499</v>
      </c>
    </row>
    <row r="54" customFormat="false" ht="15" hidden="false" customHeight="false" outlineLevel="0" collapsed="false">
      <c r="A54" s="7" t="s">
        <v>73</v>
      </c>
      <c r="B54" s="66" t="n">
        <v>52</v>
      </c>
      <c r="C54" s="8" t="s">
        <v>130</v>
      </c>
      <c r="D54" s="67" t="n">
        <v>41617</v>
      </c>
      <c r="E54" s="4" t="s">
        <v>75</v>
      </c>
      <c r="F54" s="7" t="n">
        <v>258</v>
      </c>
      <c r="G54" s="68" t="n">
        <v>1</v>
      </c>
      <c r="H54" s="68" t="n">
        <v>157</v>
      </c>
      <c r="I54" s="66" t="n">
        <v>2</v>
      </c>
      <c r="J54" s="69" t="n">
        <v>634.428787878788</v>
      </c>
      <c r="K54" s="31" t="n">
        <v>525.684721054063</v>
      </c>
      <c r="L54" s="31" t="n">
        <v>940.604250929846</v>
      </c>
      <c r="M54" s="31" t="n">
        <v>170.138237066367</v>
      </c>
      <c r="N54" s="31" t="n">
        <v>325.395927069886</v>
      </c>
      <c r="O54" s="32"/>
      <c r="P54" s="33" t="n">
        <v>69.1877600341841</v>
      </c>
      <c r="Q54" s="33" t="n">
        <v>11.4068404436172</v>
      </c>
      <c r="R54" s="31" t="n">
        <v>149.396381154796</v>
      </c>
      <c r="S54" s="34" t="s">
        <v>76</v>
      </c>
      <c r="T54" s="35" t="n">
        <v>17.50736775</v>
      </c>
      <c r="U54" s="35" t="n">
        <v>4.857645</v>
      </c>
      <c r="V54" s="70" t="n">
        <v>22.36501275</v>
      </c>
      <c r="W54" s="35" t="n">
        <v>21.0226126989504</v>
      </c>
      <c r="X54" s="35" t="n">
        <v>3.8932592904909</v>
      </c>
      <c r="Y54" s="35" t="n">
        <v>6.69561194539801</v>
      </c>
      <c r="Z54" s="35"/>
      <c r="AA54" s="35" t="n">
        <v>1.37379727742555</v>
      </c>
      <c r="AB54" s="35" t="n">
        <v>0.234043111111661</v>
      </c>
      <c r="AC54" s="71" t="n">
        <v>3.63307907831285</v>
      </c>
      <c r="AD54" s="38" t="n">
        <v>4.2249815860467</v>
      </c>
      <c r="AE54" s="38" t="n">
        <v>3.62285791218087</v>
      </c>
      <c r="AF54" s="38" t="n">
        <v>0.973645010209366</v>
      </c>
      <c r="AG54" s="72"/>
      <c r="AH54" s="72"/>
      <c r="AI54" s="73" t="n">
        <v>55.3950606280996</v>
      </c>
      <c r="AJ54" s="42" t="s">
        <v>16</v>
      </c>
      <c r="AK54" s="43" t="n">
        <v>811.089685784029</v>
      </c>
      <c r="AL54" s="43" t="n">
        <v>827.668522268797</v>
      </c>
      <c r="AM54" s="43" t="n">
        <v>749.915189931622</v>
      </c>
      <c r="AN54" s="74"/>
      <c r="AO54" s="75" t="n">
        <v>33.3454545454545</v>
      </c>
      <c r="AP54" s="76" t="n">
        <v>1.30104608802962</v>
      </c>
      <c r="AQ54" s="76" t="n">
        <v>1.10460967503085</v>
      </c>
      <c r="AR54" s="76" t="n">
        <v>1.47739978609626</v>
      </c>
      <c r="AS54" s="77" t="n">
        <v>32.8538731386261</v>
      </c>
      <c r="AT54" s="78" t="n">
        <v>32.3847333370713</v>
      </c>
      <c r="AU54" s="78" t="n">
        <v>39.0171945701357</v>
      </c>
      <c r="AV54" s="78" t="n">
        <v>33.1262443438914</v>
      </c>
      <c r="AW54" s="78" t="n">
        <v>44.3058823529412</v>
      </c>
      <c r="AX54" s="78" t="n">
        <v>32.3981900452489</v>
      </c>
      <c r="AY54" s="48" t="n">
        <v>1.44800871338968</v>
      </c>
      <c r="AZ54" s="48" t="n">
        <v>24.295282324599</v>
      </c>
      <c r="BA54" s="48" t="n">
        <v>-1.93026957459902</v>
      </c>
      <c r="BB54" s="49" t="n">
        <f aca="false">AT54/V54</f>
        <v>1.44800871338968</v>
      </c>
      <c r="BC54" s="49" t="n">
        <f aca="false">AS54/V54</f>
        <v>1.46898521837981</v>
      </c>
      <c r="BD54" s="49" t="n">
        <f aca="false">SUM(AP54:AR54)/V54</f>
        <v>0.17362187952058</v>
      </c>
      <c r="BE54" s="50" t="n">
        <v>6.82</v>
      </c>
      <c r="BF54" s="51" t="n">
        <v>173.520658800798</v>
      </c>
      <c r="BG54" s="51" t="n">
        <v>634.405344318148</v>
      </c>
      <c r="BH54" s="51" t="n">
        <v>181.739648061674</v>
      </c>
      <c r="BI54" s="51" t="n">
        <v>149.979036299532</v>
      </c>
      <c r="BJ54" s="51" t="n">
        <v>9.19377568616809</v>
      </c>
      <c r="BK54" s="51" t="n">
        <v>10.2002700491829</v>
      </c>
      <c r="BL54" s="51" t="n">
        <v>9.50680120718541</v>
      </c>
      <c r="BM54" s="51"/>
      <c r="BN54" s="52" t="n">
        <f aca="false">(BG54*0.5-BH54*0.25+BI54*0.5)/SUM(BG54:BI54)*1000</f>
        <v>358.915903134531</v>
      </c>
      <c r="BO54" s="53" t="n">
        <v>7.55554328</v>
      </c>
      <c r="BP54" s="54" t="s">
        <v>77</v>
      </c>
      <c r="BQ54" s="55" t="n">
        <v>441.993736659912</v>
      </c>
      <c r="BR54" s="56" t="n">
        <v>19.7627312624676</v>
      </c>
      <c r="BS54" s="56" t="n">
        <v>25.4022968758155</v>
      </c>
      <c r="BT54" s="56" t="n">
        <v>13.6482129421753</v>
      </c>
      <c r="BU54" s="55"/>
      <c r="BV54" s="55"/>
      <c r="BW54" s="55"/>
      <c r="BX54" s="55"/>
      <c r="BY54" s="79" t="n">
        <v>0.09</v>
      </c>
      <c r="BZ54" s="80" t="n">
        <v>0.5674185</v>
      </c>
      <c r="CA54" s="81" t="n">
        <v>3.93</v>
      </c>
      <c r="CB54" s="81" t="n">
        <v>0.1</v>
      </c>
      <c r="CC54" s="82" t="n">
        <v>6.298145</v>
      </c>
      <c r="CD54" s="82" t="n">
        <v>10.081547</v>
      </c>
      <c r="CE54" s="83" t="n">
        <v>77.516979</v>
      </c>
      <c r="CF54" s="84" t="n">
        <v>38.009336</v>
      </c>
      <c r="CG54" s="80" t="n">
        <v>0.113</v>
      </c>
      <c r="CH54" s="63" t="n">
        <v>125136.08371047</v>
      </c>
      <c r="CI54" s="63" t="n">
        <v>3754.22865584148</v>
      </c>
      <c r="CJ54" s="64" t="n">
        <v>205625.660290746</v>
      </c>
      <c r="CK54" s="65" t="n">
        <v>1.825758833082</v>
      </c>
    </row>
    <row r="55" customFormat="false" ht="15" hidden="false" customHeight="false" outlineLevel="0" collapsed="false">
      <c r="A55" s="7" t="s">
        <v>73</v>
      </c>
      <c r="B55" s="66" t="n">
        <v>53</v>
      </c>
      <c r="C55" s="8" t="s">
        <v>131</v>
      </c>
      <c r="D55" s="67" t="n">
        <v>41617</v>
      </c>
      <c r="E55" s="4" t="s">
        <v>75</v>
      </c>
      <c r="F55" s="7" t="n">
        <v>1</v>
      </c>
      <c r="G55" s="68" t="n">
        <v>1</v>
      </c>
      <c r="H55" s="68" t="n">
        <v>146</v>
      </c>
      <c r="I55" s="66" t="n">
        <v>2</v>
      </c>
      <c r="J55" s="69" t="n">
        <v>732.856060606061</v>
      </c>
      <c r="K55" s="31" t="n">
        <v>525.684721054063</v>
      </c>
      <c r="L55" s="31" t="n">
        <v>940.604250929846</v>
      </c>
      <c r="M55" s="31" t="n">
        <v>170.138237066367</v>
      </c>
      <c r="N55" s="31" t="n">
        <v>325.395927069886</v>
      </c>
      <c r="O55" s="32"/>
      <c r="P55" s="33" t="n">
        <v>69.1877600341841</v>
      </c>
      <c r="Q55" s="33" t="n">
        <v>11.4068404436172</v>
      </c>
      <c r="R55" s="31" t="n">
        <v>149.396381154796</v>
      </c>
      <c r="S55" s="34" t="s">
        <v>76</v>
      </c>
      <c r="T55" s="35" t="n">
        <v>20.2013685181818</v>
      </c>
      <c r="U55" s="35" t="n">
        <v>6.88675918181818</v>
      </c>
      <c r="V55" s="70" t="n">
        <v>27.0881277</v>
      </c>
      <c r="W55" s="35" t="n">
        <v>25.4593410967994</v>
      </c>
      <c r="X55" s="35" t="n">
        <v>4.73364894085489</v>
      </c>
      <c r="Y55" s="35" t="n">
        <v>7.98943724438246</v>
      </c>
      <c r="Z55" s="35"/>
      <c r="AA55" s="35" t="n">
        <v>1.62806866191652</v>
      </c>
      <c r="AB55" s="35" t="n">
        <v>0.279117235254149</v>
      </c>
      <c r="AC55" s="71" t="n">
        <v>4.46059610071554</v>
      </c>
      <c r="AD55" s="38" t="n">
        <v>6.18151804881643</v>
      </c>
      <c r="AE55" s="38" t="n">
        <v>5.4320951714775</v>
      </c>
      <c r="AF55" s="38" t="n">
        <v>1.32279365786728</v>
      </c>
      <c r="AG55" s="72"/>
      <c r="AH55" s="72"/>
      <c r="AI55" s="73" t="n">
        <v>45.1535097123257</v>
      </c>
      <c r="AJ55" s="42" t="s">
        <v>16</v>
      </c>
      <c r="AK55" s="43" t="n">
        <v>771.799730225857</v>
      </c>
      <c r="AL55" s="43" t="n">
        <v>786.636458861051</v>
      </c>
      <c r="AM55" s="43" t="n">
        <v>720.555183877158</v>
      </c>
      <c r="AN55" s="74"/>
      <c r="AO55" s="75" t="n">
        <v>41.1909090909091</v>
      </c>
      <c r="AP55" s="76" t="n">
        <v>1.54907336097128</v>
      </c>
      <c r="AQ55" s="76" t="n">
        <v>1.30160589280426</v>
      </c>
      <c r="AR55" s="76" t="n">
        <v>1.83711454545455</v>
      </c>
      <c r="AS55" s="77" t="n">
        <v>39.7124640509328</v>
      </c>
      <c r="AT55" s="78" t="n">
        <v>38.8748085130774</v>
      </c>
      <c r="AU55" s="78" t="n">
        <v>37.6071661237785</v>
      </c>
      <c r="AV55" s="78" t="n">
        <v>31.599348534202</v>
      </c>
      <c r="AW55" s="78" t="n">
        <v>44.6</v>
      </c>
      <c r="AX55" s="78" t="n">
        <v>30.3420195439739</v>
      </c>
      <c r="AY55" s="48" t="n">
        <v>1.43512349556287</v>
      </c>
      <c r="AZ55" s="48" t="n">
        <v>28.1515360658405</v>
      </c>
      <c r="BA55" s="48" t="n">
        <v>-1.06340836584045</v>
      </c>
      <c r="BB55" s="49" t="n">
        <f aca="false">AT55/V55</f>
        <v>1.43512349556287</v>
      </c>
      <c r="BC55" s="49" t="n">
        <f aca="false">AS55/V55</f>
        <v>1.46604684128585</v>
      </c>
      <c r="BD55" s="49" t="n">
        <f aca="false">SUM(AP55:AR55)/V55</f>
        <v>0.173057135995047</v>
      </c>
      <c r="BE55" s="50" t="n">
        <v>7.17</v>
      </c>
      <c r="BF55" s="51" t="n">
        <v>89.8749487455614</v>
      </c>
      <c r="BG55" s="51" t="n">
        <v>573.810495540684</v>
      </c>
      <c r="BH55" s="51" t="n">
        <v>210.20588396991</v>
      </c>
      <c r="BI55" s="51" t="n">
        <v>166.770747146301</v>
      </c>
      <c r="BJ55" s="51" t="n">
        <v>10.4547092350111</v>
      </c>
      <c r="BK55" s="51" t="n">
        <v>19.1326830008603</v>
      </c>
      <c r="BL55" s="51" t="n">
        <v>14.6503567291249</v>
      </c>
      <c r="BM55" s="51"/>
      <c r="BN55" s="52" t="n">
        <f aca="false">(BG55*0.5-BH55*0.25+BI55*0.5)/SUM(BG55:BI55)*1000</f>
        <v>334.185372774484</v>
      </c>
      <c r="BO55" s="53" t="n">
        <v>7.4110455</v>
      </c>
      <c r="BP55" s="54" t="s">
        <v>77</v>
      </c>
      <c r="BQ55" s="55" t="n">
        <v>340.636121478598</v>
      </c>
      <c r="BR55" s="56" t="n">
        <v>12.5751076357558</v>
      </c>
      <c r="BS55" s="56" t="n">
        <v>17.0086352736053</v>
      </c>
      <c r="BT55" s="56" t="n">
        <v>8.76238712183005</v>
      </c>
      <c r="BU55" s="55"/>
      <c r="BV55" s="55"/>
      <c r="BW55" s="55"/>
      <c r="BX55" s="55"/>
      <c r="BY55" s="79" t="n">
        <v>0.08</v>
      </c>
      <c r="BZ55" s="80" t="n">
        <v>0.47425</v>
      </c>
      <c r="CA55" s="81" t="n">
        <v>4.01</v>
      </c>
      <c r="CB55" s="81" t="n">
        <v>0.339</v>
      </c>
      <c r="CC55" s="82" t="n">
        <v>4.964264</v>
      </c>
      <c r="CD55" s="82" t="n">
        <v>6.098125</v>
      </c>
      <c r="CE55" s="83" t="n">
        <v>81.113272</v>
      </c>
      <c r="CF55" s="84" t="n">
        <v>35.092842</v>
      </c>
      <c r="CG55" s="80" t="n">
        <v>0.3755</v>
      </c>
      <c r="CH55" s="63" t="n">
        <v>61227.5403313393</v>
      </c>
      <c r="CI55" s="63" t="n">
        <v>10087.2616094141</v>
      </c>
      <c r="CJ55" s="64" t="n">
        <v>738304.545765775</v>
      </c>
      <c r="CK55" s="65" t="n">
        <v>1.3662738049312</v>
      </c>
    </row>
    <row r="56" customFormat="false" ht="15" hidden="false" customHeight="false" outlineLevel="0" collapsed="false">
      <c r="A56" s="7" t="s">
        <v>73</v>
      </c>
      <c r="B56" s="66" t="n">
        <v>54</v>
      </c>
      <c r="C56" s="8" t="s">
        <v>132</v>
      </c>
      <c r="D56" s="67" t="n">
        <v>41617</v>
      </c>
      <c r="E56" s="4" t="s">
        <v>75</v>
      </c>
      <c r="F56" s="7" t="n">
        <v>14</v>
      </c>
      <c r="G56" s="68" t="n">
        <v>1</v>
      </c>
      <c r="H56" s="68" t="n">
        <v>132</v>
      </c>
      <c r="I56" s="66" t="n">
        <v>3</v>
      </c>
      <c r="J56" s="69" t="n">
        <v>689.401515151515</v>
      </c>
      <c r="K56" s="31" t="n">
        <v>525.684721054063</v>
      </c>
      <c r="L56" s="31" t="n">
        <v>940.604250929846</v>
      </c>
      <c r="M56" s="31" t="n">
        <v>170.138237066367</v>
      </c>
      <c r="N56" s="31" t="n">
        <v>325.395927069886</v>
      </c>
      <c r="O56" s="32"/>
      <c r="P56" s="33" t="n">
        <v>69.1877600341841</v>
      </c>
      <c r="Q56" s="33" t="n">
        <v>11.4068404436172</v>
      </c>
      <c r="R56" s="31" t="n">
        <v>149.396381154796</v>
      </c>
      <c r="S56" s="34" t="s">
        <v>76</v>
      </c>
      <c r="T56" s="35" t="n">
        <v>21.31063928</v>
      </c>
      <c r="U56" s="35" t="n">
        <v>6.177928</v>
      </c>
      <c r="V56" s="70" t="n">
        <v>27.48856728</v>
      </c>
      <c r="W56" s="35" t="n">
        <v>25.8380411087783</v>
      </c>
      <c r="X56" s="35" t="n">
        <v>4.78892115296758</v>
      </c>
      <c r="Y56" s="35" t="n">
        <v>8.20464586541197</v>
      </c>
      <c r="Z56" s="35"/>
      <c r="AA56" s="35" t="n">
        <v>1.68110424919081</v>
      </c>
      <c r="AB56" s="35" t="n">
        <v>0.286759684729832</v>
      </c>
      <c r="AC56" s="71" t="n">
        <v>4.47783669541614</v>
      </c>
      <c r="AD56" s="38" t="n">
        <v>7.06354564757906</v>
      </c>
      <c r="AE56" s="38" t="n">
        <v>6.17633435444809</v>
      </c>
      <c r="AF56" s="38" t="n">
        <v>1.41766724149058</v>
      </c>
      <c r="AG56" s="72"/>
      <c r="AH56" s="72"/>
      <c r="AI56" s="73" t="n">
        <v>40.5971305399739</v>
      </c>
      <c r="AJ56" s="42" t="s">
        <v>16</v>
      </c>
      <c r="AK56" s="43" t="n">
        <v>743.036966036483</v>
      </c>
      <c r="AL56" s="43" t="n">
        <v>760.959651374279</v>
      </c>
      <c r="AM56" s="43" t="n">
        <v>703.969391809243</v>
      </c>
      <c r="AN56" s="74"/>
      <c r="AO56" s="75" t="n">
        <v>41.9636363636364</v>
      </c>
      <c r="AP56" s="76" t="n">
        <v>1.86857097844934</v>
      </c>
      <c r="AQ56" s="76" t="n">
        <v>1.37448632152589</v>
      </c>
      <c r="AR56" s="76" t="n">
        <v>1.84893839980183</v>
      </c>
      <c r="AS56" s="77" t="n">
        <v>44.8140192221947</v>
      </c>
      <c r="AT56" s="78" t="n">
        <v>43.4009318028618</v>
      </c>
      <c r="AU56" s="78" t="n">
        <v>44.5283378746594</v>
      </c>
      <c r="AV56" s="78" t="n">
        <v>32.7542234332425</v>
      </c>
      <c r="AW56" s="78" t="n">
        <v>44.0604904632153</v>
      </c>
      <c r="AX56" s="78" t="n">
        <v>30.1471389645777</v>
      </c>
      <c r="AY56" s="48" t="n">
        <v>1.57887209474316</v>
      </c>
      <c r="AZ56" s="48" t="n">
        <v>29.3014908175061</v>
      </c>
      <c r="BA56" s="48" t="n">
        <v>-1.81292353750613</v>
      </c>
      <c r="BB56" s="49" t="n">
        <f aca="false">AT56/V56</f>
        <v>1.57887209474316</v>
      </c>
      <c r="BC56" s="49" t="n">
        <f aca="false">AS56/V56</f>
        <v>1.63027846325044</v>
      </c>
      <c r="BD56" s="49" t="n">
        <f aca="false">SUM(AP56:AR56)/V56</f>
        <v>0.185240490997938</v>
      </c>
      <c r="BE56" s="50" t="n">
        <v>7</v>
      </c>
      <c r="BF56" s="51" t="n">
        <v>127.483914170229</v>
      </c>
      <c r="BG56" s="51" t="n">
        <v>551.01982330278</v>
      </c>
      <c r="BH56" s="51" t="n">
        <v>258.219118231664</v>
      </c>
      <c r="BI56" s="51" t="n">
        <v>147.802210500563</v>
      </c>
      <c r="BJ56" s="51" t="n">
        <v>9.15629281294</v>
      </c>
      <c r="BK56" s="51" t="n">
        <v>15.694427846471</v>
      </c>
      <c r="BL56" s="51" t="n">
        <v>13.1330029274734</v>
      </c>
      <c r="BM56" s="51"/>
      <c r="BN56" s="52" t="n">
        <f aca="false">(BG56*0.5-BH56*0.25+BI56*0.5)/SUM(BG56:BI56)*1000</f>
        <v>297.64262146727</v>
      </c>
      <c r="BO56" s="53" t="n">
        <v>7.93963482</v>
      </c>
      <c r="BP56" s="54" t="s">
        <v>77</v>
      </c>
      <c r="BQ56" s="55" t="n">
        <v>341.959989264373</v>
      </c>
      <c r="BR56" s="56" t="n">
        <v>12.4400804807741</v>
      </c>
      <c r="BS56" s="56" t="n">
        <v>17.3921823541113</v>
      </c>
      <c r="BT56" s="56" t="n">
        <v>7.87909326043145</v>
      </c>
      <c r="BU56" s="55"/>
      <c r="BV56" s="55"/>
      <c r="BW56" s="55"/>
      <c r="BX56" s="55"/>
      <c r="BY56" s="79" t="n">
        <v>0.09</v>
      </c>
      <c r="BZ56" s="80" t="n">
        <v>0.437707</v>
      </c>
      <c r="CA56" s="81" t="n">
        <v>3.7</v>
      </c>
      <c r="CB56" s="81" t="n">
        <v>0.058</v>
      </c>
      <c r="CC56" s="82" t="n">
        <v>5.2385</v>
      </c>
      <c r="CD56" s="82" t="n">
        <v>6.64818</v>
      </c>
      <c r="CE56" s="83" t="n">
        <v>73.543212</v>
      </c>
      <c r="CF56" s="84" t="n">
        <v>33.571148</v>
      </c>
      <c r="CG56" s="80" t="n">
        <v>0.071</v>
      </c>
      <c r="CH56" s="63" t="n">
        <v>11510.5782968763</v>
      </c>
      <c r="CI56" s="63" t="n">
        <v>3913.04381324646</v>
      </c>
      <c r="CJ56" s="63" t="n">
        <v>658185.029751261</v>
      </c>
      <c r="CK56" s="85" t="n">
        <v>0.594520330358359</v>
      </c>
    </row>
    <row r="57" customFormat="false" ht="15" hidden="false" customHeight="false" outlineLevel="0" collapsed="false">
      <c r="A57" s="7" t="s">
        <v>73</v>
      </c>
      <c r="B57" s="66" t="n">
        <v>55</v>
      </c>
      <c r="C57" s="8" t="s">
        <v>133</v>
      </c>
      <c r="D57" s="67" t="n">
        <v>41617</v>
      </c>
      <c r="E57" s="4" t="s">
        <v>75</v>
      </c>
      <c r="F57" s="7" t="n">
        <v>262</v>
      </c>
      <c r="G57" s="68" t="n">
        <v>1</v>
      </c>
      <c r="H57" s="68" t="n">
        <v>128</v>
      </c>
      <c r="I57" s="66" t="n">
        <v>6</v>
      </c>
      <c r="J57" s="69" t="n">
        <v>636.022727272727</v>
      </c>
      <c r="K57" s="31" t="n">
        <v>525.684721054063</v>
      </c>
      <c r="L57" s="31" t="n">
        <v>940.604250929846</v>
      </c>
      <c r="M57" s="31" t="n">
        <v>170.138237066367</v>
      </c>
      <c r="N57" s="31" t="n">
        <v>325.395927069886</v>
      </c>
      <c r="O57" s="32"/>
      <c r="P57" s="33" t="n">
        <v>69.1877600341841</v>
      </c>
      <c r="Q57" s="33" t="n">
        <v>11.4068404436172</v>
      </c>
      <c r="R57" s="31" t="n">
        <v>149.396381154796</v>
      </c>
      <c r="S57" s="34" t="s">
        <v>76</v>
      </c>
      <c r="T57" s="35" t="n">
        <v>18.0951094509091</v>
      </c>
      <c r="U57" s="35" t="n">
        <v>5.65815490909091</v>
      </c>
      <c r="V57" s="70" t="n">
        <v>23.75326436</v>
      </c>
      <c r="W57" s="35" t="n">
        <v>22.3260987484992</v>
      </c>
      <c r="X57" s="35" t="n">
        <v>4.14397485410669</v>
      </c>
      <c r="Y57" s="35" t="n">
        <v>7.05145443290659</v>
      </c>
      <c r="Z57" s="35"/>
      <c r="AA57" s="35" t="n">
        <v>1.44124108928785</v>
      </c>
      <c r="AB57" s="35" t="n">
        <v>0.246406301561234</v>
      </c>
      <c r="AC57" s="71" t="n">
        <v>3.88857015105062</v>
      </c>
      <c r="AD57" s="38" t="n">
        <v>5.89235507381677</v>
      </c>
      <c r="AE57" s="38" t="n">
        <v>5.15290783128298</v>
      </c>
      <c r="AF57" s="38" t="n">
        <v>1.33396238739796</v>
      </c>
      <c r="AG57" s="72"/>
      <c r="AH57" s="72"/>
      <c r="AI57" s="73" t="n">
        <v>41.8179655628976</v>
      </c>
      <c r="AJ57" s="42" t="s">
        <v>16</v>
      </c>
      <c r="AK57" s="43" t="n">
        <v>751.934934730934</v>
      </c>
      <c r="AL57" s="43" t="n">
        <v>769.198018456791</v>
      </c>
      <c r="AM57" s="43" t="n">
        <v>678.09592616712</v>
      </c>
      <c r="AN57" s="74"/>
      <c r="AO57" s="75" t="n">
        <v>48.2090909090909</v>
      </c>
      <c r="AP57" s="76" t="n">
        <v>1.59039809713574</v>
      </c>
      <c r="AQ57" s="76" t="n">
        <v>1.38858031382316</v>
      </c>
      <c r="AR57" s="76" t="n">
        <v>2.15658415193026</v>
      </c>
      <c r="AS57" s="77" t="n">
        <v>43.1396078206725</v>
      </c>
      <c r="AT57" s="78" t="n">
        <v>41.7782550221542</v>
      </c>
      <c r="AU57" s="78" t="n">
        <v>32.9895890410959</v>
      </c>
      <c r="AV57" s="78" t="n">
        <v>28.8032876712329</v>
      </c>
      <c r="AW57" s="78" t="n">
        <v>44.7339726027397</v>
      </c>
      <c r="AX57" s="78" t="n">
        <v>33.7972602739726</v>
      </c>
      <c r="AY57" s="48" t="n">
        <v>1.75884267479917</v>
      </c>
      <c r="AZ57" s="48" t="n">
        <v>27.8896722019441</v>
      </c>
      <c r="BA57" s="48" t="n">
        <v>-4.13640784194407</v>
      </c>
      <c r="BB57" s="49" t="n">
        <f aca="false">AT57/V57</f>
        <v>1.75884267479917</v>
      </c>
      <c r="BC57" s="49" t="n">
        <f aca="false">AS57/V57</f>
        <v>1.81615491525109</v>
      </c>
      <c r="BD57" s="49" t="n">
        <f aca="false">SUM(AP57:AR57)/V57</f>
        <v>0.216204496571736</v>
      </c>
      <c r="BE57" s="50" t="n">
        <v>6.88</v>
      </c>
      <c r="BF57" s="51" t="n">
        <v>124.810948459479</v>
      </c>
      <c r="BG57" s="51" t="n">
        <v>599.931636176882</v>
      </c>
      <c r="BH57" s="51" t="n">
        <v>198.058410357664</v>
      </c>
      <c r="BI57" s="51" t="n">
        <v>156.510476098759</v>
      </c>
      <c r="BJ57" s="51" t="n">
        <v>9.48815028275308</v>
      </c>
      <c r="BK57" s="51" t="n">
        <v>15.3140737706594</v>
      </c>
      <c r="BL57" s="51" t="n">
        <v>15.7221289351729</v>
      </c>
      <c r="BM57" s="51"/>
      <c r="BN57" s="52" t="n">
        <f aca="false">(BG57*0.5-BH57*0.25+BI57*0.5)/SUM(BG57:BI57)*1000</f>
        <v>344.375352086303</v>
      </c>
      <c r="BO57" s="53" t="n">
        <v>8.09746214</v>
      </c>
      <c r="BP57" s="54" t="s">
        <v>77</v>
      </c>
      <c r="BQ57" s="55" t="n">
        <v>375.543226051535</v>
      </c>
      <c r="BR57" s="56" t="n">
        <v>15.8101733033352</v>
      </c>
      <c r="BS57" s="56" t="n">
        <v>21.8679934242768</v>
      </c>
      <c r="BT57" s="56" t="n">
        <v>8.98896389646699</v>
      </c>
      <c r="BU57" s="55"/>
      <c r="BV57" s="55"/>
      <c r="BW57" s="55"/>
      <c r="BX57" s="55"/>
      <c r="BY57" s="79" t="n">
        <v>0.07</v>
      </c>
      <c r="BZ57" s="80" t="n">
        <v>0.7403176</v>
      </c>
      <c r="CA57" s="81" t="n">
        <v>3.48</v>
      </c>
      <c r="CB57" s="81" t="n">
        <v>0.156</v>
      </c>
      <c r="CC57" s="82" t="n">
        <v>6.38654</v>
      </c>
      <c r="CD57" s="82" t="n">
        <v>5.07696</v>
      </c>
      <c r="CE57" s="83" t="n">
        <v>82.247148</v>
      </c>
      <c r="CF57" s="84" t="n">
        <v>33.090479</v>
      </c>
      <c r="CG57" s="80" t="n">
        <v>0.1865</v>
      </c>
      <c r="CH57" s="63" t="n">
        <v>142408.920751273</v>
      </c>
      <c r="CI57" s="63" t="n">
        <v>5774.9296626376</v>
      </c>
      <c r="CJ57" s="64" t="n">
        <v>405787.737512569</v>
      </c>
      <c r="CK57" s="65" t="n">
        <v>1.4231405064227</v>
      </c>
    </row>
    <row r="58" customFormat="false" ht="15" hidden="false" customHeight="false" outlineLevel="0" collapsed="false">
      <c r="A58" s="7" t="s">
        <v>73</v>
      </c>
      <c r="B58" s="66" t="n">
        <v>56</v>
      </c>
      <c r="C58" s="8" t="s">
        <v>134</v>
      </c>
      <c r="D58" s="67" t="n">
        <v>41617</v>
      </c>
      <c r="E58" s="4" t="s">
        <v>75</v>
      </c>
      <c r="F58" s="7" t="n">
        <v>142</v>
      </c>
      <c r="G58" s="68" t="n">
        <v>1</v>
      </c>
      <c r="H58" s="68" t="n">
        <v>118</v>
      </c>
      <c r="I58" s="66" t="n">
        <v>2</v>
      </c>
      <c r="J58" s="69" t="n">
        <v>664.931818181818</v>
      </c>
      <c r="K58" s="31" t="n">
        <v>525.684721054063</v>
      </c>
      <c r="L58" s="31" t="n">
        <v>940.604250929846</v>
      </c>
      <c r="M58" s="31" t="n">
        <v>170.138237066367</v>
      </c>
      <c r="N58" s="31" t="n">
        <v>325.395927069886</v>
      </c>
      <c r="O58" s="32"/>
      <c r="P58" s="33" t="n">
        <v>69.1877600341841</v>
      </c>
      <c r="Q58" s="33" t="n">
        <v>11.4068404436172</v>
      </c>
      <c r="R58" s="31" t="n">
        <v>149.396381154796</v>
      </c>
      <c r="S58" s="34" t="s">
        <v>76</v>
      </c>
      <c r="T58" s="35" t="n">
        <v>18.0191903763636</v>
      </c>
      <c r="U58" s="35" t="n">
        <v>5.05466836363636</v>
      </c>
      <c r="V58" s="70" t="n">
        <v>23.07385874</v>
      </c>
      <c r="W58" s="35" t="n">
        <v>21.6887878761218</v>
      </c>
      <c r="X58" s="35" t="n">
        <v>4.01743501090684</v>
      </c>
      <c r="Y58" s="35" t="n">
        <v>6.90266713611107</v>
      </c>
      <c r="Z58" s="35"/>
      <c r="AA58" s="35" t="n">
        <v>1.41580011727922</v>
      </c>
      <c r="AB58" s="35" t="n">
        <v>0.241274175401116</v>
      </c>
      <c r="AC58" s="71" t="n">
        <v>3.75081444829533</v>
      </c>
      <c r="AD58" s="38" t="n">
        <v>6.23142637896123</v>
      </c>
      <c r="AE58" s="38" t="n">
        <v>5.49899407362579</v>
      </c>
      <c r="AF58" s="38" t="n">
        <v>1.41481067120672</v>
      </c>
      <c r="AG58" s="72"/>
      <c r="AH58" s="72"/>
      <c r="AI58" s="73" t="n">
        <v>38.7189321879362</v>
      </c>
      <c r="AJ58" s="42" t="s">
        <v>16</v>
      </c>
      <c r="AK58" s="43" t="n">
        <v>729.935662293076</v>
      </c>
      <c r="AL58" s="43" t="n">
        <v>746.459133399526</v>
      </c>
      <c r="AM58" s="43" t="n">
        <v>647.832343929477</v>
      </c>
      <c r="AN58" s="74"/>
      <c r="AO58" s="75" t="n">
        <v>43.1272727272727</v>
      </c>
      <c r="AP58" s="76" t="n">
        <v>1.18147235276352</v>
      </c>
      <c r="AQ58" s="76" t="n">
        <v>1.25507527635156</v>
      </c>
      <c r="AR58" s="76" t="n">
        <v>2.00563310178194</v>
      </c>
      <c r="AS58" s="77" t="n">
        <v>34.9729943823618</v>
      </c>
      <c r="AT58" s="78" t="n">
        <v>34.932840397286</v>
      </c>
      <c r="AU58" s="78" t="n">
        <v>27.3950166112957</v>
      </c>
      <c r="AV58" s="78" t="n">
        <v>29.1016611295681</v>
      </c>
      <c r="AW58" s="78" t="n">
        <v>46.5049833887043</v>
      </c>
      <c r="AX58" s="78" t="n">
        <v>24.5747508305648</v>
      </c>
      <c r="AY58" s="48" t="n">
        <v>1.513957452497</v>
      </c>
      <c r="AZ58" s="48" t="n">
        <v>25.1863248317807</v>
      </c>
      <c r="BA58" s="48" t="n">
        <v>-2.11246609178074</v>
      </c>
      <c r="BB58" s="49" t="n">
        <f aca="false">AT58/V58</f>
        <v>1.513957452497</v>
      </c>
      <c r="BC58" s="49" t="n">
        <f aca="false">AS58/V58</f>
        <v>1.51569768959944</v>
      </c>
      <c r="BD58" s="49" t="n">
        <f aca="false">SUM(AP58:AR58)/V58</f>
        <v>0.192520062680119</v>
      </c>
      <c r="BE58" s="50" t="n">
        <v>7.25</v>
      </c>
      <c r="BF58" s="51" t="n">
        <v>87.1281311348211</v>
      </c>
      <c r="BG58" s="51" t="n">
        <v>613.810633578971</v>
      </c>
      <c r="BH58" s="51" t="n">
        <v>242.239320993218</v>
      </c>
      <c r="BI58" s="51" t="n">
        <v>110.942454213082</v>
      </c>
      <c r="BJ58" s="51" t="n">
        <v>7.78574512493219</v>
      </c>
      <c r="BK58" s="51" t="n">
        <v>9.40814083740249</v>
      </c>
      <c r="BL58" s="51" t="n">
        <v>10.8385808742844</v>
      </c>
      <c r="BM58" s="51"/>
      <c r="BN58" s="52" t="n">
        <f aca="false">(BG58*0.5-BH58*0.25+BI58*0.5)/SUM(BG58:BI58)*1000</f>
        <v>312.119010351759</v>
      </c>
      <c r="BO58" s="53" t="n">
        <v>5.43551026</v>
      </c>
      <c r="BP58" s="54" t="s">
        <v>77</v>
      </c>
      <c r="BQ58" s="55" t="n">
        <v>365.33675160051</v>
      </c>
      <c r="BR58" s="56" t="n">
        <v>15.833361715402</v>
      </c>
      <c r="BS58" s="56" t="n">
        <v>22.5658681053853</v>
      </c>
      <c r="BT58" s="56" t="n">
        <v>10.4582606923912</v>
      </c>
      <c r="BU58" s="55"/>
      <c r="BV58" s="55"/>
      <c r="BW58" s="55"/>
      <c r="BX58" s="55"/>
      <c r="BY58" s="79" t="n">
        <v>0.08</v>
      </c>
      <c r="BZ58" s="80" t="n">
        <v>0.5982304</v>
      </c>
      <c r="CA58" s="81" t="n">
        <v>3.15</v>
      </c>
      <c r="CB58" s="81" t="n">
        <v>0.074</v>
      </c>
      <c r="CC58" s="82" t="n">
        <v>4.59007</v>
      </c>
      <c r="CD58" s="82" t="n">
        <v>5.61317</v>
      </c>
      <c r="CE58" s="83" t="n">
        <v>82.77624</v>
      </c>
      <c r="CF58" s="84" t="n">
        <v>36.29153</v>
      </c>
      <c r="CG58" s="80" t="n">
        <v>0.1025</v>
      </c>
      <c r="CH58" s="63" t="n">
        <v>29914.8062247574</v>
      </c>
      <c r="CI58" s="63" t="n">
        <v>14562.746214642</v>
      </c>
      <c r="CJ58" s="64" t="n">
        <v>1009191.57554626</v>
      </c>
      <c r="CK58" s="65" t="n">
        <v>1.44301107614373</v>
      </c>
    </row>
    <row r="59" customFormat="false" ht="15" hidden="false" customHeight="false" outlineLevel="0" collapsed="false">
      <c r="A59" s="7" t="s">
        <v>73</v>
      </c>
      <c r="B59" s="66" t="n">
        <v>57</v>
      </c>
      <c r="C59" s="8" t="s">
        <v>135</v>
      </c>
      <c r="D59" s="67" t="n">
        <v>41617</v>
      </c>
      <c r="E59" s="4" t="s">
        <v>75</v>
      </c>
      <c r="F59" s="7" t="n">
        <v>329</v>
      </c>
      <c r="G59" s="68" t="n">
        <v>1</v>
      </c>
      <c r="H59" s="68" t="n">
        <v>125</v>
      </c>
      <c r="I59" s="66" t="n">
        <v>1</v>
      </c>
      <c r="J59" s="69" t="n">
        <v>673.242424242424</v>
      </c>
      <c r="K59" s="31" t="n">
        <v>525.684721054063</v>
      </c>
      <c r="L59" s="31" t="n">
        <v>940.604250929846</v>
      </c>
      <c r="M59" s="31" t="n">
        <v>170.138237066367</v>
      </c>
      <c r="N59" s="31" t="n">
        <v>325.395927069886</v>
      </c>
      <c r="O59" s="32"/>
      <c r="P59" s="33" t="n">
        <v>69.1877600341841</v>
      </c>
      <c r="Q59" s="33" t="n">
        <v>11.4068404436172</v>
      </c>
      <c r="R59" s="31" t="n">
        <v>149.396381154796</v>
      </c>
      <c r="S59" s="34" t="s">
        <v>76</v>
      </c>
      <c r="T59" s="35" t="n">
        <v>16.4700828427273</v>
      </c>
      <c r="U59" s="35" t="n">
        <v>1.71862472727273</v>
      </c>
      <c r="V59" s="70" t="n">
        <v>18.18870757</v>
      </c>
      <c r="W59" s="35" t="n">
        <v>17.1034177595027</v>
      </c>
      <c r="X59" s="35" t="n">
        <v>3.12576970368348</v>
      </c>
      <c r="Y59" s="35" t="n">
        <v>5.71266621528464</v>
      </c>
      <c r="Z59" s="35"/>
      <c r="AA59" s="35" t="n">
        <v>1.1970209105506</v>
      </c>
      <c r="AB59" s="35" t="n">
        <v>0.200020801647751</v>
      </c>
      <c r="AC59" s="71" t="n">
        <v>2.82057491481103</v>
      </c>
      <c r="AD59" s="38" t="n">
        <v>5.14795931800558</v>
      </c>
      <c r="AE59" s="38" t="n">
        <v>4.42699695804822</v>
      </c>
      <c r="AF59" s="38" t="n">
        <v>1.23752478173734</v>
      </c>
      <c r="AG59" s="72"/>
      <c r="AH59" s="72"/>
      <c r="AI59" s="73" t="n">
        <v>38.854386620375</v>
      </c>
      <c r="AJ59" s="42" t="s">
        <v>16</v>
      </c>
      <c r="AK59" s="43" t="n">
        <v>716.969482400361</v>
      </c>
      <c r="AL59" s="43" t="n">
        <v>741.163022484872</v>
      </c>
      <c r="AM59" s="43" t="n">
        <v>604.089584629665</v>
      </c>
      <c r="AN59" s="74"/>
      <c r="AO59" s="75" t="n">
        <v>23.7181818181818</v>
      </c>
      <c r="AP59" s="76" t="n">
        <v>1.0667818410233</v>
      </c>
      <c r="AQ59" s="76" t="n">
        <v>0.854176349931475</v>
      </c>
      <c r="AR59" s="76" t="n">
        <v>1.08731773412517</v>
      </c>
      <c r="AS59" s="77" t="n">
        <v>25.4890003426222</v>
      </c>
      <c r="AT59" s="78" t="n">
        <v>25.4789853075161</v>
      </c>
      <c r="AU59" s="78" t="n">
        <v>44.9773869346734</v>
      </c>
      <c r="AV59" s="78" t="n">
        <v>36.013567839196</v>
      </c>
      <c r="AW59" s="78" t="n">
        <v>45.843216080402</v>
      </c>
      <c r="AX59" s="78" t="n">
        <v>29.0402010050251</v>
      </c>
      <c r="AY59" s="48" t="n">
        <v>1.40081340081252</v>
      </c>
      <c r="AZ59" s="48" t="n">
        <v>21.9187270122241</v>
      </c>
      <c r="BA59" s="48" t="n">
        <v>-3.73001944222409</v>
      </c>
      <c r="BB59" s="49" t="n">
        <f aca="false">AT59/V59</f>
        <v>1.40081340081252</v>
      </c>
      <c r="BC59" s="49" t="n">
        <f aca="false">AS59/V59</f>
        <v>1.40136401910508</v>
      </c>
      <c r="BD59" s="49" t="n">
        <f aca="false">SUM(AP59:AR59)/V59</f>
        <v>0.165392505954723</v>
      </c>
      <c r="BE59" s="50" t="n">
        <v>7.16</v>
      </c>
      <c r="BF59" s="51" t="n">
        <v>128.736834218422</v>
      </c>
      <c r="BG59" s="51" t="n">
        <v>585.515026213472</v>
      </c>
      <c r="BH59" s="51" t="n">
        <v>224.845969106962</v>
      </c>
      <c r="BI59" s="51" t="n">
        <v>151.093657237829</v>
      </c>
      <c r="BJ59" s="51" t="n">
        <v>9.58423125218247</v>
      </c>
      <c r="BK59" s="51" t="n">
        <v>13.7041501312834</v>
      </c>
      <c r="BL59" s="51" t="n">
        <v>10.2818416801612</v>
      </c>
      <c r="BM59" s="51"/>
      <c r="BN59" s="52" t="n">
        <f aca="false">(BG59*0.5-BH59*0.25+BI59*0.5)/SUM(BG59:BI59)*1000</f>
        <v>324.60485642093</v>
      </c>
      <c r="BO59" s="53" t="n">
        <v>6.55115598</v>
      </c>
      <c r="BP59" s="54" t="s">
        <v>77</v>
      </c>
      <c r="BQ59" s="55" t="n">
        <v>368.773057642874</v>
      </c>
      <c r="BR59" s="56" t="n">
        <v>20.2748357036164</v>
      </c>
      <c r="BS59" s="56" t="n">
        <v>29.0912603343495</v>
      </c>
      <c r="BT59" s="56" t="n">
        <v>14.4736163230993</v>
      </c>
      <c r="BU59" s="55"/>
      <c r="BV59" s="55"/>
      <c r="BW59" s="55"/>
      <c r="BX59" s="55"/>
      <c r="BY59" s="79" t="n">
        <v>0.12</v>
      </c>
      <c r="BZ59" s="80" t="n">
        <v>0.4950712</v>
      </c>
      <c r="CA59" s="81" t="n">
        <v>3.87</v>
      </c>
      <c r="CB59" s="81" t="n">
        <v>0.551</v>
      </c>
      <c r="CC59" s="82" t="n">
        <v>5.86567</v>
      </c>
      <c r="CD59" s="82" t="n">
        <v>7.20933</v>
      </c>
      <c r="CE59" s="83" t="n">
        <v>98.805492</v>
      </c>
      <c r="CF59" s="84" t="n">
        <v>38.071028</v>
      </c>
      <c r="CG59" s="80" t="n">
        <v>0.1235</v>
      </c>
      <c r="CH59" s="63" t="n">
        <v>138648.574717377</v>
      </c>
      <c r="CI59" s="63" t="n">
        <v>5583.36006078632</v>
      </c>
      <c r="CJ59" s="64" t="n">
        <v>413898.290378487</v>
      </c>
      <c r="CK59" s="65" t="n">
        <v>1.34896910438568</v>
      </c>
    </row>
    <row r="60" customFormat="false" ht="15" hidden="false" customHeight="false" outlineLevel="0" collapsed="false">
      <c r="A60" s="7" t="s">
        <v>73</v>
      </c>
      <c r="B60" s="66" t="n">
        <v>58</v>
      </c>
      <c r="C60" s="8" t="s">
        <v>136</v>
      </c>
      <c r="D60" s="67" t="n">
        <v>41617</v>
      </c>
      <c r="E60" s="4" t="s">
        <v>75</v>
      </c>
      <c r="F60" s="7" t="n">
        <v>285</v>
      </c>
      <c r="G60" s="68" t="n">
        <v>1</v>
      </c>
      <c r="H60" s="68" t="n">
        <v>137</v>
      </c>
      <c r="I60" s="66" t="n">
        <v>5</v>
      </c>
      <c r="J60" s="69" t="n">
        <v>725.521212121212</v>
      </c>
      <c r="K60" s="31" t="n">
        <v>525.684721054063</v>
      </c>
      <c r="L60" s="31" t="n">
        <v>940.604250929846</v>
      </c>
      <c r="M60" s="31" t="n">
        <v>170.138237066367</v>
      </c>
      <c r="N60" s="31" t="n">
        <v>325.395927069886</v>
      </c>
      <c r="O60" s="32"/>
      <c r="P60" s="33" t="n">
        <v>69.1877600341841</v>
      </c>
      <c r="Q60" s="33" t="n">
        <v>11.4068404436172</v>
      </c>
      <c r="R60" s="31" t="n">
        <v>149.396381154796</v>
      </c>
      <c r="S60" s="34" t="s">
        <v>76</v>
      </c>
      <c r="T60" s="35" t="n">
        <v>19.12714822</v>
      </c>
      <c r="U60" s="35" t="n">
        <v>5.133384</v>
      </c>
      <c r="V60" s="70" t="n">
        <v>24.26053222</v>
      </c>
      <c r="W60" s="35" t="n">
        <v>22.8047509164972</v>
      </c>
      <c r="X60" s="35" t="n">
        <v>4.2207614102579</v>
      </c>
      <c r="Y60" s="35" t="n">
        <v>7.27937691525002</v>
      </c>
      <c r="Z60" s="35"/>
      <c r="AA60" s="35" t="n">
        <v>1.49509049538363</v>
      </c>
      <c r="AB60" s="35" t="n">
        <v>0.254468925401315</v>
      </c>
      <c r="AC60" s="71" t="n">
        <v>3.9328280798794</v>
      </c>
      <c r="AD60" s="38" t="n">
        <v>7.36729775662141</v>
      </c>
      <c r="AE60" s="38" t="n">
        <v>6.5166893573533</v>
      </c>
      <c r="AF60" s="38" t="n">
        <v>1.53674244982149</v>
      </c>
      <c r="AG60" s="72"/>
      <c r="AH60" s="72"/>
      <c r="AI60" s="73" t="n">
        <v>34.5403340285262</v>
      </c>
      <c r="AJ60" s="42" t="s">
        <v>16</v>
      </c>
      <c r="AK60" s="43" t="n">
        <v>696.325798221857</v>
      </c>
      <c r="AL60" s="43" t="n">
        <v>714.239836198384</v>
      </c>
      <c r="AM60" s="43" t="n">
        <v>635.908713985424</v>
      </c>
      <c r="AN60" s="74"/>
      <c r="AO60" s="75" t="n">
        <v>40.2727272727273</v>
      </c>
      <c r="AP60" s="76" t="n">
        <v>1.70173555062823</v>
      </c>
      <c r="AQ60" s="76" t="n">
        <v>1.45370357230845</v>
      </c>
      <c r="AR60" s="76" t="n">
        <v>1.75409009608278</v>
      </c>
      <c r="AS60" s="77" t="n">
        <v>41.6351241685144</v>
      </c>
      <c r="AT60" s="78" t="n">
        <v>41.4657304721912</v>
      </c>
      <c r="AU60" s="78" t="n">
        <v>42.2552845528455</v>
      </c>
      <c r="AV60" s="78" t="n">
        <v>36.0964769647696</v>
      </c>
      <c r="AW60" s="78" t="n">
        <v>43.5552845528455</v>
      </c>
      <c r="AX60" s="78" t="n">
        <v>26.070460704607</v>
      </c>
      <c r="AY60" s="48" t="n">
        <v>1.70918469950167</v>
      </c>
      <c r="AZ60" s="48" t="n">
        <v>28.6855417485062</v>
      </c>
      <c r="BA60" s="48" t="n">
        <v>-4.42500952850615</v>
      </c>
      <c r="BB60" s="49" t="n">
        <f aca="false">AT60/V60</f>
        <v>1.70918469950167</v>
      </c>
      <c r="BC60" s="49" t="n">
        <f aca="false">AS60/V60</f>
        <v>1.71616697403658</v>
      </c>
      <c r="BD60" s="49" t="n">
        <f aca="false">SUM(AP60:AR60)/V60</f>
        <v>0.202366921487902</v>
      </c>
      <c r="BE60" s="50" t="n">
        <v>6.65</v>
      </c>
      <c r="BF60" s="51" t="n">
        <v>146.654634385995</v>
      </c>
      <c r="BG60" s="51" t="n">
        <v>562.504308777781</v>
      </c>
      <c r="BH60" s="51" t="n">
        <v>227.827454850499</v>
      </c>
      <c r="BI60" s="51" t="n">
        <v>167.477281280354</v>
      </c>
      <c r="BJ60" s="51" t="n">
        <v>9.51922390782886</v>
      </c>
      <c r="BK60" s="51" t="n">
        <v>15.5248825679286</v>
      </c>
      <c r="BL60" s="51" t="n">
        <v>12.1717242374991</v>
      </c>
      <c r="BM60" s="51"/>
      <c r="BN60" s="52" t="n">
        <f aca="false">(BG60*0.5-BH60*0.25+BI60*0.5)/SUM(BG60:BI60)*1000</f>
        <v>321.602654468382</v>
      </c>
      <c r="BO60" s="53" t="n">
        <v>9.41572482</v>
      </c>
      <c r="BP60" s="54" t="s">
        <v>77</v>
      </c>
      <c r="BQ60" s="55" t="n">
        <v>389.080437337734</v>
      </c>
      <c r="BR60" s="56" t="n">
        <v>16.0375886979504</v>
      </c>
      <c r="BS60" s="56" t="n">
        <v>23.8874611275833</v>
      </c>
      <c r="BT60" s="56" t="n">
        <v>9.38318059050399</v>
      </c>
      <c r="BU60" s="55"/>
      <c r="BV60" s="55"/>
      <c r="BW60" s="55"/>
      <c r="BX60" s="55"/>
      <c r="BY60" s="79" t="n">
        <v>0.09</v>
      </c>
      <c r="BZ60" s="80" t="n">
        <v>0.663337</v>
      </c>
      <c r="CA60" s="81" t="n">
        <v>3.64</v>
      </c>
      <c r="CB60" s="81" t="n">
        <v>0.083</v>
      </c>
      <c r="CC60" s="82" t="n">
        <v>6.31213</v>
      </c>
      <c r="CD60" s="82" t="n">
        <v>5.507175</v>
      </c>
      <c r="CE60" s="83" t="n">
        <v>81.188964</v>
      </c>
      <c r="CF60" s="84" t="n">
        <v>37.079009</v>
      </c>
      <c r="CG60" s="80" t="n">
        <v>0.05</v>
      </c>
      <c r="CH60" s="63" t="n">
        <v>90699.0631002754</v>
      </c>
      <c r="CI60" s="63" t="n">
        <v>6096.67563784437</v>
      </c>
      <c r="CJ60" s="64" t="n">
        <v>432311.770123166</v>
      </c>
      <c r="CK60" s="65" t="n">
        <v>1.41024974548054</v>
      </c>
    </row>
    <row r="61" customFormat="false" ht="15" hidden="false" customHeight="false" outlineLevel="0" collapsed="false">
      <c r="A61" s="7" t="s">
        <v>73</v>
      </c>
      <c r="B61" s="66" t="n">
        <v>59</v>
      </c>
      <c r="C61" s="8" t="s">
        <v>137</v>
      </c>
      <c r="D61" s="67" t="n">
        <v>41617</v>
      </c>
      <c r="E61" s="4" t="s">
        <v>75</v>
      </c>
      <c r="F61" s="7" t="n">
        <v>281</v>
      </c>
      <c r="G61" s="68" t="n">
        <v>1</v>
      </c>
      <c r="H61" s="68" t="n">
        <v>142</v>
      </c>
      <c r="I61" s="66" t="n">
        <v>5</v>
      </c>
      <c r="J61" s="69" t="n">
        <v>685.045454545455</v>
      </c>
      <c r="K61" s="31" t="n">
        <v>525.684721054063</v>
      </c>
      <c r="L61" s="31" t="n">
        <v>940.604250929846</v>
      </c>
      <c r="M61" s="31" t="n">
        <v>170.138237066367</v>
      </c>
      <c r="N61" s="31" t="n">
        <v>325.395927069886</v>
      </c>
      <c r="O61" s="32"/>
      <c r="P61" s="33" t="n">
        <v>69.1877600341841</v>
      </c>
      <c r="Q61" s="33" t="n">
        <v>11.4068404436172</v>
      </c>
      <c r="R61" s="31" t="n">
        <v>149.396381154796</v>
      </c>
      <c r="S61" s="34" t="s">
        <v>76</v>
      </c>
      <c r="T61" s="35" t="n">
        <v>17.8574559636364</v>
      </c>
      <c r="U61" s="35" t="n">
        <v>4.65546763636364</v>
      </c>
      <c r="V61" s="70" t="n">
        <v>22.5129236</v>
      </c>
      <c r="W61" s="35" t="n">
        <v>21.1623215157889</v>
      </c>
      <c r="X61" s="35" t="n">
        <v>3.91475717723428</v>
      </c>
      <c r="Y61" s="35" t="n">
        <v>6.76795931185166</v>
      </c>
      <c r="Z61" s="35"/>
      <c r="AA61" s="35" t="n">
        <v>1.39125570232399</v>
      </c>
      <c r="AB61" s="35" t="n">
        <v>0.236607291915856</v>
      </c>
      <c r="AC61" s="71" t="n">
        <v>3.64303044887113</v>
      </c>
      <c r="AD61" s="38" t="n">
        <v>5.62064678165227</v>
      </c>
      <c r="AE61" s="38" t="n">
        <v>4.92804682662352</v>
      </c>
      <c r="AF61" s="38" t="n">
        <v>1.17632593107642</v>
      </c>
      <c r="AG61" s="72"/>
      <c r="AH61" s="72"/>
      <c r="AI61" s="73" t="n">
        <v>42.0960969631154</v>
      </c>
      <c r="AJ61" s="42" t="s">
        <v>16</v>
      </c>
      <c r="AK61" s="43" t="n">
        <v>750.336878429585</v>
      </c>
      <c r="AL61" s="43" t="n">
        <v>767.131086117051</v>
      </c>
      <c r="AM61" s="43" t="n">
        <v>699.514969174287</v>
      </c>
      <c r="AN61" s="74"/>
      <c r="AO61" s="75" t="n">
        <v>41.4181818181818</v>
      </c>
      <c r="AP61" s="76" t="n">
        <v>1.48603823665893</v>
      </c>
      <c r="AQ61" s="76" t="n">
        <v>1.35748811643113</v>
      </c>
      <c r="AR61" s="76" t="n">
        <v>1.77825263868382</v>
      </c>
      <c r="AS61" s="77" t="n">
        <v>38.8578462771567</v>
      </c>
      <c r="AT61" s="78" t="n">
        <v>38.228067480617</v>
      </c>
      <c r="AU61" s="78" t="n">
        <v>35.8788863109049</v>
      </c>
      <c r="AV61" s="78" t="n">
        <v>32.7751740139211</v>
      </c>
      <c r="AW61" s="78" t="n">
        <v>42.9341067285383</v>
      </c>
      <c r="AX61" s="78" t="n">
        <v>24.6125290023202</v>
      </c>
      <c r="AY61" s="48" t="n">
        <v>1.69804989169052</v>
      </c>
      <c r="AZ61" s="48" t="n">
        <v>27.1411775140058</v>
      </c>
      <c r="BA61" s="48" t="n">
        <v>-4.62825391400583</v>
      </c>
      <c r="BB61" s="49" t="n">
        <f aca="false">AT61/V61</f>
        <v>1.69804989169052</v>
      </c>
      <c r="BC61" s="49" t="n">
        <f aca="false">AS61/V61</f>
        <v>1.72602399259938</v>
      </c>
      <c r="BD61" s="49" t="n">
        <f aca="false">SUM(AP61:AR61)/V61</f>
        <v>0.205294482133537</v>
      </c>
      <c r="BE61" s="50" t="n">
        <v>6.79</v>
      </c>
      <c r="BF61" s="51" t="n">
        <v>122.26026774736</v>
      </c>
      <c r="BG61" s="51" t="n">
        <v>589.769242348819</v>
      </c>
      <c r="BH61" s="51" t="n">
        <v>242.01052224334</v>
      </c>
      <c r="BI61" s="51" t="n">
        <v>138.266226897731</v>
      </c>
      <c r="BJ61" s="51" t="n">
        <v>6.74803211616772</v>
      </c>
      <c r="BK61" s="51" t="n">
        <v>12.2622069639586</v>
      </c>
      <c r="BL61" s="51" t="n">
        <v>5.96864505187411</v>
      </c>
      <c r="BM61" s="51"/>
      <c r="BN61" s="52" t="n">
        <f aca="false">(BG61*0.5-BH61*0.25+BI61*0.5)/SUM(BG61:BI61)*1000</f>
        <v>312.887333925552</v>
      </c>
      <c r="BO61" s="53" t="n">
        <v>1.79476658</v>
      </c>
      <c r="BP61" s="54" t="s">
        <v>77</v>
      </c>
      <c r="BQ61" s="55" t="n">
        <v>363.016216963877</v>
      </c>
      <c r="BR61" s="56" t="n">
        <v>16.1247922932531</v>
      </c>
      <c r="BS61" s="56" t="n">
        <v>22.361098596302</v>
      </c>
      <c r="BT61" s="56" t="n">
        <v>9.49606508746327</v>
      </c>
      <c r="BU61" s="55"/>
      <c r="BV61" s="55"/>
      <c r="BW61" s="55"/>
      <c r="BX61" s="55"/>
      <c r="BY61" s="79" t="n">
        <v>0.08</v>
      </c>
      <c r="BZ61" s="80" t="n">
        <v>0.474985</v>
      </c>
      <c r="CA61" s="81" t="n">
        <v>4.14</v>
      </c>
      <c r="CB61" s="81" t="n">
        <v>0.164</v>
      </c>
      <c r="CC61" s="82" t="n">
        <v>4.4944</v>
      </c>
      <c r="CD61" s="82" t="n">
        <v>6.66065</v>
      </c>
      <c r="CE61" s="83" t="n">
        <v>90.846756</v>
      </c>
      <c r="CF61" s="84" t="n">
        <v>34.624529</v>
      </c>
      <c r="CG61" s="80" t="n">
        <v>0.1655</v>
      </c>
      <c r="CH61" s="63" t="n">
        <v>20092.000118442</v>
      </c>
      <c r="CI61" s="63" t="n">
        <v>13959.797026364</v>
      </c>
      <c r="CJ61" s="64" t="n">
        <v>836847.262154597</v>
      </c>
      <c r="CK61" s="65" t="n">
        <v>1.6681415662904</v>
      </c>
    </row>
    <row r="62" customFormat="false" ht="15" hidden="false" customHeight="false" outlineLevel="0" collapsed="false">
      <c r="A62" s="7" t="s">
        <v>73</v>
      </c>
      <c r="B62" s="66" t="n">
        <v>60</v>
      </c>
      <c r="C62" s="8" t="s">
        <v>138</v>
      </c>
      <c r="D62" s="67" t="n">
        <v>41617</v>
      </c>
      <c r="E62" s="4" t="s">
        <v>75</v>
      </c>
      <c r="F62" s="7" t="n">
        <v>350</v>
      </c>
      <c r="G62" s="68" t="n">
        <v>1</v>
      </c>
      <c r="H62" s="68" t="n">
        <v>116</v>
      </c>
      <c r="I62" s="66" t="n">
        <v>1</v>
      </c>
      <c r="J62" s="69" t="n">
        <v>620.621212121212</v>
      </c>
      <c r="K62" s="31" t="n">
        <v>525.684721054063</v>
      </c>
      <c r="L62" s="31" t="n">
        <v>940.604250929846</v>
      </c>
      <c r="M62" s="31" t="n">
        <v>170.138237066367</v>
      </c>
      <c r="N62" s="31" t="n">
        <v>325.395927069886</v>
      </c>
      <c r="O62" s="32"/>
      <c r="P62" s="33" t="n">
        <v>69.1877600341841</v>
      </c>
      <c r="Q62" s="33" t="n">
        <v>11.4068404436172</v>
      </c>
      <c r="R62" s="31" t="n">
        <v>149.396381154796</v>
      </c>
      <c r="S62" s="34" t="s">
        <v>76</v>
      </c>
      <c r="T62" s="35" t="n">
        <v>24.6989940754545</v>
      </c>
      <c r="U62" s="35" t="n">
        <v>7.78722545454546</v>
      </c>
      <c r="V62" s="70" t="n">
        <v>32.48621953</v>
      </c>
      <c r="W62" s="35" t="n">
        <v>30.5342115480636</v>
      </c>
      <c r="X62" s="35" t="n">
        <v>5.66840481294684</v>
      </c>
      <c r="Y62" s="35" t="n">
        <v>9.63809215305797</v>
      </c>
      <c r="Z62" s="35"/>
      <c r="AA62" s="35" t="n">
        <v>1.96937239781465</v>
      </c>
      <c r="AB62" s="35" t="n">
        <v>0.336786452288349</v>
      </c>
      <c r="AC62" s="71" t="n">
        <v>5.32114775394575</v>
      </c>
      <c r="AD62" s="38" t="n">
        <v>8.1532828590359</v>
      </c>
      <c r="AE62" s="38" t="n">
        <v>7.12167685813637</v>
      </c>
      <c r="AF62" s="38" t="n">
        <v>1.55522536441579</v>
      </c>
      <c r="AG62" s="72"/>
      <c r="AH62" s="72"/>
      <c r="AI62" s="73" t="n">
        <v>41.3068524802993</v>
      </c>
      <c r="AJ62" s="42" t="s">
        <v>16</v>
      </c>
      <c r="AK62" s="43" t="n">
        <v>749.023340450353</v>
      </c>
      <c r="AL62" s="43" t="n">
        <v>766.764016587551</v>
      </c>
      <c r="AM62" s="43" t="n">
        <v>725.63262227433</v>
      </c>
      <c r="AN62" s="74"/>
      <c r="AO62" s="75" t="n">
        <v>42.3545454545455</v>
      </c>
      <c r="AP62" s="76" t="n">
        <v>1.34080708874459</v>
      </c>
      <c r="AQ62" s="76" t="n">
        <v>1.31789865800866</v>
      </c>
      <c r="AR62" s="76" t="n">
        <v>1.99489909090909</v>
      </c>
      <c r="AS62" s="77" t="n">
        <v>37.053924512987</v>
      </c>
      <c r="AT62" s="78" t="n">
        <v>37.2988627634627</v>
      </c>
      <c r="AU62" s="78" t="n">
        <v>31.656746031746</v>
      </c>
      <c r="AV62" s="78" t="n">
        <v>31.115873015873</v>
      </c>
      <c r="AW62" s="78" t="n">
        <v>47.1</v>
      </c>
      <c r="AX62" s="78" t="n">
        <v>34.1587301587302</v>
      </c>
      <c r="AY62" s="48" t="n">
        <v>1.14814414552048</v>
      </c>
      <c r="AZ62" s="48" t="n">
        <v>25.2905884574485</v>
      </c>
      <c r="BA62" s="48" t="n">
        <v>7.19563107255151</v>
      </c>
      <c r="BB62" s="49" t="n">
        <f aca="false">AT62/V62</f>
        <v>1.14814414552048</v>
      </c>
      <c r="BC62" s="49" t="n">
        <f aca="false">AS62/V62</f>
        <v>1.14060438700074</v>
      </c>
      <c r="BD62" s="49" t="n">
        <f aca="false">SUM(AP62:AR62)/V62</f>
        <v>0.143248580628623</v>
      </c>
      <c r="BE62" s="50" t="n">
        <v>6.53</v>
      </c>
      <c r="BF62" s="51" t="n">
        <v>168.023740442431</v>
      </c>
      <c r="BG62" s="51" t="n">
        <v>574.136288860147</v>
      </c>
      <c r="BH62" s="51" t="n">
        <v>245.822308848955</v>
      </c>
      <c r="BI62" s="51" t="n">
        <v>144.692333376685</v>
      </c>
      <c r="BJ62" s="51" t="n">
        <v>8.83894502484024</v>
      </c>
      <c r="BK62" s="51" t="n">
        <v>13.1726950205429</v>
      </c>
      <c r="BL62" s="51" t="n">
        <v>8.36230449072024</v>
      </c>
      <c r="BM62" s="51"/>
      <c r="BN62" s="52" t="n">
        <f aca="false">(BG62*0.5-BH62*0.25+BI62*0.5)/SUM(BG62:BI62)*1000</f>
        <v>308.877257362725</v>
      </c>
      <c r="BO62" s="53" t="n">
        <v>8.19343284</v>
      </c>
      <c r="BP62" s="54" t="s">
        <v>77</v>
      </c>
      <c r="BQ62" s="55" t="n">
        <v>374.216733444687</v>
      </c>
      <c r="BR62" s="56" t="n">
        <v>11.5192453556841</v>
      </c>
      <c r="BS62" s="56" t="n">
        <v>15.9836061494737</v>
      </c>
      <c r="BT62" s="56" t="n">
        <v>10.0329260926224</v>
      </c>
      <c r="BU62" s="55"/>
      <c r="BV62" s="55"/>
      <c r="BW62" s="55"/>
      <c r="BX62" s="55"/>
      <c r="BY62" s="79" t="n">
        <v>0.14</v>
      </c>
      <c r="BZ62" s="80" t="n">
        <v>0.655489</v>
      </c>
      <c r="CA62" s="81" t="n">
        <v>3.7</v>
      </c>
      <c r="CB62" s="81" t="n">
        <v>0.626</v>
      </c>
      <c r="CC62" s="82" t="n">
        <v>6.21646</v>
      </c>
      <c r="CD62" s="82" t="n">
        <v>5.744105</v>
      </c>
      <c r="CE62" s="83" t="n">
        <v>95.943924</v>
      </c>
      <c r="CF62" s="84" t="n">
        <v>35.105198</v>
      </c>
      <c r="CG62" s="80" t="n">
        <v>0.0605</v>
      </c>
      <c r="CH62" s="63" t="n">
        <v>78634.2727806375</v>
      </c>
      <c r="CI62" s="63" t="n">
        <v>11846.6475950112</v>
      </c>
      <c r="CJ62" s="64" t="n">
        <v>750128.631798553</v>
      </c>
      <c r="CK62" s="65" t="n">
        <v>1.57928215146341</v>
      </c>
    </row>
    <row r="63" customFormat="false" ht="15" hidden="false" customHeight="false" outlineLevel="0" collapsed="false">
      <c r="A63" s="7" t="s">
        <v>73</v>
      </c>
      <c r="B63" s="66" t="n">
        <v>61</v>
      </c>
      <c r="C63" s="8" t="s">
        <v>139</v>
      </c>
      <c r="D63" s="67" t="n">
        <v>41617</v>
      </c>
      <c r="E63" s="4" t="s">
        <v>75</v>
      </c>
      <c r="F63" s="7" t="n">
        <v>140</v>
      </c>
      <c r="G63" s="68" t="n">
        <v>1</v>
      </c>
      <c r="H63" s="68" t="n">
        <v>110</v>
      </c>
      <c r="I63" s="66" t="n">
        <v>2</v>
      </c>
      <c r="J63" s="69" t="n">
        <v>737.136363636364</v>
      </c>
      <c r="K63" s="31" t="n">
        <v>525.684721054063</v>
      </c>
      <c r="L63" s="31" t="n">
        <v>940.604250929846</v>
      </c>
      <c r="M63" s="31" t="n">
        <v>170.138237066367</v>
      </c>
      <c r="N63" s="31" t="n">
        <v>325.395927069886</v>
      </c>
      <c r="O63" s="32"/>
      <c r="P63" s="33" t="n">
        <v>69.1877600341841</v>
      </c>
      <c r="Q63" s="33" t="n">
        <v>11.4068404436172</v>
      </c>
      <c r="R63" s="31" t="n">
        <v>149.396381154796</v>
      </c>
      <c r="S63" s="34" t="s">
        <v>76</v>
      </c>
      <c r="T63" s="35" t="n">
        <v>12.1296279236364</v>
      </c>
      <c r="U63" s="35" t="n">
        <v>1.72799563636364</v>
      </c>
      <c r="V63" s="70" t="n">
        <v>13.85762356</v>
      </c>
      <c r="W63" s="35" t="n">
        <v>13.0295546953031</v>
      </c>
      <c r="X63" s="35" t="n">
        <v>2.38905668962271</v>
      </c>
      <c r="Y63" s="35" t="n">
        <v>4.30222662601231</v>
      </c>
      <c r="Z63" s="35"/>
      <c r="AA63" s="35" t="n">
        <v>0.897028040108734</v>
      </c>
      <c r="AB63" s="35" t="n">
        <v>0.150576169178156</v>
      </c>
      <c r="AC63" s="71" t="n">
        <v>2.17408960248483</v>
      </c>
      <c r="AD63" s="38" t="n">
        <v>4.07006243186529</v>
      </c>
      <c r="AE63" s="38" t="n">
        <v>3.57615979194337</v>
      </c>
      <c r="AF63" s="38" t="n">
        <v>0.809279325738326</v>
      </c>
      <c r="AG63" s="72"/>
      <c r="AH63" s="72"/>
      <c r="AI63" s="73" t="n">
        <v>36.9960342620956</v>
      </c>
      <c r="AJ63" s="42" t="s">
        <v>16</v>
      </c>
      <c r="AK63" s="43" t="n">
        <v>706.294343020436</v>
      </c>
      <c r="AL63" s="43" t="n">
        <v>725.53476495766</v>
      </c>
      <c r="AM63" s="43" t="n">
        <v>661.255704289658</v>
      </c>
      <c r="AN63" s="74"/>
      <c r="AO63" s="75" t="n">
        <v>22.2818181818182</v>
      </c>
      <c r="AP63" s="76" t="n">
        <v>1.01529100893326</v>
      </c>
      <c r="AQ63" s="76" t="n">
        <v>0.757762133473463</v>
      </c>
      <c r="AR63" s="76" t="n">
        <v>1.04172007882291</v>
      </c>
      <c r="AS63" s="77" t="n">
        <v>24.1420924067262</v>
      </c>
      <c r="AT63" s="78" t="n">
        <v>23.8582079656995</v>
      </c>
      <c r="AU63" s="78" t="n">
        <v>45.5658959537572</v>
      </c>
      <c r="AV63" s="78" t="n">
        <v>34.0080924855491</v>
      </c>
      <c r="AW63" s="78" t="n">
        <v>46.7520231213873</v>
      </c>
      <c r="AX63" s="78" t="n">
        <v>26</v>
      </c>
      <c r="AY63" s="48" t="n">
        <v>1.72166662360249</v>
      </c>
      <c r="AZ63" s="48" t="n">
        <v>22.1265172632225</v>
      </c>
      <c r="BA63" s="48" t="n">
        <v>-8.26889370322249</v>
      </c>
      <c r="BB63" s="49" t="n">
        <f aca="false">AT63/V63</f>
        <v>1.72166662360249</v>
      </c>
      <c r="BC63" s="49" t="n">
        <f aca="false">AS63/V63</f>
        <v>1.74215241900583</v>
      </c>
      <c r="BD63" s="49" t="n">
        <f aca="false">SUM(AP63:AR63)/V63</f>
        <v>0.203120918174922</v>
      </c>
      <c r="BE63" s="50" t="n">
        <v>6.66</v>
      </c>
      <c r="BF63" s="51" t="n">
        <v>149.170655360987</v>
      </c>
      <c r="BG63" s="51" t="n">
        <v>591.645194975666</v>
      </c>
      <c r="BH63" s="51" t="n">
        <v>219.059174108488</v>
      </c>
      <c r="BI63" s="51" t="n">
        <v>150.868867461315</v>
      </c>
      <c r="BJ63" s="51" t="n">
        <v>8.8497103963995</v>
      </c>
      <c r="BK63" s="51" t="n">
        <v>15.507620785717</v>
      </c>
      <c r="BL63" s="51" t="n">
        <v>9.09430789430526</v>
      </c>
      <c r="BM63" s="51"/>
      <c r="BN63" s="52" t="n">
        <f aca="false">(BG63*0.5-BH63*0.25+BI63*0.5)/SUM(BG63:BI63)*1000</f>
        <v>329.140023518534</v>
      </c>
      <c r="BO63" s="53" t="n">
        <v>5.70744878</v>
      </c>
      <c r="BP63" s="54" t="s">
        <v>77</v>
      </c>
      <c r="BQ63" s="55" t="n">
        <v>414.623623123856</v>
      </c>
      <c r="BR63" s="56" t="n">
        <v>29.9202544598387</v>
      </c>
      <c r="BS63" s="56" t="n">
        <v>43.8597590984485</v>
      </c>
      <c r="BT63" s="56" t="n">
        <v>17.3786574297597</v>
      </c>
      <c r="BU63" s="55"/>
      <c r="BV63" s="55"/>
      <c r="BW63" s="55"/>
      <c r="BX63" s="55"/>
      <c r="BY63" s="79" t="n">
        <v>0.17</v>
      </c>
      <c r="BZ63" s="80" t="n">
        <v>0.683938</v>
      </c>
      <c r="CA63" s="81" t="n">
        <v>3.83</v>
      </c>
      <c r="CB63" s="81" t="n">
        <v>1.324</v>
      </c>
      <c r="CC63" s="82" t="n">
        <v>5.51488</v>
      </c>
      <c r="CD63" s="82" t="n">
        <v>6.866405</v>
      </c>
      <c r="CE63" s="83" t="n">
        <v>101.354076</v>
      </c>
      <c r="CF63" s="84" t="n">
        <v>39.574397</v>
      </c>
      <c r="CG63" s="80" t="n">
        <v>0.1235</v>
      </c>
      <c r="CH63" s="63" t="n">
        <v>78575.517873844</v>
      </c>
      <c r="CI63" s="63" t="n">
        <v>9016.91200690029</v>
      </c>
      <c r="CJ63" s="64" t="n">
        <v>485753.680438189</v>
      </c>
      <c r="CK63" s="65" t="n">
        <v>1.85627250395021</v>
      </c>
    </row>
    <row r="64" customFormat="false" ht="15" hidden="false" customHeight="false" outlineLevel="0" collapsed="false">
      <c r="A64" s="7" t="s">
        <v>73</v>
      </c>
      <c r="B64" s="66" t="n">
        <v>62</v>
      </c>
      <c r="C64" s="8" t="s">
        <v>140</v>
      </c>
      <c r="D64" s="67" t="n">
        <v>41617</v>
      </c>
      <c r="E64" s="4" t="s">
        <v>75</v>
      </c>
      <c r="F64" s="7" t="n">
        <v>347</v>
      </c>
      <c r="G64" s="68" t="n">
        <v>1</v>
      </c>
      <c r="H64" s="68" t="n">
        <v>97</v>
      </c>
      <c r="I64" s="66" t="n">
        <v>1</v>
      </c>
      <c r="J64" s="69" t="n">
        <v>578.280303030303</v>
      </c>
      <c r="K64" s="31" t="n">
        <v>525.684721054063</v>
      </c>
      <c r="L64" s="31" t="n">
        <v>940.604250929846</v>
      </c>
      <c r="M64" s="31" t="n">
        <v>170.138237066367</v>
      </c>
      <c r="N64" s="31" t="n">
        <v>325.395927069886</v>
      </c>
      <c r="O64" s="32"/>
      <c r="P64" s="33" t="n">
        <v>69.1877600341841</v>
      </c>
      <c r="Q64" s="33" t="n">
        <v>11.4068404436172</v>
      </c>
      <c r="R64" s="31" t="n">
        <v>149.396381154796</v>
      </c>
      <c r="S64" s="34" t="s">
        <v>76</v>
      </c>
      <c r="T64" s="35" t="n">
        <v>17.7372483772727</v>
      </c>
      <c r="U64" s="35" t="n">
        <v>4.87849527272727</v>
      </c>
      <c r="V64" s="70" t="n">
        <v>22.61574365</v>
      </c>
      <c r="W64" s="35" t="n">
        <v>21.2583911003279</v>
      </c>
      <c r="X64" s="35" t="n">
        <v>3.93629641816594</v>
      </c>
      <c r="Y64" s="35" t="n">
        <v>6.77470121296725</v>
      </c>
      <c r="Z64" s="35"/>
      <c r="AA64" s="35" t="n">
        <v>1.39039970264195</v>
      </c>
      <c r="AB64" s="35" t="n">
        <v>0.236812716193585</v>
      </c>
      <c r="AC64" s="71" t="n">
        <v>3.67178996508711</v>
      </c>
      <c r="AD64" s="38" t="n">
        <v>6.54123802708061</v>
      </c>
      <c r="AE64" s="38" t="n">
        <v>5.67353250470972</v>
      </c>
      <c r="AF64" s="38" t="n">
        <v>1.46270723275641</v>
      </c>
      <c r="AG64" s="72"/>
      <c r="AH64" s="72"/>
      <c r="AI64" s="73" t="n">
        <v>36.2030421784354</v>
      </c>
      <c r="AJ64" s="42" t="s">
        <v>16</v>
      </c>
      <c r="AK64" s="43" t="n">
        <v>710.766175620291</v>
      </c>
      <c r="AL64" s="43" t="n">
        <v>733.115621124206</v>
      </c>
      <c r="AM64" s="43" t="n">
        <v>628.405212065321</v>
      </c>
      <c r="AN64" s="74"/>
      <c r="AO64" s="75" t="n">
        <v>37.3909090909091</v>
      </c>
      <c r="AP64" s="76" t="n">
        <v>1.0206985026738</v>
      </c>
      <c r="AQ64" s="76" t="n">
        <v>1.24139284491979</v>
      </c>
      <c r="AR64" s="76" t="n">
        <v>1.7387799144385</v>
      </c>
      <c r="AS64" s="77" t="n">
        <v>30.2668411764706</v>
      </c>
      <c r="AT64" s="78" t="n">
        <v>31.4228888861337</v>
      </c>
      <c r="AU64" s="78" t="n">
        <v>27.2980392156863</v>
      </c>
      <c r="AV64" s="78" t="n">
        <v>33.2003921568627</v>
      </c>
      <c r="AW64" s="78" t="n">
        <v>46.5027450980392</v>
      </c>
      <c r="AX64" s="78" t="n">
        <v>39.0156862745098</v>
      </c>
      <c r="AY64" s="48" t="n">
        <v>1.38942540968065</v>
      </c>
      <c r="AZ64" s="48" t="n">
        <v>21.890844534502</v>
      </c>
      <c r="BA64" s="48" t="n">
        <v>0.724899115497955</v>
      </c>
      <c r="BB64" s="49" t="n">
        <f aca="false">AT64/V64</f>
        <v>1.38942540968065</v>
      </c>
      <c r="BC64" s="49" t="n">
        <f aca="false">AS64/V64</f>
        <v>1.33830846532745</v>
      </c>
      <c r="BD64" s="49" t="n">
        <f aca="false">SUM(AP64:AR64)/V64</f>
        <v>0.176906464980739</v>
      </c>
      <c r="BE64" s="50" t="n">
        <v>6.73</v>
      </c>
      <c r="BF64" s="51" t="n">
        <v>138.111103721974</v>
      </c>
      <c r="BG64" s="51" t="n">
        <v>575.899524036748</v>
      </c>
      <c r="BH64" s="51" t="n">
        <v>261.942047840139</v>
      </c>
      <c r="BI64" s="51" t="n">
        <v>125.875607339209</v>
      </c>
      <c r="BJ64" s="51" t="n">
        <v>10.0082398687183</v>
      </c>
      <c r="BK64" s="51" t="n">
        <v>12.5821823267745</v>
      </c>
      <c r="BL64" s="51" t="n">
        <v>8.71727421030174</v>
      </c>
      <c r="BM64" s="51"/>
      <c r="BN64" s="52" t="n">
        <f aca="false">(BG64*0.5-BH64*0.25+BI64*0.5)/SUM(BG64:BI64)*1000</f>
        <v>296.147106104401</v>
      </c>
      <c r="BO64" s="53" t="n">
        <v>5.28496896</v>
      </c>
      <c r="BP64" s="54" t="s">
        <v>77</v>
      </c>
      <c r="BQ64" s="55" t="n">
        <v>458.97615780335</v>
      </c>
      <c r="BR64" s="56" t="n">
        <v>20.2945419308973</v>
      </c>
      <c r="BS64" s="56" t="n">
        <v>29.450132959974</v>
      </c>
      <c r="BT64" s="56" t="n">
        <v>14.6064278006561</v>
      </c>
      <c r="BU64" s="55"/>
      <c r="BV64" s="55"/>
      <c r="BW64" s="55"/>
      <c r="BX64" s="55"/>
      <c r="BY64" s="79" t="n">
        <v>0.15</v>
      </c>
      <c r="BZ64" s="80" t="n">
        <v>0.45046</v>
      </c>
      <c r="CA64" s="81" t="n">
        <v>3.99</v>
      </c>
      <c r="CB64" s="81" t="n">
        <v>0.439</v>
      </c>
      <c r="CC64" s="82" t="n">
        <v>4.50503</v>
      </c>
      <c r="CD64" s="82" t="n">
        <v>5.706695</v>
      </c>
      <c r="CE64" s="83" t="n">
        <v>97.322544</v>
      </c>
      <c r="CF64" s="84" t="n">
        <v>38.081255</v>
      </c>
      <c r="CG64" s="80" t="n">
        <v>0.071</v>
      </c>
      <c r="CH64" s="63" t="n">
        <v>46864.0977980419</v>
      </c>
      <c r="CI64" s="63" t="n">
        <v>6679.23645382376</v>
      </c>
      <c r="CJ64" s="64" t="n">
        <v>752239.276259272</v>
      </c>
      <c r="CK64" s="65" t="n">
        <v>0.887913814742325</v>
      </c>
    </row>
    <row r="65" customFormat="false" ht="15" hidden="false" customHeight="false" outlineLevel="0" collapsed="false">
      <c r="A65" s="7" t="s">
        <v>73</v>
      </c>
      <c r="B65" s="66" t="n">
        <v>63</v>
      </c>
      <c r="C65" s="8" t="s">
        <v>141</v>
      </c>
      <c r="D65" s="67" t="n">
        <v>41617</v>
      </c>
      <c r="E65" s="4" t="s">
        <v>75</v>
      </c>
      <c r="F65" s="7" t="n">
        <v>119</v>
      </c>
      <c r="G65" s="68" t="n">
        <v>1</v>
      </c>
      <c r="H65" s="68" t="n">
        <v>103</v>
      </c>
      <c r="I65" s="66" t="n">
        <v>2</v>
      </c>
      <c r="J65" s="69" t="n">
        <v>609.409090909091</v>
      </c>
      <c r="K65" s="31" t="n">
        <v>525.684721054063</v>
      </c>
      <c r="L65" s="31" t="n">
        <v>940.604250929846</v>
      </c>
      <c r="M65" s="31" t="n">
        <v>170.138237066367</v>
      </c>
      <c r="N65" s="31" t="n">
        <v>325.395927069886</v>
      </c>
      <c r="O65" s="32"/>
      <c r="P65" s="33" t="n">
        <v>69.1877600341841</v>
      </c>
      <c r="Q65" s="33" t="n">
        <v>11.4068404436172</v>
      </c>
      <c r="R65" s="31" t="n">
        <v>149.396381154796</v>
      </c>
      <c r="S65" s="34" t="s">
        <v>76</v>
      </c>
      <c r="T65" s="35" t="n">
        <v>17.6606069909091</v>
      </c>
      <c r="U65" s="35" t="n">
        <v>5.16337090909091</v>
      </c>
      <c r="V65" s="70" t="n">
        <v>22.8239779</v>
      </c>
      <c r="W65" s="35" t="n">
        <v>21.4534353099838</v>
      </c>
      <c r="X65" s="35" t="n">
        <v>3.97689253956129</v>
      </c>
      <c r="Y65" s="35" t="n">
        <v>6.80833601412074</v>
      </c>
      <c r="Z65" s="35"/>
      <c r="AA65" s="35" t="n">
        <v>1.39462693815111</v>
      </c>
      <c r="AB65" s="35" t="n">
        <v>0.237952305181693</v>
      </c>
      <c r="AC65" s="71" t="n">
        <v>3.72001355192376</v>
      </c>
      <c r="AD65" s="38" t="n">
        <v>6.75497315871529</v>
      </c>
      <c r="AE65" s="38" t="n">
        <v>5.97632333951385</v>
      </c>
      <c r="AF65" s="38" t="n">
        <v>1.37966768825632</v>
      </c>
      <c r="AG65" s="72"/>
      <c r="AH65" s="72"/>
      <c r="AI65" s="73" t="n">
        <v>35.2262399258665</v>
      </c>
      <c r="AJ65" s="42" t="s">
        <v>16</v>
      </c>
      <c r="AK65" s="43" t="n">
        <v>704.040496870824</v>
      </c>
      <c r="AL65" s="43" t="n">
        <v>721.428141779575</v>
      </c>
      <c r="AM65" s="43" t="n">
        <v>653.078961895077</v>
      </c>
      <c r="AN65" s="74"/>
      <c r="AO65" s="75" t="n">
        <v>41.7818181818182</v>
      </c>
      <c r="AP65" s="76" t="n">
        <v>1.24092</v>
      </c>
      <c r="AQ65" s="76" t="n">
        <v>1.33284</v>
      </c>
      <c r="AR65" s="76" t="n">
        <v>1.87600363636364</v>
      </c>
      <c r="AS65" s="77" t="n">
        <v>35.3265272727273</v>
      </c>
      <c r="AT65" s="78" t="n">
        <v>35.5655884655472</v>
      </c>
      <c r="AU65" s="78" t="n">
        <v>29.7</v>
      </c>
      <c r="AV65" s="78" t="n">
        <v>31.9</v>
      </c>
      <c r="AW65" s="78" t="n">
        <v>44.9</v>
      </c>
      <c r="AX65" s="78" t="n">
        <v>22</v>
      </c>
      <c r="AY65" s="48" t="n">
        <v>1.55825547244099</v>
      </c>
      <c r="AZ65" s="48" t="n">
        <v>24.2811714679325</v>
      </c>
      <c r="BA65" s="48" t="n">
        <v>-1.45719356793253</v>
      </c>
      <c r="BB65" s="49" t="n">
        <f aca="false">AT65/V65</f>
        <v>1.55825547244099</v>
      </c>
      <c r="BC65" s="49" t="n">
        <f aca="false">AS65/V65</f>
        <v>1.547781347647</v>
      </c>
      <c r="BD65" s="49" t="n">
        <f aca="false">SUM(AP65:AR65)/V65</f>
        <v>0.19496003965039</v>
      </c>
      <c r="BE65" s="50" t="n">
        <v>6.75</v>
      </c>
      <c r="BF65" s="51" t="n">
        <v>154.832411041756</v>
      </c>
      <c r="BG65" s="51" t="n">
        <v>592.124412565808</v>
      </c>
      <c r="BH65" s="51" t="n">
        <v>245.714333635224</v>
      </c>
      <c r="BI65" s="51" t="n">
        <v>125.970356320016</v>
      </c>
      <c r="BJ65" s="51" t="n">
        <v>9.37019602696441</v>
      </c>
      <c r="BK65" s="51" t="n">
        <v>11.1968207574241</v>
      </c>
      <c r="BL65" s="51" t="n">
        <v>10.6487563164539</v>
      </c>
      <c r="BM65" s="51"/>
      <c r="BN65" s="52" t="n">
        <f aca="false">(BG65*0.5-BH65*0.25+BI65*0.5)/SUM(BG65:BI65)*1000</f>
        <v>308.79434553546</v>
      </c>
      <c r="BO65" s="53" t="n">
        <v>6.62100436</v>
      </c>
      <c r="BP65" s="54" t="s">
        <v>77</v>
      </c>
      <c r="BQ65" s="55" t="n">
        <v>490.285572067525</v>
      </c>
      <c r="BR65" s="56" t="n">
        <v>21.4811622327905</v>
      </c>
      <c r="BS65" s="56" t="n">
        <v>31.6781046104068</v>
      </c>
      <c r="BT65" s="56" t="n">
        <v>13.7853918132824</v>
      </c>
      <c r="BU65" s="55"/>
      <c r="BV65" s="55"/>
      <c r="BW65" s="55"/>
      <c r="BX65" s="55"/>
      <c r="BY65" s="79" t="n">
        <v>0.13</v>
      </c>
      <c r="BZ65" s="80" t="n">
        <v>0.378847</v>
      </c>
      <c r="CA65" s="81" t="n">
        <v>3.96</v>
      </c>
      <c r="CB65" s="81" t="n">
        <v>0.03</v>
      </c>
      <c r="CC65" s="82" t="n">
        <v>3.89912</v>
      </c>
      <c r="CD65" s="82" t="n">
        <v>6.28655</v>
      </c>
      <c r="CE65" s="83" t="n">
        <v>79.065144</v>
      </c>
      <c r="CF65" s="84" t="n">
        <v>34.256357</v>
      </c>
      <c r="CG65" s="80" t="n">
        <v>0.239</v>
      </c>
      <c r="CH65" s="63" t="n">
        <v>66455.7411089199</v>
      </c>
      <c r="CI65" s="63" t="n">
        <v>9649.85934092647</v>
      </c>
      <c r="CJ65" s="64" t="n">
        <v>851007.755619325</v>
      </c>
      <c r="CK65" s="65" t="n">
        <v>1.13393318418159</v>
      </c>
    </row>
    <row r="66" customFormat="false" ht="15" hidden="false" customHeight="false" outlineLevel="0" collapsed="false">
      <c r="A66" s="7" t="s">
        <v>73</v>
      </c>
      <c r="B66" s="66" t="n">
        <v>64</v>
      </c>
      <c r="C66" s="8" t="s">
        <v>142</v>
      </c>
      <c r="D66" s="67" t="n">
        <v>41617</v>
      </c>
      <c r="E66" s="4" t="s">
        <v>75</v>
      </c>
      <c r="F66" s="7" t="n">
        <v>19</v>
      </c>
      <c r="G66" s="68" t="n">
        <v>1</v>
      </c>
      <c r="H66" s="68" t="n">
        <v>105</v>
      </c>
      <c r="I66" s="66" t="n">
        <v>4</v>
      </c>
      <c r="J66" s="69" t="n">
        <v>695.272727272727</v>
      </c>
      <c r="K66" s="31" t="n">
        <v>525.684721054063</v>
      </c>
      <c r="L66" s="31" t="n">
        <v>940.604250929846</v>
      </c>
      <c r="M66" s="31" t="n">
        <v>170.138237066367</v>
      </c>
      <c r="N66" s="31" t="n">
        <v>325.395927069886</v>
      </c>
      <c r="O66" s="32"/>
      <c r="P66" s="33" t="n">
        <v>69.1877600341841</v>
      </c>
      <c r="Q66" s="33" t="n">
        <v>11.4068404436172</v>
      </c>
      <c r="R66" s="31" t="n">
        <v>149.396381154796</v>
      </c>
      <c r="S66" s="34" t="s">
        <v>76</v>
      </c>
      <c r="T66" s="35" t="n">
        <v>15.2585611909091</v>
      </c>
      <c r="U66" s="35" t="n">
        <v>3.76148290909091</v>
      </c>
      <c r="V66" s="70" t="n">
        <v>19.0200441</v>
      </c>
      <c r="W66" s="35" t="n">
        <v>17.8794831830423</v>
      </c>
      <c r="X66" s="35" t="n">
        <v>3.30426834446328</v>
      </c>
      <c r="Y66" s="35" t="n">
        <v>5.73847634483208</v>
      </c>
      <c r="Z66" s="35"/>
      <c r="AA66" s="35" t="n">
        <v>1.18153772201626</v>
      </c>
      <c r="AB66" s="35" t="n">
        <v>0.200642412922606</v>
      </c>
      <c r="AC66" s="71" t="n">
        <v>3.06750000736902</v>
      </c>
      <c r="AD66" s="38" t="n">
        <v>2.64333629677526</v>
      </c>
      <c r="AE66" s="38" t="n">
        <v>2.24883976152466</v>
      </c>
      <c r="AF66" s="38" t="n">
        <v>0.557927596833297</v>
      </c>
      <c r="AG66" s="72"/>
      <c r="AH66" s="72"/>
      <c r="AI66" s="73" t="n">
        <v>75.9049891485163</v>
      </c>
      <c r="AJ66" s="42" t="s">
        <v>16</v>
      </c>
      <c r="AK66" s="43" t="n">
        <v>861.023650477484</v>
      </c>
      <c r="AL66" s="43" t="n">
        <v>874.222328548201</v>
      </c>
      <c r="AM66" s="43" t="n">
        <v>831.149428959614</v>
      </c>
      <c r="AN66" s="74"/>
      <c r="AO66" s="75" t="n">
        <v>36.1727272727273</v>
      </c>
      <c r="AP66" s="76" t="n">
        <v>1.36009454545455</v>
      </c>
      <c r="AQ66" s="76" t="n">
        <v>1.13944090909091</v>
      </c>
      <c r="AR66" s="76" t="n">
        <v>1.63500727272727</v>
      </c>
      <c r="AS66" s="77" t="n">
        <v>34.8705090909091</v>
      </c>
      <c r="AT66" s="78" t="n">
        <v>34.2222569542559</v>
      </c>
      <c r="AU66" s="78" t="n">
        <v>37.6</v>
      </c>
      <c r="AV66" s="78" t="n">
        <v>31.5</v>
      </c>
      <c r="AW66" s="78" t="n">
        <v>45.2</v>
      </c>
      <c r="AX66" s="78" t="n">
        <v>17</v>
      </c>
      <c r="AY66" s="48" t="n">
        <v>1.79927327057333</v>
      </c>
      <c r="AZ66" s="48" t="n">
        <v>25.3548903090244</v>
      </c>
      <c r="BA66" s="48" t="n">
        <v>-6.33484620902439</v>
      </c>
      <c r="BB66" s="49" t="n">
        <f aca="false">AT66/V66</f>
        <v>1.79927327057333</v>
      </c>
      <c r="BC66" s="49" t="n">
        <f aca="false">AS66/V66</f>
        <v>1.83335584857603</v>
      </c>
      <c r="BD66" s="49" t="n">
        <f aca="false">SUM(AP66:AR66)/V66</f>
        <v>0.217378188269959</v>
      </c>
      <c r="BE66" s="50" t="n">
        <v>6.66</v>
      </c>
      <c r="BF66" s="51" t="n">
        <v>114.023771929615</v>
      </c>
      <c r="BG66" s="51" t="n">
        <v>564.607352116996</v>
      </c>
      <c r="BH66" s="51" t="n">
        <v>272.572203792706</v>
      </c>
      <c r="BI66" s="51" t="n">
        <v>125.973319230686</v>
      </c>
      <c r="BJ66" s="51" t="n">
        <v>8.76361640331491</v>
      </c>
      <c r="BK66" s="51" t="n">
        <v>13.870720327074</v>
      </c>
      <c r="BL66" s="51" t="n">
        <v>9.23766375111353</v>
      </c>
      <c r="BM66" s="51"/>
      <c r="BN66" s="52" t="n">
        <f aca="false">(BG66*0.5-BH66*0.25+BI66*0.5)/SUM(BG66:BI66)*1000</f>
        <v>287.750046621901</v>
      </c>
      <c r="BO66" s="53" t="n">
        <v>4.56637654</v>
      </c>
      <c r="BP66" s="54" t="s">
        <v>77</v>
      </c>
      <c r="BQ66" s="55" t="n">
        <v>463.814515670085</v>
      </c>
      <c r="BR66" s="56" t="n">
        <v>24.3855646827909</v>
      </c>
      <c r="BS66" s="56" t="n">
        <v>29.6734115904394</v>
      </c>
      <c r="BT66" s="56" t="n">
        <v>13.55300780688</v>
      </c>
      <c r="BU66" s="55"/>
      <c r="BV66" s="55"/>
      <c r="BW66" s="55"/>
      <c r="BX66" s="55"/>
      <c r="BY66" s="79" t="n">
        <v>0.13</v>
      </c>
      <c r="BZ66" s="80" t="n">
        <v>0.348436</v>
      </c>
      <c r="CA66" s="81" t="n">
        <v>4.1</v>
      </c>
      <c r="CB66" s="81" t="n">
        <v>0.772</v>
      </c>
      <c r="CC66" s="82" t="n">
        <v>3.48455</v>
      </c>
      <c r="CD66" s="82" t="n">
        <v>3.76761</v>
      </c>
      <c r="CE66" s="83" t="n">
        <v>78.5286</v>
      </c>
      <c r="CF66" s="84" t="n">
        <v>33.335927</v>
      </c>
      <c r="CG66" s="80" t="n">
        <v>0.8165</v>
      </c>
      <c r="CH66" s="63" t="n">
        <v>30943.4175605827</v>
      </c>
      <c r="CI66" s="63" t="n">
        <v>12009.1502721491</v>
      </c>
      <c r="CJ66" s="64" t="n">
        <v>1019278.22275427</v>
      </c>
      <c r="CK66" s="65" t="n">
        <v>1.17820139821081</v>
      </c>
    </row>
    <row r="67" customFormat="false" ht="15" hidden="false" customHeight="false" outlineLevel="0" collapsed="false">
      <c r="A67" s="7" t="s">
        <v>73</v>
      </c>
      <c r="B67" s="66" t="n">
        <v>65</v>
      </c>
      <c r="C67" s="8" t="s">
        <v>143</v>
      </c>
      <c r="D67" s="67" t="n">
        <v>41652</v>
      </c>
      <c r="E67" s="4" t="s">
        <v>75</v>
      </c>
      <c r="F67" s="7" t="n">
        <v>148</v>
      </c>
      <c r="G67" s="68" t="n">
        <v>1</v>
      </c>
      <c r="H67" s="68" t="n">
        <v>175</v>
      </c>
      <c r="I67" s="66" t="n">
        <v>2</v>
      </c>
      <c r="J67" s="69" t="n">
        <v>781.119047619048</v>
      </c>
      <c r="K67" s="31" t="n">
        <v>525.169918489576</v>
      </c>
      <c r="L67" s="31" t="n">
        <v>938.475677364614</v>
      </c>
      <c r="M67" s="31" t="n">
        <v>171.593663329626</v>
      </c>
      <c r="N67" s="31" t="n">
        <v>324.510977465353</v>
      </c>
      <c r="O67" s="32"/>
      <c r="P67" s="33" t="n">
        <v>71.5479748531818</v>
      </c>
      <c r="Q67" s="33" t="n">
        <v>11.0747546251844</v>
      </c>
      <c r="R67" s="31" t="n">
        <v>133.979633202365</v>
      </c>
      <c r="S67" s="34" t="s">
        <v>76</v>
      </c>
      <c r="T67" s="35" t="n">
        <v>17.6146717285714</v>
      </c>
      <c r="U67" s="35" t="n">
        <v>4.24879807142857</v>
      </c>
      <c r="V67" s="70" t="n">
        <v>21.8634698</v>
      </c>
      <c r="W67" s="35" t="n">
        <v>20.515121549123</v>
      </c>
      <c r="X67" s="35" t="n">
        <v>3.82252030936944</v>
      </c>
      <c r="Y67" s="35" t="n">
        <v>6.58975443272321</v>
      </c>
      <c r="Z67" s="35"/>
      <c r="AA67" s="35" t="n">
        <v>1.40242818758903</v>
      </c>
      <c r="AB67" s="35" t="n">
        <v>0.225113505121141</v>
      </c>
      <c r="AC67" s="71" t="n">
        <v>3.25001243096971</v>
      </c>
      <c r="AD67" s="38" t="n">
        <v>4.50606519520262</v>
      </c>
      <c r="AE67" s="38" t="n">
        <v>3.84069496767238</v>
      </c>
      <c r="AF67" s="38" t="n">
        <v>0.854849953067833</v>
      </c>
      <c r="AG67" s="72"/>
      <c r="AH67" s="72"/>
      <c r="AI67" s="73" t="n">
        <v>49.957889060462</v>
      </c>
      <c r="AJ67" s="42" t="s">
        <v>16</v>
      </c>
      <c r="AK67" s="43" t="n">
        <v>793.899813871144</v>
      </c>
      <c r="AL67" s="43" t="n">
        <v>812.787121027973</v>
      </c>
      <c r="AM67" s="43" t="n">
        <v>776.364836840109</v>
      </c>
      <c r="AN67" s="74"/>
      <c r="AO67" s="75" t="n">
        <v>32.6857142857143</v>
      </c>
      <c r="AP67" s="76" t="n">
        <v>1.14151773584906</v>
      </c>
      <c r="AQ67" s="76" t="n">
        <v>1.02580722371968</v>
      </c>
      <c r="AR67" s="76" t="n">
        <v>1.51008</v>
      </c>
      <c r="AS67" s="77" t="n">
        <v>30.1970517520216</v>
      </c>
      <c r="AT67" s="78" t="n">
        <v>29.9993571919584</v>
      </c>
      <c r="AU67" s="78" t="n">
        <v>34.9240566037736</v>
      </c>
      <c r="AV67" s="78" t="n">
        <v>31.3839622641509</v>
      </c>
      <c r="AW67" s="78" t="n">
        <v>46.2</v>
      </c>
      <c r="AX67" s="78" t="n">
        <v>27.2594339622642</v>
      </c>
      <c r="AY67" s="48" t="n">
        <v>1.37212242459147</v>
      </c>
      <c r="AZ67" s="48" t="n">
        <v>25.4319707256847</v>
      </c>
      <c r="BA67" s="48" t="n">
        <v>-3.56850092568472</v>
      </c>
      <c r="BB67" s="49" t="n">
        <f aca="false">AT67/V67</f>
        <v>1.37212242459147</v>
      </c>
      <c r="BC67" s="49" t="n">
        <f aca="false">AS67/V67</f>
        <v>1.38116465630819</v>
      </c>
      <c r="BD67" s="49" t="n">
        <f aca="false">SUM(AP67:AR67)/V67</f>
        <v>0.168198597624643</v>
      </c>
      <c r="BE67" s="50" t="n">
        <v>7.16</v>
      </c>
      <c r="BF67" s="51" t="n">
        <v>126.114182394174</v>
      </c>
      <c r="BG67" s="51" t="n">
        <v>639.783512347174</v>
      </c>
      <c r="BH67" s="51" t="n">
        <v>184.332093416909</v>
      </c>
      <c r="BI67" s="51" t="n">
        <v>140.488468900972</v>
      </c>
      <c r="BJ67" s="51" t="n">
        <v>9.6849401494421</v>
      </c>
      <c r="BK67" s="51" t="n">
        <v>10.2606919414982</v>
      </c>
      <c r="BL67" s="51" t="n">
        <v>10.4751688658944</v>
      </c>
      <c r="BM67" s="51"/>
      <c r="BN67" s="52" t="n">
        <f aca="false">(BG67*0.5-BH67*0.25+BI67*0.5)/SUM(BG67:BI67)*1000</f>
        <v>356.677912012048</v>
      </c>
      <c r="BO67" s="53" t="n">
        <v>6.01047962</v>
      </c>
      <c r="BP67" s="54" t="s">
        <v>77</v>
      </c>
      <c r="BQ67" s="55" t="n">
        <v>454.98960710667</v>
      </c>
      <c r="BR67" s="56" t="n">
        <v>20.8104940006672</v>
      </c>
      <c r="BS67" s="56" t="n">
        <v>27.2866718914832</v>
      </c>
      <c r="BT67" s="56" t="n">
        <v>15.1666452116059</v>
      </c>
      <c r="BU67" s="55"/>
      <c r="BV67" s="55"/>
      <c r="BW67" s="55"/>
      <c r="BX67" s="55"/>
      <c r="BY67" s="79" t="n">
        <v>0.1</v>
      </c>
      <c r="BZ67" s="80" t="n">
        <v>0.444574</v>
      </c>
      <c r="CA67" s="81" t="n">
        <v>3.93</v>
      </c>
      <c r="CB67" s="81" t="n">
        <v>0.389</v>
      </c>
      <c r="CC67" s="82" t="n">
        <v>5.40858</v>
      </c>
      <c r="CD67" s="82" t="n">
        <v>7.0971</v>
      </c>
      <c r="CE67" s="83" t="n">
        <v>89.572464</v>
      </c>
      <c r="CF67" s="84" t="n">
        <v>38.592605</v>
      </c>
      <c r="CG67" s="80" t="n">
        <v>0.6485</v>
      </c>
      <c r="CH67" s="63" t="n">
        <v>152242.578085609</v>
      </c>
      <c r="CI67" s="63" t="n">
        <v>11215.4691207595</v>
      </c>
      <c r="CJ67" s="64" t="n">
        <v>415164.66431588</v>
      </c>
      <c r="CK67" s="65" t="n">
        <v>2.70145079404595</v>
      </c>
    </row>
    <row r="68" customFormat="false" ht="15" hidden="false" customHeight="false" outlineLevel="0" collapsed="false">
      <c r="A68" s="7" t="s">
        <v>73</v>
      </c>
      <c r="B68" s="66" t="n">
        <v>66</v>
      </c>
      <c r="C68" s="8" t="s">
        <v>144</v>
      </c>
      <c r="D68" s="67" t="n">
        <v>41652</v>
      </c>
      <c r="E68" s="4" t="s">
        <v>75</v>
      </c>
      <c r="F68" s="7" t="n">
        <v>257</v>
      </c>
      <c r="G68" s="68" t="n">
        <v>1</v>
      </c>
      <c r="H68" s="68" t="n">
        <v>164</v>
      </c>
      <c r="I68" s="66" t="n">
        <v>2</v>
      </c>
      <c r="J68" s="69" t="n">
        <v>634.619047619048</v>
      </c>
      <c r="K68" s="31" t="n">
        <v>525.169918489576</v>
      </c>
      <c r="L68" s="31" t="n">
        <v>938.475677364614</v>
      </c>
      <c r="M68" s="31" t="n">
        <v>171.593663329626</v>
      </c>
      <c r="N68" s="31" t="n">
        <v>324.510977465353</v>
      </c>
      <c r="O68" s="32"/>
      <c r="P68" s="33" t="n">
        <v>71.5479748531818</v>
      </c>
      <c r="Q68" s="33" t="n">
        <v>11.0747546251844</v>
      </c>
      <c r="R68" s="31" t="n">
        <v>133.979633202365</v>
      </c>
      <c r="S68" s="34" t="s">
        <v>76</v>
      </c>
      <c r="T68" s="35" t="n">
        <v>21.9238602442857</v>
      </c>
      <c r="U68" s="35" t="n">
        <v>7.47274778571429</v>
      </c>
      <c r="V68" s="70" t="n">
        <v>29.39660803</v>
      </c>
      <c r="W68" s="35" t="n">
        <v>27.5823504952966</v>
      </c>
      <c r="X68" s="35" t="n">
        <v>5.16894784063183</v>
      </c>
      <c r="Y68" s="35" t="n">
        <v>8.65101329296076</v>
      </c>
      <c r="Z68" s="35"/>
      <c r="AA68" s="35" t="n">
        <v>1.81859197250771</v>
      </c>
      <c r="AB68" s="35" t="n">
        <v>0.295627254501539</v>
      </c>
      <c r="AC68" s="71" t="n">
        <v>4.50268383868908</v>
      </c>
      <c r="AD68" s="38" t="n">
        <v>7.20300701582679</v>
      </c>
      <c r="AE68" s="38" t="n">
        <v>6.28628068421144</v>
      </c>
      <c r="AF68" s="38" t="n">
        <v>1.33520980569597</v>
      </c>
      <c r="AG68" s="72"/>
      <c r="AH68" s="72"/>
      <c r="AI68" s="73" t="n">
        <v>41.0421999939709</v>
      </c>
      <c r="AJ68" s="42" t="s">
        <v>16</v>
      </c>
      <c r="AK68" s="43" t="n">
        <v>754.971491660673</v>
      </c>
      <c r="AL68" s="43" t="n">
        <v>772.090464687432</v>
      </c>
      <c r="AM68" s="43" t="n">
        <v>741.686345681376</v>
      </c>
      <c r="AN68" s="74"/>
      <c r="AO68" s="75" t="n">
        <v>41.7928571428571</v>
      </c>
      <c r="AP68" s="76" t="n">
        <v>1.27050285714286</v>
      </c>
      <c r="AQ68" s="76" t="n">
        <v>1.14512428571429</v>
      </c>
      <c r="AR68" s="76" t="n">
        <v>1.86814071428571</v>
      </c>
      <c r="AS68" s="77" t="n">
        <v>35.7746857142857</v>
      </c>
      <c r="AT68" s="78" t="n">
        <v>34.4383524522293</v>
      </c>
      <c r="AU68" s="78" t="n">
        <v>30.4</v>
      </c>
      <c r="AV68" s="78" t="n">
        <v>27.4</v>
      </c>
      <c r="AW68" s="78" t="n">
        <v>44.7</v>
      </c>
      <c r="AX68" s="78" t="n">
        <v>39</v>
      </c>
      <c r="AY68" s="48" t="n">
        <v>1.17150769289722</v>
      </c>
      <c r="AZ68" s="48" t="n">
        <v>25.4070615057258</v>
      </c>
      <c r="BA68" s="48" t="n">
        <v>3.98954652427418</v>
      </c>
      <c r="BB68" s="49" t="n">
        <f aca="false">AT68/V68</f>
        <v>1.17150769289722</v>
      </c>
      <c r="BC68" s="49" t="n">
        <f aca="false">AS68/V68</f>
        <v>1.21696644993112</v>
      </c>
      <c r="BD68" s="49" t="n">
        <f aca="false">SUM(AP68:AR68)/V68</f>
        <v>0.145723202240584</v>
      </c>
      <c r="BE68" s="50" t="n">
        <v>6.9</v>
      </c>
      <c r="BF68" s="51" t="n">
        <v>112.897018104662</v>
      </c>
      <c r="BG68" s="51" t="n">
        <v>608.003388381186</v>
      </c>
      <c r="BH68" s="51" t="n">
        <v>223.496229683925</v>
      </c>
      <c r="BI68" s="51" t="n">
        <v>128.884816184004</v>
      </c>
      <c r="BJ68" s="51" t="n">
        <v>10.395386682186</v>
      </c>
      <c r="BK68" s="51" t="n">
        <v>13.3268077481526</v>
      </c>
      <c r="BL68" s="51" t="n">
        <v>10.9182469424384</v>
      </c>
      <c r="BM68" s="51"/>
      <c r="BN68" s="52" t="n">
        <f aca="false">(BG68*0.5-BH68*0.25+BI68*0.5)/SUM(BG68:BI68)*1000</f>
        <v>325.463464124134</v>
      </c>
      <c r="BO68" s="53" t="n">
        <v>6.96599194</v>
      </c>
      <c r="BP68" s="54" t="s">
        <v>77</v>
      </c>
      <c r="BQ68" s="55" t="n">
        <v>372.151927103661</v>
      </c>
      <c r="BR68" s="56" t="n">
        <v>12.6596894010312</v>
      </c>
      <c r="BS68" s="56" t="n">
        <v>17.4751459027405</v>
      </c>
      <c r="BT68" s="56" t="n">
        <v>10.8063220393567</v>
      </c>
      <c r="BU68" s="55"/>
      <c r="BV68" s="55"/>
      <c r="BW68" s="55"/>
      <c r="BX68" s="55"/>
      <c r="BY68" s="79" t="n">
        <v>0.0593406593406593</v>
      </c>
      <c r="BZ68" s="80" t="n">
        <v>0.447517</v>
      </c>
      <c r="CA68" s="81" t="n">
        <v>3.71</v>
      </c>
      <c r="CB68" s="81" t="n">
        <v>0.279</v>
      </c>
      <c r="CC68" s="82" t="n">
        <v>6.11016</v>
      </c>
      <c r="CD68" s="82" t="n">
        <v>7.652015</v>
      </c>
      <c r="CE68" s="83" t="n">
        <v>88.4025</v>
      </c>
      <c r="CF68" s="84" t="n">
        <v>37.232414</v>
      </c>
      <c r="CG68" s="80" t="n">
        <v>0.785</v>
      </c>
      <c r="CH68" s="63" t="n">
        <v>63815.2978199528</v>
      </c>
      <c r="CI68" s="63" t="n">
        <v>5898.26030230669</v>
      </c>
      <c r="CJ68" s="64" t="n">
        <v>443917.071431693</v>
      </c>
      <c r="CK68" s="65" t="n">
        <v>1.32868517159838</v>
      </c>
    </row>
    <row r="69" customFormat="false" ht="15" hidden="false" customHeight="false" outlineLevel="0" collapsed="false">
      <c r="A69" s="7" t="s">
        <v>73</v>
      </c>
      <c r="B69" s="66" t="n">
        <v>67</v>
      </c>
      <c r="C69" s="8" t="s">
        <v>145</v>
      </c>
      <c r="D69" s="67" t="n">
        <v>41652</v>
      </c>
      <c r="E69" s="4" t="s">
        <v>75</v>
      </c>
      <c r="F69" s="7" t="n">
        <v>260</v>
      </c>
      <c r="G69" s="68" t="n">
        <v>1</v>
      </c>
      <c r="H69" s="68" t="n">
        <v>167</v>
      </c>
      <c r="I69" s="66" t="n">
        <v>6</v>
      </c>
      <c r="J69" s="69" t="n">
        <v>577.807142857143</v>
      </c>
      <c r="K69" s="31" t="n">
        <v>525.169918489576</v>
      </c>
      <c r="L69" s="31" t="n">
        <v>938.475677364614</v>
      </c>
      <c r="M69" s="31" t="n">
        <v>171.593663329626</v>
      </c>
      <c r="N69" s="31" t="n">
        <v>324.510977465353</v>
      </c>
      <c r="O69" s="32"/>
      <c r="P69" s="33" t="n">
        <v>71.5479748531818</v>
      </c>
      <c r="Q69" s="33" t="n">
        <v>11.0747546251844</v>
      </c>
      <c r="R69" s="31" t="n">
        <v>133.979633202365</v>
      </c>
      <c r="S69" s="34" t="s">
        <v>76</v>
      </c>
      <c r="T69" s="35" t="n">
        <v>20.1715680628571</v>
      </c>
      <c r="U69" s="35" t="n">
        <v>6.44041385714286</v>
      </c>
      <c r="V69" s="70" t="n">
        <v>26.61198192</v>
      </c>
      <c r="W69" s="35" t="n">
        <v>24.9698273054086</v>
      </c>
      <c r="X69" s="35" t="n">
        <v>4.67390006800061</v>
      </c>
      <c r="Y69" s="35" t="n">
        <v>7.87011591826921</v>
      </c>
      <c r="Z69" s="35"/>
      <c r="AA69" s="35" t="n">
        <v>1.65868457807047</v>
      </c>
      <c r="AB69" s="35" t="n">
        <v>0.268923338037794</v>
      </c>
      <c r="AC69" s="71" t="n">
        <v>4.05166709286465</v>
      </c>
      <c r="AD69" s="38" t="n">
        <v>6.79223717253305</v>
      </c>
      <c r="AE69" s="38" t="n">
        <v>5.97314694764121</v>
      </c>
      <c r="AF69" s="38" t="n">
        <v>1.31214655789917</v>
      </c>
      <c r="AG69" s="72"/>
      <c r="AH69" s="72"/>
      <c r="AI69" s="73" t="n">
        <v>39.5927484872415</v>
      </c>
      <c r="AJ69" s="42" t="s">
        <v>16</v>
      </c>
      <c r="AK69" s="43" t="n">
        <v>744.767706781418</v>
      </c>
      <c r="AL69" s="43" t="n">
        <v>760.785412146307</v>
      </c>
      <c r="AM69" s="43" t="n">
        <v>719.260887308514</v>
      </c>
      <c r="AN69" s="74"/>
      <c r="AO69" s="75" t="n">
        <v>39.8714285714286</v>
      </c>
      <c r="AP69" s="76" t="n">
        <v>1.53106285714286</v>
      </c>
      <c r="AQ69" s="76" t="n">
        <v>1.46898891225526</v>
      </c>
      <c r="AR69" s="76" t="n">
        <v>1.80194569978245</v>
      </c>
      <c r="AS69" s="77" t="n">
        <v>38.9145142857143</v>
      </c>
      <c r="AT69" s="78" t="n">
        <v>39.751197309229</v>
      </c>
      <c r="AU69" s="78" t="n">
        <v>38.4</v>
      </c>
      <c r="AV69" s="78" t="n">
        <v>36.8431472081218</v>
      </c>
      <c r="AW69" s="78" t="n">
        <v>45.1939086294416</v>
      </c>
      <c r="AX69" s="78" t="n">
        <v>34.9238578680203</v>
      </c>
      <c r="AY69" s="48" t="n">
        <v>1.49373306462959</v>
      </c>
      <c r="AZ69" s="48" t="n">
        <v>25.7531500159846</v>
      </c>
      <c r="BA69" s="48" t="n">
        <v>0.858831904015442</v>
      </c>
      <c r="BB69" s="49" t="n">
        <f aca="false">AT69/V69</f>
        <v>1.49373306462959</v>
      </c>
      <c r="BC69" s="49" t="n">
        <f aca="false">AS69/V69</f>
        <v>1.46229297775332</v>
      </c>
      <c r="BD69" s="49" t="n">
        <f aca="false">SUM(AP69:AR69)/V69</f>
        <v>0.180444939562042</v>
      </c>
      <c r="BE69" s="50" t="n">
        <v>6.8</v>
      </c>
      <c r="BF69" s="51" t="n">
        <v>140.183320954403</v>
      </c>
      <c r="BG69" s="51" t="n">
        <v>573.604958920196</v>
      </c>
      <c r="BH69" s="51" t="n">
        <v>252.616374529939</v>
      </c>
      <c r="BI69" s="51" t="n">
        <v>136.795349779017</v>
      </c>
      <c r="BJ69" s="51" t="n">
        <v>8.83953522537332</v>
      </c>
      <c r="BK69" s="51" t="n">
        <v>14.6084439312045</v>
      </c>
      <c r="BL69" s="51" t="n">
        <v>8.56021323616086</v>
      </c>
      <c r="BM69" s="51"/>
      <c r="BN69" s="52" t="n">
        <f aca="false">(BG69*0.5-BH69*0.25+BI69*0.5)/SUM(BG69:BI69)*1000</f>
        <v>303.261683627166</v>
      </c>
      <c r="BO69" s="53" t="n">
        <v>5.17512202</v>
      </c>
      <c r="BP69" s="54" t="s">
        <v>77</v>
      </c>
      <c r="BQ69" s="55" t="n">
        <v>401.129790164036</v>
      </c>
      <c r="BR69" s="56" t="n">
        <v>15.0732775698517</v>
      </c>
      <c r="BS69" s="56" t="n">
        <v>21.1157835268845</v>
      </c>
      <c r="BT69" s="56" t="n">
        <v>10.0910115245989</v>
      </c>
      <c r="BU69" s="55"/>
      <c r="BV69" s="55"/>
      <c r="BW69" s="55"/>
      <c r="BX69" s="55"/>
      <c r="BY69" s="79" t="n">
        <v>0.089010989010989</v>
      </c>
      <c r="BZ69" s="80" t="n">
        <v>0.485776</v>
      </c>
      <c r="CA69" s="81" t="n">
        <v>3.55</v>
      </c>
      <c r="CB69" s="81" t="n">
        <v>0.03</v>
      </c>
      <c r="CC69" s="82" t="n">
        <v>6.45032</v>
      </c>
      <c r="CD69" s="82" t="n">
        <v>6.554655</v>
      </c>
      <c r="CE69" s="83" t="n">
        <v>88.827264</v>
      </c>
      <c r="CF69" s="84" t="n">
        <v>38.551697</v>
      </c>
      <c r="CG69" s="80" t="n">
        <v>0.05</v>
      </c>
      <c r="CH69" s="63" t="n">
        <v>33738.2386102684</v>
      </c>
      <c r="CI69" s="63" t="n">
        <v>7517.6033369917</v>
      </c>
      <c r="CJ69" s="64" t="n">
        <v>928297.416690677</v>
      </c>
      <c r="CK69" s="65" t="n">
        <v>0.809827023303748</v>
      </c>
    </row>
    <row r="70" customFormat="false" ht="15" hidden="false" customHeight="false" outlineLevel="0" collapsed="false">
      <c r="A70" s="7" t="s">
        <v>73</v>
      </c>
      <c r="B70" s="66" t="n">
        <v>68</v>
      </c>
      <c r="C70" s="8" t="s">
        <v>146</v>
      </c>
      <c r="D70" s="67" t="n">
        <v>41652</v>
      </c>
      <c r="E70" s="4" t="s">
        <v>75</v>
      </c>
      <c r="F70" s="7" t="n">
        <v>405</v>
      </c>
      <c r="G70" s="68" t="n">
        <v>1</v>
      </c>
      <c r="H70" s="68" t="n">
        <v>184</v>
      </c>
      <c r="I70" s="66" t="n">
        <v>4</v>
      </c>
      <c r="J70" s="69" t="n">
        <v>678.654761904762</v>
      </c>
      <c r="K70" s="31" t="n">
        <v>525.169918489576</v>
      </c>
      <c r="L70" s="31" t="n">
        <v>938.475677364614</v>
      </c>
      <c r="M70" s="31" t="n">
        <v>171.593663329626</v>
      </c>
      <c r="N70" s="31" t="n">
        <v>324.510977465353</v>
      </c>
      <c r="O70" s="32"/>
      <c r="P70" s="33" t="n">
        <v>71.5479748531818</v>
      </c>
      <c r="Q70" s="33" t="n">
        <v>11.0747546251844</v>
      </c>
      <c r="R70" s="31" t="n">
        <v>133.979633202365</v>
      </c>
      <c r="S70" s="34" t="s">
        <v>76</v>
      </c>
      <c r="T70" s="35" t="n">
        <v>10.3157045714286</v>
      </c>
      <c r="U70" s="35" t="n">
        <v>3.03380392857143</v>
      </c>
      <c r="V70" s="70" t="n">
        <v>13.3495085</v>
      </c>
      <c r="W70" s="35" t="n">
        <v>12.525894769618</v>
      </c>
      <c r="X70" s="35" t="n">
        <v>2.34130739912252</v>
      </c>
      <c r="Y70" s="35" t="n">
        <v>3.97134317036492</v>
      </c>
      <c r="Z70" s="35"/>
      <c r="AA70" s="35" t="n">
        <v>0.839556939913273</v>
      </c>
      <c r="AB70" s="35" t="n">
        <v>0.135690274138808</v>
      </c>
      <c r="AC70" s="71" t="n">
        <v>2.01759196540833</v>
      </c>
      <c r="AD70" s="38" t="n">
        <v>2.92305385139118</v>
      </c>
      <c r="AE70" s="38" t="n">
        <v>2.54944122936249</v>
      </c>
      <c r="AF70" s="38" t="n">
        <v>0.585100663405876</v>
      </c>
      <c r="AG70" s="72"/>
      <c r="AH70" s="72"/>
      <c r="AI70" s="73" t="n">
        <v>46.4207233384459</v>
      </c>
      <c r="AJ70" s="42" t="s">
        <v>16</v>
      </c>
      <c r="AK70" s="43" t="n">
        <v>781.036593864772</v>
      </c>
      <c r="AL70" s="43" t="n">
        <v>796.466338233477</v>
      </c>
      <c r="AM70" s="43" t="n">
        <v>750.096606867957</v>
      </c>
      <c r="AN70" s="74"/>
      <c r="AO70" s="75" t="n">
        <v>24.9714285714286</v>
      </c>
      <c r="AP70" s="76" t="n">
        <v>1.23245929026388</v>
      </c>
      <c r="AQ70" s="76" t="n">
        <v>0.962481565059145</v>
      </c>
      <c r="AR70" s="76" t="n">
        <v>1.08204222020018</v>
      </c>
      <c r="AS70" s="77" t="n">
        <v>28.4754607825296</v>
      </c>
      <c r="AT70" s="78" t="n">
        <v>28.3150100589418</v>
      </c>
      <c r="AU70" s="78" t="n">
        <v>49.3547770700637</v>
      </c>
      <c r="AV70" s="78" t="n">
        <v>38.5433121019108</v>
      </c>
      <c r="AW70" s="78" t="n">
        <v>43.3312101910828</v>
      </c>
      <c r="AX70" s="78" t="n">
        <v>19.2229299363057</v>
      </c>
      <c r="AY70" s="48" t="n">
        <v>2.12105262594063</v>
      </c>
      <c r="AZ70" s="48" t="n">
        <v>23.3892951698684</v>
      </c>
      <c r="BA70" s="48" t="n">
        <v>-10.0397866698684</v>
      </c>
      <c r="BB70" s="49" t="n">
        <f aca="false">AT70/V70</f>
        <v>2.12105262594063</v>
      </c>
      <c r="BC70" s="49" t="n">
        <f aca="false">AS70/V70</f>
        <v>2.13307184923921</v>
      </c>
      <c r="BD70" s="49" t="n">
        <f aca="false">SUM(AP70:AR70)/V70</f>
        <v>0.245475934602626</v>
      </c>
      <c r="BE70" s="50" t="n">
        <v>6.94</v>
      </c>
      <c r="BF70" s="51" t="n">
        <v>96.2689253001375</v>
      </c>
      <c r="BG70" s="51" t="n">
        <v>614.163915394434</v>
      </c>
      <c r="BH70" s="51" t="n">
        <v>226.187207897301</v>
      </c>
      <c r="BI70" s="51" t="n">
        <v>124.039565806883</v>
      </c>
      <c r="BJ70" s="51" t="n">
        <v>8.20215428780273</v>
      </c>
      <c r="BK70" s="51" t="n">
        <v>11.3210627894619</v>
      </c>
      <c r="BL70" s="51" t="n">
        <v>11.1109694460086</v>
      </c>
      <c r="BM70" s="51"/>
      <c r="BN70" s="52" t="n">
        <f aca="false">(BG70*0.5-BH70*0.25+BI70*0.5)/SUM(BG70:BI70)*1000</f>
        <v>324.095765501912</v>
      </c>
      <c r="BO70" s="53" t="n">
        <v>6.54404888</v>
      </c>
      <c r="BP70" s="54" t="s">
        <v>77</v>
      </c>
      <c r="BQ70" s="55" t="n">
        <v>447.781762571653</v>
      </c>
      <c r="BR70" s="56" t="n">
        <v>33.5429399945064</v>
      </c>
      <c r="BS70" s="56" t="n">
        <v>44.8838618618157</v>
      </c>
      <c r="BT70" s="56" t="n">
        <v>15.8142893694733</v>
      </c>
      <c r="BU70" s="55"/>
      <c r="BV70" s="55"/>
      <c r="BW70" s="55"/>
      <c r="BX70" s="55"/>
      <c r="BY70" s="79" t="n">
        <v>0.0494505494505495</v>
      </c>
      <c r="BZ70" s="80" t="n">
        <v>0.43084</v>
      </c>
      <c r="CA70" s="81" t="n">
        <v>3.52</v>
      </c>
      <c r="CB70" s="81" t="n">
        <v>0.748</v>
      </c>
      <c r="CC70" s="82" t="n">
        <v>3.94164</v>
      </c>
      <c r="CD70" s="82" t="n">
        <v>3.100465</v>
      </c>
      <c r="CE70" s="83" t="n">
        <v>74.072304</v>
      </c>
      <c r="CF70" s="84" t="n">
        <v>31.423478</v>
      </c>
      <c r="CG70" s="80" t="n">
        <v>0.197</v>
      </c>
      <c r="CH70" s="63" t="n">
        <v>44261.3893608129</v>
      </c>
      <c r="CI70" s="63" t="n">
        <v>13813.0536172738</v>
      </c>
      <c r="CJ70" s="64" t="n">
        <v>901241.305239849</v>
      </c>
      <c r="CK70" s="65" t="n">
        <v>1.53266983403493</v>
      </c>
    </row>
    <row r="71" customFormat="false" ht="15" hidden="false" customHeight="false" outlineLevel="0" collapsed="false">
      <c r="A71" s="7" t="s">
        <v>73</v>
      </c>
      <c r="B71" s="66" t="n">
        <v>69</v>
      </c>
      <c r="C71" s="8" t="s">
        <v>147</v>
      </c>
      <c r="D71" s="67" t="n">
        <v>41652</v>
      </c>
      <c r="E71" s="4" t="s">
        <v>75</v>
      </c>
      <c r="F71" s="7" t="n">
        <v>410</v>
      </c>
      <c r="G71" s="68" t="n">
        <v>1</v>
      </c>
      <c r="H71" s="68" t="n">
        <v>167</v>
      </c>
      <c r="I71" s="66" t="n">
        <v>4</v>
      </c>
      <c r="J71" s="69" t="n">
        <v>701.992857142857</v>
      </c>
      <c r="K71" s="31" t="n">
        <v>525.169918489576</v>
      </c>
      <c r="L71" s="31" t="n">
        <v>938.475677364614</v>
      </c>
      <c r="M71" s="31" t="n">
        <v>171.593663329626</v>
      </c>
      <c r="N71" s="31" t="n">
        <v>324.510977465353</v>
      </c>
      <c r="O71" s="32"/>
      <c r="P71" s="33" t="n">
        <v>71.5479748531818</v>
      </c>
      <c r="Q71" s="33" t="n">
        <v>11.0747546251844</v>
      </c>
      <c r="R71" s="31" t="n">
        <v>133.979633202365</v>
      </c>
      <c r="S71" s="34" t="s">
        <v>76</v>
      </c>
      <c r="T71" s="35" t="n">
        <v>18.9901902785714</v>
      </c>
      <c r="U71" s="35" t="n">
        <v>7.95495357142857</v>
      </c>
      <c r="V71" s="70" t="n">
        <v>26.94514385</v>
      </c>
      <c r="W71" s="35" t="n">
        <v>25.2813463285466</v>
      </c>
      <c r="X71" s="35" t="n">
        <v>4.75633729798069</v>
      </c>
      <c r="Y71" s="35" t="n">
        <v>7.79815205221099</v>
      </c>
      <c r="Z71" s="35"/>
      <c r="AA71" s="35" t="n">
        <v>1.6248249505659</v>
      </c>
      <c r="AB71" s="35" t="n">
        <v>0.266546358499216</v>
      </c>
      <c r="AC71" s="71" t="n">
        <v>4.21064053024787</v>
      </c>
      <c r="AD71" s="38" t="n">
        <v>6.00183919835107</v>
      </c>
      <c r="AE71" s="38" t="n">
        <v>5.21495937086525</v>
      </c>
      <c r="AF71" s="38" t="n">
        <v>1.36258396866409</v>
      </c>
      <c r="AG71" s="72"/>
      <c r="AH71" s="72"/>
      <c r="AI71" s="73" t="n">
        <v>44.4107797110669</v>
      </c>
      <c r="AJ71" s="42" t="s">
        <v>16</v>
      </c>
      <c r="AK71" s="43" t="n">
        <v>777.257110529359</v>
      </c>
      <c r="AL71" s="43" t="n">
        <v>793.723035826745</v>
      </c>
      <c r="AM71" s="43" t="n">
        <v>713.522426333688</v>
      </c>
      <c r="AN71" s="74"/>
      <c r="AO71" s="75" t="n">
        <v>43.5857142857143</v>
      </c>
      <c r="AP71" s="76" t="n">
        <v>1.49662446428571</v>
      </c>
      <c r="AQ71" s="76" t="n">
        <v>1.383247125</v>
      </c>
      <c r="AR71" s="76" t="n">
        <v>1.9816245</v>
      </c>
      <c r="AS71" s="77" t="n">
        <v>39.8836526785714</v>
      </c>
      <c r="AT71" s="78" t="n">
        <v>39.6412709945405</v>
      </c>
      <c r="AU71" s="78" t="n">
        <v>34.3375</v>
      </c>
      <c r="AV71" s="78" t="n">
        <v>31.73625</v>
      </c>
      <c r="AW71" s="78" t="n">
        <v>45.465</v>
      </c>
      <c r="AX71" s="78" t="n">
        <v>26.175</v>
      </c>
      <c r="AY71" s="48" t="n">
        <v>1.47118424066385</v>
      </c>
      <c r="AZ71" s="48" t="n">
        <v>27.8962265768564</v>
      </c>
      <c r="BA71" s="48" t="n">
        <v>-0.951082726856402</v>
      </c>
      <c r="BB71" s="49" t="n">
        <f aca="false">AT71/V71</f>
        <v>1.47118424066385</v>
      </c>
      <c r="BC71" s="49" t="n">
        <f aca="false">AS71/V71</f>
        <v>1.48017961605989</v>
      </c>
      <c r="BD71" s="49" t="n">
        <f aca="false">SUM(AP71:AR71)/V71</f>
        <v>0.180421975712916</v>
      </c>
      <c r="BE71" s="50" t="n">
        <v>6.99</v>
      </c>
      <c r="BF71" s="51" t="n">
        <v>119.000425711017</v>
      </c>
      <c r="BG71" s="51" t="n">
        <v>617.188181813248</v>
      </c>
      <c r="BH71" s="51" t="n">
        <v>197.574000980079</v>
      </c>
      <c r="BI71" s="51" t="n">
        <v>148.293480364461</v>
      </c>
      <c r="BJ71" s="51" t="n">
        <v>8.8492377662537</v>
      </c>
      <c r="BK71" s="51" t="n">
        <v>12.0390682268837</v>
      </c>
      <c r="BL71" s="51" t="n">
        <v>11.0809064709651</v>
      </c>
      <c r="BM71" s="51"/>
      <c r="BN71" s="52" t="n">
        <f aca="false">(BG71*0.5-BH71*0.25+BI71*0.5)/SUM(BG71:BI71)*1000</f>
        <v>346.135061135317</v>
      </c>
      <c r="BO71" s="53" t="n">
        <v>2.6185739</v>
      </c>
      <c r="BP71" s="54" t="s">
        <v>77</v>
      </c>
      <c r="BQ71" s="55" t="n">
        <v>390.464015851934</v>
      </c>
      <c r="BR71" s="56" t="n">
        <v>14.4910718616161</v>
      </c>
      <c r="BS71" s="56" t="n">
        <v>19.4586108936998</v>
      </c>
      <c r="BT71" s="56" t="n">
        <v>9.84993684752715</v>
      </c>
      <c r="BU71" s="55"/>
      <c r="BV71" s="55"/>
      <c r="BW71" s="55"/>
      <c r="BX71" s="55"/>
      <c r="BY71" s="79" t="n">
        <v>0.118681318681319</v>
      </c>
      <c r="BZ71" s="80" t="n">
        <v>0.522073</v>
      </c>
      <c r="CA71" s="81" t="n">
        <v>3.73</v>
      </c>
      <c r="CB71" s="81" t="n">
        <v>0.545</v>
      </c>
      <c r="CC71" s="82" t="n">
        <v>4.83456</v>
      </c>
      <c r="CD71" s="82" t="n">
        <v>6.63571</v>
      </c>
      <c r="CE71" s="83" t="n">
        <v>83.625768</v>
      </c>
      <c r="CF71" s="84" t="n">
        <v>37.999439</v>
      </c>
      <c r="CG71" s="80" t="n">
        <v>0.092</v>
      </c>
      <c r="CH71" s="63" t="n">
        <v>79946.6502758613</v>
      </c>
      <c r="CI71" s="63" t="n">
        <v>9884.58678700119</v>
      </c>
      <c r="CJ71" s="64" t="n">
        <v>765722.274242706</v>
      </c>
      <c r="CK71" s="65" t="n">
        <v>1.29088406064418</v>
      </c>
    </row>
    <row r="72" customFormat="false" ht="15" hidden="false" customHeight="false" outlineLevel="0" collapsed="false">
      <c r="A72" s="7" t="s">
        <v>73</v>
      </c>
      <c r="B72" s="66" t="n">
        <v>70</v>
      </c>
      <c r="C72" s="8" t="s">
        <v>148</v>
      </c>
      <c r="D72" s="67" t="n">
        <v>41652</v>
      </c>
      <c r="E72" s="4" t="s">
        <v>75</v>
      </c>
      <c r="F72" s="7" t="n">
        <v>27</v>
      </c>
      <c r="G72" s="68" t="n">
        <v>1</v>
      </c>
      <c r="H72" s="68" t="n">
        <v>130</v>
      </c>
      <c r="I72" s="66" t="n">
        <v>1</v>
      </c>
      <c r="J72" s="69" t="n">
        <v>549.361904761905</v>
      </c>
      <c r="K72" s="31" t="n">
        <v>525.169918489576</v>
      </c>
      <c r="L72" s="31" t="n">
        <v>938.475677364614</v>
      </c>
      <c r="M72" s="31" t="n">
        <v>171.593663329626</v>
      </c>
      <c r="N72" s="31" t="n">
        <v>324.510977465353</v>
      </c>
      <c r="O72" s="32"/>
      <c r="P72" s="33" t="n">
        <v>71.5479748531818</v>
      </c>
      <c r="Q72" s="33" t="n">
        <v>11.0747546251844</v>
      </c>
      <c r="R72" s="31" t="n">
        <v>133.979633202365</v>
      </c>
      <c r="S72" s="34" t="s">
        <v>76</v>
      </c>
      <c r="T72" s="35" t="n">
        <v>18.9932228114286</v>
      </c>
      <c r="U72" s="35" t="n">
        <v>4.74364342857143</v>
      </c>
      <c r="V72" s="70" t="n">
        <v>23.73686624</v>
      </c>
      <c r="W72" s="35" t="n">
        <v>22.272884323775</v>
      </c>
      <c r="X72" s="35" t="n">
        <v>4.15223932395043</v>
      </c>
      <c r="Y72" s="35" t="n">
        <v>7.13885509581742</v>
      </c>
      <c r="Z72" s="35"/>
      <c r="AA72" s="35" t="n">
        <v>1.51761467756599</v>
      </c>
      <c r="AB72" s="35" t="n">
        <v>0.24387874999011</v>
      </c>
      <c r="AC72" s="71" t="n">
        <v>3.5383665560187</v>
      </c>
      <c r="AD72" s="38" t="n">
        <v>5.39349881261975</v>
      </c>
      <c r="AE72" s="38" t="n">
        <v>4.68397493756901</v>
      </c>
      <c r="AF72" s="38" t="n">
        <v>1.05115995960498</v>
      </c>
      <c r="AG72" s="72"/>
      <c r="AH72" s="72"/>
      <c r="AI72" s="73" t="n">
        <v>45.217169496632</v>
      </c>
      <c r="AJ72" s="42" t="s">
        <v>16</v>
      </c>
      <c r="AK72" s="43" t="n">
        <v>772.779660209277</v>
      </c>
      <c r="AL72" s="43" t="n">
        <v>789.70056731408</v>
      </c>
      <c r="AM72" s="43" t="n">
        <v>746.845044903407</v>
      </c>
      <c r="AN72" s="74"/>
      <c r="AO72" s="75" t="n">
        <v>28.85</v>
      </c>
      <c r="AP72" s="76" t="n">
        <v>1.87073369109948</v>
      </c>
      <c r="AQ72" s="76" t="n">
        <v>1.04569921465969</v>
      </c>
      <c r="AR72" s="76" t="n">
        <v>1.28932311518325</v>
      </c>
      <c r="AS72" s="77" t="n">
        <v>39.6010053664921</v>
      </c>
      <c r="AT72" s="78" t="n">
        <v>37.8591148691099</v>
      </c>
      <c r="AU72" s="78" t="n">
        <v>64.8434554973822</v>
      </c>
      <c r="AV72" s="78" t="n">
        <v>36.2460732984293</v>
      </c>
      <c r="AW72" s="78" t="n">
        <v>44.6905759162304</v>
      </c>
      <c r="AX72" s="78" t="n">
        <v>34.3664921465969</v>
      </c>
      <c r="AY72" s="48" t="n">
        <v>1.59495000251179</v>
      </c>
      <c r="AZ72" s="48" t="n">
        <v>25.3563696945317</v>
      </c>
      <c r="BA72" s="48" t="n">
        <v>-1.61950345453174</v>
      </c>
      <c r="BB72" s="49" t="n">
        <f aca="false">AT72/V72</f>
        <v>1.59495000251179</v>
      </c>
      <c r="BC72" s="49" t="n">
        <f aca="false">AS72/V72</f>
        <v>1.66833334131356</v>
      </c>
      <c r="BD72" s="49" t="n">
        <f aca="false">SUM(AP72:AR72)/V72</f>
        <v>0.177182446006925</v>
      </c>
      <c r="BE72" s="50" t="n">
        <v>6.95</v>
      </c>
      <c r="BF72" s="51" t="n">
        <v>105.694592970924</v>
      </c>
      <c r="BG72" s="51" t="n">
        <v>647.635826381059</v>
      </c>
      <c r="BH72" s="51" t="n">
        <v>187.668914443987</v>
      </c>
      <c r="BI72" s="51" t="n">
        <v>125.134965638295</v>
      </c>
      <c r="BJ72" s="51" t="n">
        <v>8.16660927971737</v>
      </c>
      <c r="BK72" s="51" t="n">
        <v>15.4026272198984</v>
      </c>
      <c r="BL72" s="51" t="n">
        <v>11.0159326589344</v>
      </c>
      <c r="BM72" s="51"/>
      <c r="BN72" s="52" t="n">
        <f aca="false">(BG72*0.5-BH72*0.25+BI72*0.5)/SUM(BG72:BI72)*1000</f>
        <v>353.450784171257</v>
      </c>
      <c r="BO72" s="53" t="n">
        <v>4.18175818</v>
      </c>
      <c r="BP72" s="54" t="s">
        <v>77</v>
      </c>
      <c r="BQ72" s="55" t="n">
        <v>431.790591971917</v>
      </c>
      <c r="BR72" s="56" t="n">
        <v>18.1907159776756</v>
      </c>
      <c r="BS72" s="56" t="n">
        <v>24.549025894155</v>
      </c>
      <c r="BT72" s="56" t="n">
        <v>11.4051951152251</v>
      </c>
      <c r="BU72" s="55"/>
      <c r="BV72" s="55"/>
      <c r="BW72" s="55"/>
      <c r="BX72" s="55"/>
      <c r="BY72" s="79" t="n">
        <v>0.118681318681319</v>
      </c>
      <c r="BZ72" s="80" t="n">
        <v>0.662356</v>
      </c>
      <c r="CA72" s="81" t="n">
        <v>3.33</v>
      </c>
      <c r="CB72" s="81" t="n">
        <v>0.404</v>
      </c>
      <c r="CC72" s="82" t="n">
        <v>5.46173</v>
      </c>
      <c r="CD72" s="82" t="n">
        <v>6.98487</v>
      </c>
      <c r="CE72" s="83" t="n">
        <v>86.815224</v>
      </c>
      <c r="CF72" s="84" t="n">
        <v>36.854015</v>
      </c>
      <c r="CG72" s="80" t="n">
        <v>0.1865</v>
      </c>
      <c r="CH72" s="63" t="n">
        <v>70689.2999137567</v>
      </c>
      <c r="CI72" s="63" t="n">
        <v>10551.2177903494</v>
      </c>
      <c r="CJ72" s="64" t="n">
        <v>572440.073016417</v>
      </c>
      <c r="CK72" s="65" t="n">
        <v>1.84320041305823</v>
      </c>
    </row>
    <row r="73" customFormat="false" ht="15" hidden="false" customHeight="false" outlineLevel="0" collapsed="false">
      <c r="A73" s="7" t="s">
        <v>73</v>
      </c>
      <c r="B73" s="66" t="n">
        <v>71</v>
      </c>
      <c r="C73" s="8" t="s">
        <v>149</v>
      </c>
      <c r="D73" s="67" t="n">
        <v>41652</v>
      </c>
      <c r="E73" s="4" t="s">
        <v>75</v>
      </c>
      <c r="F73" s="7" t="n">
        <v>248</v>
      </c>
      <c r="G73" s="68" t="n">
        <v>1</v>
      </c>
      <c r="H73" s="68" t="n">
        <v>85</v>
      </c>
      <c r="I73" s="66" t="n">
        <v>2</v>
      </c>
      <c r="J73" s="69" t="n">
        <v>612.548809523809</v>
      </c>
      <c r="K73" s="31" t="n">
        <v>525.169918489576</v>
      </c>
      <c r="L73" s="31" t="n">
        <v>938.475677364614</v>
      </c>
      <c r="M73" s="31" t="n">
        <v>171.593663329626</v>
      </c>
      <c r="N73" s="31" t="n">
        <v>324.510977465353</v>
      </c>
      <c r="O73" s="32"/>
      <c r="P73" s="33" t="n">
        <v>71.5479748531818</v>
      </c>
      <c r="Q73" s="33" t="n">
        <v>11.0747546251844</v>
      </c>
      <c r="R73" s="31" t="n">
        <v>133.979633202365</v>
      </c>
      <c r="S73" s="34" t="s">
        <v>76</v>
      </c>
      <c r="T73" s="35" t="n">
        <v>17.8680119271429</v>
      </c>
      <c r="U73" s="35" t="n">
        <v>3.94446664285714</v>
      </c>
      <c r="V73" s="70" t="n">
        <v>21.81247857</v>
      </c>
      <c r="W73" s="35" t="n">
        <v>20.467497665454</v>
      </c>
      <c r="X73" s="35" t="n">
        <v>3.8086930370316</v>
      </c>
      <c r="Y73" s="35" t="n">
        <v>6.60939218501828</v>
      </c>
      <c r="Z73" s="35"/>
      <c r="AA73" s="35" t="n">
        <v>1.41037343409493</v>
      </c>
      <c r="AB73" s="35" t="n">
        <v>0.225767824932316</v>
      </c>
      <c r="AC73" s="71" t="n">
        <v>3.2202058772148</v>
      </c>
      <c r="AD73" s="38" t="n">
        <v>4.48663951907687</v>
      </c>
      <c r="AE73" s="38" t="n">
        <v>3.79141870392554</v>
      </c>
      <c r="AF73" s="38" t="n">
        <v>0.828993756408007</v>
      </c>
      <c r="AG73" s="72"/>
      <c r="AH73" s="72"/>
      <c r="AI73" s="73" t="n">
        <v>50.3200277116911</v>
      </c>
      <c r="AJ73" s="42" t="s">
        <v>16</v>
      </c>
      <c r="AK73" s="43" t="n">
        <v>794.308587871916</v>
      </c>
      <c r="AL73" s="43" t="n">
        <v>814.759050378451</v>
      </c>
      <c r="AM73" s="43" t="n">
        <v>782.341672498212</v>
      </c>
      <c r="AN73" s="74"/>
      <c r="AO73" s="75" t="n">
        <v>22.4785714285714</v>
      </c>
      <c r="AP73" s="76" t="n">
        <v>1.27114027696793</v>
      </c>
      <c r="AQ73" s="76" t="n">
        <v>0.82253221574344</v>
      </c>
      <c r="AR73" s="76" t="n">
        <v>0.802943746355685</v>
      </c>
      <c r="AS73" s="77" t="n">
        <v>28.0585327259475</v>
      </c>
      <c r="AT73" s="78" t="n">
        <v>26.2216395611966</v>
      </c>
      <c r="AU73" s="78" t="n">
        <v>56.5489795918367</v>
      </c>
      <c r="AV73" s="78" t="n">
        <v>36.5918367346939</v>
      </c>
      <c r="AW73" s="78" t="n">
        <v>35.7204081632653</v>
      </c>
      <c r="AX73" s="78" t="n">
        <v>32.0204081632653</v>
      </c>
      <c r="AY73" s="48" t="n">
        <v>1.20213938443753</v>
      </c>
      <c r="AZ73" s="48" t="n">
        <v>21.2828941742863</v>
      </c>
      <c r="BA73" s="48" t="n">
        <v>0.52958439571368</v>
      </c>
      <c r="BB73" s="49" t="n">
        <f aca="false">AT73/V73</f>
        <v>1.20213938443753</v>
      </c>
      <c r="BC73" s="49" t="n">
        <f aca="false">AS73/V73</f>
        <v>1.28635233432564</v>
      </c>
      <c r="BD73" s="49" t="n">
        <f aca="false">SUM(AP73:AR73)/V73</f>
        <v>0.132796290424828</v>
      </c>
      <c r="BE73" s="50" t="n">
        <v>7.09</v>
      </c>
      <c r="BF73" s="51" t="n">
        <v>109.352769216845</v>
      </c>
      <c r="BG73" s="51" t="n">
        <v>633.55532598999</v>
      </c>
      <c r="BH73" s="51" t="n">
        <v>197.323263344344</v>
      </c>
      <c r="BI73" s="51" t="n">
        <v>130.264494437452</v>
      </c>
      <c r="BJ73" s="51" t="n">
        <v>9.93928500403827</v>
      </c>
      <c r="BK73" s="51" t="n">
        <v>12.5133775406423</v>
      </c>
      <c r="BL73" s="51" t="n">
        <v>11.4291293054231</v>
      </c>
      <c r="BM73" s="51"/>
      <c r="BN73" s="52" t="n">
        <f aca="false">(BG73*0.5-BH73*0.25+BI73*0.5)/SUM(BG73:BI73)*1000</f>
        <v>346.024540979377</v>
      </c>
      <c r="BO73" s="53" t="n">
        <v>7.78251324</v>
      </c>
      <c r="BP73" s="54" t="s">
        <v>77</v>
      </c>
      <c r="BQ73" s="55" t="n">
        <v>418.580741938221</v>
      </c>
      <c r="BR73" s="56" t="n">
        <v>19.1899669079295</v>
      </c>
      <c r="BS73" s="56" t="n">
        <v>25.1006692222963</v>
      </c>
      <c r="BT73" s="56" t="n">
        <v>15.9631796082517</v>
      </c>
      <c r="BU73" s="55"/>
      <c r="BV73" s="55"/>
      <c r="BW73" s="55"/>
      <c r="BX73" s="55"/>
      <c r="BY73" s="79" t="n">
        <v>0.089010989010989</v>
      </c>
      <c r="BZ73" s="80" t="n">
        <v>0.66628</v>
      </c>
      <c r="CA73" s="81" t="n">
        <v>3.82</v>
      </c>
      <c r="CB73" s="81" t="n">
        <v>0.214</v>
      </c>
      <c r="CC73" s="82" t="n">
        <v>5.54677</v>
      </c>
      <c r="CD73" s="82" t="n">
        <v>5.320125</v>
      </c>
      <c r="CE73" s="83" t="n">
        <v>78.103836</v>
      </c>
      <c r="CF73" s="84" t="n">
        <v>38.469881</v>
      </c>
      <c r="CG73" s="80" t="n">
        <v>0.113</v>
      </c>
      <c r="CH73" s="63" t="n">
        <v>77273.3922643514</v>
      </c>
      <c r="CI73" s="63" t="n">
        <v>18624.737819444</v>
      </c>
      <c r="CJ73" s="64" t="n">
        <v>671624.704586992</v>
      </c>
      <c r="CK73" s="65" t="n">
        <v>2.77308706666725</v>
      </c>
    </row>
    <row r="74" customFormat="false" ht="15" hidden="false" customHeight="false" outlineLevel="0" collapsed="false">
      <c r="A74" s="7" t="s">
        <v>73</v>
      </c>
      <c r="B74" s="66" t="n">
        <v>72</v>
      </c>
      <c r="C74" s="8" t="s">
        <v>150</v>
      </c>
      <c r="D74" s="67" t="n">
        <v>41652</v>
      </c>
      <c r="E74" s="4" t="s">
        <v>75</v>
      </c>
      <c r="F74" s="7" t="n">
        <v>511</v>
      </c>
      <c r="G74" s="68" t="n">
        <v>1</v>
      </c>
      <c r="H74" s="68" t="n">
        <v>94</v>
      </c>
      <c r="I74" s="66" t="n">
        <v>3</v>
      </c>
      <c r="J74" s="69" t="n">
        <v>582.904761904762</v>
      </c>
      <c r="K74" s="31" t="n">
        <v>525.169918489576</v>
      </c>
      <c r="L74" s="31" t="n">
        <v>938.475677364614</v>
      </c>
      <c r="M74" s="31" t="n">
        <v>171.593663329626</v>
      </c>
      <c r="N74" s="31" t="n">
        <v>324.510977465353</v>
      </c>
      <c r="O74" s="32"/>
      <c r="P74" s="33" t="n">
        <v>71.5479748531818</v>
      </c>
      <c r="Q74" s="33" t="n">
        <v>11.0747546251844</v>
      </c>
      <c r="R74" s="31" t="n">
        <v>133.979633202365</v>
      </c>
      <c r="S74" s="34" t="s">
        <v>76</v>
      </c>
      <c r="T74" s="35" t="n">
        <v>21.7537116457143</v>
      </c>
      <c r="U74" s="35" t="n">
        <v>5.65835571428572</v>
      </c>
      <c r="V74" s="70" t="n">
        <v>27.41206736</v>
      </c>
      <c r="W74" s="35" t="n">
        <v>25.7212794487753</v>
      </c>
      <c r="X74" s="35" t="n">
        <v>4.79814171206636</v>
      </c>
      <c r="Y74" s="35" t="n">
        <v>8.22273903512636</v>
      </c>
      <c r="Z74" s="35"/>
      <c r="AA74" s="35" t="n">
        <v>1.74572173008855</v>
      </c>
      <c r="AB74" s="35" t="n">
        <v>0.280916713427768</v>
      </c>
      <c r="AC74" s="71" t="n">
        <v>4.09982265267806</v>
      </c>
      <c r="AD74" s="38" t="n">
        <v>5.25184935563846</v>
      </c>
      <c r="AE74" s="38" t="n">
        <v>4.51336898457909</v>
      </c>
      <c r="AF74" s="38" t="n">
        <v>0.960420642223872</v>
      </c>
      <c r="AG74" s="72"/>
      <c r="AH74" s="72"/>
      <c r="AI74" s="73" t="n">
        <v>53.4891034386148</v>
      </c>
      <c r="AJ74" s="42" t="s">
        <v>16</v>
      </c>
      <c r="AK74" s="43" t="n">
        <v>808.411044425565</v>
      </c>
      <c r="AL74" s="43" t="n">
        <v>824.527819715672</v>
      </c>
      <c r="AM74" s="43" t="n">
        <v>799.83487361188</v>
      </c>
      <c r="AN74" s="74"/>
      <c r="AO74" s="75" t="n">
        <v>46.85</v>
      </c>
      <c r="AP74" s="76" t="n">
        <v>1.92790572289157</v>
      </c>
      <c r="AQ74" s="76" t="n">
        <v>1.49510768072289</v>
      </c>
      <c r="AR74" s="76" t="n">
        <v>2.1892355873494</v>
      </c>
      <c r="AS74" s="77" t="n">
        <v>47.6585858433735</v>
      </c>
      <c r="AT74" s="78" t="n">
        <v>46.8790276035032</v>
      </c>
      <c r="AU74" s="78" t="n">
        <v>41.1506024096386</v>
      </c>
      <c r="AV74" s="78" t="n">
        <v>31.9126506024096</v>
      </c>
      <c r="AW74" s="78" t="n">
        <v>46.7286144578313</v>
      </c>
      <c r="AX74" s="78" t="n">
        <v>33.9367469879518</v>
      </c>
      <c r="AY74" s="48" t="n">
        <v>1.71016023665218</v>
      </c>
      <c r="AZ74" s="48" t="n">
        <v>28.1164718025619</v>
      </c>
      <c r="BA74" s="48" t="n">
        <v>-0.704404442561874</v>
      </c>
      <c r="BB74" s="49" t="n">
        <f aca="false">AT74/V74</f>
        <v>1.71016023665218</v>
      </c>
      <c r="BC74" s="49" t="n">
        <f aca="false">AS74/V74</f>
        <v>1.73859874257122</v>
      </c>
      <c r="BD74" s="49" t="n">
        <f aca="false">SUM(AP74:AR74)/V74</f>
        <v>0.204736436594101</v>
      </c>
      <c r="BE74" s="50" t="n">
        <v>6.71</v>
      </c>
      <c r="BF74" s="51" t="n">
        <v>145.871973918981</v>
      </c>
      <c r="BG74" s="51" t="n">
        <v>611.052863132559</v>
      </c>
      <c r="BH74" s="51" t="n">
        <v>199.080055391925</v>
      </c>
      <c r="BI74" s="51" t="n">
        <v>150.588247742568</v>
      </c>
      <c r="BJ74" s="51" t="n">
        <v>10.4499730947874</v>
      </c>
      <c r="BK74" s="51" t="n">
        <v>12.6347886121872</v>
      </c>
      <c r="BL74" s="51" t="n">
        <v>11.2189476478637</v>
      </c>
      <c r="BM74" s="51"/>
      <c r="BN74" s="52" t="n">
        <f aca="false">(BG74*0.5-BH74*0.25+BI74*0.5)/SUM(BG74:BI74)*1000</f>
        <v>344.585456439876</v>
      </c>
      <c r="BO74" s="53" t="n">
        <v>4.93944462</v>
      </c>
      <c r="BP74" s="54" t="s">
        <v>77</v>
      </c>
      <c r="BQ74" s="55" t="n">
        <v>578.707929632416</v>
      </c>
      <c r="BR74" s="56" t="n">
        <v>21.1114295770655</v>
      </c>
      <c r="BS74" s="56" t="n">
        <v>27.2873619779472</v>
      </c>
      <c r="BT74" s="56" t="n">
        <v>12.3447084808809</v>
      </c>
      <c r="BU74" s="55"/>
      <c r="BV74" s="55"/>
      <c r="BW74" s="55"/>
      <c r="BX74" s="55"/>
      <c r="BY74" s="79" t="n">
        <v>0.148351648351648</v>
      </c>
      <c r="BZ74" s="80" t="n">
        <v>0.712387</v>
      </c>
      <c r="CA74" s="81" t="n">
        <v>3.32</v>
      </c>
      <c r="CB74" s="81" t="n">
        <v>0.26</v>
      </c>
      <c r="CC74" s="82" t="n">
        <v>5.53614</v>
      </c>
      <c r="CD74" s="82" t="n">
        <v>5.781515</v>
      </c>
      <c r="CE74" s="83" t="n">
        <v>80.972856</v>
      </c>
      <c r="CF74" s="84" t="n">
        <v>36.035855</v>
      </c>
      <c r="CG74" s="80" t="n">
        <v>0.1235</v>
      </c>
      <c r="CH74" s="63" t="n">
        <v>39423.6970382541</v>
      </c>
      <c r="CI74" s="63" t="n">
        <v>10024.359709033</v>
      </c>
      <c r="CJ74" s="64" t="n">
        <v>535454.86421728</v>
      </c>
      <c r="CK74" s="65" t="n">
        <v>1.87212039313275</v>
      </c>
    </row>
    <row r="75" customFormat="false" ht="15" hidden="false" customHeight="false" outlineLevel="0" collapsed="false">
      <c r="A75" s="7" t="s">
        <v>73</v>
      </c>
      <c r="B75" s="66" t="n">
        <v>73</v>
      </c>
      <c r="C75" s="8" t="s">
        <v>151</v>
      </c>
      <c r="D75" s="67" t="n">
        <v>41652</v>
      </c>
      <c r="E75" s="4" t="s">
        <v>75</v>
      </c>
      <c r="F75" s="7" t="n">
        <v>517</v>
      </c>
      <c r="G75" s="68" t="n">
        <v>1</v>
      </c>
      <c r="H75" s="68" t="n">
        <v>126</v>
      </c>
      <c r="I75" s="66" t="n">
        <v>3</v>
      </c>
      <c r="J75" s="69" t="n">
        <v>653.244047619048</v>
      </c>
      <c r="K75" s="31" t="n">
        <v>525.169918489576</v>
      </c>
      <c r="L75" s="31" t="n">
        <v>938.475677364614</v>
      </c>
      <c r="M75" s="31" t="n">
        <v>171.593663329626</v>
      </c>
      <c r="N75" s="31" t="n">
        <v>324.510977465353</v>
      </c>
      <c r="O75" s="32"/>
      <c r="P75" s="33" t="n">
        <v>71.5479748531818</v>
      </c>
      <c r="Q75" s="33" t="n">
        <v>11.0747546251844</v>
      </c>
      <c r="R75" s="31" t="n">
        <v>133.979633202365</v>
      </c>
      <c r="S75" s="34" t="s">
        <v>76</v>
      </c>
      <c r="T75" s="35" t="n">
        <v>22.4807384528571</v>
      </c>
      <c r="U75" s="35" t="n">
        <v>5.13516335714286</v>
      </c>
      <c r="V75" s="70" t="n">
        <v>27.61590181</v>
      </c>
      <c r="W75" s="35" t="n">
        <v>25.9129687775933</v>
      </c>
      <c r="X75" s="35" t="n">
        <v>4.82438941088967</v>
      </c>
      <c r="Y75" s="35" t="n">
        <v>8.35109305307882</v>
      </c>
      <c r="Z75" s="35"/>
      <c r="AA75" s="35" t="n">
        <v>1.78023678814507</v>
      </c>
      <c r="AB75" s="35" t="n">
        <v>0.285269838193067</v>
      </c>
      <c r="AC75" s="71" t="n">
        <v>4.08763517192695</v>
      </c>
      <c r="AD75" s="38" t="n">
        <v>5.67069088660966</v>
      </c>
      <c r="AE75" s="38" t="n">
        <v>4.86693508712798</v>
      </c>
      <c r="AF75" s="38" t="n">
        <v>1.12982633439722</v>
      </c>
      <c r="AG75" s="72"/>
      <c r="AH75" s="72"/>
      <c r="AI75" s="73" t="n">
        <v>50.3060110129934</v>
      </c>
      <c r="AJ75" s="42" t="s">
        <v>16</v>
      </c>
      <c r="AK75" s="43" t="n">
        <v>794.658493297646</v>
      </c>
      <c r="AL75" s="43" t="n">
        <v>812.181493795633</v>
      </c>
      <c r="AM75" s="43" t="n">
        <v>765.809465577765</v>
      </c>
      <c r="AN75" s="74"/>
      <c r="AO75" s="75" t="n">
        <v>41.5214285714286</v>
      </c>
      <c r="AP75" s="76" t="n">
        <v>2.1843909904271</v>
      </c>
      <c r="AQ75" s="76" t="n">
        <v>1.31322219256259</v>
      </c>
      <c r="AR75" s="76" t="n">
        <v>1.80456623159058</v>
      </c>
      <c r="AS75" s="77" t="n">
        <v>49.3744362849779</v>
      </c>
      <c r="AT75" s="78" t="n">
        <v>46.5443219857673</v>
      </c>
      <c r="AU75" s="78" t="n">
        <v>52.6087628865979</v>
      </c>
      <c r="AV75" s="78" t="n">
        <v>31.6275773195876</v>
      </c>
      <c r="AW75" s="78" t="n">
        <v>43.4610824742268</v>
      </c>
      <c r="AX75" s="78" t="n">
        <v>27.0335051546392</v>
      </c>
      <c r="AY75" s="48" t="n">
        <v>1.68541742022392</v>
      </c>
      <c r="AZ75" s="48" t="n">
        <v>30.3935429023544</v>
      </c>
      <c r="BA75" s="48" t="n">
        <v>-2.77764109235436</v>
      </c>
      <c r="BB75" s="49" t="n">
        <f aca="false">AT75/V75</f>
        <v>1.68541742022392</v>
      </c>
      <c r="BC75" s="49" t="n">
        <f aca="false">AS75/V75</f>
        <v>1.78789874850652</v>
      </c>
      <c r="BD75" s="49" t="n">
        <f aca="false">SUM(AP75:AR75)/V75</f>
        <v>0.191997330054972</v>
      </c>
      <c r="BE75" s="50" t="n">
        <v>7.02</v>
      </c>
      <c r="BF75" s="51" t="n">
        <v>111.072576690066</v>
      </c>
      <c r="BG75" s="51" t="n">
        <v>626.15417614054</v>
      </c>
      <c r="BH75" s="51" t="n">
        <v>188.822781536307</v>
      </c>
      <c r="BI75" s="51" t="n">
        <v>143.462891451974</v>
      </c>
      <c r="BJ75" s="51" t="n">
        <v>10.9673676976511</v>
      </c>
      <c r="BK75" s="51" t="n">
        <v>13.0188570461269</v>
      </c>
      <c r="BL75" s="51" t="n">
        <v>12.5988017492919</v>
      </c>
      <c r="BM75" s="51"/>
      <c r="BN75" s="52" t="n">
        <f aca="false">(BG75*0.5-BH75*0.25+BI75*0.5)/SUM(BG75:BI75)*1000</f>
        <v>352.242072070612</v>
      </c>
      <c r="BO75" s="53" t="n">
        <v>6.3810627</v>
      </c>
      <c r="BP75" s="54" t="s">
        <v>77</v>
      </c>
      <c r="BQ75" s="55" t="n">
        <v>518.513831659149</v>
      </c>
      <c r="BR75" s="56" t="n">
        <v>18.775915239943</v>
      </c>
      <c r="BS75" s="56" t="n">
        <v>24.6371282724904</v>
      </c>
      <c r="BT75" s="56" t="n">
        <v>11.1402166695586</v>
      </c>
      <c r="BU75" s="55"/>
      <c r="BV75" s="55"/>
      <c r="BW75" s="55"/>
      <c r="BX75" s="55"/>
      <c r="BY75" s="79" t="n">
        <v>0.197802197802198</v>
      </c>
      <c r="BZ75" s="80" t="n">
        <v>0.762418</v>
      </c>
      <c r="CA75" s="81" t="n">
        <v>3.49</v>
      </c>
      <c r="CB75" s="81" t="n">
        <v>0.03</v>
      </c>
      <c r="CC75" s="82" t="n">
        <v>6.20583</v>
      </c>
      <c r="CD75" s="82" t="n">
        <v>6.180555</v>
      </c>
      <c r="CE75" s="83" t="n">
        <v>88.722936</v>
      </c>
      <c r="CF75" s="84" t="n">
        <v>38.347157</v>
      </c>
      <c r="CG75" s="80" t="n">
        <v>0.113</v>
      </c>
      <c r="CH75" s="63" t="n">
        <v>40695.5374027195</v>
      </c>
      <c r="CI75" s="63" t="n">
        <v>4563.60457314308</v>
      </c>
      <c r="CJ75" s="64" t="n">
        <v>219342.713659625</v>
      </c>
      <c r="CK75" s="65" t="n">
        <v>2.08058179686099</v>
      </c>
    </row>
    <row r="76" customFormat="false" ht="15" hidden="false" customHeight="false" outlineLevel="0" collapsed="false">
      <c r="A76" s="7" t="s">
        <v>73</v>
      </c>
      <c r="B76" s="66" t="n">
        <v>74</v>
      </c>
      <c r="C76" s="8" t="s">
        <v>152</v>
      </c>
      <c r="D76" s="67" t="n">
        <v>41652</v>
      </c>
      <c r="E76" s="4" t="s">
        <v>75</v>
      </c>
      <c r="F76" s="7" t="n">
        <v>521</v>
      </c>
      <c r="G76" s="68" t="n">
        <v>1</v>
      </c>
      <c r="H76" s="68" t="n">
        <v>113</v>
      </c>
      <c r="I76" s="66" t="n">
        <v>3</v>
      </c>
      <c r="J76" s="69" t="n">
        <v>684.744047619048</v>
      </c>
      <c r="K76" s="31" t="n">
        <v>525.169918489576</v>
      </c>
      <c r="L76" s="31" t="n">
        <v>938.475677364614</v>
      </c>
      <c r="M76" s="31" t="n">
        <v>171.593663329626</v>
      </c>
      <c r="N76" s="31" t="n">
        <v>324.510977465353</v>
      </c>
      <c r="O76" s="32"/>
      <c r="P76" s="33" t="n">
        <v>71.5479748531818</v>
      </c>
      <c r="Q76" s="33" t="n">
        <v>11.0747546251844</v>
      </c>
      <c r="R76" s="31" t="n">
        <v>133.979633202365</v>
      </c>
      <c r="S76" s="34" t="s">
        <v>76</v>
      </c>
      <c r="T76" s="35" t="n">
        <v>20.3876865014286</v>
      </c>
      <c r="U76" s="35" t="n">
        <v>5.65890792857143</v>
      </c>
      <c r="V76" s="70" t="n">
        <v>26.04659443</v>
      </c>
      <c r="W76" s="35" t="n">
        <v>24.4398158982678</v>
      </c>
      <c r="X76" s="35" t="n">
        <v>4.56384442303657</v>
      </c>
      <c r="Y76" s="35" t="n">
        <v>7.77956242170481</v>
      </c>
      <c r="Z76" s="35"/>
      <c r="AA76" s="35" t="n">
        <v>1.64800387051817</v>
      </c>
      <c r="AB76" s="35" t="n">
        <v>0.265792223821706</v>
      </c>
      <c r="AC76" s="71" t="n">
        <v>3.91691877845502</v>
      </c>
      <c r="AD76" s="38" t="n">
        <v>5.4326231233154</v>
      </c>
      <c r="AE76" s="38" t="n">
        <v>4.67790094332539</v>
      </c>
      <c r="AF76" s="38" t="n">
        <v>1.08505187397015</v>
      </c>
      <c r="AG76" s="72"/>
      <c r="AH76" s="72"/>
      <c r="AI76" s="73" t="n">
        <v>48.9252093856824</v>
      </c>
      <c r="AJ76" s="42" t="s">
        <v>16</v>
      </c>
      <c r="AK76" s="43" t="n">
        <v>791.426739571827</v>
      </c>
      <c r="AL76" s="43" t="n">
        <v>808.595082598109</v>
      </c>
      <c r="AM76" s="43" t="n">
        <v>762.250468378542</v>
      </c>
      <c r="AN76" s="74"/>
      <c r="AO76" s="75" t="n">
        <v>38.0285714285714</v>
      </c>
      <c r="AP76" s="76" t="n">
        <v>1.80065962379258</v>
      </c>
      <c r="AQ76" s="76" t="n">
        <v>1.2644838332486</v>
      </c>
      <c r="AR76" s="76" t="n">
        <v>1.7587469954245</v>
      </c>
      <c r="AS76" s="77" t="n">
        <v>42.2213229283172</v>
      </c>
      <c r="AT76" s="78" t="n">
        <v>41.2237704104346</v>
      </c>
      <c r="AU76" s="78" t="n">
        <v>47.3501779359431</v>
      </c>
      <c r="AV76" s="78" t="n">
        <v>33.2508896797153</v>
      </c>
      <c r="AW76" s="78" t="n">
        <v>46.2480427046263</v>
      </c>
      <c r="AX76" s="78" t="n">
        <v>30.5124555160142</v>
      </c>
      <c r="AY76" s="48" t="n">
        <v>1.58269329686163</v>
      </c>
      <c r="AZ76" s="48" t="n">
        <v>28.0252135692902</v>
      </c>
      <c r="BA76" s="48" t="n">
        <v>-1.97861913929017</v>
      </c>
      <c r="BB76" s="49" t="n">
        <f aca="false">AT76/V76</f>
        <v>1.58269329686163</v>
      </c>
      <c r="BC76" s="49" t="n">
        <f aca="false">AS76/V76</f>
        <v>1.62099206642107</v>
      </c>
      <c r="BD76" s="49" t="n">
        <f aca="false">SUM(AP76:AR76)/V76</f>
        <v>0.185202348254389</v>
      </c>
      <c r="BE76" s="50" t="n">
        <v>6.94</v>
      </c>
      <c r="BF76" s="51" t="n">
        <v>140.529595605816</v>
      </c>
      <c r="BG76" s="51" t="n">
        <v>610.708154057429</v>
      </c>
      <c r="BH76" s="51" t="n">
        <v>211.950981676679</v>
      </c>
      <c r="BI76" s="51" t="n">
        <v>130.183128838895</v>
      </c>
      <c r="BJ76" s="51" t="n">
        <v>12.0570246191096</v>
      </c>
      <c r="BK76" s="51" t="n">
        <v>12.9285881396641</v>
      </c>
      <c r="BL76" s="51" t="n">
        <v>17.1969982901135</v>
      </c>
      <c r="BM76" s="51"/>
      <c r="BN76" s="52" t="n">
        <f aca="false">(BG76*0.5-BH76*0.25+BI76*0.5)/SUM(BG76:BI76)*1000</f>
        <v>333.169410963582</v>
      </c>
      <c r="BO76" s="53" t="n">
        <v>11.1987622</v>
      </c>
      <c r="BP76" s="54" t="s">
        <v>77</v>
      </c>
      <c r="BQ76" s="55" t="n">
        <v>461.151165415443</v>
      </c>
      <c r="BR76" s="56" t="n">
        <v>17.7048545311665</v>
      </c>
      <c r="BS76" s="56" t="n">
        <v>23.3353481414568</v>
      </c>
      <c r="BT76" s="56" t="n">
        <v>11.1865353611303</v>
      </c>
      <c r="BU76" s="55"/>
      <c r="BV76" s="55"/>
      <c r="BW76" s="55"/>
      <c r="BX76" s="55"/>
      <c r="BY76" s="79" t="n">
        <v>0.158241758241758</v>
      </c>
      <c r="BZ76" s="80" t="n">
        <v>0.640774</v>
      </c>
      <c r="CA76" s="81" t="n">
        <v>3.59</v>
      </c>
      <c r="CB76" s="81" t="n">
        <v>0.03</v>
      </c>
      <c r="CC76" s="82" t="n">
        <v>5.53614</v>
      </c>
      <c r="CD76" s="82" t="n">
        <v>6.51101</v>
      </c>
      <c r="CE76" s="83" t="n">
        <v>85.749588</v>
      </c>
      <c r="CF76" s="84" t="n">
        <v>37.549451</v>
      </c>
      <c r="CG76" s="80" t="n">
        <v>0.1025</v>
      </c>
      <c r="CH76" s="63" t="n">
        <v>36550.814131053</v>
      </c>
      <c r="CI76" s="63" t="n">
        <v>8922.40011526119</v>
      </c>
      <c r="CJ76" s="64" t="n">
        <v>566965.876951242</v>
      </c>
      <c r="CK76" s="65" t="n">
        <v>1.57371024923754</v>
      </c>
    </row>
    <row r="77" customFormat="false" ht="15" hidden="false" customHeight="false" outlineLevel="0" collapsed="false">
      <c r="A77" s="7" t="s">
        <v>73</v>
      </c>
      <c r="B77" s="66" t="n">
        <v>75</v>
      </c>
      <c r="C77" s="8" t="s">
        <v>153</v>
      </c>
      <c r="D77" s="67" t="n">
        <v>41652</v>
      </c>
      <c r="E77" s="4" t="s">
        <v>75</v>
      </c>
      <c r="F77" s="7" t="n">
        <v>611</v>
      </c>
      <c r="G77" s="68" t="n">
        <v>1</v>
      </c>
      <c r="H77" s="68" t="n">
        <v>109</v>
      </c>
      <c r="I77" s="66" t="n">
        <v>4</v>
      </c>
      <c r="J77" s="69" t="n">
        <v>721.261904761905</v>
      </c>
      <c r="K77" s="31" t="n">
        <v>525.169918489576</v>
      </c>
      <c r="L77" s="31" t="n">
        <v>938.475677364614</v>
      </c>
      <c r="M77" s="31" t="n">
        <v>171.593663329626</v>
      </c>
      <c r="N77" s="31" t="n">
        <v>324.510977465353</v>
      </c>
      <c r="O77" s="32"/>
      <c r="P77" s="33" t="n">
        <v>71.5479748531818</v>
      </c>
      <c r="Q77" s="33" t="n">
        <v>11.0747546251844</v>
      </c>
      <c r="R77" s="31" t="n">
        <v>133.979633202365</v>
      </c>
      <c r="S77" s="34" t="s">
        <v>76</v>
      </c>
      <c r="T77" s="35" t="n">
        <v>20.3296931828571</v>
      </c>
      <c r="U77" s="35" t="n">
        <v>5.29107185714286</v>
      </c>
      <c r="V77" s="70" t="n">
        <v>25.62076504</v>
      </c>
      <c r="W77" s="35" t="n">
        <v>24.0404635427923</v>
      </c>
      <c r="X77" s="35" t="n">
        <v>4.48463777893918</v>
      </c>
      <c r="Y77" s="35" t="n">
        <v>7.68511176985556</v>
      </c>
      <c r="Z77" s="35"/>
      <c r="AA77" s="35" t="n">
        <v>1.63154942766322</v>
      </c>
      <c r="AB77" s="35" t="n">
        <v>0.26254967826948</v>
      </c>
      <c r="AC77" s="71" t="n">
        <v>3.832097415609</v>
      </c>
      <c r="AD77" s="38" t="n">
        <v>5.66759081531433</v>
      </c>
      <c r="AE77" s="38" t="n">
        <v>4.91578660558548</v>
      </c>
      <c r="AF77" s="38" t="n">
        <v>1.07117400569349</v>
      </c>
      <c r="AG77" s="72"/>
      <c r="AH77" s="72"/>
      <c r="AI77" s="73" t="n">
        <v>46.324741292199</v>
      </c>
      <c r="AJ77" s="42" t="s">
        <v>16</v>
      </c>
      <c r="AK77" s="43" t="n">
        <v>778.789165488778</v>
      </c>
      <c r="AL77" s="43" t="n">
        <v>795.520306967653</v>
      </c>
      <c r="AM77" s="43" t="n">
        <v>761.145925603189</v>
      </c>
      <c r="AN77" s="74"/>
      <c r="AO77" s="75" t="n">
        <v>44.65</v>
      </c>
      <c r="AP77" s="76" t="n">
        <v>1.567215</v>
      </c>
      <c r="AQ77" s="76" t="n">
        <v>1.36629</v>
      </c>
      <c r="AR77" s="76" t="n">
        <v>2.040505</v>
      </c>
      <c r="AS77" s="77" t="n">
        <v>41.368225</v>
      </c>
      <c r="AT77" s="78" t="n">
        <v>40.688777133758</v>
      </c>
      <c r="AU77" s="78" t="n">
        <v>35.1</v>
      </c>
      <c r="AV77" s="78" t="n">
        <v>30.6</v>
      </c>
      <c r="AW77" s="78" t="n">
        <v>45.7</v>
      </c>
      <c r="AX77" s="78" t="n">
        <v>32</v>
      </c>
      <c r="AY77" s="48" t="n">
        <v>1.58811718035091</v>
      </c>
      <c r="AZ77" s="48" t="n">
        <v>28.1437887607873</v>
      </c>
      <c r="BA77" s="48" t="n">
        <v>-2.52302372078733</v>
      </c>
      <c r="BB77" s="49" t="n">
        <f aca="false">AT77/V77</f>
        <v>1.58811718035091</v>
      </c>
      <c r="BC77" s="49" t="n">
        <f aca="false">AS77/V77</f>
        <v>1.61463660181164</v>
      </c>
      <c r="BD77" s="49" t="n">
        <f aca="false">SUM(AP77:AR77)/V77</f>
        <v>0.194139792166019</v>
      </c>
      <c r="BE77" s="50" t="n">
        <v>6.87</v>
      </c>
      <c r="BF77" s="51" t="n">
        <v>134.835639730223</v>
      </c>
      <c r="BG77" s="51" t="n">
        <v>612.108920269836</v>
      </c>
      <c r="BH77" s="51" t="n">
        <v>215.778303546993</v>
      </c>
      <c r="BI77" s="51" t="n">
        <v>131.026752025566</v>
      </c>
      <c r="BJ77" s="51" t="n">
        <v>9.9916187599098</v>
      </c>
      <c r="BK77" s="51" t="n">
        <v>14.0387316056533</v>
      </c>
      <c r="BL77" s="51" t="n">
        <v>12.0805494139325</v>
      </c>
      <c r="BM77" s="51"/>
      <c r="BN77" s="52" t="n">
        <f aca="false">(BG77*0.5-BH77*0.25+BI77*0.5)/SUM(BG77:BI77)*1000</f>
        <v>331.23227762107</v>
      </c>
      <c r="BO77" s="53" t="n">
        <v>5.60311854</v>
      </c>
      <c r="BP77" s="54" t="s">
        <v>77</v>
      </c>
      <c r="BQ77" s="55" t="n">
        <v>426.685001717936</v>
      </c>
      <c r="BR77" s="56" t="n">
        <v>16.653874349645</v>
      </c>
      <c r="BS77" s="56" t="n">
        <v>22.3107037634621</v>
      </c>
      <c r="BT77" s="56" t="n">
        <v>10.4865526018459</v>
      </c>
      <c r="BU77" s="55"/>
      <c r="BV77" s="55"/>
      <c r="BW77" s="55"/>
      <c r="BX77" s="55"/>
      <c r="BY77" s="79" t="n">
        <v>0.108791208791209</v>
      </c>
      <c r="BZ77" s="80" t="n">
        <v>0.426916</v>
      </c>
      <c r="CA77" s="81" t="n">
        <v>3.63</v>
      </c>
      <c r="CB77" s="81" t="n">
        <v>0.03</v>
      </c>
      <c r="CC77" s="82" t="n">
        <v>5.3448</v>
      </c>
      <c r="CD77" s="82" t="n">
        <v>6.43619</v>
      </c>
      <c r="CE77" s="83" t="n">
        <v>80.339436</v>
      </c>
      <c r="CF77" s="84" t="n">
        <v>37.21196</v>
      </c>
      <c r="CG77" s="80" t="n">
        <v>0.659</v>
      </c>
      <c r="CH77" s="63" t="n">
        <v>57775.980293702</v>
      </c>
      <c r="CI77" s="63" t="n">
        <v>12164.00302373</v>
      </c>
      <c r="CJ77" s="64" t="n">
        <v>757077.249763484</v>
      </c>
      <c r="CK77" s="65" t="n">
        <v>1.60670566015952</v>
      </c>
    </row>
    <row r="78" customFormat="false" ht="15" hidden="false" customHeight="false" outlineLevel="0" collapsed="false">
      <c r="A78" s="7" t="s">
        <v>73</v>
      </c>
      <c r="B78" s="66" t="n">
        <v>76</v>
      </c>
      <c r="C78" s="8" t="s">
        <v>154</v>
      </c>
      <c r="D78" s="67" t="n">
        <v>41652</v>
      </c>
      <c r="E78" s="4" t="s">
        <v>75</v>
      </c>
      <c r="F78" s="7" t="n">
        <v>618</v>
      </c>
      <c r="G78" s="68" t="n">
        <v>1</v>
      </c>
      <c r="H78" s="68" t="n">
        <v>108</v>
      </c>
      <c r="I78" s="66" t="n">
        <v>3</v>
      </c>
      <c r="J78" s="69" t="n">
        <v>593.732142857143</v>
      </c>
      <c r="K78" s="31" t="n">
        <v>525.169918489576</v>
      </c>
      <c r="L78" s="31" t="n">
        <v>938.475677364614</v>
      </c>
      <c r="M78" s="31" t="n">
        <v>171.593663329626</v>
      </c>
      <c r="N78" s="31" t="n">
        <v>324.510977465353</v>
      </c>
      <c r="O78" s="32"/>
      <c r="P78" s="33" t="n">
        <v>71.5479748531818</v>
      </c>
      <c r="Q78" s="33" t="n">
        <v>11.0747546251844</v>
      </c>
      <c r="R78" s="31" t="n">
        <v>133.979633202365</v>
      </c>
      <c r="S78" s="34" t="s">
        <v>76</v>
      </c>
      <c r="T78" s="35" t="n">
        <v>18.2729876671429</v>
      </c>
      <c r="U78" s="35" t="n">
        <v>4.19057014285714</v>
      </c>
      <c r="V78" s="70" t="n">
        <v>22.46355781</v>
      </c>
      <c r="W78" s="35" t="n">
        <v>21.0783335846626</v>
      </c>
      <c r="X78" s="35" t="n">
        <v>3.92452012790116</v>
      </c>
      <c r="Y78" s="35" t="n">
        <v>6.79141287233877</v>
      </c>
      <c r="Z78" s="35"/>
      <c r="AA78" s="35" t="n">
        <v>1.44758147385243</v>
      </c>
      <c r="AB78" s="35" t="n">
        <v>0.231992571371237</v>
      </c>
      <c r="AC78" s="71" t="n">
        <v>3.32601622535752</v>
      </c>
      <c r="AD78" s="38" t="n">
        <v>4.68537269287125</v>
      </c>
      <c r="AE78" s="38" t="n">
        <v>3.99514860520517</v>
      </c>
      <c r="AF78" s="38" t="n">
        <v>0.919926084449181</v>
      </c>
      <c r="AG78" s="72"/>
      <c r="AH78" s="72"/>
      <c r="AI78" s="73" t="n">
        <v>49.5142193755923</v>
      </c>
      <c r="AJ78" s="42" t="s">
        <v>16</v>
      </c>
      <c r="AK78" s="43" t="n">
        <v>791.423391944375</v>
      </c>
      <c r="AL78" s="43" t="n">
        <v>810.461838021569</v>
      </c>
      <c r="AM78" s="43" t="n">
        <v>765.595269110989</v>
      </c>
      <c r="AN78" s="74"/>
      <c r="AO78" s="75" t="n">
        <v>43.2142857142857</v>
      </c>
      <c r="AP78" s="76" t="n">
        <v>1.83451612903226</v>
      </c>
      <c r="AQ78" s="76" t="n">
        <v>1.21914071757735</v>
      </c>
      <c r="AR78" s="76" t="n">
        <v>2.00269338380513</v>
      </c>
      <c r="AS78" s="77" t="n">
        <v>44.8034562211982</v>
      </c>
      <c r="AT78" s="78" t="n">
        <v>42.6064513980032</v>
      </c>
      <c r="AU78" s="78" t="n">
        <v>42.4516129032258</v>
      </c>
      <c r="AV78" s="78" t="n">
        <v>28.2115207373272</v>
      </c>
      <c r="AW78" s="78" t="n">
        <v>46.3433179723502</v>
      </c>
      <c r="AX78" s="78" t="n">
        <v>25.3640552995392</v>
      </c>
      <c r="AY78" s="48" t="n">
        <v>1.8966920448833</v>
      </c>
      <c r="AZ78" s="48" t="n">
        <v>27.586517378269</v>
      </c>
      <c r="BA78" s="48" t="n">
        <v>-5.12295956826903</v>
      </c>
      <c r="BB78" s="49" t="n">
        <f aca="false">AT78/V78</f>
        <v>1.8966920448833</v>
      </c>
      <c r="BC78" s="49" t="n">
        <f aca="false">AS78/V78</f>
        <v>1.99449511071008</v>
      </c>
      <c r="BD78" s="49" t="n">
        <f aca="false">SUM(AP78:AR78)/V78</f>
        <v>0.225091246595133</v>
      </c>
      <c r="BE78" s="50" t="n">
        <v>6.46</v>
      </c>
      <c r="BF78" s="51" t="n">
        <v>195.689220954962</v>
      </c>
      <c r="BG78" s="51" t="n">
        <v>612.699749619676</v>
      </c>
      <c r="BH78" s="51" t="n">
        <v>209.29585315621</v>
      </c>
      <c r="BI78" s="51" t="n">
        <v>140.414128744997</v>
      </c>
      <c r="BJ78" s="51" t="n">
        <v>8.4590461345651</v>
      </c>
      <c r="BK78" s="51" t="n">
        <v>14.0915709567955</v>
      </c>
      <c r="BL78" s="51" t="n">
        <v>10.0645270096466</v>
      </c>
      <c r="BM78" s="51"/>
      <c r="BN78" s="52" t="n">
        <f aca="false">(BG78*0.5-BH78*0.25+BI78*0.5)/SUM(BG78:BI78)*1000</f>
        <v>336.897025532881</v>
      </c>
      <c r="BO78" s="53" t="n">
        <v>6.71342648</v>
      </c>
      <c r="BP78" s="54" t="s">
        <v>77</v>
      </c>
      <c r="BQ78" s="55" t="n">
        <v>577.985012257892</v>
      </c>
      <c r="BR78" s="56" t="n">
        <v>25.7298962678384</v>
      </c>
      <c r="BS78" s="56" t="n">
        <v>33.8335628252531</v>
      </c>
      <c r="BT78" s="56" t="n">
        <v>13.5656688903451</v>
      </c>
      <c r="BU78" s="55"/>
      <c r="BV78" s="55"/>
      <c r="BW78" s="55"/>
      <c r="BX78" s="55"/>
      <c r="BY78" s="79" t="n">
        <v>0.128571428571429</v>
      </c>
      <c r="BZ78" s="80" t="n">
        <v>0.73495</v>
      </c>
      <c r="CA78" s="81" t="n">
        <v>3.48</v>
      </c>
      <c r="CB78" s="81" t="n">
        <v>0.731</v>
      </c>
      <c r="CC78" s="82" t="n">
        <v>4.94086</v>
      </c>
      <c r="CD78" s="82" t="n">
        <v>7.664485</v>
      </c>
      <c r="CE78" s="83" t="n">
        <v>80.7642</v>
      </c>
      <c r="CF78" s="84" t="n">
        <v>36.475616</v>
      </c>
      <c r="CG78" s="80" t="n">
        <v>0.092</v>
      </c>
      <c r="CH78" s="63" t="n">
        <v>57320.852692324</v>
      </c>
      <c r="CI78" s="63" t="n">
        <v>17186.7394428214</v>
      </c>
      <c r="CJ78" s="64" t="n">
        <v>655554.131335154</v>
      </c>
      <c r="CK78" s="65" t="n">
        <v>2.62171171247407</v>
      </c>
    </row>
    <row r="79" customFormat="false" ht="15" hidden="false" customHeight="false" outlineLevel="0" collapsed="false">
      <c r="A79" s="7" t="s">
        <v>73</v>
      </c>
      <c r="B79" s="66" t="n">
        <v>77</v>
      </c>
      <c r="C79" s="8" t="s">
        <v>155</v>
      </c>
      <c r="D79" s="67" t="n">
        <v>41659</v>
      </c>
      <c r="E79" s="4" t="s">
        <v>75</v>
      </c>
      <c r="F79" s="7" t="n">
        <v>243</v>
      </c>
      <c r="G79" s="68" t="n">
        <v>1</v>
      </c>
      <c r="H79" s="68" t="n">
        <v>123</v>
      </c>
      <c r="I79" s="66" t="n">
        <v>2</v>
      </c>
      <c r="J79" s="69" t="n">
        <v>662.827380952381</v>
      </c>
      <c r="K79" s="31" t="n">
        <v>522.721492456308</v>
      </c>
      <c r="L79" s="31" t="n">
        <v>938.807420247663</v>
      </c>
      <c r="M79" s="31" t="n">
        <v>170.701037306416</v>
      </c>
      <c r="N79" s="31" t="n">
        <v>328.408320374921</v>
      </c>
      <c r="O79" s="32"/>
      <c r="P79" s="33" t="n">
        <v>69.7244122340863</v>
      </c>
      <c r="Q79" s="33" t="n">
        <v>11.4755762620617</v>
      </c>
      <c r="R79" s="31" t="n">
        <v>138.475386344062</v>
      </c>
      <c r="S79" s="34" t="s">
        <v>76</v>
      </c>
      <c r="T79" s="35" t="n">
        <v>22.1566471042857</v>
      </c>
      <c r="U79" s="35" t="n">
        <v>5.88660428571429</v>
      </c>
      <c r="V79" s="70" t="n">
        <v>28.04325139</v>
      </c>
      <c r="W79" s="35" t="n">
        <v>26.3208080097766</v>
      </c>
      <c r="X79" s="35" t="n">
        <v>4.8904794175052</v>
      </c>
      <c r="Y79" s="35" t="n">
        <v>8.48677850851547</v>
      </c>
      <c r="Z79" s="35"/>
      <c r="AA79" s="35" t="n">
        <v>1.74178246146011</v>
      </c>
      <c r="AB79" s="35" t="n">
        <v>0.295873508864807</v>
      </c>
      <c r="AC79" s="71" t="n">
        <v>4.30123034892644</v>
      </c>
      <c r="AD79" s="38" t="n">
        <v>6.3924116261328</v>
      </c>
      <c r="AE79" s="38" t="n">
        <v>5.54364184986917</v>
      </c>
      <c r="AF79" s="38" t="n">
        <v>1.2934548526073</v>
      </c>
      <c r="AG79" s="72"/>
      <c r="AH79" s="72"/>
      <c r="AI79" s="73" t="n">
        <v>46.2851152537249</v>
      </c>
      <c r="AJ79" s="42" t="s">
        <v>16</v>
      </c>
      <c r="AK79" s="43" t="n">
        <v>772.051694818373</v>
      </c>
      <c r="AL79" s="43" t="n">
        <v>789.3817755211</v>
      </c>
      <c r="AM79" s="43" t="n">
        <v>735.515735333136</v>
      </c>
      <c r="AN79" s="74"/>
      <c r="AO79" s="75" t="n">
        <v>37.2357142857143</v>
      </c>
      <c r="AP79" s="76" t="n">
        <v>2.215525</v>
      </c>
      <c r="AQ79" s="76" t="n">
        <v>1.381445</v>
      </c>
      <c r="AR79" s="76" t="n">
        <v>1.694225</v>
      </c>
      <c r="AS79" s="77" t="n">
        <v>48.1271607142857</v>
      </c>
      <c r="AT79" s="78" t="n">
        <v>46.8403940400364</v>
      </c>
      <c r="AU79" s="78" t="n">
        <v>59.5</v>
      </c>
      <c r="AV79" s="78" t="n">
        <v>37.1</v>
      </c>
      <c r="AW79" s="78" t="n">
        <v>45.5</v>
      </c>
      <c r="AX79" s="78" t="n">
        <v>14</v>
      </c>
      <c r="AY79" s="48" t="n">
        <v>1.67029112953498</v>
      </c>
      <c r="AZ79" s="48" t="n">
        <v>30.0311548716736</v>
      </c>
      <c r="BA79" s="48" t="n">
        <v>-1.98790348167357</v>
      </c>
      <c r="BB79" s="49" t="n">
        <f aca="false">AT79/V79</f>
        <v>1.67029112953498</v>
      </c>
      <c r="BC79" s="49" t="n">
        <f aca="false">AS79/V79</f>
        <v>1.71617620385657</v>
      </c>
      <c r="BD79" s="49" t="n">
        <f aca="false">SUM(AP79:AR79)/V79</f>
        <v>0.188679797731543</v>
      </c>
      <c r="BE79" s="50" t="n">
        <v>7.09</v>
      </c>
      <c r="BF79" s="51" t="n">
        <v>118.697891380885</v>
      </c>
      <c r="BG79" s="51" t="n">
        <v>596.731118306956</v>
      </c>
      <c r="BH79" s="51" t="n">
        <v>218.707173698079</v>
      </c>
      <c r="BI79" s="51" t="n">
        <v>143.697387285419</v>
      </c>
      <c r="BJ79" s="51" t="n">
        <v>10.8861365557944</v>
      </c>
      <c r="BK79" s="51" t="n">
        <v>12.5672488915383</v>
      </c>
      <c r="BL79" s="51" t="n">
        <v>12.4358108841044</v>
      </c>
      <c r="BM79" s="51"/>
      <c r="BN79" s="52" t="n">
        <f aca="false">(BG79*0.5-BH79*0.25+BI79*0.5)/SUM(BG79:BI79)*1000</f>
        <v>328.981046357377</v>
      </c>
      <c r="BO79" s="53" t="n">
        <v>8.5601095</v>
      </c>
      <c r="BP79" s="54" t="s">
        <v>77</v>
      </c>
      <c r="BQ79" s="55" t="n">
        <v>472.696411067433</v>
      </c>
      <c r="BR79" s="56" t="n">
        <v>16.855977379142</v>
      </c>
      <c r="BS79" s="56" t="n">
        <v>22.7507643453114</v>
      </c>
      <c r="BT79" s="56" t="n">
        <v>10.0916403620217</v>
      </c>
      <c r="BU79" s="55"/>
      <c r="BV79" s="55"/>
      <c r="BW79" s="55"/>
      <c r="BX79" s="55"/>
      <c r="BY79" s="79" t="n">
        <v>0.108791208791209</v>
      </c>
      <c r="BZ79" s="80" t="n">
        <v>0.422011</v>
      </c>
      <c r="CA79" s="81" t="n">
        <v>3.66</v>
      </c>
      <c r="CB79" s="81" t="n">
        <v>0.365</v>
      </c>
      <c r="CC79" s="82" t="n">
        <v>5.44047</v>
      </c>
      <c r="CD79" s="82" t="n">
        <v>6.88511</v>
      </c>
      <c r="CE79" s="83" t="n">
        <v>76.51656</v>
      </c>
      <c r="CF79" s="84" t="n">
        <v>39.318722</v>
      </c>
      <c r="CG79" s="80" t="n">
        <v>0.113</v>
      </c>
      <c r="CH79" s="63" t="n">
        <v>75944.040860514</v>
      </c>
      <c r="CI79" s="63" t="n">
        <v>8867.58490362751</v>
      </c>
      <c r="CJ79" s="64" t="n">
        <v>705866.077171899</v>
      </c>
      <c r="CK79" s="65" t="n">
        <v>1.25627016092856</v>
      </c>
    </row>
    <row r="80" customFormat="false" ht="15" hidden="false" customHeight="false" outlineLevel="0" collapsed="false">
      <c r="A80" s="7" t="s">
        <v>73</v>
      </c>
      <c r="B80" s="66" t="n">
        <v>78</v>
      </c>
      <c r="C80" s="8" t="s">
        <v>156</v>
      </c>
      <c r="D80" s="67" t="n">
        <v>41659</v>
      </c>
      <c r="E80" s="4" t="s">
        <v>75</v>
      </c>
      <c r="F80" s="7" t="n">
        <v>254</v>
      </c>
      <c r="G80" s="68" t="n">
        <v>1</v>
      </c>
      <c r="H80" s="68" t="n">
        <v>106</v>
      </c>
      <c r="I80" s="66" t="n">
        <v>2</v>
      </c>
      <c r="J80" s="69" t="n">
        <v>589.047619047619</v>
      </c>
      <c r="K80" s="31" t="n">
        <v>522.721492456308</v>
      </c>
      <c r="L80" s="31" t="n">
        <v>938.807420247663</v>
      </c>
      <c r="M80" s="31" t="n">
        <v>170.701037306416</v>
      </c>
      <c r="N80" s="31" t="n">
        <v>328.408320374921</v>
      </c>
      <c r="O80" s="32"/>
      <c r="P80" s="33" t="n">
        <v>69.7244122340863</v>
      </c>
      <c r="Q80" s="33" t="n">
        <v>11.4755762620617</v>
      </c>
      <c r="R80" s="31" t="n">
        <v>138.475386344062</v>
      </c>
      <c r="S80" s="34" t="s">
        <v>76</v>
      </c>
      <c r="T80" s="35" t="n">
        <v>20.17337414</v>
      </c>
      <c r="U80" s="35" t="n">
        <v>4.1940675</v>
      </c>
      <c r="V80" s="70" t="n">
        <v>24.36744164</v>
      </c>
      <c r="W80" s="35" t="n">
        <v>22.8717719801268</v>
      </c>
      <c r="X80" s="35" t="n">
        <v>4.23326560041843</v>
      </c>
      <c r="Y80" s="35" t="n">
        <v>7.48745079636226</v>
      </c>
      <c r="Z80" s="35"/>
      <c r="AA80" s="35" t="n">
        <v>1.54687986275232</v>
      </c>
      <c r="AB80" s="35" t="n">
        <v>0.261149533393931</v>
      </c>
      <c r="AC80" s="71" t="n">
        <v>3.67205641727481</v>
      </c>
      <c r="AD80" s="38" t="n">
        <v>5.72065270944646</v>
      </c>
      <c r="AE80" s="38" t="n">
        <v>4.94770557338687</v>
      </c>
      <c r="AF80" s="38" t="n">
        <v>1.06524887304214</v>
      </c>
      <c r="AG80" s="72"/>
      <c r="AH80" s="72"/>
      <c r="AI80" s="73" t="n">
        <v>45.6503036729878</v>
      </c>
      <c r="AJ80" s="42" t="s">
        <v>16</v>
      </c>
      <c r="AK80" s="43" t="n">
        <v>765.233757652432</v>
      </c>
      <c r="AL80" s="43" t="n">
        <v>783.676333530873</v>
      </c>
      <c r="AM80" s="43" t="n">
        <v>748.362381765782</v>
      </c>
      <c r="AN80" s="74"/>
      <c r="AO80" s="75" t="n">
        <v>38.15</v>
      </c>
      <c r="AP80" s="76" t="n">
        <v>1.38718885620915</v>
      </c>
      <c r="AQ80" s="76" t="n">
        <v>1.2146910130719</v>
      </c>
      <c r="AR80" s="76" t="n">
        <v>1.66992274509804</v>
      </c>
      <c r="AS80" s="77" t="n">
        <v>36.0678328431373</v>
      </c>
      <c r="AT80" s="78" t="n">
        <v>35.3296442398318</v>
      </c>
      <c r="AU80" s="78" t="n">
        <v>36.3614379084967</v>
      </c>
      <c r="AV80" s="78" t="n">
        <v>31.8398692810458</v>
      </c>
      <c r="AW80" s="78" t="n">
        <v>43.7725490196079</v>
      </c>
      <c r="AX80" s="78" t="n">
        <v>30.7516339869281</v>
      </c>
      <c r="AY80" s="48" t="n">
        <v>1.44987088762888</v>
      </c>
      <c r="AZ80" s="48" t="n">
        <v>24.316693251144</v>
      </c>
      <c r="BA80" s="48" t="n">
        <v>0.0507483888560252</v>
      </c>
      <c r="BB80" s="49" t="n">
        <f aca="false">AT80/V80</f>
        <v>1.44987088762888</v>
      </c>
      <c r="BC80" s="49" t="n">
        <f aca="false">AS80/V80</f>
        <v>1.48016494205656</v>
      </c>
      <c r="BD80" s="49" t="n">
        <f aca="false">SUM(AP80:AR80)/V80</f>
        <v>0.175307801183641</v>
      </c>
      <c r="BE80" s="50" t="n">
        <v>7.14</v>
      </c>
      <c r="BF80" s="51" t="n">
        <v>104.666027017267</v>
      </c>
      <c r="BG80" s="51" t="n">
        <v>623.545765823808</v>
      </c>
      <c r="BH80" s="51" t="n">
        <v>193.954008994568</v>
      </c>
      <c r="BI80" s="51" t="n">
        <v>143.752522283803</v>
      </c>
      <c r="BJ80" s="51" t="n">
        <v>10.4273847279701</v>
      </c>
      <c r="BK80" s="51" t="n">
        <v>10.5492645907481</v>
      </c>
      <c r="BL80" s="51" t="n">
        <v>12.7959292009935</v>
      </c>
      <c r="BM80" s="51"/>
      <c r="BN80" s="52" t="n">
        <f aca="false">(BG80*0.5-BH80*0.25+BI80*0.5)/SUM(BG80:BI80)*1000</f>
        <v>348.67083575826</v>
      </c>
      <c r="BO80" s="53" t="n">
        <v>5.18454514</v>
      </c>
      <c r="BP80" s="54" t="s">
        <v>77</v>
      </c>
      <c r="BQ80" s="55" t="n">
        <v>519.757811468319</v>
      </c>
      <c r="BR80" s="56" t="n">
        <v>21.3300115435639</v>
      </c>
      <c r="BS80" s="56" t="n">
        <v>28.9977619851305</v>
      </c>
      <c r="BT80" s="56" t="n">
        <v>14.7116627594661</v>
      </c>
      <c r="BU80" s="55"/>
      <c r="BV80" s="55"/>
      <c r="BW80" s="55"/>
      <c r="BX80" s="55"/>
      <c r="BY80" s="79" t="n">
        <v>0.296703296703297</v>
      </c>
      <c r="BZ80" s="80" t="n">
        <v>0.438688</v>
      </c>
      <c r="CA80" s="81" t="n">
        <v>3.65</v>
      </c>
      <c r="CB80" s="81" t="n">
        <v>0.304</v>
      </c>
      <c r="CC80" s="82" t="n">
        <v>4.29243</v>
      </c>
      <c r="CD80" s="82" t="n">
        <v>6.641945</v>
      </c>
      <c r="CE80" s="83" t="n">
        <v>92.225376</v>
      </c>
      <c r="CF80" s="84" t="n">
        <v>39.410765</v>
      </c>
      <c r="CG80" s="80" t="n">
        <v>0.1025</v>
      </c>
      <c r="CH80" s="63" t="n">
        <v>77843.4317516788</v>
      </c>
      <c r="CI80" s="63" t="n">
        <v>5138.05091502121</v>
      </c>
      <c r="CJ80" s="64" t="n">
        <v>372244.297135419</v>
      </c>
      <c r="CK80" s="65" t="n">
        <v>1.3802900285003</v>
      </c>
    </row>
    <row r="81" customFormat="false" ht="15" hidden="false" customHeight="false" outlineLevel="0" collapsed="false">
      <c r="A81" s="7" t="s">
        <v>73</v>
      </c>
      <c r="B81" s="66" t="n">
        <v>79</v>
      </c>
      <c r="C81" s="8" t="s">
        <v>157</v>
      </c>
      <c r="D81" s="67" t="n">
        <v>41659</v>
      </c>
      <c r="E81" s="4" t="s">
        <v>75</v>
      </c>
      <c r="F81" s="7" t="n">
        <v>269</v>
      </c>
      <c r="G81" s="68" t="n">
        <v>1</v>
      </c>
      <c r="H81" s="68" t="n">
        <v>117</v>
      </c>
      <c r="I81" s="66" t="n">
        <v>3</v>
      </c>
      <c r="J81" s="69" t="n">
        <v>652.994047619048</v>
      </c>
      <c r="K81" s="31" t="n">
        <v>522.721492456308</v>
      </c>
      <c r="L81" s="31" t="n">
        <v>938.807420247663</v>
      </c>
      <c r="M81" s="31" t="n">
        <v>170.701037306416</v>
      </c>
      <c r="N81" s="31" t="n">
        <v>328.408320374921</v>
      </c>
      <c r="O81" s="32"/>
      <c r="P81" s="33" t="n">
        <v>69.7244122340863</v>
      </c>
      <c r="Q81" s="33" t="n">
        <v>11.4755762620617</v>
      </c>
      <c r="R81" s="31" t="n">
        <v>138.475386344062</v>
      </c>
      <c r="S81" s="34" t="s">
        <v>76</v>
      </c>
      <c r="T81" s="35" t="n">
        <v>18.83240201</v>
      </c>
      <c r="U81" s="35" t="n">
        <v>4.8563565</v>
      </c>
      <c r="V81" s="70" t="n">
        <v>23.68875851</v>
      </c>
      <c r="W81" s="35" t="n">
        <v>22.2338986672792</v>
      </c>
      <c r="X81" s="35" t="n">
        <v>4.1290545679951</v>
      </c>
      <c r="Y81" s="35" t="n">
        <v>7.18323836864605</v>
      </c>
      <c r="Z81" s="35"/>
      <c r="AA81" s="35" t="n">
        <v>1.47553677590744</v>
      </c>
      <c r="AB81" s="35" t="n">
        <v>0.250442917479527</v>
      </c>
      <c r="AC81" s="71" t="n">
        <v>3.62509593207977</v>
      </c>
      <c r="AD81" s="38" t="n">
        <v>4.81545763384145</v>
      </c>
      <c r="AE81" s="38" t="n">
        <v>4.08703678167252</v>
      </c>
      <c r="AF81" s="38" t="n">
        <v>1.06873041305593</v>
      </c>
      <c r="AG81" s="72"/>
      <c r="AH81" s="72"/>
      <c r="AI81" s="73" t="n">
        <v>52.008123946413</v>
      </c>
      <c r="AJ81" s="42" t="s">
        <v>16</v>
      </c>
      <c r="AK81" s="43" t="n">
        <v>796.719712778167</v>
      </c>
      <c r="AL81" s="43" t="n">
        <v>816.179931246729</v>
      </c>
      <c r="AM81" s="43" t="n">
        <v>741.168251604177</v>
      </c>
      <c r="AN81" s="74"/>
      <c r="AO81" s="75" t="n">
        <v>47.0285714285714</v>
      </c>
      <c r="AP81" s="76" t="n">
        <v>1.75374635122839</v>
      </c>
      <c r="AQ81" s="76" t="n">
        <v>1.41915454049136</v>
      </c>
      <c r="AR81" s="76" t="n">
        <v>2.18308425841674</v>
      </c>
      <c r="AS81" s="77" t="n">
        <v>45.1176238398544</v>
      </c>
      <c r="AT81" s="78" t="n">
        <v>44.1381306352619</v>
      </c>
      <c r="AU81" s="78" t="n">
        <v>37.2910828025478</v>
      </c>
      <c r="AV81" s="78" t="n">
        <v>30.1764331210191</v>
      </c>
      <c r="AW81" s="78" t="n">
        <v>46.4203821656051</v>
      </c>
      <c r="AX81" s="78" t="n">
        <v>25.5923566878981</v>
      </c>
      <c r="AY81" s="48" t="n">
        <v>1.86325216733622</v>
      </c>
      <c r="AZ81" s="48" t="n">
        <v>28.7032653418142</v>
      </c>
      <c r="BA81" s="48" t="n">
        <v>-5.01450683181424</v>
      </c>
      <c r="BB81" s="49" t="n">
        <f aca="false">AT81/V81</f>
        <v>1.86325216733622</v>
      </c>
      <c r="BC81" s="49" t="n">
        <f aca="false">AS81/V81</f>
        <v>1.90460060711111</v>
      </c>
      <c r="BD81" s="49" t="n">
        <f aca="false">SUM(AP81:AR81)/V81</f>
        <v>0.226098178504184</v>
      </c>
      <c r="BE81" s="50" t="n">
        <v>7.16</v>
      </c>
      <c r="BF81" s="51" t="n">
        <v>90.4173535979014</v>
      </c>
      <c r="BG81" s="51" t="n">
        <v>644.846563966435</v>
      </c>
      <c r="BH81" s="51" t="n">
        <v>165.971215179172</v>
      </c>
      <c r="BI81" s="51" t="n">
        <v>149.840383444295</v>
      </c>
      <c r="BJ81" s="51" t="n">
        <v>12.1395361480174</v>
      </c>
      <c r="BK81" s="51" t="n">
        <v>9.83798953390655</v>
      </c>
      <c r="BL81" s="51" t="n">
        <v>12.3891873500643</v>
      </c>
      <c r="BM81" s="51"/>
      <c r="BN81" s="52" t="n">
        <f aca="false">(BG81*0.5-BH81*0.25+BI81*0.5)/SUM(BG81:BI81)*1000</f>
        <v>370.423823757673</v>
      </c>
      <c r="BO81" s="53" t="n">
        <v>4.85680346</v>
      </c>
      <c r="BP81" s="54" t="s">
        <v>77</v>
      </c>
      <c r="BQ81" s="55" t="n">
        <v>527.12712443347</v>
      </c>
      <c r="BR81" s="56" t="n">
        <v>22.2522055856557</v>
      </c>
      <c r="BS81" s="56" t="n">
        <v>29.0478391115968</v>
      </c>
      <c r="BT81" s="56" t="n">
        <v>11.9426699057424</v>
      </c>
      <c r="BU81" s="55"/>
      <c r="BV81" s="55"/>
      <c r="BW81" s="55"/>
      <c r="BX81" s="55"/>
      <c r="BY81" s="79" t="n">
        <v>0.425274725274725</v>
      </c>
      <c r="BZ81" s="80" t="n">
        <v>0.632926</v>
      </c>
      <c r="CA81" s="81" t="n">
        <v>3.82</v>
      </c>
      <c r="CB81" s="81" t="n">
        <v>0.061</v>
      </c>
      <c r="CC81" s="82" t="n">
        <v>5.39795</v>
      </c>
      <c r="CD81" s="82" t="n">
        <v>7.938825</v>
      </c>
      <c r="CE81" s="83" t="n">
        <v>76.620888</v>
      </c>
      <c r="CF81" s="84" t="n">
        <v>38.101709</v>
      </c>
      <c r="CG81" s="80" t="n">
        <v>0.092</v>
      </c>
      <c r="CH81" s="63" t="n">
        <v>120082.057205917</v>
      </c>
      <c r="CI81" s="63" t="n">
        <v>7160.55639418783</v>
      </c>
      <c r="CJ81" s="64" t="n">
        <v>329645.861436756</v>
      </c>
      <c r="CK81" s="65" t="n">
        <v>2.1721966606766</v>
      </c>
    </row>
    <row r="82" customFormat="false" ht="15" hidden="false" customHeight="false" outlineLevel="0" collapsed="false">
      <c r="A82" s="7" t="s">
        <v>73</v>
      </c>
      <c r="B82" s="66" t="n">
        <v>80</v>
      </c>
      <c r="C82" s="8" t="s">
        <v>158</v>
      </c>
      <c r="D82" s="67" t="n">
        <v>41659</v>
      </c>
      <c r="E82" s="4" t="s">
        <v>75</v>
      </c>
      <c r="F82" s="7" t="n">
        <v>336</v>
      </c>
      <c r="G82" s="68" t="n">
        <v>1</v>
      </c>
      <c r="H82" s="68" t="n">
        <v>116</v>
      </c>
      <c r="I82" s="66" t="n">
        <v>1</v>
      </c>
      <c r="J82" s="69" t="n">
        <v>618.989285714286</v>
      </c>
      <c r="K82" s="31" t="n">
        <v>522.721492456308</v>
      </c>
      <c r="L82" s="31" t="n">
        <v>938.807420247663</v>
      </c>
      <c r="M82" s="31" t="n">
        <v>170.701037306416</v>
      </c>
      <c r="N82" s="31" t="n">
        <v>328.408320374921</v>
      </c>
      <c r="O82" s="32"/>
      <c r="P82" s="33" t="n">
        <v>69.7244122340863</v>
      </c>
      <c r="Q82" s="33" t="n">
        <v>11.4755762620617</v>
      </c>
      <c r="R82" s="31" t="n">
        <v>138.475386344062</v>
      </c>
      <c r="S82" s="34" t="s">
        <v>76</v>
      </c>
      <c r="T82" s="35" t="n">
        <v>18.1489390771429</v>
      </c>
      <c r="U82" s="35" t="n">
        <v>5.14792564285714</v>
      </c>
      <c r="V82" s="70" t="n">
        <v>23.29686472</v>
      </c>
      <c r="W82" s="35" t="n">
        <v>21.8656686491058</v>
      </c>
      <c r="X82" s="35" t="n">
        <v>4.06728272668162</v>
      </c>
      <c r="Y82" s="35" t="n">
        <v>7.01873331025649</v>
      </c>
      <c r="Z82" s="35"/>
      <c r="AA82" s="35" t="n">
        <v>1.43763652237305</v>
      </c>
      <c r="AB82" s="35" t="n">
        <v>0.24466092884296</v>
      </c>
      <c r="AC82" s="71" t="n">
        <v>3.59152877468625</v>
      </c>
      <c r="AD82" s="38" t="n">
        <v>4.67063602609404</v>
      </c>
      <c r="AE82" s="38" t="n">
        <v>4.0516972290641</v>
      </c>
      <c r="AF82" s="38" t="n">
        <v>0.872135012179789</v>
      </c>
      <c r="AG82" s="72"/>
      <c r="AH82" s="72"/>
      <c r="AI82" s="73" t="n">
        <v>52.3827863006412</v>
      </c>
      <c r="AJ82" s="42" t="s">
        <v>16</v>
      </c>
      <c r="AK82" s="43" t="n">
        <v>799.516540863785</v>
      </c>
      <c r="AL82" s="43" t="n">
        <v>814.700510920356</v>
      </c>
      <c r="AM82" s="43" t="n">
        <v>785.573054349399</v>
      </c>
      <c r="AN82" s="74"/>
      <c r="AO82" s="75" t="n">
        <v>38.1928571428571</v>
      </c>
      <c r="AP82" s="76" t="n">
        <v>1.38918142230576</v>
      </c>
      <c r="AQ82" s="76" t="n">
        <v>1.20109835213033</v>
      </c>
      <c r="AR82" s="76" t="n">
        <v>1.79308763784461</v>
      </c>
      <c r="AS82" s="77" t="n">
        <v>36.1148641917293</v>
      </c>
      <c r="AT82" s="78" t="n">
        <v>35.8982453084942</v>
      </c>
      <c r="AU82" s="78" t="n">
        <v>36.3728070175439</v>
      </c>
      <c r="AV82" s="78" t="n">
        <v>31.4482456140351</v>
      </c>
      <c r="AW82" s="78" t="n">
        <v>46.9482456140351</v>
      </c>
      <c r="AX82" s="78" t="n">
        <v>28.5614035087719</v>
      </c>
      <c r="AY82" s="48" t="n">
        <v>1.54090456977569</v>
      </c>
      <c r="AZ82" s="48" t="n">
        <v>24.9251684668135</v>
      </c>
      <c r="BA82" s="48" t="n">
        <v>-1.6283037468135</v>
      </c>
      <c r="BB82" s="49" t="n">
        <f aca="false">AT82/V82</f>
        <v>1.54090456977569</v>
      </c>
      <c r="BC82" s="49" t="n">
        <f aca="false">AS82/V82</f>
        <v>1.55020276873245</v>
      </c>
      <c r="BD82" s="49" t="n">
        <f aca="false">SUM(AP82:AR82)/V82</f>
        <v>0.188152674832577</v>
      </c>
      <c r="BE82" s="50" t="n">
        <v>7.16</v>
      </c>
      <c r="BF82" s="51" t="n">
        <v>116.437143777531</v>
      </c>
      <c r="BG82" s="51" t="n">
        <v>619.048150190425</v>
      </c>
      <c r="BH82" s="51" t="n">
        <v>236.366211128524</v>
      </c>
      <c r="BI82" s="51" t="n">
        <v>111.419448601253</v>
      </c>
      <c r="BJ82" s="51" t="n">
        <v>9.38314028723048</v>
      </c>
      <c r="BK82" s="51" t="n">
        <v>9.96800136821664</v>
      </c>
      <c r="BL82" s="51" t="n">
        <v>8.83992404624154</v>
      </c>
      <c r="BM82" s="51"/>
      <c r="BN82" s="52" t="n">
        <f aca="false">(BG82*0.5-BH82*0.25+BI82*0.5)/SUM(BG82:BI82)*1000</f>
        <v>316.644125880306</v>
      </c>
      <c r="BO82" s="53" t="n">
        <v>3.67059368</v>
      </c>
      <c r="BP82" s="54" t="s">
        <v>77</v>
      </c>
      <c r="BQ82" s="55" t="n">
        <v>503.511160476763</v>
      </c>
      <c r="BR82" s="56" t="n">
        <v>21.6128293024986</v>
      </c>
      <c r="BS82" s="56" t="n">
        <v>28.2649583635396</v>
      </c>
      <c r="BT82" s="56" t="n">
        <v>14.0260660695197</v>
      </c>
      <c r="BU82" s="55"/>
      <c r="BV82" s="55"/>
      <c r="BW82" s="55"/>
      <c r="BX82" s="55"/>
      <c r="BY82" s="79" t="n">
        <v>0.405494505494506</v>
      </c>
      <c r="BZ82" s="80" t="n">
        <v>0.402391</v>
      </c>
      <c r="CA82" s="81" t="n">
        <v>3.63</v>
      </c>
      <c r="CB82" s="81" t="n">
        <v>0.487</v>
      </c>
      <c r="CC82" s="82" t="n">
        <v>4.45188</v>
      </c>
      <c r="CD82" s="82" t="n">
        <v>6.953695</v>
      </c>
      <c r="CE82" s="83" t="n">
        <v>91.27152</v>
      </c>
      <c r="CF82" s="84" t="n">
        <v>38.930096</v>
      </c>
      <c r="CG82" s="80" t="n">
        <v>0.071</v>
      </c>
      <c r="CH82" s="63" t="n">
        <v>58606.8232114587</v>
      </c>
      <c r="CI82" s="63" t="n">
        <v>11808.0778002557</v>
      </c>
      <c r="CJ82" s="64" t="n">
        <v>898912.726671081</v>
      </c>
      <c r="CK82" s="65" t="n">
        <v>1.31359557495467</v>
      </c>
    </row>
    <row r="83" customFormat="false" ht="15" hidden="false" customHeight="false" outlineLevel="0" collapsed="false">
      <c r="A83" s="7" t="s">
        <v>73</v>
      </c>
      <c r="B83" s="66" t="n">
        <v>81</v>
      </c>
      <c r="C83" s="8" t="s">
        <v>159</v>
      </c>
      <c r="D83" s="67" t="n">
        <v>41659</v>
      </c>
      <c r="E83" s="4" t="s">
        <v>75</v>
      </c>
      <c r="F83" s="7" t="n">
        <v>342</v>
      </c>
      <c r="G83" s="68" t="n">
        <v>1</v>
      </c>
      <c r="H83" s="68" t="n">
        <v>134</v>
      </c>
      <c r="I83" s="66" t="n">
        <v>1</v>
      </c>
      <c r="J83" s="69" t="n">
        <v>582.976190476191</v>
      </c>
      <c r="K83" s="31" t="n">
        <v>522.721492456308</v>
      </c>
      <c r="L83" s="31" t="n">
        <v>938.807420247663</v>
      </c>
      <c r="M83" s="31" t="n">
        <v>170.701037306416</v>
      </c>
      <c r="N83" s="31" t="n">
        <v>328.408320374921</v>
      </c>
      <c r="O83" s="32"/>
      <c r="P83" s="33" t="n">
        <v>69.7244122340863</v>
      </c>
      <c r="Q83" s="33" t="n">
        <v>11.4755762620617</v>
      </c>
      <c r="R83" s="31" t="n">
        <v>138.475386344062</v>
      </c>
      <c r="S83" s="34" t="s">
        <v>76</v>
      </c>
      <c r="T83" s="35" t="n">
        <v>17.2170990957143</v>
      </c>
      <c r="U83" s="35" t="n">
        <v>3.07963771428571</v>
      </c>
      <c r="V83" s="70" t="n">
        <v>20.29673681</v>
      </c>
      <c r="W83" s="35" t="n">
        <v>19.0513765527261</v>
      </c>
      <c r="X83" s="35" t="n">
        <v>3.51880402025214</v>
      </c>
      <c r="Y83" s="35" t="n">
        <v>6.28744632800606</v>
      </c>
      <c r="Z83" s="35"/>
      <c r="AA83" s="35" t="n">
        <v>1.30347455091676</v>
      </c>
      <c r="AB83" s="35" t="n">
        <v>0.219346516243635</v>
      </c>
      <c r="AC83" s="71" t="n">
        <v>3.02924300465383</v>
      </c>
      <c r="AD83" s="38" t="n">
        <v>4.42480411217562</v>
      </c>
      <c r="AE83" s="38" t="n">
        <v>3.82263119064194</v>
      </c>
      <c r="AF83" s="38" t="n">
        <v>0.854755811024897</v>
      </c>
      <c r="AG83" s="72"/>
      <c r="AH83" s="72"/>
      <c r="AI83" s="73" t="n">
        <v>49.5720286554754</v>
      </c>
      <c r="AJ83" s="42" t="s">
        <v>16</v>
      </c>
      <c r="AK83" s="43" t="n">
        <v>781.99431004123</v>
      </c>
      <c r="AL83" s="43" t="n">
        <v>799.351444234881</v>
      </c>
      <c r="AM83" s="43" t="n">
        <v>757.089111497704</v>
      </c>
      <c r="AN83" s="74"/>
      <c r="AO83" s="75" t="n">
        <v>29.2428571428571</v>
      </c>
      <c r="AP83" s="76" t="n">
        <v>1.19149425985779</v>
      </c>
      <c r="AQ83" s="76" t="n">
        <v>0.946449702650291</v>
      </c>
      <c r="AR83" s="76" t="n">
        <v>1.32665977375566</v>
      </c>
      <c r="AS83" s="77" t="n">
        <v>29.5695567550097</v>
      </c>
      <c r="AT83" s="78" t="n">
        <v>29.0084690310401</v>
      </c>
      <c r="AU83" s="78" t="n">
        <v>40.7447963800905</v>
      </c>
      <c r="AV83" s="78" t="n">
        <v>32.3651583710407</v>
      </c>
      <c r="AW83" s="78" t="n">
        <v>45.3669683257919</v>
      </c>
      <c r="AX83" s="78" t="n">
        <v>25.0678733031674</v>
      </c>
      <c r="AY83" s="48" t="n">
        <v>1.42921836660699</v>
      </c>
      <c r="AZ83" s="48" t="n">
        <v>22.2028055634332</v>
      </c>
      <c r="BA83" s="48" t="n">
        <v>-1.90606875343319</v>
      </c>
      <c r="BB83" s="49" t="n">
        <f aca="false">AT83/V83</f>
        <v>1.42921836660699</v>
      </c>
      <c r="BC83" s="49" t="n">
        <f aca="false">AS83/V83</f>
        <v>1.45686259972791</v>
      </c>
      <c r="BD83" s="49" t="n">
        <f aca="false">SUM(AP83:AR83)/V83</f>
        <v>0.170697574132053</v>
      </c>
      <c r="BE83" s="50" t="n">
        <v>7.08</v>
      </c>
      <c r="BF83" s="51" t="n">
        <v>109.773384743484</v>
      </c>
      <c r="BG83" s="51" t="n">
        <v>647.099932982768</v>
      </c>
      <c r="BH83" s="51" t="n">
        <v>183.101493506885</v>
      </c>
      <c r="BI83" s="51" t="n">
        <v>135.440628984835</v>
      </c>
      <c r="BJ83" s="51" t="n">
        <v>9.24225852591827</v>
      </c>
      <c r="BK83" s="51" t="n">
        <v>9.76871010767904</v>
      </c>
      <c r="BL83" s="51" t="n">
        <v>10.3718515138042</v>
      </c>
      <c r="BM83" s="51"/>
      <c r="BN83" s="52" t="n">
        <f aca="false">(BG83*0.5-BH83*0.25+BI83*0.5)/SUM(BG83:BI83)*1000</f>
        <v>357.787759603442</v>
      </c>
      <c r="BO83" s="53" t="n">
        <v>3.56074674</v>
      </c>
      <c r="BP83" s="54" t="s">
        <v>77</v>
      </c>
      <c r="BQ83" s="55" t="n">
        <v>472.241942937535</v>
      </c>
      <c r="BR83" s="56" t="n">
        <v>23.2668900108546</v>
      </c>
      <c r="BS83" s="56" t="n">
        <v>31.0099047366897</v>
      </c>
      <c r="BT83" s="56" t="n">
        <v>16.2794507504763</v>
      </c>
      <c r="BU83" s="55"/>
      <c r="BV83" s="55"/>
      <c r="BW83" s="55"/>
      <c r="BX83" s="55"/>
      <c r="BY83" s="79" t="n">
        <v>0.316483516483517</v>
      </c>
      <c r="BZ83" s="80" t="n">
        <v>0.505396</v>
      </c>
      <c r="CA83" s="81" t="n">
        <v>3.91</v>
      </c>
      <c r="CB83" s="81" t="n">
        <v>0.291</v>
      </c>
      <c r="CC83" s="82" t="n">
        <v>0.63571</v>
      </c>
      <c r="CD83" s="82" t="n">
        <v>5.78775</v>
      </c>
      <c r="CE83" s="83" t="n">
        <v>87.76908</v>
      </c>
      <c r="CF83" s="84" t="n">
        <v>36.08699</v>
      </c>
      <c r="CG83" s="80" t="n">
        <v>0.5225</v>
      </c>
      <c r="CH83" s="63" t="n">
        <v>147374.406054122</v>
      </c>
      <c r="CI83" s="63" t="n">
        <v>985.043400190836</v>
      </c>
      <c r="CJ83" s="64" t="n">
        <v>118289.210875025</v>
      </c>
      <c r="CK83" s="65" t="n">
        <v>0.832741543293882</v>
      </c>
    </row>
    <row r="84" customFormat="false" ht="15" hidden="false" customHeight="false" outlineLevel="0" collapsed="false">
      <c r="A84" s="7" t="s">
        <v>73</v>
      </c>
      <c r="B84" s="66" t="n">
        <v>82</v>
      </c>
      <c r="C84" s="8" t="s">
        <v>160</v>
      </c>
      <c r="D84" s="67" t="n">
        <v>41659</v>
      </c>
      <c r="E84" s="4" t="s">
        <v>75</v>
      </c>
      <c r="F84" s="7" t="n">
        <v>349</v>
      </c>
      <c r="G84" s="68" t="n">
        <v>1</v>
      </c>
      <c r="H84" s="68" t="n">
        <v>96</v>
      </c>
      <c r="I84" s="66" t="n">
        <v>1</v>
      </c>
      <c r="J84" s="69" t="n">
        <v>584.166666666667</v>
      </c>
      <c r="K84" s="31" t="n">
        <v>522.721492456308</v>
      </c>
      <c r="L84" s="31" t="n">
        <v>938.807420247663</v>
      </c>
      <c r="M84" s="31" t="n">
        <v>170.701037306416</v>
      </c>
      <c r="N84" s="31" t="n">
        <v>328.408320374921</v>
      </c>
      <c r="O84" s="32"/>
      <c r="P84" s="33" t="n">
        <v>69.7244122340863</v>
      </c>
      <c r="Q84" s="33" t="n">
        <v>11.4755762620617</v>
      </c>
      <c r="R84" s="31" t="n">
        <v>138.475386344062</v>
      </c>
      <c r="S84" s="34" t="s">
        <v>76</v>
      </c>
      <c r="T84" s="35" t="n">
        <v>19.0701019971429</v>
      </c>
      <c r="U84" s="35" t="n">
        <v>4.40059564285714</v>
      </c>
      <c r="V84" s="70" t="n">
        <v>23.47069764</v>
      </c>
      <c r="W84" s="35" t="n">
        <v>22.0296773612421</v>
      </c>
      <c r="X84" s="35" t="n">
        <v>4.08382056098716</v>
      </c>
      <c r="Y84" s="35" t="n">
        <v>7.16759152593868</v>
      </c>
      <c r="Z84" s="35"/>
      <c r="AA84" s="35" t="n">
        <v>1.47686380112522</v>
      </c>
      <c r="AB84" s="35" t="n">
        <v>0.249948825627406</v>
      </c>
      <c r="AC84" s="71" t="n">
        <v>3.56254229008574</v>
      </c>
      <c r="AD84" s="38" t="n">
        <v>4.88453350664475</v>
      </c>
      <c r="AE84" s="38" t="n">
        <v>4.22261206432885</v>
      </c>
      <c r="AF84" s="38" t="n">
        <v>1.04976293900848</v>
      </c>
      <c r="AG84" s="72"/>
      <c r="AH84" s="72"/>
      <c r="AI84" s="73" t="n">
        <v>51.171483476853</v>
      </c>
      <c r="AJ84" s="42" t="s">
        <v>16</v>
      </c>
      <c r="AK84" s="43" t="n">
        <v>791.888013660051</v>
      </c>
      <c r="AL84" s="43" t="n">
        <v>808.321656505152</v>
      </c>
      <c r="AM84" s="43" t="n">
        <v>742.945870580875</v>
      </c>
      <c r="AN84" s="74"/>
      <c r="AO84" s="75" t="n">
        <v>35.2642857142857</v>
      </c>
      <c r="AP84" s="76" t="n">
        <v>1.59566974603175</v>
      </c>
      <c r="AQ84" s="76" t="n">
        <v>1.17105416099773</v>
      </c>
      <c r="AR84" s="76" t="n">
        <v>1.60923809977324</v>
      </c>
      <c r="AS84" s="77" t="n">
        <v>38.0407604761905</v>
      </c>
      <c r="AT84" s="78" t="n">
        <v>37.1975894438523</v>
      </c>
      <c r="AU84" s="78" t="n">
        <v>45.2488888888889</v>
      </c>
      <c r="AV84" s="78" t="n">
        <v>33.2079365079365</v>
      </c>
      <c r="AW84" s="78" t="n">
        <v>45.6336507936508</v>
      </c>
      <c r="AX84" s="78" t="n">
        <v>25.9206349206349</v>
      </c>
      <c r="AY84" s="48" t="n">
        <v>1.58485231305857</v>
      </c>
      <c r="AZ84" s="48" t="n">
        <v>24.7421918856626</v>
      </c>
      <c r="BA84" s="48" t="n">
        <v>-1.27149424566261</v>
      </c>
      <c r="BB84" s="49" t="n">
        <f aca="false">AT84/V84</f>
        <v>1.58485231305857</v>
      </c>
      <c r="BC84" s="49" t="n">
        <f aca="false">AS84/V84</f>
        <v>1.62077672592737</v>
      </c>
      <c r="BD84" s="49" t="n">
        <f aca="false">SUM(AP84:AR84)/V84</f>
        <v>0.186443627450808</v>
      </c>
      <c r="BE84" s="50" t="n">
        <v>6.95</v>
      </c>
      <c r="BF84" s="51" t="n">
        <v>135.688125868334</v>
      </c>
      <c r="BG84" s="51" t="n">
        <v>593.046885018358</v>
      </c>
      <c r="BH84" s="51" t="n">
        <v>208.971081274721</v>
      </c>
      <c r="BI84" s="51" t="n">
        <v>152.522884809757</v>
      </c>
      <c r="BJ84" s="51" t="n">
        <v>11.5790764951295</v>
      </c>
      <c r="BK84" s="51" t="n">
        <v>14.4924406357328</v>
      </c>
      <c r="BL84" s="51" t="n">
        <v>14.4125073881918</v>
      </c>
      <c r="BM84" s="51"/>
      <c r="BN84" s="52" t="n">
        <f aca="false">(BG84*0.5-BH84*0.25+BI84*0.5)/SUM(BG84:BI84)*1000</f>
        <v>335.807644298341</v>
      </c>
      <c r="BO84" s="53" t="n">
        <v>8.89335794</v>
      </c>
      <c r="BP84" s="54" t="s">
        <v>77</v>
      </c>
      <c r="BQ84" s="55" t="n">
        <v>443.986820580474</v>
      </c>
      <c r="BR84" s="56" t="n">
        <v>18.9166435267696</v>
      </c>
      <c r="BS84" s="56" t="n">
        <v>24.933183159464</v>
      </c>
      <c r="BT84" s="56" t="n">
        <v>11.935903030777</v>
      </c>
      <c r="BU84" s="55"/>
      <c r="BV84" s="55"/>
      <c r="BW84" s="55"/>
      <c r="BX84" s="55"/>
      <c r="BY84" s="79" t="n">
        <v>0.346153846153846</v>
      </c>
      <c r="BZ84" s="80" t="n">
        <v>0.518149</v>
      </c>
      <c r="CA84" s="81" t="n">
        <v>3.84</v>
      </c>
      <c r="CB84" s="81" t="n">
        <v>0.262</v>
      </c>
      <c r="CC84" s="82" t="n">
        <v>4.19676</v>
      </c>
      <c r="CD84" s="82" t="n">
        <v>5.99974</v>
      </c>
      <c r="CE84" s="83" t="n">
        <v>89.572464</v>
      </c>
      <c r="CF84" s="84" t="n">
        <v>37.21196</v>
      </c>
      <c r="CG84" s="80" t="n">
        <v>0.281</v>
      </c>
      <c r="CH84" s="63" t="n">
        <v>156084.234459665</v>
      </c>
      <c r="CI84" s="63" t="n">
        <v>2852.91518439952</v>
      </c>
      <c r="CJ84" s="64" t="n">
        <v>325620.348377258</v>
      </c>
      <c r="CK84" s="65" t="n">
        <v>0.87614769734666</v>
      </c>
    </row>
    <row r="85" customFormat="false" ht="15" hidden="false" customHeight="false" outlineLevel="0" collapsed="false">
      <c r="A85" s="7" t="s">
        <v>73</v>
      </c>
      <c r="B85" s="66" t="n">
        <v>83</v>
      </c>
      <c r="C85" s="8" t="s">
        <v>161</v>
      </c>
      <c r="D85" s="67" t="n">
        <v>41659</v>
      </c>
      <c r="E85" s="4" t="s">
        <v>75</v>
      </c>
      <c r="F85" s="7" t="n">
        <v>416</v>
      </c>
      <c r="G85" s="68" t="n">
        <v>1</v>
      </c>
      <c r="H85" s="68" t="n">
        <v>119</v>
      </c>
      <c r="I85" s="66" t="n">
        <v>4</v>
      </c>
      <c r="J85" s="69" t="n">
        <v>737.571428571429</v>
      </c>
      <c r="K85" s="31" t="n">
        <v>522.721492456308</v>
      </c>
      <c r="L85" s="31" t="n">
        <v>938.807420247663</v>
      </c>
      <c r="M85" s="31" t="n">
        <v>170.701037306416</v>
      </c>
      <c r="N85" s="31" t="n">
        <v>328.408320374921</v>
      </c>
      <c r="O85" s="32"/>
      <c r="P85" s="33" t="n">
        <v>69.7244122340863</v>
      </c>
      <c r="Q85" s="33" t="n">
        <v>11.4755762620617</v>
      </c>
      <c r="R85" s="31" t="n">
        <v>138.475386344062</v>
      </c>
      <c r="S85" s="34" t="s">
        <v>76</v>
      </c>
      <c r="T85" s="35" t="n">
        <v>16.3525595</v>
      </c>
      <c r="U85" s="35" t="n">
        <v>2.9579665</v>
      </c>
      <c r="V85" s="70" t="n">
        <v>19.310526</v>
      </c>
      <c r="W85" s="35" t="n">
        <v>18.1256469017067</v>
      </c>
      <c r="X85" s="35" t="n">
        <v>3.348318228626</v>
      </c>
      <c r="Y85" s="35" t="n">
        <v>5.9785073779204</v>
      </c>
      <c r="Z85" s="35"/>
      <c r="AA85" s="35" t="n">
        <v>1.23912479565904</v>
      </c>
      <c r="AB85" s="35" t="n">
        <v>0.208565315633646</v>
      </c>
      <c r="AC85" s="71" t="n">
        <v>2.88403881049065</v>
      </c>
      <c r="AD85" s="38" t="n">
        <v>4.83014542719371</v>
      </c>
      <c r="AE85" s="38" t="n">
        <v>4.2401761782259</v>
      </c>
      <c r="AF85" s="38" t="n">
        <v>0.886049901476681</v>
      </c>
      <c r="AG85" s="72"/>
      <c r="AH85" s="72"/>
      <c r="AI85" s="73" t="n">
        <v>43.1799246580493</v>
      </c>
      <c r="AJ85" s="42" t="s">
        <v>16</v>
      </c>
      <c r="AK85" s="43" t="n">
        <v>749.869815706019</v>
      </c>
      <c r="AL85" s="43" t="n">
        <v>766.067594650834</v>
      </c>
      <c r="AM85" s="43" t="n">
        <v>735.374644530046</v>
      </c>
      <c r="AN85" s="74"/>
      <c r="AO85" s="75" t="n">
        <v>33.0428571428571</v>
      </c>
      <c r="AP85" s="76" t="n">
        <v>1.44329256302521</v>
      </c>
      <c r="AQ85" s="76" t="n">
        <v>1.07705136554622</v>
      </c>
      <c r="AR85" s="76" t="n">
        <v>1.46404153361345</v>
      </c>
      <c r="AS85" s="77" t="n">
        <v>34.866531302521</v>
      </c>
      <c r="AT85" s="78" t="n">
        <v>33.8350262162126</v>
      </c>
      <c r="AU85" s="78" t="n">
        <v>43.6794117647059</v>
      </c>
      <c r="AV85" s="78" t="n">
        <v>32.5955882352941</v>
      </c>
      <c r="AW85" s="78" t="n">
        <v>44.3073529411765</v>
      </c>
      <c r="AX85" s="78" t="n">
        <v>37.0882352941176</v>
      </c>
      <c r="AY85" s="48" t="n">
        <v>1.75215456151803</v>
      </c>
      <c r="AZ85" s="48" t="n">
        <v>26.1665466222917</v>
      </c>
      <c r="BA85" s="48" t="n">
        <v>-6.85602062229169</v>
      </c>
      <c r="BB85" s="49" t="n">
        <f aca="false">AT85/V85</f>
        <v>1.75215456151803</v>
      </c>
      <c r="BC85" s="49" t="n">
        <f aca="false">AS85/V85</f>
        <v>1.8055712880385</v>
      </c>
      <c r="BD85" s="49" t="n">
        <f aca="false">SUM(AP85:AR85)/V85</f>
        <v>0.206332311309639</v>
      </c>
      <c r="BE85" s="50" t="n">
        <v>7.14</v>
      </c>
      <c r="BF85" s="51" t="n">
        <v>98.2445196946401</v>
      </c>
      <c r="BG85" s="51" t="n">
        <v>633.989763401796</v>
      </c>
      <c r="BH85" s="51" t="n">
        <v>229.088803319409</v>
      </c>
      <c r="BI85" s="51" t="n">
        <v>98.0041687057485</v>
      </c>
      <c r="BJ85" s="51" t="n">
        <v>10.5375203695218</v>
      </c>
      <c r="BK85" s="51" t="n">
        <v>10.0667654479506</v>
      </c>
      <c r="BL85" s="51" t="n">
        <v>13.3378543774646</v>
      </c>
      <c r="BM85" s="51"/>
      <c r="BN85" s="52" t="n">
        <f aca="false">(BG85*0.5-BH85*0.25+BI85*0.5)/SUM(BG85:BI85)*1000</f>
        <v>321.226002553018</v>
      </c>
      <c r="BO85" s="53" t="n">
        <v>3.9592314</v>
      </c>
      <c r="BP85" s="54" t="s">
        <v>77</v>
      </c>
      <c r="BQ85" s="55" t="n">
        <v>461.05268689122</v>
      </c>
      <c r="BR85" s="56" t="n">
        <v>23.8757187086059</v>
      </c>
      <c r="BS85" s="56" t="n">
        <v>33.2039652146301</v>
      </c>
      <c r="BT85" s="56" t="n">
        <v>13.6264911971695</v>
      </c>
      <c r="BU85" s="55"/>
      <c r="BV85" s="55"/>
      <c r="BW85" s="55"/>
      <c r="BX85" s="55"/>
      <c r="BY85" s="79" t="n">
        <v>0.415384615384615</v>
      </c>
      <c r="BZ85" s="80" t="n">
        <v>0.288595</v>
      </c>
      <c r="CA85" s="81" t="n">
        <v>3.69</v>
      </c>
      <c r="CB85" s="81" t="n">
        <v>0.03</v>
      </c>
      <c r="CC85" s="82" t="n">
        <v>5.84441</v>
      </c>
      <c r="CD85" s="82" t="n">
        <v>5.320125</v>
      </c>
      <c r="CE85" s="83" t="n">
        <v>94.557852</v>
      </c>
      <c r="CF85" s="84" t="n">
        <v>35.26883</v>
      </c>
      <c r="CG85" s="80" t="n">
        <v>0.155</v>
      </c>
      <c r="CH85" s="63"/>
      <c r="CI85" s="63"/>
      <c r="CJ85" s="64"/>
      <c r="CK85" s="65"/>
    </row>
    <row r="86" customFormat="false" ht="15" hidden="false" customHeight="false" outlineLevel="0" collapsed="false">
      <c r="A86" s="7" t="s">
        <v>73</v>
      </c>
      <c r="B86" s="66" t="n">
        <v>84</v>
      </c>
      <c r="C86" s="8" t="s">
        <v>162</v>
      </c>
      <c r="D86" s="67" t="n">
        <v>41659</v>
      </c>
      <c r="E86" s="4" t="s">
        <v>75</v>
      </c>
      <c r="F86" s="7" t="n">
        <v>608</v>
      </c>
      <c r="G86" s="68" t="n">
        <v>1</v>
      </c>
      <c r="H86" s="68" t="n">
        <v>91</v>
      </c>
      <c r="I86" s="66" t="n">
        <v>4</v>
      </c>
      <c r="J86" s="69" t="n">
        <v>681.970238095238</v>
      </c>
      <c r="K86" s="31" t="n">
        <v>522.721492456308</v>
      </c>
      <c r="L86" s="31" t="n">
        <v>938.807420247663</v>
      </c>
      <c r="M86" s="31" t="n">
        <v>170.701037306416</v>
      </c>
      <c r="N86" s="31" t="n">
        <v>328.408320374921</v>
      </c>
      <c r="O86" s="32"/>
      <c r="P86" s="33" t="n">
        <v>69.7244122340863</v>
      </c>
      <c r="Q86" s="33" t="n">
        <v>11.4755762620617</v>
      </c>
      <c r="R86" s="31" t="n">
        <v>138.475386344062</v>
      </c>
      <c r="S86" s="34" t="s">
        <v>76</v>
      </c>
      <c r="T86" s="35" t="n">
        <v>22.1126059742857</v>
      </c>
      <c r="U86" s="35" t="n">
        <v>5.53011928571429</v>
      </c>
      <c r="V86" s="70" t="n">
        <v>27.64272526</v>
      </c>
      <c r="W86" s="35" t="n">
        <v>25.9451789539838</v>
      </c>
      <c r="X86" s="35" t="n">
        <v>4.81584334731895</v>
      </c>
      <c r="Y86" s="35" t="n">
        <v>8.39901775804031</v>
      </c>
      <c r="Z86" s="35"/>
      <c r="AA86" s="35" t="n">
        <v>1.72678630607062</v>
      </c>
      <c r="AB86" s="35" t="n">
        <v>0.292848070024772</v>
      </c>
      <c r="AC86" s="71" t="n">
        <v>4.22045803129577</v>
      </c>
      <c r="AD86" s="38" t="n">
        <v>6.15345754937548</v>
      </c>
      <c r="AE86" s="38" t="n">
        <v>5.31795469246581</v>
      </c>
      <c r="AF86" s="38" t="n">
        <v>1.08968194175655</v>
      </c>
      <c r="AG86" s="72"/>
      <c r="AH86" s="72"/>
      <c r="AI86" s="73" t="n">
        <v>47.5908166546942</v>
      </c>
      <c r="AJ86" s="42" t="s">
        <v>16</v>
      </c>
      <c r="AK86" s="43" t="n">
        <v>777.393238492308</v>
      </c>
      <c r="AL86" s="43" t="n">
        <v>795.031103778559</v>
      </c>
      <c r="AM86" s="43" t="n">
        <v>773.729778323625</v>
      </c>
      <c r="AN86" s="74"/>
      <c r="AO86" s="75" t="n">
        <v>48.1071428571429</v>
      </c>
      <c r="AP86" s="76" t="n">
        <v>1.66572676056338</v>
      </c>
      <c r="AQ86" s="76" t="n">
        <v>1.33435662977867</v>
      </c>
      <c r="AR86" s="76" t="n">
        <v>2.14086271629779</v>
      </c>
      <c r="AS86" s="77" t="n">
        <v>44.2287585513078</v>
      </c>
      <c r="AT86" s="78" t="n">
        <v>42.1956855270476</v>
      </c>
      <c r="AU86" s="78" t="n">
        <v>34.6253521126761</v>
      </c>
      <c r="AV86" s="78" t="n">
        <v>27.7371830985915</v>
      </c>
      <c r="AW86" s="78" t="n">
        <v>44.5019718309859</v>
      </c>
      <c r="AX86" s="78" t="n">
        <v>39.1380281690141</v>
      </c>
      <c r="AY86" s="48" t="n">
        <v>1.52646619065835</v>
      </c>
      <c r="AZ86" s="48" t="n">
        <v>28.1747516988037</v>
      </c>
      <c r="BA86" s="48" t="n">
        <v>-0.53202643880368</v>
      </c>
      <c r="BB86" s="49" t="n">
        <f aca="false">AT86/V86</f>
        <v>1.52646619065835</v>
      </c>
      <c r="BC86" s="49" t="n">
        <f aca="false">AS86/V86</f>
        <v>1.60001440289639</v>
      </c>
      <c r="BD86" s="49" t="n">
        <f aca="false">SUM(AP86:AR86)/V86</f>
        <v>0.185978265828911</v>
      </c>
      <c r="BE86" s="50" t="n">
        <v>7.23</v>
      </c>
      <c r="BF86" s="51" t="n">
        <v>70.4193485691844</v>
      </c>
      <c r="BG86" s="51" t="n">
        <v>604.733614413356</v>
      </c>
      <c r="BH86" s="51" t="n">
        <v>191.02892705822</v>
      </c>
      <c r="BI86" s="51" t="n">
        <v>154.532626472389</v>
      </c>
      <c r="BJ86" s="51" t="n">
        <v>14.1637930676308</v>
      </c>
      <c r="BK86" s="51" t="n">
        <v>13.035300286038</v>
      </c>
      <c r="BL86" s="51" t="n">
        <v>17.5306143242572</v>
      </c>
      <c r="BM86" s="51"/>
      <c r="BN86" s="52" t="n">
        <f aca="false">(BG86*0.5-BH86*0.25+BI86*0.5)/SUM(BG86:BI86)*1000</f>
        <v>349.234532462536</v>
      </c>
      <c r="BO86" s="53" t="n">
        <v>4.85484528</v>
      </c>
      <c r="BP86" s="54" t="s">
        <v>77</v>
      </c>
      <c r="BQ86" s="55" t="n">
        <v>421.861655752953</v>
      </c>
      <c r="BR86" s="56" t="n">
        <v>15.2612179799581</v>
      </c>
      <c r="BS86" s="56" t="n">
        <v>20.4516928891871</v>
      </c>
      <c r="BT86" s="56" t="n">
        <v>9.99774385659733</v>
      </c>
      <c r="BU86" s="55"/>
      <c r="BV86" s="55"/>
      <c r="BW86" s="55"/>
      <c r="BX86" s="55"/>
      <c r="BY86" s="79" t="n">
        <v>0.128571428571429</v>
      </c>
      <c r="BZ86" s="80" t="n">
        <v>0.400429</v>
      </c>
      <c r="CA86" s="81" t="n">
        <v>3.89</v>
      </c>
      <c r="CB86" s="81" t="n">
        <v>0.515</v>
      </c>
      <c r="CC86" s="82" t="n">
        <v>5.8763</v>
      </c>
      <c r="CD86" s="82" t="n">
        <v>7.82036</v>
      </c>
      <c r="CE86" s="83" t="n">
        <v>85.429152</v>
      </c>
      <c r="CF86" s="84" t="n">
        <v>38.889188</v>
      </c>
      <c r="CG86" s="80" t="n">
        <v>0.029</v>
      </c>
      <c r="CH86" s="63" t="n">
        <v>158883.753616534</v>
      </c>
      <c r="CI86" s="63" t="n">
        <v>2054.82485369498</v>
      </c>
      <c r="CJ86" s="64" t="n">
        <v>267731.703785048</v>
      </c>
      <c r="CK86" s="65" t="n">
        <v>0.767494034006792</v>
      </c>
    </row>
    <row r="87" customFormat="false" ht="15" hidden="false" customHeight="false" outlineLevel="0" collapsed="false">
      <c r="A87" s="7" t="s">
        <v>73</v>
      </c>
      <c r="B87" s="66" t="n">
        <v>85</v>
      </c>
      <c r="C87" s="8" t="s">
        <v>163</v>
      </c>
      <c r="D87" s="67" t="n">
        <v>41659</v>
      </c>
      <c r="E87" s="4" t="s">
        <v>75</v>
      </c>
      <c r="F87" s="7" t="n">
        <v>12</v>
      </c>
      <c r="G87" s="68" t="n">
        <v>1</v>
      </c>
      <c r="H87" s="68" t="n">
        <v>102</v>
      </c>
      <c r="I87" s="66" t="n">
        <v>3</v>
      </c>
      <c r="J87" s="69" t="n">
        <v>637.095238095238</v>
      </c>
      <c r="K87" s="31" t="n">
        <v>522.721492456308</v>
      </c>
      <c r="L87" s="31" t="n">
        <v>938.807420247663</v>
      </c>
      <c r="M87" s="31" t="n">
        <v>170.701037306416</v>
      </c>
      <c r="N87" s="31" t="n">
        <v>328.408320374921</v>
      </c>
      <c r="O87" s="32"/>
      <c r="P87" s="33" t="n">
        <v>69.7244122340863</v>
      </c>
      <c r="Q87" s="33" t="n">
        <v>11.4755762620617</v>
      </c>
      <c r="R87" s="31" t="n">
        <v>138.475386344062</v>
      </c>
      <c r="S87" s="34" t="s">
        <v>76</v>
      </c>
      <c r="T87" s="35" t="n">
        <v>19.3877521285714</v>
      </c>
      <c r="U87" s="35" t="n">
        <v>5.22591057142857</v>
      </c>
      <c r="V87" s="70" t="n">
        <v>24.6136627</v>
      </c>
      <c r="W87" s="35" t="n">
        <v>23.1018035179816</v>
      </c>
      <c r="X87" s="35" t="n">
        <v>4.29343222864079</v>
      </c>
      <c r="Y87" s="35" t="n">
        <v>7.44160439154817</v>
      </c>
      <c r="Z87" s="35"/>
      <c r="AA87" s="35" t="n">
        <v>1.52662084673734</v>
      </c>
      <c r="AB87" s="35" t="n">
        <v>0.25942830867477</v>
      </c>
      <c r="AC87" s="71" t="n">
        <v>3.77940956687859</v>
      </c>
      <c r="AD87" s="38" t="n">
        <v>5.43477337785676</v>
      </c>
      <c r="AE87" s="38" t="n">
        <v>4.7276750959987</v>
      </c>
      <c r="AF87" s="38" t="n">
        <v>1.07464088707825</v>
      </c>
      <c r="AG87" s="72"/>
      <c r="AH87" s="72"/>
      <c r="AI87" s="73" t="n">
        <v>47.7348898726441</v>
      </c>
      <c r="AJ87" s="42" t="s">
        <v>16</v>
      </c>
      <c r="AK87" s="43" t="n">
        <v>779.196885725717</v>
      </c>
      <c r="AL87" s="43" t="n">
        <v>795.35471798473</v>
      </c>
      <c r="AM87" s="43" t="n">
        <v>749.701211094124</v>
      </c>
      <c r="AN87" s="74"/>
      <c r="AO87" s="75" t="n">
        <v>33.2214285714286</v>
      </c>
      <c r="AP87" s="76"/>
      <c r="AQ87" s="76"/>
      <c r="AR87" s="76"/>
      <c r="AS87" s="77"/>
      <c r="AT87" s="75"/>
      <c r="AU87" s="78"/>
      <c r="AV87" s="78"/>
      <c r="AW87" s="78"/>
      <c r="AX87" s="78"/>
      <c r="AY87" s="48"/>
      <c r="AZ87" s="48"/>
      <c r="BA87" s="48"/>
      <c r="BB87" s="49"/>
      <c r="BC87" s="49"/>
      <c r="BD87" s="49"/>
      <c r="BE87" s="50" t="n">
        <v>6.38</v>
      </c>
      <c r="BF87" s="51" t="n">
        <v>138.599387561729</v>
      </c>
      <c r="BG87" s="51" t="n">
        <v>625.194718571234</v>
      </c>
      <c r="BH87" s="51" t="n">
        <v>171.1463752864</v>
      </c>
      <c r="BI87" s="51" t="n">
        <v>153.07636459127</v>
      </c>
      <c r="BJ87" s="51" t="n">
        <v>14.1408394563735</v>
      </c>
      <c r="BK87" s="51" t="n">
        <v>11.9489368854995</v>
      </c>
      <c r="BL87" s="51" t="n">
        <v>19.5176408311134</v>
      </c>
      <c r="BM87" s="51"/>
      <c r="BN87" s="52" t="n">
        <f aca="false">(BG87*0.5-BH87*0.25+BI87*0.5)/SUM(BG87:BI87)*1000</f>
        <v>364.801536644896</v>
      </c>
      <c r="BO87" s="53" t="n">
        <v>13.71551056</v>
      </c>
      <c r="BP87" s="54" t="s">
        <v>77</v>
      </c>
      <c r="BQ87" s="55" t="n">
        <v>485.961799500703</v>
      </c>
      <c r="BR87" s="56" t="n">
        <v>19.7435792236116</v>
      </c>
      <c r="BS87" s="56" t="n">
        <v>26.4481551636101</v>
      </c>
      <c r="BT87" s="56"/>
      <c r="BU87" s="55"/>
      <c r="BV87" s="55"/>
      <c r="BW87" s="55"/>
      <c r="BX87" s="55"/>
      <c r="BY87" s="79" t="n">
        <v>0.682417582417582</v>
      </c>
      <c r="BZ87" s="80" t="n">
        <v>0.731026</v>
      </c>
      <c r="CA87" s="81" t="n">
        <v>5.23</v>
      </c>
      <c r="CB87" s="81" t="n">
        <v>0.326</v>
      </c>
      <c r="CC87" s="82" t="n">
        <v>5.27039</v>
      </c>
      <c r="CD87" s="82" t="n">
        <v>5.77528</v>
      </c>
      <c r="CE87" s="83" t="n">
        <v>79.2738</v>
      </c>
      <c r="CF87" s="84" t="n">
        <v>33.704099</v>
      </c>
      <c r="CG87" s="80" t="n">
        <v>0.1235</v>
      </c>
      <c r="CH87" s="63" t="n">
        <v>85038.7331052479</v>
      </c>
      <c r="CI87" s="63" t="n">
        <v>2547.62326618779</v>
      </c>
      <c r="CJ87" s="64" t="n">
        <v>269723.33438672</v>
      </c>
      <c r="CK87" s="65" t="n">
        <v>0.944532022778238</v>
      </c>
    </row>
    <row r="88" customFormat="false" ht="15" hidden="false" customHeight="false" outlineLevel="0" collapsed="false">
      <c r="A88" s="7" t="s">
        <v>73</v>
      </c>
      <c r="B88" s="66" t="n">
        <v>86</v>
      </c>
      <c r="C88" s="8" t="s">
        <v>164</v>
      </c>
      <c r="D88" s="67" t="n">
        <v>41659</v>
      </c>
      <c r="E88" s="4" t="s">
        <v>75</v>
      </c>
      <c r="F88" s="7" t="n">
        <v>24</v>
      </c>
      <c r="G88" s="68" t="n">
        <v>1</v>
      </c>
      <c r="H88" s="68" t="n">
        <v>119</v>
      </c>
      <c r="I88" s="66" t="n">
        <v>1</v>
      </c>
      <c r="J88" s="69" t="n">
        <v>649.485714285714</v>
      </c>
      <c r="K88" s="31" t="n">
        <v>522.721492456308</v>
      </c>
      <c r="L88" s="31" t="n">
        <v>938.807420247663</v>
      </c>
      <c r="M88" s="31" t="n">
        <v>170.701037306416</v>
      </c>
      <c r="N88" s="31" t="n">
        <v>328.408320374921</v>
      </c>
      <c r="O88" s="32"/>
      <c r="P88" s="33" t="n">
        <v>69.7244122340863</v>
      </c>
      <c r="Q88" s="33" t="n">
        <v>11.4755762620617</v>
      </c>
      <c r="R88" s="31" t="n">
        <v>138.475386344062</v>
      </c>
      <c r="S88" s="34" t="s">
        <v>76</v>
      </c>
      <c r="T88" s="35" t="n">
        <v>23.10307741</v>
      </c>
      <c r="U88" s="35" t="n">
        <v>6.299906</v>
      </c>
      <c r="V88" s="70" t="n">
        <v>29.40298341</v>
      </c>
      <c r="W88" s="35" t="n">
        <v>27.5968848574364</v>
      </c>
      <c r="X88" s="35" t="n">
        <v>5.12985158074632</v>
      </c>
      <c r="Y88" s="35" t="n">
        <v>8.88257352026543</v>
      </c>
      <c r="Z88" s="35"/>
      <c r="AA88" s="35" t="n">
        <v>1.82159784864974</v>
      </c>
      <c r="AB88" s="35" t="n">
        <v>0.309656028676365</v>
      </c>
      <c r="AC88" s="71" t="n">
        <v>4.51886287969763</v>
      </c>
      <c r="AD88" s="38" t="n">
        <v>6.82000418814093</v>
      </c>
      <c r="AE88" s="38" t="n">
        <v>5.9434805788622</v>
      </c>
      <c r="AF88" s="38" t="n">
        <v>1.42879773635628</v>
      </c>
      <c r="AG88" s="72"/>
      <c r="AH88" s="72"/>
      <c r="AI88" s="73" t="n">
        <v>45.4040818940868</v>
      </c>
      <c r="AJ88" s="42" t="s">
        <v>16</v>
      </c>
      <c r="AK88" s="43" t="n">
        <v>768.050605850377</v>
      </c>
      <c r="AL88" s="43" t="n">
        <v>784.632192743282</v>
      </c>
      <c r="AM88" s="43" t="n">
        <v>721.473864522916</v>
      </c>
      <c r="AN88" s="74"/>
      <c r="AO88" s="75" t="n">
        <v>35.0142857142857</v>
      </c>
      <c r="AP88" s="76" t="n">
        <v>1.6461843767061</v>
      </c>
      <c r="AQ88" s="76" t="n">
        <v>1.19247060054595</v>
      </c>
      <c r="AR88" s="76" t="n">
        <v>1.61384634212921</v>
      </c>
      <c r="AS88" s="77" t="n">
        <v>38.6984799363057</v>
      </c>
      <c r="AT88" s="78" t="n">
        <v>38.0014217752097</v>
      </c>
      <c r="AU88" s="78" t="n">
        <v>47.0146496815287</v>
      </c>
      <c r="AV88" s="78" t="n">
        <v>34.0566878980892</v>
      </c>
      <c r="AW88" s="78" t="n">
        <v>46.0910828025478</v>
      </c>
      <c r="AX88" s="78" t="n">
        <v>29.5668789808917</v>
      </c>
      <c r="AY88" s="48" t="n">
        <v>1.29243421476357</v>
      </c>
      <c r="AZ88" s="48" t="n">
        <v>26.3422190360143</v>
      </c>
      <c r="BA88" s="48" t="n">
        <v>3.06076437398573</v>
      </c>
      <c r="BB88" s="49" t="n">
        <f aca="false">AT88/V88</f>
        <v>1.29243421476357</v>
      </c>
      <c r="BC88" s="49" t="n">
        <f aca="false">AS88/V88</f>
        <v>1.31614127031559</v>
      </c>
      <c r="BD88" s="49" t="n">
        <f aca="false">SUM(AP88:AR88)/V88</f>
        <v>0.151430256491148</v>
      </c>
      <c r="BE88" s="50" t="n">
        <v>6.76</v>
      </c>
      <c r="BF88" s="51" t="n">
        <v>120.707877357035</v>
      </c>
      <c r="BG88" s="51" t="n">
        <v>586.224703868601</v>
      </c>
      <c r="BH88" s="51" t="n">
        <v>228.53977873112</v>
      </c>
      <c r="BI88" s="51" t="n">
        <v>136.888728502043</v>
      </c>
      <c r="BJ88" s="51" t="n">
        <v>11.1723805147748</v>
      </c>
      <c r="BK88" s="51" t="n">
        <v>13.5008168328158</v>
      </c>
      <c r="BL88" s="51" t="n">
        <v>18.6984671725358</v>
      </c>
      <c r="BM88" s="51"/>
      <c r="BN88" s="52" t="n">
        <f aca="false">(BG88*0.5-BH88*0.25+BI88*0.5)/SUM(BG88:BI88)*1000</f>
        <v>319.887295026412</v>
      </c>
      <c r="BO88" s="53" t="n">
        <v>8.8867876</v>
      </c>
      <c r="BP88" s="54" t="s">
        <v>77</v>
      </c>
      <c r="BQ88" s="55" t="n">
        <v>524.127758161824</v>
      </c>
      <c r="BR88" s="56" t="n">
        <v>17.8256658806795</v>
      </c>
      <c r="BS88" s="56" t="n">
        <v>24.2053282439493</v>
      </c>
      <c r="BT88" s="56" t="n">
        <v>13.7923196995682</v>
      </c>
      <c r="BU88" s="55"/>
      <c r="BV88" s="55"/>
      <c r="BW88" s="55"/>
      <c r="BX88" s="55"/>
      <c r="BY88" s="79" t="n">
        <v>0.0692307692307692</v>
      </c>
      <c r="BZ88" s="80" t="n">
        <v>0.498529</v>
      </c>
      <c r="CA88" s="81" t="n">
        <v>3.77</v>
      </c>
      <c r="CB88" s="81" t="n">
        <v>0.252</v>
      </c>
      <c r="CC88" s="82" t="n">
        <v>6.12079</v>
      </c>
      <c r="CD88" s="82" t="n">
        <v>5.51341</v>
      </c>
      <c r="CE88" s="83" t="n">
        <v>88.506828</v>
      </c>
      <c r="CF88" s="84" t="n">
        <v>37.938077</v>
      </c>
      <c r="CG88" s="80" t="n">
        <v>0.113</v>
      </c>
      <c r="CH88" s="63" t="n">
        <v>77338.3807247218</v>
      </c>
      <c r="CI88" s="63" t="n">
        <v>3322.713091032</v>
      </c>
      <c r="CJ88" s="64" t="n">
        <v>305271.148834361</v>
      </c>
      <c r="CK88" s="65" t="n">
        <v>1.08844648559792</v>
      </c>
    </row>
    <row r="89" customFormat="false" ht="15" hidden="false" customHeight="false" outlineLevel="0" collapsed="false">
      <c r="A89" s="7" t="s">
        <v>73</v>
      </c>
      <c r="B89" s="66" t="n">
        <v>87</v>
      </c>
      <c r="C89" s="8" t="s">
        <v>165</v>
      </c>
      <c r="D89" s="67" t="n">
        <v>41659</v>
      </c>
      <c r="E89" s="4" t="s">
        <v>75</v>
      </c>
      <c r="F89" s="7" t="n">
        <v>126</v>
      </c>
      <c r="G89" s="68" t="n">
        <v>1</v>
      </c>
      <c r="H89" s="68" t="n">
        <v>114</v>
      </c>
      <c r="I89" s="66" t="n">
        <v>3</v>
      </c>
      <c r="J89" s="69" t="n">
        <v>616.494047619048</v>
      </c>
      <c r="K89" s="31" t="n">
        <v>522.721492456308</v>
      </c>
      <c r="L89" s="31" t="n">
        <v>938.807420247663</v>
      </c>
      <c r="M89" s="31" t="n">
        <v>170.701037306416</v>
      </c>
      <c r="N89" s="31" t="n">
        <v>328.408320374921</v>
      </c>
      <c r="O89" s="32"/>
      <c r="P89" s="33" t="n">
        <v>69.7244122340863</v>
      </c>
      <c r="Q89" s="33" t="n">
        <v>11.4755762620617</v>
      </c>
      <c r="R89" s="31" t="n">
        <v>138.475386344062</v>
      </c>
      <c r="S89" s="34" t="s">
        <v>76</v>
      </c>
      <c r="T89" s="35" t="n">
        <v>22.4852970371429</v>
      </c>
      <c r="U89" s="35" t="n">
        <v>7.07079714285714</v>
      </c>
      <c r="V89" s="70" t="n">
        <v>29.55609418</v>
      </c>
      <c r="W89" s="35" t="n">
        <v>27.7397876735219</v>
      </c>
      <c r="X89" s="35" t="n">
        <v>5.16953750155778</v>
      </c>
      <c r="Y89" s="35" t="n">
        <v>8.83819309008339</v>
      </c>
      <c r="Z89" s="35"/>
      <c r="AA89" s="35" t="n">
        <v>1.80431192535537</v>
      </c>
      <c r="AB89" s="35" t="n">
        <v>0.308016178407567</v>
      </c>
      <c r="AC89" s="71" t="n">
        <v>4.59479578467618</v>
      </c>
      <c r="AD89" s="38" t="n">
        <v>6.63083578498311</v>
      </c>
      <c r="AE89" s="38" t="n">
        <v>5.77300074790229</v>
      </c>
      <c r="AF89" s="38" t="n">
        <v>1.2129539409859</v>
      </c>
      <c r="AG89" s="72"/>
      <c r="AH89" s="72"/>
      <c r="AI89" s="73" t="n">
        <v>46.4520896604215</v>
      </c>
      <c r="AJ89" s="42" t="s">
        <v>16</v>
      </c>
      <c r="AK89" s="43" t="n">
        <v>775.652501829215</v>
      </c>
      <c r="AL89" s="43" t="n">
        <v>791.887349108561</v>
      </c>
      <c r="AM89" s="43" t="n">
        <v>765.365094919925</v>
      </c>
      <c r="AN89" s="74"/>
      <c r="AO89" s="75" t="n">
        <v>40.6785714285714</v>
      </c>
      <c r="AP89" s="76" t="n">
        <v>1.47256428571429</v>
      </c>
      <c r="AQ89" s="76" t="n">
        <v>1.13086428571429</v>
      </c>
      <c r="AR89" s="76" t="n">
        <v>1.83867142857143</v>
      </c>
      <c r="AS89" s="77" t="n">
        <v>38.3598928571429</v>
      </c>
      <c r="AT89" s="78" t="n">
        <v>36.6305094631483</v>
      </c>
      <c r="AU89" s="78" t="n">
        <v>36.2</v>
      </c>
      <c r="AV89" s="78" t="n">
        <v>27.8</v>
      </c>
      <c r="AW89" s="78" t="n">
        <v>45.2</v>
      </c>
      <c r="AX89" s="78" t="n">
        <v>30</v>
      </c>
      <c r="AY89" s="48" t="n">
        <v>1.23935555354724</v>
      </c>
      <c r="AZ89" s="48" t="n">
        <v>25.677220732995</v>
      </c>
      <c r="BA89" s="48" t="n">
        <v>3.87887344700501</v>
      </c>
      <c r="BB89" s="49" t="n">
        <f aca="false">AT89/V89</f>
        <v>1.23935555354724</v>
      </c>
      <c r="BC89" s="49" t="n">
        <f aca="false">AS89/V89</f>
        <v>1.29786745919561</v>
      </c>
      <c r="BD89" s="49" t="n">
        <f aca="false">SUM(AP89:AR89)/V89</f>
        <v>0.150293877565388</v>
      </c>
      <c r="BE89" s="50" t="n">
        <v>7.36</v>
      </c>
      <c r="BF89" s="51" t="n">
        <v>77.271093571136</v>
      </c>
      <c r="BG89" s="51" t="n">
        <v>588.342601474882</v>
      </c>
      <c r="BH89" s="51" t="n">
        <v>197.37845384094</v>
      </c>
      <c r="BI89" s="51" t="n">
        <v>157.309849586516</v>
      </c>
      <c r="BJ89" s="51" t="n">
        <v>14.595245165184</v>
      </c>
      <c r="BK89" s="51" t="n">
        <v>15.5229637030817</v>
      </c>
      <c r="BL89" s="51" t="n">
        <v>21.8757618512865</v>
      </c>
      <c r="BM89" s="51"/>
      <c r="BN89" s="52" t="n">
        <f aca="false">(BG89*0.5-BH89*0.25+BI89*0.5)/SUM(BG89:BI89)*1000</f>
        <v>343.023341429054</v>
      </c>
      <c r="BO89" s="53" t="n">
        <v>4.61863112</v>
      </c>
      <c r="BP89" s="54" t="s">
        <v>77</v>
      </c>
      <c r="BQ89" s="55" t="n">
        <v>433.346547953831</v>
      </c>
      <c r="BR89" s="56" t="n">
        <v>14.6618340473102</v>
      </c>
      <c r="BS89" s="56" t="n">
        <v>19.7273524535545</v>
      </c>
      <c r="BT89" s="56" t="n">
        <v>11.8302080507451</v>
      </c>
      <c r="BU89" s="55"/>
      <c r="BV89" s="55"/>
      <c r="BW89" s="55"/>
      <c r="BX89" s="55"/>
      <c r="BY89" s="79" t="n">
        <v>0.296703296703297</v>
      </c>
      <c r="BZ89" s="80" t="n">
        <v>0.788905</v>
      </c>
      <c r="CA89" s="81" t="n">
        <v>4.41</v>
      </c>
      <c r="CB89" s="81" t="n">
        <v>1.666</v>
      </c>
      <c r="CC89" s="82" t="n">
        <v>5.28102</v>
      </c>
      <c r="CD89" s="82" t="n">
        <v>6.978635</v>
      </c>
      <c r="CE89" s="83" t="n">
        <v>81.39762</v>
      </c>
      <c r="CF89" s="84" t="n">
        <v>35.647229</v>
      </c>
      <c r="CG89" s="80" t="n">
        <v>0.764</v>
      </c>
      <c r="CH89" s="63" t="n">
        <v>161149.98028586</v>
      </c>
      <c r="CI89" s="63" t="n">
        <v>1447.39679190549</v>
      </c>
      <c r="CJ89" s="64" t="n">
        <v>138725.643251836</v>
      </c>
      <c r="CK89" s="65" t="n">
        <v>1.0433520133534</v>
      </c>
    </row>
    <row r="90" customFormat="false" ht="15" hidden="false" customHeight="false" outlineLevel="0" collapsed="false">
      <c r="A90" s="7" t="s">
        <v>73</v>
      </c>
      <c r="B90" s="66" t="n">
        <v>88</v>
      </c>
      <c r="C90" s="8" t="s">
        <v>166</v>
      </c>
      <c r="D90" s="67" t="n">
        <v>41659</v>
      </c>
      <c r="E90" s="4" t="s">
        <v>75</v>
      </c>
      <c r="F90" s="7" t="n">
        <v>351</v>
      </c>
      <c r="G90" s="68" t="n">
        <v>1</v>
      </c>
      <c r="H90" s="68" t="n">
        <v>91</v>
      </c>
      <c r="I90" s="66" t="n">
        <v>1</v>
      </c>
      <c r="J90" s="69" t="n">
        <v>577.434523809524</v>
      </c>
      <c r="K90" s="31" t="n">
        <v>522.721492456308</v>
      </c>
      <c r="L90" s="31" t="n">
        <v>938.807420247663</v>
      </c>
      <c r="M90" s="31" t="n">
        <v>170.701037306416</v>
      </c>
      <c r="N90" s="31" t="n">
        <v>328.408320374921</v>
      </c>
      <c r="O90" s="32"/>
      <c r="P90" s="33" t="n">
        <v>69.7244122340863</v>
      </c>
      <c r="Q90" s="33" t="n">
        <v>11.4755762620617</v>
      </c>
      <c r="R90" s="31" t="n">
        <v>138.475386344062</v>
      </c>
      <c r="S90" s="34" t="s">
        <v>76</v>
      </c>
      <c r="T90" s="35" t="n">
        <v>23.4318952971429</v>
      </c>
      <c r="U90" s="35" t="n">
        <v>7.07852814285714</v>
      </c>
      <c r="V90" s="70" t="n">
        <v>30.51042344</v>
      </c>
      <c r="W90" s="35" t="n">
        <v>28.6357106530284</v>
      </c>
      <c r="X90" s="35" t="n">
        <v>5.33257838195223</v>
      </c>
      <c r="Y90" s="35" t="n">
        <v>9.15065341421982</v>
      </c>
      <c r="Z90" s="35"/>
      <c r="AA90" s="35" t="n">
        <v>1.87057155608068</v>
      </c>
      <c r="AB90" s="35" t="n">
        <v>0.318933590432013</v>
      </c>
      <c r="AC90" s="71" t="n">
        <v>4.72749577419229</v>
      </c>
      <c r="AD90" s="38" t="n">
        <v>6.39427360031866</v>
      </c>
      <c r="AE90" s="38" t="n">
        <v>5.48342725274177</v>
      </c>
      <c r="AF90" s="38" t="n">
        <v>1.36240975789197</v>
      </c>
      <c r="AG90" s="72"/>
      <c r="AH90" s="72"/>
      <c r="AI90" s="73" t="n">
        <v>49.8780018446691</v>
      </c>
      <c r="AJ90" s="42" t="s">
        <v>16</v>
      </c>
      <c r="AK90" s="43" t="n">
        <v>790.423308516407</v>
      </c>
      <c r="AL90" s="43" t="n">
        <v>808.510872344568</v>
      </c>
      <c r="AM90" s="43" t="n">
        <v>744.512005205032</v>
      </c>
      <c r="AN90" s="74"/>
      <c r="AO90" s="75" t="n">
        <v>38.2571428571429</v>
      </c>
      <c r="AP90" s="76" t="n">
        <v>1.52025921402018</v>
      </c>
      <c r="AQ90" s="76" t="n">
        <v>1.16822238980351</v>
      </c>
      <c r="AR90" s="76" t="n">
        <v>1.7379409346787</v>
      </c>
      <c r="AS90" s="77" t="n">
        <v>38.1067453531598</v>
      </c>
      <c r="AT90" s="78" t="n">
        <v>36.9536228174988</v>
      </c>
      <c r="AU90" s="78" t="n">
        <v>39.7379182156134</v>
      </c>
      <c r="AV90" s="78" t="n">
        <v>30.5360594795539</v>
      </c>
      <c r="AW90" s="78" t="n">
        <v>45.4278810408922</v>
      </c>
      <c r="AX90" s="78" t="n">
        <v>31.1672862453532</v>
      </c>
      <c r="AY90" s="48" t="n">
        <v>1.21118026730011</v>
      </c>
      <c r="AZ90" s="48" t="n">
        <v>24.5363109856141</v>
      </c>
      <c r="BA90" s="48" t="n">
        <v>5.97411245438594</v>
      </c>
      <c r="BB90" s="49" t="n">
        <f aca="false">AT90/V90</f>
        <v>1.21118026730011</v>
      </c>
      <c r="BC90" s="49" t="n">
        <f aca="false">AS90/V90</f>
        <v>1.2489746472414</v>
      </c>
      <c r="BD90" s="49" t="n">
        <f aca="false">SUM(AP90:AR90)/V90</f>
        <v>0.145079026753173</v>
      </c>
      <c r="BE90" s="50" t="n">
        <v>7.21</v>
      </c>
      <c r="BF90" s="51" t="n">
        <v>84.0730207413932</v>
      </c>
      <c r="BG90" s="51" t="n">
        <v>595.683731428297</v>
      </c>
      <c r="BH90" s="51" t="n">
        <v>210.978729161245</v>
      </c>
      <c r="BI90" s="51" t="n">
        <v>145.936146518551</v>
      </c>
      <c r="BJ90" s="51" t="n">
        <v>12.6636508107312</v>
      </c>
      <c r="BK90" s="51" t="n">
        <v>13.9953185233954</v>
      </c>
      <c r="BL90" s="51" t="n">
        <v>15.7672991796711</v>
      </c>
      <c r="BM90" s="51"/>
      <c r="BN90" s="52" t="n">
        <f aca="false">(BG90*0.5-BH90*0.25+BI90*0.5)/SUM(BG90:BI90)*1000</f>
        <v>333.89221263791</v>
      </c>
      <c r="BO90" s="53" t="n">
        <v>8.58836892</v>
      </c>
      <c r="BP90" s="54" t="s">
        <v>77</v>
      </c>
      <c r="BQ90" s="55" t="n">
        <v>437.811712074717</v>
      </c>
      <c r="BR90" s="56" t="n">
        <v>14.3495783641185</v>
      </c>
      <c r="BS90" s="56" t="n">
        <v>18.9100878088464</v>
      </c>
      <c r="BT90" s="56" t="n">
        <v>11.8475991985121</v>
      </c>
      <c r="BU90" s="55"/>
      <c r="BV90" s="55"/>
      <c r="BW90" s="55"/>
      <c r="BX90" s="55"/>
      <c r="BY90" s="79" t="n">
        <v>0.435164835164835</v>
      </c>
      <c r="BZ90" s="80" t="n">
        <v>0.674128</v>
      </c>
      <c r="CA90" s="81" t="n">
        <v>3.75</v>
      </c>
      <c r="CB90" s="81" t="n">
        <v>0.634</v>
      </c>
      <c r="CC90" s="82" t="n">
        <v>4.73889</v>
      </c>
      <c r="CD90" s="82" t="n">
        <v>7.963765</v>
      </c>
      <c r="CE90" s="83" t="n">
        <v>85.965696</v>
      </c>
      <c r="CF90" s="84" t="n">
        <v>39.451673</v>
      </c>
      <c r="CG90" s="80" t="n">
        <v>0.1025</v>
      </c>
      <c r="CH90" s="63" t="n">
        <v>111869.92224169</v>
      </c>
      <c r="CI90" s="63" t="n">
        <v>3201.1776586708</v>
      </c>
      <c r="CJ90" s="64" t="n">
        <v>299174.858871319</v>
      </c>
      <c r="CK90" s="65" t="n">
        <v>1.07000222904682</v>
      </c>
    </row>
    <row r="91" customFormat="false" ht="15" hidden="false" customHeight="false" outlineLevel="0" collapsed="false">
      <c r="A91" s="7" t="s">
        <v>73</v>
      </c>
      <c r="B91" s="66" t="n">
        <v>89</v>
      </c>
      <c r="C91" s="8" t="s">
        <v>167</v>
      </c>
      <c r="D91" s="67" t="n">
        <v>41659</v>
      </c>
      <c r="E91" s="4" t="s">
        <v>75</v>
      </c>
      <c r="F91" s="7" t="n">
        <v>528</v>
      </c>
      <c r="G91" s="68" t="n">
        <v>1</v>
      </c>
      <c r="H91" s="68" t="n">
        <v>123</v>
      </c>
      <c r="I91" s="66" t="n">
        <v>3</v>
      </c>
      <c r="J91" s="69" t="n">
        <v>701.297619047619</v>
      </c>
      <c r="K91" s="31" t="n">
        <v>522.721492456308</v>
      </c>
      <c r="L91" s="31" t="n">
        <v>938.807420247663</v>
      </c>
      <c r="M91" s="31" t="n">
        <v>170.701037306416</v>
      </c>
      <c r="N91" s="31" t="n">
        <v>328.408320374921</v>
      </c>
      <c r="O91" s="32"/>
      <c r="P91" s="33" t="n">
        <v>69.7244122340863</v>
      </c>
      <c r="Q91" s="33" t="n">
        <v>11.4755762620617</v>
      </c>
      <c r="R91" s="31" t="n">
        <v>138.475386344062</v>
      </c>
      <c r="S91" s="34" t="s">
        <v>76</v>
      </c>
      <c r="T91" s="35" t="n">
        <v>12.2903210685714</v>
      </c>
      <c r="U91" s="35" t="n">
        <v>1.46434957142857</v>
      </c>
      <c r="V91" s="70" t="n">
        <v>13.75467064</v>
      </c>
      <c r="W91" s="35" t="n">
        <v>12.9113936829935</v>
      </c>
      <c r="X91" s="35" t="n">
        <v>2.37367503843246</v>
      </c>
      <c r="Y91" s="35" t="n">
        <v>4.33733024143455</v>
      </c>
      <c r="Z91" s="35"/>
      <c r="AA91" s="35" t="n">
        <v>0.905921973476335</v>
      </c>
      <c r="AB91" s="35" t="n">
        <v>0.151390205226902</v>
      </c>
      <c r="AC91" s="71" t="n">
        <v>2.0086475171003</v>
      </c>
      <c r="AD91" s="38" t="n">
        <v>2.93152375593192</v>
      </c>
      <c r="AE91" s="38" t="n">
        <v>2.49467295720974</v>
      </c>
      <c r="AF91" s="38" t="n">
        <v>0.533128613587463</v>
      </c>
      <c r="AG91" s="72"/>
      <c r="AH91" s="72"/>
      <c r="AI91" s="73" t="n">
        <v>51.6421553537014</v>
      </c>
      <c r="AJ91" s="42" t="s">
        <v>16</v>
      </c>
      <c r="AK91" s="43" t="n">
        <v>786.870668687133</v>
      </c>
      <c r="AL91" s="43" t="n">
        <v>806.785152830121</v>
      </c>
      <c r="AM91" s="43" t="n">
        <v>775.399494473543</v>
      </c>
      <c r="AN91" s="74"/>
      <c r="AO91" s="75" t="n">
        <v>11.45</v>
      </c>
      <c r="AP91" s="76" t="n">
        <v>0.365255</v>
      </c>
      <c r="AQ91" s="76" t="n">
        <v>0.36411</v>
      </c>
      <c r="AR91" s="76" t="n">
        <v>0.49006</v>
      </c>
      <c r="AS91" s="77" t="n">
        <v>10.058825</v>
      </c>
      <c r="AT91" s="78" t="n">
        <v>9.91825984076433</v>
      </c>
      <c r="AU91" s="78" t="n">
        <v>31.9</v>
      </c>
      <c r="AV91" s="78" t="n">
        <v>31.8</v>
      </c>
      <c r="AW91" s="78" t="n">
        <v>42.8</v>
      </c>
      <c r="AX91" s="78" t="n">
        <v>22</v>
      </c>
      <c r="AY91" s="48" t="n">
        <v>0.721083048831501</v>
      </c>
      <c r="AZ91" s="48" t="n">
        <v>16.6468481090728</v>
      </c>
      <c r="BA91" s="48" t="n">
        <v>-2.89217746907278</v>
      </c>
      <c r="BB91" s="49" t="n">
        <f aca="false">AT91/V91</f>
        <v>0.721083048831501</v>
      </c>
      <c r="BC91" s="49" t="n">
        <f aca="false">AS91/V91</f>
        <v>0.731302498130918</v>
      </c>
      <c r="BD91" s="49" t="n">
        <f aca="false">SUM(AP91:AR91)/V91</f>
        <v>0.0886553398417107</v>
      </c>
      <c r="BE91" s="50" t="n">
        <v>7.02</v>
      </c>
      <c r="BF91" s="51" t="n">
        <v>94.6989251931735</v>
      </c>
      <c r="BG91" s="51" t="n">
        <v>602.023668160907</v>
      </c>
      <c r="BH91" s="51" t="n">
        <v>196.715605001186</v>
      </c>
      <c r="BI91" s="51" t="n">
        <v>146.390818498971</v>
      </c>
      <c r="BJ91" s="51" t="n">
        <v>14.0796368614791</v>
      </c>
      <c r="BK91" s="51" t="n">
        <v>17.0203432449978</v>
      </c>
      <c r="BL91" s="51" t="n">
        <v>18.79480385435</v>
      </c>
      <c r="BM91" s="51"/>
      <c r="BN91" s="52" t="n">
        <f aca="false">(BG91*0.5-BH91*0.25+BI91*0.5)/SUM(BG91:BI91)*1000</f>
        <v>343.897993458663</v>
      </c>
      <c r="BO91" s="53" t="n">
        <v>7.59002514</v>
      </c>
      <c r="BP91" s="54" t="s">
        <v>77</v>
      </c>
      <c r="BQ91" s="55" t="n">
        <v>348.339959989195</v>
      </c>
      <c r="BR91" s="56" t="n">
        <v>25.3252127300079</v>
      </c>
      <c r="BS91" s="56" t="n">
        <v>33.4404626138218</v>
      </c>
      <c r="BT91" s="56" t="n">
        <v>35.1210762353198</v>
      </c>
      <c r="BU91" s="55"/>
      <c r="BV91" s="55"/>
      <c r="BW91" s="55"/>
      <c r="BX91" s="55"/>
      <c r="BY91" s="79" t="n">
        <v>0.0692307692307692</v>
      </c>
      <c r="BZ91" s="80" t="n">
        <v>0.465175</v>
      </c>
      <c r="CA91" s="81" t="n">
        <v>3.77</v>
      </c>
      <c r="CB91" s="81" t="n">
        <v>0.814</v>
      </c>
      <c r="CC91" s="82" t="n">
        <v>4.018332</v>
      </c>
      <c r="CD91" s="82" t="n">
        <v>4.970965</v>
      </c>
      <c r="CE91" s="83" t="n">
        <v>85.64526</v>
      </c>
      <c r="CF91" s="84" t="n">
        <v>37.815353</v>
      </c>
      <c r="CG91" s="80" t="n">
        <v>0.155</v>
      </c>
      <c r="CH91" s="63"/>
      <c r="CI91" s="63"/>
      <c r="CJ91" s="64"/>
      <c r="CK91" s="65"/>
    </row>
    <row r="92" customFormat="false" ht="15" hidden="false" customHeight="false" outlineLevel="0" collapsed="false">
      <c r="A92" s="7" t="s">
        <v>73</v>
      </c>
      <c r="B92" s="66" t="n">
        <v>90</v>
      </c>
      <c r="C92" s="8" t="s">
        <v>168</v>
      </c>
      <c r="D92" s="67" t="n">
        <v>41659</v>
      </c>
      <c r="E92" s="4" t="s">
        <v>75</v>
      </c>
      <c r="F92" s="7" t="n">
        <v>601</v>
      </c>
      <c r="G92" s="68" t="n">
        <v>1</v>
      </c>
      <c r="H92" s="68" t="n">
        <v>134</v>
      </c>
      <c r="I92" s="66" t="n">
        <v>3</v>
      </c>
      <c r="J92" s="69" t="n">
        <v>666.363095238095</v>
      </c>
      <c r="K92" s="31" t="n">
        <v>522.721492456308</v>
      </c>
      <c r="L92" s="31" t="n">
        <v>938.807420247663</v>
      </c>
      <c r="M92" s="31" t="n">
        <v>170.701037306416</v>
      </c>
      <c r="N92" s="31" t="n">
        <v>328.408320374921</v>
      </c>
      <c r="O92" s="32"/>
      <c r="P92" s="33" t="n">
        <v>69.7244122340863</v>
      </c>
      <c r="Q92" s="33" t="n">
        <v>11.4755762620617</v>
      </c>
      <c r="R92" s="31" t="n">
        <v>138.475386344062</v>
      </c>
      <c r="S92" s="34" t="s">
        <v>76</v>
      </c>
      <c r="T92" s="35" t="n">
        <v>19.1739643185714</v>
      </c>
      <c r="U92" s="35" t="n">
        <v>5.84610857142857</v>
      </c>
      <c r="V92" s="70" t="n">
        <v>25.02007289</v>
      </c>
      <c r="W92" s="35" t="n">
        <v>23.4826696596007</v>
      </c>
      <c r="X92" s="35" t="n">
        <v>4.37370792893255</v>
      </c>
      <c r="Y92" s="35" t="n">
        <v>7.49891429583832</v>
      </c>
      <c r="Z92" s="35"/>
      <c r="AA92" s="35" t="n">
        <v>1.5324619632145</v>
      </c>
      <c r="AB92" s="35" t="n">
        <v>0.261359235317954</v>
      </c>
      <c r="AC92" s="71" t="n">
        <v>3.87971947057096</v>
      </c>
      <c r="AD92" s="38" t="n">
        <v>6.62791651934976</v>
      </c>
      <c r="AE92" s="38" t="n">
        <v>5.82729287886649</v>
      </c>
      <c r="AF92" s="38" t="n">
        <v>1.35888316802296</v>
      </c>
      <c r="AG92" s="72"/>
      <c r="AH92" s="72"/>
      <c r="AI92" s="73" t="n">
        <v>39.4330910105661</v>
      </c>
      <c r="AJ92" s="42" t="s">
        <v>16</v>
      </c>
      <c r="AK92" s="43" t="n">
        <v>735.096034752209</v>
      </c>
      <c r="AL92" s="43" t="n">
        <v>751.847087092841</v>
      </c>
      <c r="AM92" s="43" t="n">
        <v>689.306375710686</v>
      </c>
      <c r="AN92" s="74"/>
      <c r="AO92" s="75" t="n">
        <v>37.5285714285714</v>
      </c>
      <c r="AP92" s="76" t="n">
        <v>1.24294628571429</v>
      </c>
      <c r="AQ92" s="76" t="n">
        <v>1.23919342857143</v>
      </c>
      <c r="AR92" s="76" t="n">
        <v>1.75633714285714</v>
      </c>
      <c r="AS92" s="77" t="n">
        <v>33.6556228571429</v>
      </c>
      <c r="AT92" s="78" t="n">
        <v>34.2101851865332</v>
      </c>
      <c r="AU92" s="78" t="n">
        <v>33.12</v>
      </c>
      <c r="AV92" s="78" t="n">
        <v>33.02</v>
      </c>
      <c r="AW92" s="78" t="n">
        <v>46.8</v>
      </c>
      <c r="AX92" s="78" t="n">
        <v>28.8</v>
      </c>
      <c r="AY92" s="48" t="n">
        <v>1.36730957327492</v>
      </c>
      <c r="AZ92" s="48" t="n">
        <v>24.8998341213107</v>
      </c>
      <c r="BA92" s="48" t="n">
        <v>0.120238768689273</v>
      </c>
      <c r="BB92" s="49" t="n">
        <f aca="false">AT92/V92</f>
        <v>1.36730957327492</v>
      </c>
      <c r="BC92" s="49" t="n">
        <f aca="false">AS92/V92</f>
        <v>1.34514487648013</v>
      </c>
      <c r="BD92" s="49" t="n">
        <f aca="false">SUM(AP92:AR92)/V92</f>
        <v>0.169403057927816</v>
      </c>
      <c r="BE92" s="50" t="n">
        <v>6.91</v>
      </c>
      <c r="BF92" s="51" t="n">
        <v>162.880473508807</v>
      </c>
      <c r="BG92" s="51" t="n">
        <v>545.800624930849</v>
      </c>
      <c r="BH92" s="51" t="n">
        <v>272.808736234931</v>
      </c>
      <c r="BI92" s="51" t="n">
        <v>128.379319704816</v>
      </c>
      <c r="BJ92" s="51" t="n">
        <v>10.3320450345284</v>
      </c>
      <c r="BK92" s="51" t="n">
        <v>21.9355066444242</v>
      </c>
      <c r="BL92" s="51" t="n">
        <v>15.7686430723417</v>
      </c>
      <c r="BM92" s="51"/>
      <c r="BN92" s="52" t="n">
        <f aca="false">(BG92*0.5-BH92*0.25+BI92*0.5)/SUM(BG92:BI92)*1000</f>
        <v>283.939812260378</v>
      </c>
      <c r="BO92" s="53" t="n">
        <v>5.77711824</v>
      </c>
      <c r="BP92" s="54" t="s">
        <v>77</v>
      </c>
      <c r="BQ92" s="55" t="n">
        <v>378.831027271934</v>
      </c>
      <c r="BR92" s="56" t="n">
        <v>15.14108407827</v>
      </c>
      <c r="BS92" s="56" t="n">
        <v>21.4569777794445</v>
      </c>
      <c r="BT92" s="56" t="n">
        <v>11.0736327560443</v>
      </c>
      <c r="BU92" s="55"/>
      <c r="BV92" s="55"/>
      <c r="BW92" s="55"/>
      <c r="BX92" s="55"/>
      <c r="BY92" s="79" t="n">
        <v>0.108791208791209</v>
      </c>
      <c r="BZ92" s="80" t="n">
        <v>0.338626</v>
      </c>
      <c r="CA92" s="81" t="n">
        <v>3.69</v>
      </c>
      <c r="CB92" s="81" t="n">
        <v>0.118</v>
      </c>
      <c r="CC92" s="82" t="n">
        <v>6.428355</v>
      </c>
      <c r="CD92" s="82" t="n">
        <v>6.878875</v>
      </c>
      <c r="CE92" s="83" t="n">
        <v>86.174352</v>
      </c>
      <c r="CF92" s="84" t="n">
        <v>35.043836</v>
      </c>
      <c r="CG92" s="80" t="n">
        <v>0.155</v>
      </c>
      <c r="CH92" s="63" t="n">
        <v>13119.0761479618</v>
      </c>
      <c r="CI92" s="63" t="n">
        <v>4277.15821234283</v>
      </c>
      <c r="CJ92" s="64" t="n">
        <v>569238.221301865</v>
      </c>
      <c r="CK92" s="65" t="n">
        <v>0.75138282221472</v>
      </c>
    </row>
    <row r="93" customFormat="false" ht="15" hidden="false" customHeight="false" outlineLevel="0" collapsed="false">
      <c r="A93" s="7" t="s">
        <v>73</v>
      </c>
      <c r="B93" s="66" t="n">
        <v>91</v>
      </c>
      <c r="C93" s="8" t="s">
        <v>169</v>
      </c>
      <c r="D93" s="67" t="n">
        <v>41680</v>
      </c>
      <c r="E93" s="4" t="s">
        <v>75</v>
      </c>
      <c r="F93" s="7" t="n">
        <v>231</v>
      </c>
      <c r="G93" s="68" t="n">
        <v>1</v>
      </c>
      <c r="H93" s="68" t="n">
        <v>103</v>
      </c>
      <c r="I93" s="66" t="n">
        <v>2</v>
      </c>
      <c r="J93" s="69" t="n">
        <v>557.678571428571</v>
      </c>
      <c r="K93" s="31" t="n">
        <v>517.274673584909</v>
      </c>
      <c r="L93" s="31" t="n">
        <v>938.269724837384</v>
      </c>
      <c r="M93" s="31" t="n">
        <v>170.721845675262</v>
      </c>
      <c r="N93" s="31" t="n">
        <v>331.625930542679</v>
      </c>
      <c r="O93" s="32"/>
      <c r="P93" s="33" t="n">
        <v>61.7450442961328</v>
      </c>
      <c r="Q93" s="33" t="n">
        <v>11.5172883248561</v>
      </c>
      <c r="R93" s="31" t="n">
        <v>139.221046884843</v>
      </c>
      <c r="S93" s="34" t="s">
        <v>76</v>
      </c>
      <c r="T93" s="35" t="n">
        <v>19.2059645271429</v>
      </c>
      <c r="U93" s="35" t="n">
        <v>3.19327114285714</v>
      </c>
      <c r="V93" s="70" t="n">
        <v>22.39923567</v>
      </c>
      <c r="W93" s="35" t="n">
        <v>21.0147674941594</v>
      </c>
      <c r="X93" s="35" t="n">
        <v>3.88009970666648</v>
      </c>
      <c r="Y93" s="35" t="n">
        <v>7.02576788604535</v>
      </c>
      <c r="Z93" s="35"/>
      <c r="AA93" s="35" t="n">
        <v>1.29269692040458</v>
      </c>
      <c r="AB93" s="35" t="n">
        <v>0.243774303910466</v>
      </c>
      <c r="AC93" s="71" t="n">
        <v>3.34277609035436</v>
      </c>
      <c r="AD93" s="38" t="n">
        <v>4.93304769778566</v>
      </c>
      <c r="AE93" s="38" t="n">
        <v>4.25247779243024</v>
      </c>
      <c r="AF93" s="38" t="n">
        <v>0.859559042552398</v>
      </c>
      <c r="AG93" s="72"/>
      <c r="AH93" s="72"/>
      <c r="AI93" s="73" t="n">
        <v>49.4165714270087</v>
      </c>
      <c r="AJ93" s="42" t="s">
        <v>16</v>
      </c>
      <c r="AK93" s="43" t="n">
        <v>779.767141590789</v>
      </c>
      <c r="AL93" s="43" t="n">
        <v>797.643357528836</v>
      </c>
      <c r="AM93" s="43" t="n">
        <v>778.469857082391</v>
      </c>
      <c r="AN93" s="74"/>
      <c r="AO93" s="75" t="n">
        <v>34.3142857142857</v>
      </c>
      <c r="AP93" s="76" t="n">
        <v>2.03826857142857</v>
      </c>
      <c r="AQ93" s="76" t="n">
        <v>1.23531428571429</v>
      </c>
      <c r="AR93" s="76" t="n">
        <v>1.57502571428571</v>
      </c>
      <c r="AS93" s="77" t="n">
        <v>44.2997428571429</v>
      </c>
      <c r="AT93" s="78" t="n">
        <v>42.9049436396724</v>
      </c>
      <c r="AU93" s="78" t="n">
        <v>59.4</v>
      </c>
      <c r="AV93" s="78" t="n">
        <v>36</v>
      </c>
      <c r="AW93" s="78" t="n">
        <v>45.9</v>
      </c>
      <c r="AX93" s="78" t="n">
        <v>27</v>
      </c>
      <c r="AY93" s="48" t="n">
        <v>1.91546462887287</v>
      </c>
      <c r="AZ93" s="48" t="n">
        <v>26.7795609181503</v>
      </c>
      <c r="BA93" s="48" t="n">
        <v>-4.38032524815032</v>
      </c>
      <c r="BB93" s="49" t="n">
        <f aca="false">AT93/V93</f>
        <v>1.91546462887287</v>
      </c>
      <c r="BC93" s="49" t="n">
        <f aca="false">AS93/V93</f>
        <v>1.97773457584871</v>
      </c>
      <c r="BD93" s="49" t="n">
        <f aca="false">SUM(AP93:AR93)/V93</f>
        <v>0.216463125923643</v>
      </c>
      <c r="BE93" s="50" t="n">
        <v>6.89</v>
      </c>
      <c r="BF93" s="51" t="n">
        <v>146.430573610755</v>
      </c>
      <c r="BG93" s="51" t="n">
        <v>592.927114077047</v>
      </c>
      <c r="BH93" s="51" t="n">
        <v>207.502080238123</v>
      </c>
      <c r="BI93" s="51" t="n">
        <v>153.555644094981</v>
      </c>
      <c r="BJ93" s="51" t="n">
        <v>10.4091385079886</v>
      </c>
      <c r="BK93" s="51" t="n">
        <v>17.6940158050933</v>
      </c>
      <c r="BL93" s="51" t="n">
        <v>12.9368828986584</v>
      </c>
      <c r="BM93" s="51"/>
      <c r="BN93" s="52" t="n">
        <f aca="false">(BG93*0.5-BH93*0.25+BI93*0.5)/SUM(BG93:BI93)*1000</f>
        <v>336.866841156565</v>
      </c>
      <c r="BO93" s="53" t="n">
        <v>2.56756182</v>
      </c>
      <c r="BP93" s="54" t="s">
        <v>77</v>
      </c>
      <c r="BQ93" s="55" t="n">
        <v>449.548771879653</v>
      </c>
      <c r="BR93" s="56" t="n">
        <v>20.0698264218787</v>
      </c>
      <c r="BS93" s="56" t="n">
        <v>26.8190551457466</v>
      </c>
      <c r="BT93" s="56" t="n">
        <v>10.4777849297528</v>
      </c>
      <c r="BU93" s="55"/>
      <c r="BV93" s="55"/>
      <c r="BW93" s="55"/>
      <c r="BX93" s="55"/>
      <c r="BY93" s="79" t="n">
        <v>0.0989010989010989</v>
      </c>
      <c r="BZ93" s="80" t="n">
        <v>0.659413</v>
      </c>
      <c r="CA93" s="81" t="n">
        <v>3.26</v>
      </c>
      <c r="CB93" s="81" t="n">
        <v>0.23</v>
      </c>
      <c r="CC93" s="82" t="n">
        <v>5.165962</v>
      </c>
      <c r="CD93" s="82" t="n">
        <v>7.701895</v>
      </c>
      <c r="CE93" s="83" t="n">
        <v>84.475296</v>
      </c>
      <c r="CF93" s="84" t="n">
        <v>35.023382</v>
      </c>
      <c r="CG93" s="80" t="n">
        <v>0.071</v>
      </c>
      <c r="CH93" s="63" t="n">
        <v>151077.946434549</v>
      </c>
      <c r="CI93" s="63" t="n">
        <v>2673.16263494761</v>
      </c>
      <c r="CJ93" s="64" t="n">
        <v>305407.313265766</v>
      </c>
      <c r="CK93" s="65" t="n">
        <v>0.875277872806345</v>
      </c>
    </row>
    <row r="94" customFormat="false" ht="15" hidden="false" customHeight="false" outlineLevel="0" collapsed="false">
      <c r="A94" s="7" t="s">
        <v>73</v>
      </c>
      <c r="B94" s="66" t="n">
        <v>92</v>
      </c>
      <c r="C94" s="8" t="s">
        <v>170</v>
      </c>
      <c r="D94" s="67" t="n">
        <v>41680</v>
      </c>
      <c r="E94" s="4" t="s">
        <v>75</v>
      </c>
      <c r="F94" s="7" t="n">
        <v>233</v>
      </c>
      <c r="G94" s="68" t="n">
        <v>1</v>
      </c>
      <c r="H94" s="68" t="n">
        <v>105</v>
      </c>
      <c r="I94" s="66" t="n">
        <v>2</v>
      </c>
      <c r="J94" s="69" t="n">
        <v>652.310714285714</v>
      </c>
      <c r="K94" s="31" t="n">
        <v>517.274673584909</v>
      </c>
      <c r="L94" s="31" t="n">
        <v>938.269724837384</v>
      </c>
      <c r="M94" s="31" t="n">
        <v>170.721845675262</v>
      </c>
      <c r="N94" s="31" t="n">
        <v>331.625930542679</v>
      </c>
      <c r="O94" s="32"/>
      <c r="P94" s="33" t="n">
        <v>61.7450442961328</v>
      </c>
      <c r="Q94" s="33" t="n">
        <v>11.5172883248561</v>
      </c>
      <c r="R94" s="31" t="n">
        <v>139.221046884843</v>
      </c>
      <c r="S94" s="34" t="s">
        <v>76</v>
      </c>
      <c r="T94" s="35" t="n">
        <v>19.1150097728571</v>
      </c>
      <c r="U94" s="35" t="n">
        <v>4.71210585714286</v>
      </c>
      <c r="V94" s="70" t="n">
        <v>23.82711563</v>
      </c>
      <c r="W94" s="35" t="n">
        <v>22.353668246366</v>
      </c>
      <c r="X94" s="35" t="n">
        <v>4.15053456795934</v>
      </c>
      <c r="Y94" s="35" t="n">
        <v>7.30789422421648</v>
      </c>
      <c r="Z94" s="35"/>
      <c r="AA94" s="35" t="n">
        <v>1.33789015525044</v>
      </c>
      <c r="AB94" s="35" t="n">
        <v>0.253463603268583</v>
      </c>
      <c r="AC94" s="71" t="n">
        <v>3.64826695703324</v>
      </c>
      <c r="AD94" s="38" t="n">
        <v>3.4303769972256</v>
      </c>
      <c r="AE94" s="38" t="n">
        <v>2.89475180761311</v>
      </c>
      <c r="AF94" s="38" t="n">
        <v>0.753079484214656</v>
      </c>
      <c r="AG94" s="72"/>
      <c r="AH94" s="72"/>
      <c r="AI94" s="73" t="n">
        <v>73.8879730926302</v>
      </c>
      <c r="AJ94" s="42" t="s">
        <v>16</v>
      </c>
      <c r="AK94" s="43" t="n">
        <v>856.030538882914</v>
      </c>
      <c r="AL94" s="43" t="n">
        <v>870.502157600746</v>
      </c>
      <c r="AM94" s="43" t="n">
        <v>818.558435814952</v>
      </c>
      <c r="AN94" s="74"/>
      <c r="AO94" s="75" t="n">
        <v>36.2928571428572</v>
      </c>
      <c r="AP94" s="76" t="n">
        <v>1.37187</v>
      </c>
      <c r="AQ94" s="76" t="n">
        <v>1.143225</v>
      </c>
      <c r="AR94" s="76" t="n">
        <v>1.61866142857143</v>
      </c>
      <c r="AS94" s="77" t="n">
        <v>35.0951928571429</v>
      </c>
      <c r="AT94" s="78" t="n">
        <v>34.309741455869</v>
      </c>
      <c r="AU94" s="78" t="n">
        <v>37.8</v>
      </c>
      <c r="AV94" s="78" t="n">
        <v>31.5</v>
      </c>
      <c r="AW94" s="78" t="n">
        <v>44.6</v>
      </c>
      <c r="AX94" s="78" t="n">
        <v>22</v>
      </c>
      <c r="AY94" s="48" t="n">
        <v>1.43994522831251</v>
      </c>
      <c r="AZ94" s="48" t="n">
        <v>24.8409133179744</v>
      </c>
      <c r="BA94" s="48" t="n">
        <v>-1.01379768797441</v>
      </c>
      <c r="BB94" s="49" t="n">
        <f aca="false">AT94/V94</f>
        <v>1.43994522831251</v>
      </c>
      <c r="BC94" s="49" t="n">
        <f aca="false">AS94/V94</f>
        <v>1.47290983105633</v>
      </c>
      <c r="BD94" s="49" t="n">
        <f aca="false">SUM(AP94:AR94)/V94</f>
        <v>0.173489586098568</v>
      </c>
      <c r="BE94" s="50" t="n">
        <v>6.93</v>
      </c>
      <c r="BF94" s="51" t="n">
        <v>109.884104414966</v>
      </c>
      <c r="BG94" s="51" t="n">
        <v>584.311964387373</v>
      </c>
      <c r="BH94" s="51" t="n">
        <v>220.146450616878</v>
      </c>
      <c r="BI94" s="51" t="n">
        <v>148.198381535551</v>
      </c>
      <c r="BJ94" s="51" t="n">
        <v>10.4339149441846</v>
      </c>
      <c r="BK94" s="51" t="n">
        <v>16.545551733178</v>
      </c>
      <c r="BL94" s="51" t="n">
        <v>15.3886124047264</v>
      </c>
      <c r="BM94" s="51"/>
      <c r="BN94" s="52" t="n">
        <f aca="false">(BG94*0.5-BH94*0.25+BI94*0.5)/SUM(BG94:BI94)*1000</f>
        <v>326.684868504205</v>
      </c>
      <c r="BO94" s="53" t="n">
        <v>4.92025048</v>
      </c>
      <c r="BP94" s="54" t="s">
        <v>77</v>
      </c>
      <c r="BQ94" s="55" t="n">
        <v>525.897443593284</v>
      </c>
      <c r="BR94" s="56" t="n">
        <v>22.0713850454959</v>
      </c>
      <c r="BS94" s="56" t="n">
        <v>27.0260394636336</v>
      </c>
      <c r="BT94" s="56" t="n">
        <v>15.3279337377031</v>
      </c>
      <c r="BU94" s="55"/>
      <c r="BV94" s="55"/>
      <c r="BW94" s="55"/>
      <c r="BX94" s="55"/>
      <c r="BY94" s="79" t="n">
        <v>0.148351648351648</v>
      </c>
      <c r="BZ94" s="80" t="n">
        <v>0.571123</v>
      </c>
      <c r="CA94" s="81" t="n">
        <v>3.52</v>
      </c>
      <c r="CB94" s="81" t="n">
        <v>0.484</v>
      </c>
      <c r="CC94" s="82" t="n">
        <v>4.26054</v>
      </c>
      <c r="CD94" s="82" t="n">
        <v>3.125405</v>
      </c>
      <c r="CE94" s="83" t="n">
        <v>80.548092</v>
      </c>
      <c r="CF94" s="84" t="n">
        <v>34.992701</v>
      </c>
      <c r="CG94" s="80" t="n">
        <v>0.428</v>
      </c>
      <c r="CH94" s="63" t="n">
        <v>91964.812332454</v>
      </c>
      <c r="CI94" s="63" t="n">
        <v>6266.8248506799</v>
      </c>
      <c r="CJ94" s="64" t="n">
        <v>371599.000324953</v>
      </c>
      <c r="CK94" s="65" t="n">
        <v>1.68644825341288</v>
      </c>
    </row>
    <row r="95" customFormat="false" ht="15" hidden="false" customHeight="false" outlineLevel="0" collapsed="false">
      <c r="A95" s="7" t="s">
        <v>73</v>
      </c>
      <c r="B95" s="66" t="n">
        <v>93</v>
      </c>
      <c r="C95" s="8" t="s">
        <v>171</v>
      </c>
      <c r="D95" s="67" t="n">
        <v>41680</v>
      </c>
      <c r="E95" s="4" t="s">
        <v>75</v>
      </c>
      <c r="F95" s="7" t="n">
        <v>244</v>
      </c>
      <c r="G95" s="68" t="n">
        <v>1</v>
      </c>
      <c r="H95" s="68" t="n">
        <v>95</v>
      </c>
      <c r="I95" s="66" t="n">
        <v>2</v>
      </c>
      <c r="J95" s="69" t="n">
        <v>621.488095238095</v>
      </c>
      <c r="K95" s="31" t="n">
        <v>517.274673584909</v>
      </c>
      <c r="L95" s="31" t="n">
        <v>938.269724837384</v>
      </c>
      <c r="M95" s="31" t="n">
        <v>170.721845675262</v>
      </c>
      <c r="N95" s="31" t="n">
        <v>331.625930542679</v>
      </c>
      <c r="O95" s="32"/>
      <c r="P95" s="33" t="n">
        <v>61.7450442961328</v>
      </c>
      <c r="Q95" s="33" t="n">
        <v>11.5172883248561</v>
      </c>
      <c r="R95" s="31" t="n">
        <v>139.221046884843</v>
      </c>
      <c r="S95" s="34" t="s">
        <v>76</v>
      </c>
      <c r="T95" s="35" t="n">
        <v>19.8196274685714</v>
      </c>
      <c r="U95" s="35" t="n">
        <v>3.67197957142857</v>
      </c>
      <c r="V95" s="70" t="n">
        <v>23.49160704</v>
      </c>
      <c r="W95" s="35" t="n">
        <v>22.0394430550473</v>
      </c>
      <c r="X95" s="35" t="n">
        <v>4.07499553578459</v>
      </c>
      <c r="Y95" s="35" t="n">
        <v>7.32770220193298</v>
      </c>
      <c r="Z95" s="35"/>
      <c r="AA95" s="35" t="n">
        <v>1.34660169258733</v>
      </c>
      <c r="AB95" s="35" t="n">
        <v>0.254226092661763</v>
      </c>
      <c r="AC95" s="71" t="n">
        <v>3.52848700582385</v>
      </c>
      <c r="AD95" s="38" t="n">
        <v>4.80379037679622</v>
      </c>
      <c r="AE95" s="38" t="n">
        <v>4.10627163171625</v>
      </c>
      <c r="AF95" s="38" t="n">
        <v>0.949040679970157</v>
      </c>
      <c r="AG95" s="72"/>
      <c r="AH95" s="72"/>
      <c r="AI95" s="73" t="n">
        <v>52.9219788377431</v>
      </c>
      <c r="AJ95" s="42" t="s">
        <v>16</v>
      </c>
      <c r="AK95" s="43" t="n">
        <v>795.510355310446</v>
      </c>
      <c r="AL95" s="43" t="n">
        <v>813.685326736246</v>
      </c>
      <c r="AM95" s="43" t="n">
        <v>767.106326464373</v>
      </c>
      <c r="AN95" s="74"/>
      <c r="AO95" s="75" t="n">
        <v>39.4</v>
      </c>
      <c r="AP95" s="76" t="n">
        <v>1.5563</v>
      </c>
      <c r="AQ95" s="76" t="n">
        <v>1.25292</v>
      </c>
      <c r="AR95" s="76" t="n">
        <v>1.83998</v>
      </c>
      <c r="AS95" s="77" t="n">
        <v>39.1045</v>
      </c>
      <c r="AT95" s="78" t="n">
        <v>38.5910201273885</v>
      </c>
      <c r="AU95" s="78" t="n">
        <v>39.5</v>
      </c>
      <c r="AV95" s="78" t="n">
        <v>31.8</v>
      </c>
      <c r="AW95" s="78" t="n">
        <v>46.7</v>
      </c>
      <c r="AX95" s="78" t="n">
        <v>36</v>
      </c>
      <c r="AY95" s="48" t="n">
        <v>1.64275777564635</v>
      </c>
      <c r="AZ95" s="48" t="n">
        <v>25.6250107500549</v>
      </c>
      <c r="BA95" s="48" t="n">
        <v>-2.13340371005491</v>
      </c>
      <c r="BB95" s="49" t="n">
        <f aca="false">AT95/V95</f>
        <v>1.64275777564635</v>
      </c>
      <c r="BC95" s="49" t="n">
        <f aca="false">AS95/V95</f>
        <v>1.66461578952072</v>
      </c>
      <c r="BD95" s="49" t="n">
        <f aca="false">SUM(AP95:AR95)/V95</f>
        <v>0.197908980517324</v>
      </c>
      <c r="BE95" s="50" t="n">
        <v>6.72</v>
      </c>
      <c r="BF95" s="51" t="n">
        <v>162.287339804475</v>
      </c>
      <c r="BG95" s="51" t="n">
        <v>563.788014381137</v>
      </c>
      <c r="BH95" s="51" t="n">
        <v>211.521155248464</v>
      </c>
      <c r="BI95" s="51" t="n">
        <v>173.573906599155</v>
      </c>
      <c r="BJ95" s="51" t="n">
        <v>12.1213243356741</v>
      </c>
      <c r="BK95" s="51" t="n">
        <v>15.9017168636807</v>
      </c>
      <c r="BL95" s="51" t="n">
        <v>18.1187581937798</v>
      </c>
      <c r="BM95" s="51"/>
      <c r="BN95" s="52" t="n">
        <f aca="false">(BG95*0.5-BH95*0.25+BI95*0.5)/SUM(BG95:BI95)*1000</f>
        <v>332.813051038016</v>
      </c>
      <c r="BO95" s="53" t="n">
        <v>5.72112622</v>
      </c>
      <c r="BP95" s="54" t="s">
        <v>77</v>
      </c>
      <c r="BQ95" s="55" t="n">
        <v>487.265386259653</v>
      </c>
      <c r="BR95" s="56" t="n">
        <v>20.7421052731713</v>
      </c>
      <c r="BS95" s="56" t="n">
        <v>27.1711776326256</v>
      </c>
      <c r="BT95" s="56" t="n">
        <v>12.6263929963809</v>
      </c>
      <c r="BU95" s="55"/>
      <c r="BV95" s="55"/>
      <c r="BW95" s="55"/>
      <c r="BX95" s="55"/>
      <c r="BY95" s="79" t="n">
        <v>0.089010989010989</v>
      </c>
      <c r="BZ95" s="80" t="n">
        <v>0.648622</v>
      </c>
      <c r="CA95" s="81" t="n">
        <v>3.29</v>
      </c>
      <c r="CB95" s="81" t="n">
        <v>0.199</v>
      </c>
      <c r="CC95" s="82" t="n">
        <v>5.9826</v>
      </c>
      <c r="CD95" s="82" t="n">
        <v>6.9724</v>
      </c>
      <c r="CE95" s="83" t="n">
        <v>82.463256</v>
      </c>
      <c r="CF95" s="84" t="n">
        <v>38.081255</v>
      </c>
      <c r="CG95" s="80" t="n">
        <v>0.0395</v>
      </c>
      <c r="CH95" s="63" t="n">
        <v>124846.75045824</v>
      </c>
      <c r="CI95" s="63" t="n">
        <v>5808.30870358274</v>
      </c>
      <c r="CJ95" s="64" t="n">
        <v>372151.301118426</v>
      </c>
      <c r="CK95" s="65" t="n">
        <v>1.5607385184808</v>
      </c>
    </row>
    <row r="96" customFormat="false" ht="15" hidden="false" customHeight="false" outlineLevel="0" collapsed="false">
      <c r="A96" s="7" t="s">
        <v>73</v>
      </c>
      <c r="B96" s="66" t="n">
        <v>94</v>
      </c>
      <c r="C96" s="8" t="s">
        <v>172</v>
      </c>
      <c r="D96" s="67" t="n">
        <v>41680</v>
      </c>
      <c r="E96" s="4" t="s">
        <v>75</v>
      </c>
      <c r="F96" s="7" t="n">
        <v>249</v>
      </c>
      <c r="G96" s="68" t="n">
        <v>1</v>
      </c>
      <c r="H96" s="68" t="n">
        <v>90</v>
      </c>
      <c r="I96" s="66" t="n">
        <v>2</v>
      </c>
      <c r="J96" s="69" t="n">
        <v>581.15</v>
      </c>
      <c r="K96" s="31" t="n">
        <v>517.274673584909</v>
      </c>
      <c r="L96" s="31" t="n">
        <v>938.269724837384</v>
      </c>
      <c r="M96" s="31" t="n">
        <v>170.721845675262</v>
      </c>
      <c r="N96" s="31" t="n">
        <v>331.625930542679</v>
      </c>
      <c r="O96" s="32"/>
      <c r="P96" s="33" t="n">
        <v>61.7450442961328</v>
      </c>
      <c r="Q96" s="33" t="n">
        <v>11.5172883248561</v>
      </c>
      <c r="R96" s="31" t="n">
        <v>139.221046884843</v>
      </c>
      <c r="S96" s="34" t="s">
        <v>76</v>
      </c>
      <c r="T96" s="35" t="n">
        <v>17.76333344</v>
      </c>
      <c r="U96" s="35" t="n">
        <v>3.7104505</v>
      </c>
      <c r="V96" s="70" t="n">
        <v>21.47378394</v>
      </c>
      <c r="W96" s="35" t="n">
        <v>20.1461595604421</v>
      </c>
      <c r="X96" s="35" t="n">
        <v>3.73118444491634</v>
      </c>
      <c r="Y96" s="35" t="n">
        <v>6.65369183160767</v>
      </c>
      <c r="Z96" s="35"/>
      <c r="AA96" s="35" t="n">
        <v>1.22092268613172</v>
      </c>
      <c r="AB96" s="35" t="n">
        <v>0.230815117739185</v>
      </c>
      <c r="AC96" s="71" t="n">
        <v>3.25026618936189</v>
      </c>
      <c r="AD96" s="38" t="n">
        <v>4.61292438216681</v>
      </c>
      <c r="AE96" s="38" t="n">
        <v>4.00833828079358</v>
      </c>
      <c r="AF96" s="38" t="n">
        <v>0.881101996346996</v>
      </c>
      <c r="AG96" s="72"/>
      <c r="AH96" s="72"/>
      <c r="AI96" s="73" t="n">
        <v>50.0366142205792</v>
      </c>
      <c r="AJ96" s="42" t="s">
        <v>16</v>
      </c>
      <c r="AK96" s="43" t="n">
        <v>785.183440652295</v>
      </c>
      <c r="AL96" s="43" t="n">
        <v>801.037102442883</v>
      </c>
      <c r="AM96" s="43" t="n">
        <v>763.85461256211</v>
      </c>
      <c r="AN96" s="74"/>
      <c r="AO96" s="75" t="n">
        <v>37.7071428571429</v>
      </c>
      <c r="AP96" s="76" t="n">
        <v>1.32729142857143</v>
      </c>
      <c r="AQ96" s="76" t="n">
        <v>1.10481928571429</v>
      </c>
      <c r="AR96" s="76" t="n">
        <v>1.67042642857143</v>
      </c>
      <c r="AS96" s="77" t="n">
        <v>34.9922285714286</v>
      </c>
      <c r="AT96" s="78" t="n">
        <v>33.7519998134668</v>
      </c>
      <c r="AU96" s="78" t="n">
        <v>35.2</v>
      </c>
      <c r="AV96" s="78" t="n">
        <v>29.3</v>
      </c>
      <c r="AW96" s="78" t="n">
        <v>44.3</v>
      </c>
      <c r="AX96" s="78" t="n">
        <v>26</v>
      </c>
      <c r="AY96" s="48" t="n">
        <v>1.57177700529042</v>
      </c>
      <c r="AZ96" s="48" t="n">
        <v>23.4499258035762</v>
      </c>
      <c r="BA96" s="48" t="n">
        <v>-1.97614186357618</v>
      </c>
      <c r="BB96" s="49" t="n">
        <f aca="false">AT96/V96</f>
        <v>1.57177700529042</v>
      </c>
      <c r="BC96" s="49" t="n">
        <f aca="false">AS96/V96</f>
        <v>1.62953248804219</v>
      </c>
      <c r="BD96" s="49" t="n">
        <f aca="false">SUM(AP96:AR96)/V96</f>
        <v>0.191048636529084</v>
      </c>
      <c r="BE96" s="50" t="n">
        <v>7.5</v>
      </c>
      <c r="BF96" s="51" t="n">
        <v>98.429942058654</v>
      </c>
      <c r="BG96" s="51" t="n">
        <v>548.588489022754</v>
      </c>
      <c r="BH96" s="51" t="n">
        <v>218.567641607057</v>
      </c>
      <c r="BI96" s="51" t="n">
        <v>183.009942203853</v>
      </c>
      <c r="BJ96" s="51" t="n">
        <v>13.9396133227505</v>
      </c>
      <c r="BK96" s="51" t="n">
        <v>16.4258174211699</v>
      </c>
      <c r="BL96" s="51" t="n">
        <v>14.4933720443065</v>
      </c>
      <c r="BM96" s="51"/>
      <c r="BN96" s="52" t="n">
        <f aca="false">(BG96*0.5-BH96*0.25+BI96*0.5)/SUM(BG96:BI96)*1000</f>
        <v>327.476758124588</v>
      </c>
      <c r="BO96" s="53" t="n">
        <v>5.48670126</v>
      </c>
      <c r="BP96" s="54" t="s">
        <v>77</v>
      </c>
      <c r="BQ96" s="55" t="n">
        <v>427.633157988489</v>
      </c>
      <c r="BR96" s="56" t="n">
        <v>19.9141967332511</v>
      </c>
      <c r="BS96" s="56" t="n">
        <v>26.4988160779658</v>
      </c>
      <c r="BT96" s="56" t="n">
        <v>12.6698613519744</v>
      </c>
      <c r="BU96" s="55"/>
      <c r="BV96" s="55"/>
      <c r="BW96" s="55"/>
      <c r="BX96" s="55"/>
      <c r="BY96" s="79" t="n">
        <v>0.089010989010989</v>
      </c>
      <c r="BZ96" s="80" t="n">
        <v>0.880138</v>
      </c>
      <c r="CA96" s="81" t="n">
        <v>3.52</v>
      </c>
      <c r="CB96" s="81" t="n">
        <v>0.493</v>
      </c>
      <c r="CC96" s="82" t="n">
        <v>5.85504</v>
      </c>
      <c r="CD96" s="82" t="n">
        <v>6.729235</v>
      </c>
      <c r="CE96" s="83" t="n">
        <v>76.620888</v>
      </c>
      <c r="CF96" s="84" t="n">
        <v>36.209714</v>
      </c>
      <c r="CG96" s="80" t="n">
        <v>0.5015</v>
      </c>
      <c r="CH96" s="63" t="n">
        <v>120482.647620107</v>
      </c>
      <c r="CI96" s="63" t="n">
        <v>2557.13077132637</v>
      </c>
      <c r="CJ96" s="64" t="n">
        <v>256216.296681249</v>
      </c>
      <c r="CK96" s="65" t="n">
        <v>0.998035958074759</v>
      </c>
    </row>
    <row r="97" customFormat="false" ht="15" hidden="false" customHeight="false" outlineLevel="0" collapsed="false">
      <c r="A97" s="7" t="s">
        <v>73</v>
      </c>
      <c r="B97" s="66" t="n">
        <v>95</v>
      </c>
      <c r="C97" s="8" t="s">
        <v>173</v>
      </c>
      <c r="D97" s="67" t="n">
        <v>41680</v>
      </c>
      <c r="E97" s="4" t="s">
        <v>75</v>
      </c>
      <c r="F97" s="7" t="n">
        <v>306</v>
      </c>
      <c r="G97" s="68" t="n">
        <v>1</v>
      </c>
      <c r="H97" s="68" t="n">
        <v>90</v>
      </c>
      <c r="I97" s="66" t="n">
        <v>2</v>
      </c>
      <c r="J97" s="69" t="n">
        <v>556.166666666667</v>
      </c>
      <c r="K97" s="31" t="n">
        <v>517.274673584909</v>
      </c>
      <c r="L97" s="31" t="n">
        <v>938.269724837384</v>
      </c>
      <c r="M97" s="31" t="n">
        <v>170.721845675262</v>
      </c>
      <c r="N97" s="31" t="n">
        <v>331.625930542679</v>
      </c>
      <c r="O97" s="32"/>
      <c r="P97" s="33" t="n">
        <v>61.7450442961328</v>
      </c>
      <c r="Q97" s="33" t="n">
        <v>11.5172883248561</v>
      </c>
      <c r="R97" s="31" t="n">
        <v>139.221046884843</v>
      </c>
      <c r="S97" s="34" t="s">
        <v>76</v>
      </c>
      <c r="T97" s="35" t="n">
        <v>19.9255030128571</v>
      </c>
      <c r="U97" s="35" t="n">
        <v>4.74517735714286</v>
      </c>
      <c r="V97" s="70" t="n">
        <v>24.67068037</v>
      </c>
      <c r="W97" s="35" t="n">
        <v>23.1451413042503</v>
      </c>
      <c r="X97" s="35" t="n">
        <v>4.29513009832724</v>
      </c>
      <c r="Y97" s="35" t="n">
        <v>7.58347466699114</v>
      </c>
      <c r="Z97" s="35"/>
      <c r="AA97" s="35" t="n">
        <v>1.38904042979624</v>
      </c>
      <c r="AB97" s="35" t="n">
        <v>0.263032074580988</v>
      </c>
      <c r="AC97" s="71" t="n">
        <v>3.76803223499635</v>
      </c>
      <c r="AD97" s="38" t="n">
        <v>5.72112266051948</v>
      </c>
      <c r="AE97" s="38" t="n">
        <v>4.98001810048103</v>
      </c>
      <c r="AF97" s="38" t="n">
        <v>1.14384611831842</v>
      </c>
      <c r="AG97" s="72"/>
      <c r="AH97" s="72"/>
      <c r="AI97" s="73" t="n">
        <v>45.9756048224816</v>
      </c>
      <c r="AJ97" s="42" t="s">
        <v>16</v>
      </c>
      <c r="AK97" s="43" t="n">
        <v>768.100329025523</v>
      </c>
      <c r="AL97" s="43" t="n">
        <v>784.835269095267</v>
      </c>
      <c r="AM97" s="43" t="n">
        <v>733.687666698642</v>
      </c>
      <c r="AN97" s="74"/>
      <c r="AO97" s="75" t="n">
        <v>33.5357142857143</v>
      </c>
      <c r="AP97" s="76" t="n">
        <v>1.35148928571429</v>
      </c>
      <c r="AQ97" s="76" t="n">
        <v>1.0329</v>
      </c>
      <c r="AR97" s="76" t="n">
        <v>1.49904642857143</v>
      </c>
      <c r="AS97" s="77" t="n">
        <v>33.686625</v>
      </c>
      <c r="AT97" s="78" t="n">
        <v>32.5626232029117</v>
      </c>
      <c r="AU97" s="78" t="n">
        <v>40.3</v>
      </c>
      <c r="AV97" s="78" t="n">
        <v>30.8</v>
      </c>
      <c r="AW97" s="78" t="n">
        <v>44.7</v>
      </c>
      <c r="AX97" s="78" t="n">
        <v>33</v>
      </c>
      <c r="AY97" s="48" t="n">
        <v>1.31989157633887</v>
      </c>
      <c r="AZ97" s="48" t="n">
        <v>22.6286911079422</v>
      </c>
      <c r="BA97" s="48" t="n">
        <v>2.04198926205785</v>
      </c>
      <c r="BB97" s="49" t="n">
        <f aca="false">AT97/V97</f>
        <v>1.31989157633887</v>
      </c>
      <c r="BC97" s="49" t="n">
        <f aca="false">AS97/V97</f>
        <v>1.3654518033059</v>
      </c>
      <c r="BD97" s="49" t="n">
        <f aca="false">SUM(AP97:AR97)/V97</f>
        <v>0.157410969460252</v>
      </c>
      <c r="BE97" s="50" t="n">
        <v>6.5</v>
      </c>
      <c r="BF97" s="51" t="n">
        <v>184.634265919652</v>
      </c>
      <c r="BG97" s="51" t="n">
        <v>582.298165754868</v>
      </c>
      <c r="BH97" s="51" t="n">
        <v>202.241148007296</v>
      </c>
      <c r="BI97" s="51" t="n">
        <v>168.531996277554</v>
      </c>
      <c r="BJ97" s="51" t="n">
        <v>11.0681328602192</v>
      </c>
      <c r="BK97" s="51" t="n">
        <v>16.4274144736807</v>
      </c>
      <c r="BL97" s="51" t="n">
        <v>14.4580182482729</v>
      </c>
      <c r="BM97" s="51"/>
      <c r="BN97" s="52" t="n">
        <f aca="false">(BG97*0.5-BH97*0.25+BI97*0.5)/SUM(BG97:BI97)*1000</f>
        <v>340.850459553597</v>
      </c>
      <c r="BO97" s="53" t="n">
        <v>3.94821788</v>
      </c>
      <c r="BP97" s="54" t="s">
        <v>77</v>
      </c>
      <c r="BQ97" s="55" t="n">
        <v>414.624803689219</v>
      </c>
      <c r="BR97" s="56" t="n">
        <v>16.8063789677001</v>
      </c>
      <c r="BS97" s="56" t="n">
        <v>22.8253229575225</v>
      </c>
      <c r="BT97" s="56" t="n">
        <v>12.7331511686117</v>
      </c>
      <c r="BU97" s="55"/>
      <c r="BV97" s="55"/>
      <c r="BW97" s="55"/>
      <c r="BX97" s="55"/>
      <c r="BY97" s="79" t="n">
        <v>0.089010989010989</v>
      </c>
      <c r="BZ97" s="80" t="n">
        <v>0.789886</v>
      </c>
      <c r="CA97" s="81" t="n">
        <v>3.56</v>
      </c>
      <c r="CB97" s="81" t="n">
        <v>0.138</v>
      </c>
      <c r="CC97" s="82" t="n">
        <v>5.77</v>
      </c>
      <c r="CD97" s="82" t="n">
        <v>7.340265</v>
      </c>
      <c r="CE97" s="83" t="n">
        <v>85.004388</v>
      </c>
      <c r="CF97" s="84" t="n">
        <v>35.412008</v>
      </c>
      <c r="CG97" s="80" t="n">
        <v>0.1445</v>
      </c>
      <c r="CH97" s="63" t="n">
        <v>91979.852426049</v>
      </c>
      <c r="CI97" s="63" t="n">
        <v>5302.78110191638</v>
      </c>
      <c r="CJ97" s="64" t="n">
        <v>318812.940903291</v>
      </c>
      <c r="CK97" s="65" t="n">
        <v>1.66328916476603</v>
      </c>
    </row>
    <row r="98" customFormat="false" ht="15" hidden="false" customHeight="false" outlineLevel="0" collapsed="false">
      <c r="A98" s="7" t="s">
        <v>73</v>
      </c>
      <c r="B98" s="66" t="n">
        <v>96</v>
      </c>
      <c r="C98" s="8" t="s">
        <v>174</v>
      </c>
      <c r="D98" s="67" t="n">
        <v>41680</v>
      </c>
      <c r="E98" s="4" t="s">
        <v>75</v>
      </c>
      <c r="F98" s="7" t="n">
        <v>343</v>
      </c>
      <c r="G98" s="68" t="n">
        <v>1</v>
      </c>
      <c r="H98" s="68" t="n">
        <v>83</v>
      </c>
      <c r="I98" s="66" t="n">
        <v>1</v>
      </c>
      <c r="J98" s="69" t="n">
        <v>575.25</v>
      </c>
      <c r="K98" s="31" t="n">
        <v>517.274673584909</v>
      </c>
      <c r="L98" s="31" t="n">
        <v>938.269724837384</v>
      </c>
      <c r="M98" s="31" t="n">
        <v>170.721845675262</v>
      </c>
      <c r="N98" s="31" t="n">
        <v>331.625930542679</v>
      </c>
      <c r="O98" s="32"/>
      <c r="P98" s="33" t="n">
        <v>61.7450442961328</v>
      </c>
      <c r="Q98" s="33" t="n">
        <v>11.5172883248561</v>
      </c>
      <c r="R98" s="31" t="n">
        <v>139.221046884843</v>
      </c>
      <c r="S98" s="34" t="s">
        <v>76</v>
      </c>
      <c r="T98" s="35" t="n">
        <v>19.61523525</v>
      </c>
      <c r="U98" s="35" t="n">
        <v>3.3281955</v>
      </c>
      <c r="V98" s="70" t="n">
        <v>22.94343075</v>
      </c>
      <c r="W98" s="35" t="n">
        <v>21.5252950159006</v>
      </c>
      <c r="X98" s="35" t="n">
        <v>3.97537441798445</v>
      </c>
      <c r="Y98" s="35" t="n">
        <v>7.18923461734482</v>
      </c>
      <c r="Z98" s="35"/>
      <c r="AA98" s="35" t="n">
        <v>1.32248095385282</v>
      </c>
      <c r="AB98" s="35" t="n">
        <v>0.249441791665956</v>
      </c>
      <c r="AC98" s="71" t="n">
        <v>3.42801809377247</v>
      </c>
      <c r="AD98" s="38" t="n">
        <v>5.88793625482989</v>
      </c>
      <c r="AE98" s="38" t="n">
        <v>5.12749655983948</v>
      </c>
      <c r="AF98" s="38" t="n">
        <v>1.29609283099867</v>
      </c>
      <c r="AG98" s="72"/>
      <c r="AH98" s="72"/>
      <c r="AI98" s="73" t="n">
        <v>42.3648933803144</v>
      </c>
      <c r="AJ98" s="42" t="s">
        <v>16</v>
      </c>
      <c r="AK98" s="43" t="n">
        <v>743.37158557554</v>
      </c>
      <c r="AL98" s="43" t="n">
        <v>761.792042522444</v>
      </c>
      <c r="AM98" s="43" t="n">
        <v>673.969620286533</v>
      </c>
      <c r="AN98" s="74"/>
      <c r="AO98" s="75" t="n">
        <v>35.0428571428571</v>
      </c>
      <c r="AP98" s="76" t="n">
        <v>1.32111571428571</v>
      </c>
      <c r="AQ98" s="76" t="n">
        <v>1.08282428571429</v>
      </c>
      <c r="AR98" s="76" t="n">
        <v>1.68906571428571</v>
      </c>
      <c r="AS98" s="77" t="n">
        <v>33.8338785714286</v>
      </c>
      <c r="AT98" s="78" t="n">
        <v>33.5877750409463</v>
      </c>
      <c r="AU98" s="78" t="n">
        <v>37.7</v>
      </c>
      <c r="AV98" s="78" t="n">
        <v>30.9</v>
      </c>
      <c r="AW98" s="78" t="n">
        <v>48.2</v>
      </c>
      <c r="AX98" s="78" t="n">
        <v>38</v>
      </c>
      <c r="AY98" s="48" t="n">
        <v>1.4639386501056</v>
      </c>
      <c r="AZ98" s="48" t="n">
        <v>22.74105556783</v>
      </c>
      <c r="BA98" s="48" t="n">
        <v>0.202375182169959</v>
      </c>
      <c r="BB98" s="49" t="n">
        <f aca="false">AT98/V98</f>
        <v>1.4639386501056</v>
      </c>
      <c r="BC98" s="49" t="n">
        <f aca="false">AS98/V98</f>
        <v>1.47466518586932</v>
      </c>
      <c r="BD98" s="49" t="n">
        <f aca="false">SUM(AP98:AR98)/V98</f>
        <v>0.178395539833802</v>
      </c>
      <c r="BE98" s="50"/>
      <c r="BF98" s="51" t="n">
        <v>189.585505234727</v>
      </c>
      <c r="BG98" s="51" t="n">
        <v>549.215976452836</v>
      </c>
      <c r="BH98" s="51" t="n">
        <v>223.786152131383</v>
      </c>
      <c r="BI98" s="51" t="n">
        <v>180.202343310677</v>
      </c>
      <c r="BJ98" s="51" t="n">
        <v>11.5142535307035</v>
      </c>
      <c r="BK98" s="51" t="n">
        <v>15.9190283081674</v>
      </c>
      <c r="BL98" s="51" t="n">
        <v>14.3871218881241</v>
      </c>
      <c r="BM98" s="51"/>
      <c r="BN98" s="52" t="n">
        <f aca="false">(BG98*0.5-BH98*0.25+BI98*0.5)/SUM(BG98:BI98)*1000</f>
        <v>323.920660207474</v>
      </c>
      <c r="BO98" s="53" t="n">
        <v>5.33490752</v>
      </c>
      <c r="BP98" s="54" t="s">
        <v>77</v>
      </c>
      <c r="BQ98" s="55" t="n">
        <v>481.940186139076</v>
      </c>
      <c r="BR98" s="56" t="n">
        <v>21.0055850578962</v>
      </c>
      <c r="BS98" s="56" t="n">
        <v>29.3905421163984</v>
      </c>
      <c r="BT98" s="56" t="n">
        <v>14.3486785162623</v>
      </c>
      <c r="BU98" s="55"/>
      <c r="BV98" s="55"/>
      <c r="BW98" s="55"/>
      <c r="BX98" s="55"/>
      <c r="BY98" s="79" t="n">
        <v>0.0791208791208791</v>
      </c>
      <c r="BZ98" s="80" t="n">
        <v>0.623116</v>
      </c>
      <c r="CA98" s="81" t="n">
        <v>3.36</v>
      </c>
      <c r="CB98" s="81" t="n">
        <v>0.392</v>
      </c>
      <c r="CC98" s="82" t="n">
        <v>6.52473</v>
      </c>
      <c r="CD98" s="82" t="n">
        <v>6.44866</v>
      </c>
      <c r="CE98" s="83" t="n">
        <v>105.922152</v>
      </c>
      <c r="CF98" s="84" t="n">
        <v>37.989212</v>
      </c>
      <c r="CG98" s="80" t="n">
        <v>0.1235</v>
      </c>
      <c r="CH98" s="63" t="n">
        <v>80753.7462442897</v>
      </c>
      <c r="CI98" s="63" t="n">
        <v>3689.45004275647</v>
      </c>
      <c r="CJ98" s="64" t="n">
        <v>419987.503650303</v>
      </c>
      <c r="CK98" s="65" t="n">
        <v>0.878466623575648</v>
      </c>
    </row>
    <row r="99" customFormat="false" ht="15" hidden="false" customHeight="false" outlineLevel="0" collapsed="false">
      <c r="A99" s="7" t="s">
        <v>73</v>
      </c>
      <c r="B99" s="66" t="n">
        <v>97</v>
      </c>
      <c r="C99" s="8" t="s">
        <v>175</v>
      </c>
      <c r="D99" s="67" t="n">
        <v>41680</v>
      </c>
      <c r="E99" s="4" t="s">
        <v>75</v>
      </c>
      <c r="F99" s="7" t="n">
        <v>353</v>
      </c>
      <c r="G99" s="68" t="n">
        <v>1</v>
      </c>
      <c r="H99" s="68" t="n">
        <v>102</v>
      </c>
      <c r="I99" s="66" t="n">
        <v>1</v>
      </c>
      <c r="J99" s="69" t="n">
        <v>572.178571428572</v>
      </c>
      <c r="K99" s="31" t="n">
        <v>517.274673584909</v>
      </c>
      <c r="L99" s="31" t="n">
        <v>938.269724837384</v>
      </c>
      <c r="M99" s="31" t="n">
        <v>170.721845675262</v>
      </c>
      <c r="N99" s="31" t="n">
        <v>331.625930542679</v>
      </c>
      <c r="O99" s="32"/>
      <c r="P99" s="33" t="n">
        <v>61.7450442961328</v>
      </c>
      <c r="Q99" s="33" t="n">
        <v>11.5172883248561</v>
      </c>
      <c r="R99" s="31" t="n">
        <v>139.221046884843</v>
      </c>
      <c r="S99" s="34" t="s">
        <v>76</v>
      </c>
      <c r="T99" s="35" t="n">
        <v>17.5395607928571</v>
      </c>
      <c r="U99" s="35" t="n">
        <v>4.35433235714286</v>
      </c>
      <c r="V99" s="70" t="n">
        <v>21.89389315</v>
      </c>
      <c r="W99" s="35" t="n">
        <v>20.5399809977491</v>
      </c>
      <c r="X99" s="35" t="n">
        <v>3.81421021079875</v>
      </c>
      <c r="Y99" s="35" t="n">
        <v>6.71187228334035</v>
      </c>
      <c r="Z99" s="35"/>
      <c r="AA99" s="35" t="n">
        <v>1.22864547080377</v>
      </c>
      <c r="AB99" s="35" t="n">
        <v>0.232789553047056</v>
      </c>
      <c r="AC99" s="71" t="n">
        <v>3.35398769062676</v>
      </c>
      <c r="AD99" s="38" t="n">
        <v>5.35045830154145</v>
      </c>
      <c r="AE99" s="38" t="n">
        <v>4.7114781645533</v>
      </c>
      <c r="AF99" s="38" t="n">
        <v>1.13195840415982</v>
      </c>
      <c r="AG99" s="72"/>
      <c r="AH99" s="72"/>
      <c r="AI99" s="73" t="n">
        <v>43.5083388987426</v>
      </c>
      <c r="AJ99" s="42" t="s">
        <v>16</v>
      </c>
      <c r="AK99" s="43" t="n">
        <v>755.618689427036</v>
      </c>
      <c r="AL99" s="43" t="n">
        <v>770.619156606347</v>
      </c>
      <c r="AM99" s="43" t="n">
        <v>703.226004441225</v>
      </c>
      <c r="AN99" s="74"/>
      <c r="AO99" s="75" t="n">
        <v>29.9857142857143</v>
      </c>
      <c r="AP99" s="76" t="n">
        <v>1.05249857142857</v>
      </c>
      <c r="AQ99" s="76" t="n">
        <v>1.02251285714286</v>
      </c>
      <c r="AR99" s="76" t="n">
        <v>1.37634428571429</v>
      </c>
      <c r="AS99" s="77" t="n">
        <v>27.7817642857143</v>
      </c>
      <c r="AT99" s="78" t="n">
        <v>28.1659061146497</v>
      </c>
      <c r="AU99" s="78" t="n">
        <v>35.1</v>
      </c>
      <c r="AV99" s="78" t="n">
        <v>34.1</v>
      </c>
      <c r="AW99" s="78" t="n">
        <v>45.9</v>
      </c>
      <c r="AX99" s="78" t="n">
        <v>24</v>
      </c>
      <c r="AY99" s="48" t="n">
        <v>1.28647316955823</v>
      </c>
      <c r="AZ99" s="48" t="n">
        <v>21.0069264352122</v>
      </c>
      <c r="BA99" s="48" t="n">
        <v>0.886966714787803</v>
      </c>
      <c r="BB99" s="49" t="n">
        <f aca="false">AT99/V99</f>
        <v>1.28647316955823</v>
      </c>
      <c r="BC99" s="49" t="n">
        <f aca="false">AS99/V99</f>
        <v>1.26892755415289</v>
      </c>
      <c r="BD99" s="49" t="n">
        <f aca="false">SUM(AP99:AR99)/V99</f>
        <v>0.157640109533727</v>
      </c>
      <c r="BE99" s="50" t="n">
        <v>6.85</v>
      </c>
      <c r="BF99" s="51" t="n">
        <v>148.525529549064</v>
      </c>
      <c r="BG99" s="51" t="n">
        <v>559.240649394214</v>
      </c>
      <c r="BH99" s="51" t="n">
        <v>219.000479803624</v>
      </c>
      <c r="BI99" s="51" t="n">
        <v>170.368671243354</v>
      </c>
      <c r="BJ99" s="51" t="n">
        <v>13.307229493705</v>
      </c>
      <c r="BK99" s="51" t="n">
        <v>18.5050084228186</v>
      </c>
      <c r="BL99" s="51" t="n">
        <v>14.602837264175</v>
      </c>
      <c r="BM99" s="51"/>
      <c r="BN99" s="52" t="n">
        <f aca="false">(BG99*0.5-BH99*0.25+BI99*0.5)/SUM(BG99:BI99)*1000</f>
        <v>326.851504405366</v>
      </c>
      <c r="BO99" s="53" t="n">
        <v>6.12957076</v>
      </c>
      <c r="BP99" s="54" t="s">
        <v>77</v>
      </c>
      <c r="BQ99" s="55" t="n">
        <v>418.275613127644</v>
      </c>
      <c r="BR99" s="56" t="n">
        <v>19.1046704330721</v>
      </c>
      <c r="BS99" s="56" t="n">
        <v>26.4254691385233</v>
      </c>
      <c r="BT99" s="56" t="n">
        <v>14.8504227566849</v>
      </c>
      <c r="BU99" s="55"/>
      <c r="BV99" s="55"/>
      <c r="BW99" s="55"/>
      <c r="BX99" s="55"/>
      <c r="BY99" s="79" t="n">
        <v>0.0791208791208791</v>
      </c>
      <c r="BZ99" s="80" t="n">
        <v>0.56818</v>
      </c>
      <c r="CA99" s="81" t="n">
        <v>3.68</v>
      </c>
      <c r="CB99" s="81" t="n">
        <v>0.261</v>
      </c>
      <c r="CC99" s="82" t="n">
        <v>4.07983</v>
      </c>
      <c r="CD99" s="82" t="n">
        <v>6.080795</v>
      </c>
      <c r="CE99" s="83" t="n">
        <v>88.506828</v>
      </c>
      <c r="CF99" s="84" t="n">
        <v>36.455162</v>
      </c>
      <c r="CG99" s="80" t="n">
        <v>0.1235</v>
      </c>
      <c r="CH99" s="63" t="n">
        <v>101541.180553117</v>
      </c>
      <c r="CI99" s="63" t="n">
        <v>3093.40760564223</v>
      </c>
      <c r="CJ99" s="64" t="n">
        <v>353680.223563216</v>
      </c>
      <c r="CK99" s="65" t="n">
        <v>0.874634033669491</v>
      </c>
    </row>
    <row r="100" customFormat="false" ht="15" hidden="false" customHeight="false" outlineLevel="0" collapsed="false">
      <c r="A100" s="7" t="s">
        <v>73</v>
      </c>
      <c r="B100" s="66" t="n">
        <v>98</v>
      </c>
      <c r="C100" s="8" t="s">
        <v>176</v>
      </c>
      <c r="D100" s="67" t="n">
        <v>41680</v>
      </c>
      <c r="E100" s="4" t="s">
        <v>75</v>
      </c>
      <c r="F100" s="7" t="n">
        <v>314</v>
      </c>
      <c r="G100" s="68" t="n">
        <v>1</v>
      </c>
      <c r="H100" s="68" t="n">
        <v>90</v>
      </c>
      <c r="I100" s="66" t="n">
        <v>5</v>
      </c>
      <c r="J100" s="69" t="n">
        <v>707.446428571429</v>
      </c>
      <c r="K100" s="31" t="n">
        <v>517.274673584909</v>
      </c>
      <c r="L100" s="31" t="n">
        <v>938.269724837384</v>
      </c>
      <c r="M100" s="31" t="n">
        <v>170.721845675262</v>
      </c>
      <c r="N100" s="31" t="n">
        <v>331.625930542679</v>
      </c>
      <c r="O100" s="32"/>
      <c r="P100" s="33" t="n">
        <v>61.7450442961328</v>
      </c>
      <c r="Q100" s="33" t="n">
        <v>11.5172883248561</v>
      </c>
      <c r="R100" s="31" t="n">
        <v>139.221046884843</v>
      </c>
      <c r="S100" s="34" t="s">
        <v>76</v>
      </c>
      <c r="T100" s="35" t="n">
        <v>24.1256636457143</v>
      </c>
      <c r="U100" s="35" t="n">
        <v>7.39611271428572</v>
      </c>
      <c r="V100" s="70" t="n">
        <v>31.52177636</v>
      </c>
      <c r="W100" s="35" t="n">
        <v>29.5718584958721</v>
      </c>
      <c r="X100" s="35" t="n">
        <v>5.51130149177658</v>
      </c>
      <c r="Y100" s="35" t="n">
        <v>9.52141860955699</v>
      </c>
      <c r="Z100" s="35"/>
      <c r="AA100" s="35" t="n">
        <v>1.73706068552863</v>
      </c>
      <c r="AB100" s="35" t="n">
        <v>0.33014636223552</v>
      </c>
      <c r="AC100" s="71" t="n">
        <v>4.9080803156154</v>
      </c>
      <c r="AD100" s="38" t="n">
        <v>7.36633093985845</v>
      </c>
      <c r="AE100" s="38" t="n">
        <v>6.48919278763902</v>
      </c>
      <c r="AF100" s="38" t="n">
        <v>1.74988183294782</v>
      </c>
      <c r="AG100" s="72"/>
      <c r="AH100" s="72"/>
      <c r="AI100" s="73" t="n">
        <v>44.8182908059605</v>
      </c>
      <c r="AJ100" s="42" t="s">
        <v>16</v>
      </c>
      <c r="AK100" s="43" t="n">
        <v>766.309777224165</v>
      </c>
      <c r="AL100" s="43" t="n">
        <v>780.561888305233</v>
      </c>
      <c r="AM100" s="43" t="n">
        <v>682.492087293932</v>
      </c>
      <c r="AN100" s="74"/>
      <c r="AO100" s="75" t="n">
        <v>55.4</v>
      </c>
      <c r="AP100" s="76" t="n">
        <v>1.99514773006135</v>
      </c>
      <c r="AQ100" s="76" t="n">
        <v>1.6404517791411</v>
      </c>
      <c r="AR100" s="76" t="n">
        <v>2.73735478527607</v>
      </c>
      <c r="AS100" s="77" t="n">
        <v>52.0872159509203</v>
      </c>
      <c r="AT100" s="78" t="n">
        <v>51.7629679187996</v>
      </c>
      <c r="AU100" s="78" t="n">
        <v>36.0134969325153</v>
      </c>
      <c r="AV100" s="78" t="n">
        <v>29.6110429447853</v>
      </c>
      <c r="AW100" s="78" t="n">
        <v>49.410736196319</v>
      </c>
      <c r="AX100" s="78" t="n">
        <v>33.2208588957055</v>
      </c>
      <c r="AY100" s="48" t="n">
        <v>1.64213359449136</v>
      </c>
      <c r="AZ100" s="48" t="n">
        <v>31.2876147034081</v>
      </c>
      <c r="BA100" s="48" t="n">
        <v>0.234161656591908</v>
      </c>
      <c r="BB100" s="49" t="n">
        <f aca="false">AT100/V100</f>
        <v>1.64213359449136</v>
      </c>
      <c r="BC100" s="49" t="n">
        <f aca="false">AS100/V100</f>
        <v>1.65242007163711</v>
      </c>
      <c r="BD100" s="49" t="n">
        <f aca="false">SUM(AP100:AR100)/V100</f>
        <v>0.202176242280736</v>
      </c>
      <c r="BE100" s="50" t="n">
        <v>7.07</v>
      </c>
      <c r="BF100" s="51" t="n">
        <v>165.670355506492</v>
      </c>
      <c r="BG100" s="51" t="n">
        <v>555.128462188989</v>
      </c>
      <c r="BH100" s="51" t="n">
        <v>249.990353200188</v>
      </c>
      <c r="BI100" s="51" t="n">
        <v>151.236857061474</v>
      </c>
      <c r="BJ100" s="51" t="n">
        <v>10.0870824519245</v>
      </c>
      <c r="BK100" s="51" t="n">
        <v>16.2274020522228</v>
      </c>
      <c r="BL100" s="51" t="n">
        <v>12.3547186670921</v>
      </c>
      <c r="BM100" s="51"/>
      <c r="BN100" s="52" t="n">
        <f aca="false">(BG100*0.5-BH100*0.25+BI100*0.5)/SUM(BG100:BI100)*1000</f>
        <v>303.950799580984</v>
      </c>
      <c r="BO100" s="53" t="n">
        <v>6.0367908</v>
      </c>
      <c r="BP100" s="54" t="s">
        <v>77</v>
      </c>
      <c r="BQ100" s="55" t="n">
        <v>456.562155442554</v>
      </c>
      <c r="BR100" s="56" t="n">
        <v>14.4840236866192</v>
      </c>
      <c r="BS100" s="56" t="n">
        <v>19.7794380083106</v>
      </c>
      <c r="BT100" s="56" t="n">
        <v>8.8202468637185</v>
      </c>
      <c r="BU100" s="55"/>
      <c r="BV100" s="55"/>
      <c r="BW100" s="55"/>
      <c r="BX100" s="55"/>
      <c r="BY100" s="79" t="n">
        <v>0.089010989010989</v>
      </c>
      <c r="BZ100" s="80" t="n">
        <v>0.72514</v>
      </c>
      <c r="CA100" s="81" t="n">
        <v>3.5</v>
      </c>
      <c r="CB100" s="81" t="n">
        <v>0.112</v>
      </c>
      <c r="CC100" s="82" t="n">
        <v>5.27039</v>
      </c>
      <c r="CD100" s="82" t="n">
        <v>7.352735</v>
      </c>
      <c r="CE100" s="83" t="n">
        <v>67.492188</v>
      </c>
      <c r="CF100" s="84" t="n">
        <v>37.467635</v>
      </c>
      <c r="CG100" s="80" t="n">
        <v>0.0815</v>
      </c>
      <c r="CH100" s="63" t="n">
        <v>104707.847825655</v>
      </c>
      <c r="CI100" s="63" t="n">
        <v>5226.65993794402</v>
      </c>
      <c r="CJ100" s="64" t="n">
        <v>359664.926186514</v>
      </c>
      <c r="CK100" s="65" t="n">
        <v>1.45320256644474</v>
      </c>
    </row>
    <row r="101" customFormat="false" ht="15" hidden="false" customHeight="false" outlineLevel="0" collapsed="false">
      <c r="A101" s="7" t="s">
        <v>73</v>
      </c>
      <c r="B101" s="66" t="n">
        <v>99</v>
      </c>
      <c r="C101" s="8" t="s">
        <v>177</v>
      </c>
      <c r="D101" s="67" t="n">
        <v>41680</v>
      </c>
      <c r="E101" s="4" t="s">
        <v>75</v>
      </c>
      <c r="F101" s="7" t="n">
        <v>318</v>
      </c>
      <c r="G101" s="68" t="n">
        <v>1</v>
      </c>
      <c r="H101" s="68" t="n">
        <v>82</v>
      </c>
      <c r="I101" s="66" t="n">
        <v>2</v>
      </c>
      <c r="J101" s="69" t="n">
        <v>519.089285714286</v>
      </c>
      <c r="K101" s="31" t="n">
        <v>517.274673584909</v>
      </c>
      <c r="L101" s="31" t="n">
        <v>938.269724837384</v>
      </c>
      <c r="M101" s="31" t="n">
        <v>170.721845675262</v>
      </c>
      <c r="N101" s="31" t="n">
        <v>331.625930542679</v>
      </c>
      <c r="O101" s="32"/>
      <c r="P101" s="33" t="n">
        <v>61.7450442961328</v>
      </c>
      <c r="Q101" s="33" t="n">
        <v>11.5172883248561</v>
      </c>
      <c r="R101" s="31" t="n">
        <v>139.221046884843</v>
      </c>
      <c r="S101" s="34" t="s">
        <v>76</v>
      </c>
      <c r="T101" s="35" t="n">
        <v>17.7051937871429</v>
      </c>
      <c r="U101" s="35" t="n">
        <v>4.77554914285714</v>
      </c>
      <c r="V101" s="70" t="n">
        <v>22.48074293</v>
      </c>
      <c r="W101" s="35" t="n">
        <v>21.0903725920122</v>
      </c>
      <c r="X101" s="35" t="n">
        <v>3.92179314166492</v>
      </c>
      <c r="Y101" s="35" t="n">
        <v>6.85340733052829</v>
      </c>
      <c r="Z101" s="35"/>
      <c r="AA101" s="35" t="n">
        <v>1.25296335890161</v>
      </c>
      <c r="AB101" s="35" t="n">
        <v>0.237674835388487</v>
      </c>
      <c r="AC101" s="71" t="n">
        <v>3.46528050563076</v>
      </c>
      <c r="AD101" s="38" t="n">
        <v>6.14449771562696</v>
      </c>
      <c r="AE101" s="38" t="n">
        <v>5.396648298988</v>
      </c>
      <c r="AF101" s="38" t="n">
        <v>1.26886016526326</v>
      </c>
      <c r="AG101" s="72"/>
      <c r="AH101" s="72"/>
      <c r="AI101" s="73" t="n">
        <v>38.68092175932</v>
      </c>
      <c r="AJ101" s="42" t="s">
        <v>16</v>
      </c>
      <c r="AK101" s="43" t="n">
        <v>726.677283986586</v>
      </c>
      <c r="AL101" s="43" t="n">
        <v>744.11792511281</v>
      </c>
      <c r="AM101" s="43" t="n">
        <v>676.4591809336</v>
      </c>
      <c r="AN101" s="74"/>
      <c r="AO101" s="75" t="n">
        <v>36.7571428571429</v>
      </c>
      <c r="AP101" s="76" t="n">
        <v>1.36031806375443</v>
      </c>
      <c r="AQ101" s="76" t="n">
        <v>1.13540080283353</v>
      </c>
      <c r="AR101" s="76" t="n">
        <v>1.65367651711924</v>
      </c>
      <c r="AS101" s="77" t="n">
        <v>35.1076280991736</v>
      </c>
      <c r="AT101" s="78" t="n">
        <v>34.2960394014844</v>
      </c>
      <c r="AU101" s="78" t="n">
        <v>37.0082644628099</v>
      </c>
      <c r="AV101" s="78" t="n">
        <v>30.8892561983471</v>
      </c>
      <c r="AW101" s="78" t="n">
        <v>44.9892561983471</v>
      </c>
      <c r="AX101" s="78" t="n">
        <v>26.3636363636364</v>
      </c>
      <c r="AY101" s="48" t="n">
        <v>1.52557411061879</v>
      </c>
      <c r="AZ101" s="48" t="n">
        <v>22.3572127532467</v>
      </c>
      <c r="BA101" s="48" t="n">
        <v>0.123530176753281</v>
      </c>
      <c r="BB101" s="49" t="n">
        <f aca="false">AT101/V101</f>
        <v>1.52557411061879</v>
      </c>
      <c r="BC101" s="49" t="n">
        <f aca="false">AS101/V101</f>
        <v>1.56167561759373</v>
      </c>
      <c r="BD101" s="49" t="n">
        <f aca="false">SUM(AP101:AR101)/V101</f>
        <v>0.184575545240097</v>
      </c>
      <c r="BE101" s="50" t="n">
        <v>6.7</v>
      </c>
      <c r="BF101" s="51" t="n">
        <v>152.191605144384</v>
      </c>
      <c r="BG101" s="51" t="n">
        <v>511.004054923129</v>
      </c>
      <c r="BH101" s="51" t="n">
        <v>218.276153107813</v>
      </c>
      <c r="BI101" s="51" t="n">
        <v>208.833621110669</v>
      </c>
      <c r="BJ101" s="51" t="n">
        <v>11.3747647043835</v>
      </c>
      <c r="BK101" s="51" t="n">
        <v>27.6708571358891</v>
      </c>
      <c r="BL101" s="51" t="n">
        <v>17.8654246400074</v>
      </c>
      <c r="BM101" s="51"/>
      <c r="BN101" s="52" t="n">
        <f aca="false">(BG101*0.5-BH101*0.25+BI101*0.5)/SUM(BG101:BI101)*1000</f>
        <v>325.493335941275</v>
      </c>
      <c r="BO101" s="53" t="n">
        <v>5.42590822</v>
      </c>
      <c r="BP101" s="54" t="s">
        <v>77</v>
      </c>
      <c r="BQ101" s="55" t="n">
        <v>389.712950638796</v>
      </c>
      <c r="BR101" s="56" t="n">
        <v>17.3354124395388</v>
      </c>
      <c r="BS101" s="56" t="n">
        <v>24.8324071050503</v>
      </c>
      <c r="BT101" s="56" t="n">
        <v>11.3632057065437</v>
      </c>
      <c r="BU101" s="55"/>
      <c r="BV101" s="55"/>
      <c r="BW101" s="55"/>
      <c r="BX101" s="55"/>
      <c r="BY101" s="79" t="n">
        <v>0.0692307692307692</v>
      </c>
      <c r="BZ101" s="80" t="n">
        <v>0.737893</v>
      </c>
      <c r="CA101" s="81" t="n">
        <v>3.35</v>
      </c>
      <c r="CB101" s="81" t="n">
        <v>0.182</v>
      </c>
      <c r="CC101" s="82" t="n">
        <v>5.9826</v>
      </c>
      <c r="CD101" s="82" t="n">
        <v>7.028515</v>
      </c>
      <c r="CE101" s="83" t="n">
        <v>82.14282</v>
      </c>
      <c r="CF101" s="84" t="n">
        <v>36.833561</v>
      </c>
      <c r="CG101" s="80" t="n">
        <v>0.05</v>
      </c>
      <c r="CH101" s="63" t="n">
        <v>34769.7078257146</v>
      </c>
      <c r="CI101" s="63" t="n">
        <v>4981.5837685218</v>
      </c>
      <c r="CJ101" s="64" t="n">
        <v>673581.972023229</v>
      </c>
      <c r="CK101" s="65" t="n">
        <v>0.739566077393474</v>
      </c>
    </row>
    <row r="102" customFormat="false" ht="15" hidden="false" customHeight="false" outlineLevel="0" collapsed="false">
      <c r="A102" s="7" t="s">
        <v>73</v>
      </c>
      <c r="B102" s="66" t="n">
        <v>100</v>
      </c>
      <c r="C102" s="8" t="s">
        <v>178</v>
      </c>
      <c r="D102" s="67" t="n">
        <v>41680</v>
      </c>
      <c r="E102" s="4" t="s">
        <v>75</v>
      </c>
      <c r="F102" s="7" t="n">
        <v>341</v>
      </c>
      <c r="G102" s="68" t="n">
        <v>1</v>
      </c>
      <c r="H102" s="68" t="n">
        <v>102</v>
      </c>
      <c r="I102" s="66" t="n">
        <v>1</v>
      </c>
      <c r="J102" s="69" t="n">
        <v>579.52380952381</v>
      </c>
      <c r="K102" s="31" t="n">
        <v>517.274673584909</v>
      </c>
      <c r="L102" s="31" t="n">
        <v>938.269724837384</v>
      </c>
      <c r="M102" s="31" t="n">
        <v>170.721845675262</v>
      </c>
      <c r="N102" s="31" t="n">
        <v>331.625930542679</v>
      </c>
      <c r="O102" s="32"/>
      <c r="P102" s="33" t="n">
        <v>61.7450442961328</v>
      </c>
      <c r="Q102" s="33" t="n">
        <v>11.5172883248561</v>
      </c>
      <c r="R102" s="31" t="n">
        <v>139.221046884843</v>
      </c>
      <c r="S102" s="34" t="s">
        <v>76</v>
      </c>
      <c r="T102" s="35" t="n">
        <v>19.7904124671429</v>
      </c>
      <c r="U102" s="35" t="n">
        <v>4.67891164285714</v>
      </c>
      <c r="V102" s="70" t="n">
        <v>24.46932411</v>
      </c>
      <c r="W102" s="35" t="n">
        <v>22.9562512863091</v>
      </c>
      <c r="X102" s="35" t="n">
        <v>4.25959082960105</v>
      </c>
      <c r="Y102" s="35" t="n">
        <v>7.52505017191826</v>
      </c>
      <c r="Z102" s="35"/>
      <c r="AA102" s="35" t="n">
        <v>1.37848248585283</v>
      </c>
      <c r="AB102" s="35" t="n">
        <v>0.261007756367915</v>
      </c>
      <c r="AC102" s="71" t="n">
        <v>3.73534396136919</v>
      </c>
      <c r="AD102" s="38" t="n">
        <v>5.51847500822502</v>
      </c>
      <c r="AE102" s="38" t="n">
        <v>4.76104034774529</v>
      </c>
      <c r="AF102" s="38" t="n">
        <v>1.14362002275661</v>
      </c>
      <c r="AG102" s="72"/>
      <c r="AH102" s="72"/>
      <c r="AI102" s="73" t="n">
        <v>47.2970804395952</v>
      </c>
      <c r="AJ102" s="42" t="s">
        <v>16</v>
      </c>
      <c r="AK102" s="43" t="n">
        <v>774.473745845323</v>
      </c>
      <c r="AL102" s="43" t="n">
        <v>792.603753619619</v>
      </c>
      <c r="AM102" s="43" t="n">
        <v>731.51880814249</v>
      </c>
      <c r="AN102" s="74"/>
      <c r="AO102" s="75" t="n">
        <v>31.8</v>
      </c>
      <c r="AP102" s="76" t="n">
        <v>1.40055581395349</v>
      </c>
      <c r="AQ102" s="76" t="n">
        <v>1.03867674418605</v>
      </c>
      <c r="AR102" s="76" t="n">
        <v>1.46070465116279</v>
      </c>
      <c r="AS102" s="77" t="n">
        <v>33.7283372093023</v>
      </c>
      <c r="AT102" s="78" t="n">
        <v>32.9922228706858</v>
      </c>
      <c r="AU102" s="78" t="n">
        <v>44.0426356589147</v>
      </c>
      <c r="AV102" s="78" t="n">
        <v>32.6627906976744</v>
      </c>
      <c r="AW102" s="78" t="n">
        <v>45.9341085271318</v>
      </c>
      <c r="AX102" s="78" t="n">
        <v>32.1627906976744</v>
      </c>
      <c r="AY102" s="48" t="n">
        <v>1.34830952920366</v>
      </c>
      <c r="AZ102" s="48" t="n">
        <v>23.2579880947675</v>
      </c>
      <c r="BA102" s="48" t="n">
        <v>1.21133601523251</v>
      </c>
      <c r="BB102" s="49" t="n">
        <f aca="false">AT102/V102</f>
        <v>1.34830952920366</v>
      </c>
      <c r="BC102" s="49" t="n">
        <f aca="false">AS102/V102</f>
        <v>1.37839267883654</v>
      </c>
      <c r="BD102" s="49" t="n">
        <f aca="false">SUM(AP102:AR102)/V102</f>
        <v>0.159380667474527</v>
      </c>
      <c r="BE102" s="50" t="n">
        <v>6.95</v>
      </c>
      <c r="BF102" s="51" t="n">
        <v>177.749604521782</v>
      </c>
      <c r="BG102" s="51" t="n">
        <v>598.432693949641</v>
      </c>
      <c r="BH102" s="51" t="n">
        <v>216.227407558923</v>
      </c>
      <c r="BI102" s="51" t="n">
        <v>142.310772367285</v>
      </c>
      <c r="BJ102" s="51" t="n">
        <v>9.82141959479903</v>
      </c>
      <c r="BK102" s="51" t="n">
        <v>13.9721394415909</v>
      </c>
      <c r="BL102" s="51" t="n">
        <v>14.2604427096517</v>
      </c>
      <c r="BM102" s="51"/>
      <c r="BN102" s="52" t="n">
        <f aca="false">(BG102*0.5-BH102*0.25+BI102*0.5)/SUM(BG102:BI102)*1000</f>
        <v>330.537626487647</v>
      </c>
      <c r="BO102" s="53" t="n">
        <v>7.41584652</v>
      </c>
      <c r="BP102" s="54" t="s">
        <v>77</v>
      </c>
      <c r="BQ102" s="55" t="n">
        <v>423.362660557703</v>
      </c>
      <c r="BR102" s="56" t="n">
        <v>17.3017717471275</v>
      </c>
      <c r="BS102" s="56" t="n">
        <v>23.2678072261535</v>
      </c>
      <c r="BT102" s="56" t="n">
        <v>12.8321957031234</v>
      </c>
      <c r="BU102" s="55"/>
      <c r="BV102" s="55"/>
      <c r="BW102" s="55"/>
      <c r="BX102" s="55"/>
      <c r="BY102" s="79" t="n">
        <v>0.168131868131868</v>
      </c>
      <c r="BZ102" s="80" t="n">
        <v>0.522073</v>
      </c>
      <c r="CA102" s="81" t="n">
        <v>3.34</v>
      </c>
      <c r="CB102" s="81" t="n">
        <v>0.446</v>
      </c>
      <c r="CC102" s="82" t="n">
        <v>5.39795</v>
      </c>
      <c r="CD102" s="82" t="n">
        <v>5.48847</v>
      </c>
      <c r="CE102" s="83" t="n">
        <v>84.050532</v>
      </c>
      <c r="CF102" s="84" t="n">
        <v>33.888185</v>
      </c>
      <c r="CG102" s="80" t="n">
        <v>0.323</v>
      </c>
      <c r="CH102" s="63" t="n">
        <v>112068.465427995</v>
      </c>
      <c r="CI102" s="63" t="n">
        <v>3502.05468725529</v>
      </c>
      <c r="CJ102" s="64" t="n">
        <v>341447.518377759</v>
      </c>
      <c r="CK102" s="65" t="n">
        <v>1.02564947722971</v>
      </c>
    </row>
    <row r="103" customFormat="false" ht="15" hidden="false" customHeight="false" outlineLevel="0" collapsed="false">
      <c r="A103" s="7" t="s">
        <v>73</v>
      </c>
      <c r="B103" s="66" t="n">
        <v>101</v>
      </c>
      <c r="C103" s="8" t="s">
        <v>179</v>
      </c>
      <c r="D103" s="67" t="n">
        <v>41680</v>
      </c>
      <c r="E103" s="4" t="s">
        <v>75</v>
      </c>
      <c r="F103" s="7" t="n">
        <v>516</v>
      </c>
      <c r="G103" s="68" t="n">
        <v>1</v>
      </c>
      <c r="H103" s="68" t="n">
        <v>90</v>
      </c>
      <c r="I103" s="66" t="n">
        <v>3</v>
      </c>
      <c r="J103" s="69" t="n">
        <v>701.589285714286</v>
      </c>
      <c r="K103" s="31" t="n">
        <v>517.274673584909</v>
      </c>
      <c r="L103" s="31" t="n">
        <v>938.269724837384</v>
      </c>
      <c r="M103" s="31" t="n">
        <v>170.721845675262</v>
      </c>
      <c r="N103" s="31" t="n">
        <v>331.625930542679</v>
      </c>
      <c r="O103" s="32"/>
      <c r="P103" s="33" t="n">
        <v>61.7450442961328</v>
      </c>
      <c r="Q103" s="33" t="n">
        <v>11.5172883248561</v>
      </c>
      <c r="R103" s="31" t="n">
        <v>139.221046884843</v>
      </c>
      <c r="S103" s="34" t="s">
        <v>76</v>
      </c>
      <c r="T103" s="35" t="n">
        <v>21.9203313828571</v>
      </c>
      <c r="U103" s="35" t="n">
        <v>6.42624035714286</v>
      </c>
      <c r="V103" s="70" t="n">
        <v>28.34657174</v>
      </c>
      <c r="W103" s="35" t="n">
        <v>26.5931938325041</v>
      </c>
      <c r="X103" s="35" t="n">
        <v>4.95219768540346</v>
      </c>
      <c r="Y103" s="35" t="n">
        <v>8.5906567127431</v>
      </c>
      <c r="Z103" s="35"/>
      <c r="AA103" s="35" t="n">
        <v>1.56844742283451</v>
      </c>
      <c r="AB103" s="35" t="n">
        <v>0.297890753628354</v>
      </c>
      <c r="AC103" s="71" t="n">
        <v>4.39789033132889</v>
      </c>
      <c r="AD103" s="38" t="n">
        <v>6.78515801383066</v>
      </c>
      <c r="AE103" s="38" t="n">
        <v>5.97832933902719</v>
      </c>
      <c r="AF103" s="38" t="n">
        <v>1.60816189207363</v>
      </c>
      <c r="AG103" s="72"/>
      <c r="AH103" s="72"/>
      <c r="AI103" s="73" t="n">
        <v>43.9032890643287</v>
      </c>
      <c r="AJ103" s="42" t="s">
        <v>16</v>
      </c>
      <c r="AK103" s="43" t="n">
        <v>760.635674886354</v>
      </c>
      <c r="AL103" s="43" t="n">
        <v>775.193255211036</v>
      </c>
      <c r="AM103" s="43" t="n">
        <v>675.262985398651</v>
      </c>
      <c r="AN103" s="74"/>
      <c r="AO103" s="75" t="n">
        <v>40.6071428571429</v>
      </c>
      <c r="AP103" s="76" t="n">
        <v>1.80446463210702</v>
      </c>
      <c r="AQ103" s="76" t="n">
        <v>1.42747009077879</v>
      </c>
      <c r="AR103" s="76" t="n">
        <v>1.93675699952222</v>
      </c>
      <c r="AS103" s="77" t="n">
        <v>43.3098266244625</v>
      </c>
      <c r="AT103" s="78" t="n">
        <v>43.4809873362376</v>
      </c>
      <c r="AU103" s="78" t="n">
        <v>44.4371237458194</v>
      </c>
      <c r="AV103" s="78" t="n">
        <v>35.1531772575251</v>
      </c>
      <c r="AW103" s="78" t="n">
        <v>47.694983277592</v>
      </c>
      <c r="AX103" s="78" t="n">
        <v>26.0434782608696</v>
      </c>
      <c r="AY103" s="48" t="n">
        <v>1.53390638328519</v>
      </c>
      <c r="AZ103" s="48" t="n">
        <v>28.0800543390372</v>
      </c>
      <c r="BA103" s="48" t="n">
        <v>0.266517400962844</v>
      </c>
      <c r="BB103" s="49" t="n">
        <f aca="false">AT103/V103</f>
        <v>1.53390638328519</v>
      </c>
      <c r="BC103" s="49" t="n">
        <f aca="false">AS103/V103</f>
        <v>1.52786823823735</v>
      </c>
      <c r="BD103" s="49" t="n">
        <f aca="false">SUM(AP103:AR103)/V103</f>
        <v>0.182339217941987</v>
      </c>
      <c r="BE103" s="50" t="n">
        <v>6.62</v>
      </c>
      <c r="BF103" s="51" t="n">
        <v>191.640271572998</v>
      </c>
      <c r="BG103" s="51" t="n">
        <v>592.44826647546</v>
      </c>
      <c r="BH103" s="51" t="n">
        <v>218.271706852516</v>
      </c>
      <c r="BI103" s="51" t="n">
        <v>149.045670772156</v>
      </c>
      <c r="BJ103" s="51" t="n">
        <v>8.57742010941152</v>
      </c>
      <c r="BK103" s="51" t="n">
        <v>15.4574542940514</v>
      </c>
      <c r="BL103" s="51" t="n">
        <v>11.2243571182963</v>
      </c>
      <c r="BM103" s="51"/>
      <c r="BN103" s="52" t="n">
        <f aca="false">(BG103*0.5-BH103*0.25+BI103*0.5)/SUM(BG103:BI103)*1000</f>
        <v>329.43359022517</v>
      </c>
      <c r="BO103" s="53" t="n">
        <v>6.87641266</v>
      </c>
      <c r="BP103" s="54" t="s">
        <v>77</v>
      </c>
      <c r="BQ103" s="55" t="n">
        <v>499.637170904668</v>
      </c>
      <c r="BR103" s="56" t="n">
        <v>17.6260175476397</v>
      </c>
      <c r="BS103" s="56" t="n">
        <v>24.2367429125118</v>
      </c>
      <c r="BT103" s="56" t="n">
        <v>11.490934348868</v>
      </c>
      <c r="BU103" s="55"/>
      <c r="BV103" s="55"/>
      <c r="BW103" s="55"/>
      <c r="BX103" s="55"/>
      <c r="BY103" s="79" t="n">
        <v>0.118681318681319</v>
      </c>
      <c r="BZ103" s="80" t="n">
        <v>0.82324</v>
      </c>
      <c r="CA103" s="81" t="n">
        <v>3.36</v>
      </c>
      <c r="CB103" s="81" t="n">
        <v>0.422</v>
      </c>
      <c r="CC103" s="82" t="n">
        <v>5.28102</v>
      </c>
      <c r="CD103" s="82" t="n">
        <v>7.67072</v>
      </c>
      <c r="CE103" s="83" t="n">
        <v>78.744708</v>
      </c>
      <c r="CF103" s="84" t="n">
        <v>37.794899</v>
      </c>
      <c r="CG103" s="80" t="n">
        <v>0.1655</v>
      </c>
      <c r="CH103" s="63" t="n">
        <v>83553.8320930884</v>
      </c>
      <c r="CI103" s="63" t="n">
        <v>3201.69750586899</v>
      </c>
      <c r="CJ103" s="64" t="n">
        <v>294680.017193748</v>
      </c>
      <c r="CK103" s="65" t="n">
        <v>1.08649970105164</v>
      </c>
    </row>
    <row r="104" customFormat="false" ht="15" hidden="false" customHeight="false" outlineLevel="0" collapsed="false">
      <c r="A104" s="7" t="s">
        <v>73</v>
      </c>
      <c r="B104" s="66" t="n">
        <v>102</v>
      </c>
      <c r="C104" s="8" t="s">
        <v>180</v>
      </c>
      <c r="D104" s="67" t="n">
        <v>41680</v>
      </c>
      <c r="E104" s="4" t="s">
        <v>75</v>
      </c>
      <c r="F104" s="7" t="n">
        <v>4</v>
      </c>
      <c r="G104" s="68" t="n">
        <v>1</v>
      </c>
      <c r="H104" s="68" t="n">
        <v>93</v>
      </c>
      <c r="I104" s="66" t="n">
        <v>5</v>
      </c>
      <c r="J104" s="69" t="n">
        <v>717.357142857143</v>
      </c>
      <c r="K104" s="31" t="n">
        <v>517.274673584909</v>
      </c>
      <c r="L104" s="31" t="n">
        <v>938.269724837384</v>
      </c>
      <c r="M104" s="31" t="n">
        <v>170.721845675262</v>
      </c>
      <c r="N104" s="31" t="n">
        <v>331.625930542679</v>
      </c>
      <c r="O104" s="32"/>
      <c r="P104" s="33" t="n">
        <v>61.7450442961328</v>
      </c>
      <c r="Q104" s="33" t="n">
        <v>11.5172883248561</v>
      </c>
      <c r="R104" s="31" t="n">
        <v>139.221046884843</v>
      </c>
      <c r="S104" s="34" t="s">
        <v>76</v>
      </c>
      <c r="T104" s="35" t="n">
        <v>28.5288985228571</v>
      </c>
      <c r="U104" s="35" t="n">
        <v>7.05932335714286</v>
      </c>
      <c r="V104" s="70" t="n">
        <v>35.58822188</v>
      </c>
      <c r="W104" s="35" t="n">
        <v>33.3874665435685</v>
      </c>
      <c r="X104" s="35" t="n">
        <v>6.19961992520203</v>
      </c>
      <c r="Y104" s="35" t="n">
        <v>10.9123978391549</v>
      </c>
      <c r="Z104" s="35"/>
      <c r="AA104" s="35" t="n">
        <v>1.99767207854167</v>
      </c>
      <c r="AB104" s="35" t="n">
        <v>0.378478877591775</v>
      </c>
      <c r="AC104" s="71" t="n">
        <v>5.45055526982957</v>
      </c>
      <c r="AD104" s="38" t="n">
        <v>5.80756438659282</v>
      </c>
      <c r="AE104" s="38" t="n">
        <v>4.94311428128732</v>
      </c>
      <c r="AF104" s="38" t="n">
        <v>1.17943274898248</v>
      </c>
      <c r="AG104" s="72"/>
      <c r="AH104" s="72"/>
      <c r="AI104" s="73" t="n">
        <v>65.1699839033246</v>
      </c>
      <c r="AJ104" s="42" t="s">
        <v>16</v>
      </c>
      <c r="AK104" s="43" t="n">
        <v>836.81217886706</v>
      </c>
      <c r="AL104" s="43" t="n">
        <v>851.947009071896</v>
      </c>
      <c r="AM104" s="43" t="n">
        <v>809.757249119744</v>
      </c>
      <c r="AN104" s="74"/>
      <c r="AO104" s="75" t="n">
        <v>54.1357142857143</v>
      </c>
      <c r="AP104" s="76" t="n">
        <v>2.94665351420093</v>
      </c>
      <c r="AQ104" s="76" t="n">
        <v>1.54060283170835</v>
      </c>
      <c r="AR104" s="76" t="n">
        <v>2.40500721916066</v>
      </c>
      <c r="AS104" s="77" t="n">
        <v>65.8540884272997</v>
      </c>
      <c r="AT104" s="78" t="n">
        <v>60.8403970738438</v>
      </c>
      <c r="AU104" s="78" t="n">
        <v>54.4308605341246</v>
      </c>
      <c r="AV104" s="78" t="n">
        <v>28.4581602373887</v>
      </c>
      <c r="AW104" s="78" t="n">
        <v>44.4255192878338</v>
      </c>
      <c r="AX104" s="78" t="n">
        <v>29.7715133531157</v>
      </c>
      <c r="AY104" s="48" t="n">
        <v>1.70956552083416</v>
      </c>
      <c r="AZ104" s="48" t="n">
        <v>36.4533057284222</v>
      </c>
      <c r="BA104" s="48" t="n">
        <v>-0.865083848422167</v>
      </c>
      <c r="BB104" s="49" t="n">
        <f aca="false">AT104/V104</f>
        <v>1.70956552083416</v>
      </c>
      <c r="BC104" s="49" t="n">
        <f aca="false">AS104/V104</f>
        <v>1.85044615742122</v>
      </c>
      <c r="BD104" s="49" t="n">
        <f aca="false">SUM(AP104:AR104)/V104</f>
        <v>0.193666983090922</v>
      </c>
      <c r="BE104" s="50" t="n">
        <v>6.8</v>
      </c>
      <c r="BF104" s="51" t="n">
        <v>130.504563057411</v>
      </c>
      <c r="BG104" s="51" t="n">
        <v>593.691057009786</v>
      </c>
      <c r="BH104" s="51" t="n">
        <v>218.915648865682</v>
      </c>
      <c r="BI104" s="51" t="n">
        <v>146.06192352062</v>
      </c>
      <c r="BJ104" s="51" t="n">
        <v>8.81922082655886</v>
      </c>
      <c r="BK104" s="51" t="n">
        <v>14.2592996891496</v>
      </c>
      <c r="BL104" s="51" t="n">
        <v>13.2777257100946</v>
      </c>
      <c r="BM104" s="51"/>
      <c r="BN104" s="52" t="n">
        <f aca="false">(BG104*0.5-BH104*0.25+BI104*0.5)/SUM(BG104:BI104)*1000</f>
        <v>328.734630909232</v>
      </c>
      <c r="BO104" s="53" t="n">
        <v>5.07755098</v>
      </c>
      <c r="BP104" s="54" t="s">
        <v>77</v>
      </c>
      <c r="BQ104" s="55" t="n">
        <v>574.788263497441</v>
      </c>
      <c r="BR104" s="56" t="n">
        <v>16.1510812604117</v>
      </c>
      <c r="BS104" s="56" t="n">
        <v>20.2074653765149</v>
      </c>
      <c r="BT104" s="56" t="n">
        <v>9.44747718854964</v>
      </c>
      <c r="BU104" s="55"/>
      <c r="BV104" s="55"/>
      <c r="BW104" s="55"/>
      <c r="BX104" s="55"/>
      <c r="BY104" s="79" t="n">
        <v>0.108791208791209</v>
      </c>
      <c r="BZ104" s="80" t="n">
        <v>0.502453</v>
      </c>
      <c r="CA104" s="81" t="n">
        <v>3.76</v>
      </c>
      <c r="CB104" s="81" t="n">
        <v>0.317</v>
      </c>
      <c r="CC104" s="82" t="n">
        <v>5.35543</v>
      </c>
      <c r="CD104" s="82" t="n">
        <v>5.931155</v>
      </c>
      <c r="CE104" s="83" t="n">
        <v>82.463256</v>
      </c>
      <c r="CF104" s="84" t="n">
        <v>31.79165</v>
      </c>
      <c r="CG104" s="80" t="n">
        <v>0.2075</v>
      </c>
      <c r="CH104" s="63" t="n">
        <v>98161.2233562908</v>
      </c>
      <c r="CI104" s="63" t="n">
        <v>3405.64487872884</v>
      </c>
      <c r="CJ104" s="64" t="n">
        <v>230759.418455238</v>
      </c>
      <c r="CK104" s="65" t="n">
        <v>1.47584220029981</v>
      </c>
    </row>
    <row r="105" customFormat="false" ht="15" hidden="false" customHeight="false" outlineLevel="0" collapsed="false">
      <c r="A105" s="7" t="s">
        <v>73</v>
      </c>
      <c r="B105" s="66" t="n">
        <v>103</v>
      </c>
      <c r="C105" s="8" t="s">
        <v>181</v>
      </c>
      <c r="D105" s="67" t="n">
        <v>41680</v>
      </c>
      <c r="E105" s="4" t="s">
        <v>75</v>
      </c>
      <c r="F105" s="7" t="n">
        <v>238</v>
      </c>
      <c r="G105" s="68" t="n">
        <v>1</v>
      </c>
      <c r="H105" s="68" t="n">
        <v>96</v>
      </c>
      <c r="I105" s="66" t="n">
        <v>2</v>
      </c>
      <c r="J105" s="69" t="n">
        <v>704.369047619048</v>
      </c>
      <c r="K105" s="31" t="n">
        <v>517.274673584909</v>
      </c>
      <c r="L105" s="31" t="n">
        <v>938.269724837384</v>
      </c>
      <c r="M105" s="31" t="n">
        <v>170.721845675262</v>
      </c>
      <c r="N105" s="31" t="n">
        <v>331.625930542679</v>
      </c>
      <c r="O105" s="32"/>
      <c r="P105" s="33" t="n">
        <v>61.7450442961328</v>
      </c>
      <c r="Q105" s="33" t="n">
        <v>11.5172883248561</v>
      </c>
      <c r="R105" s="31" t="n">
        <v>139.221046884843</v>
      </c>
      <c r="S105" s="34" t="s">
        <v>76</v>
      </c>
      <c r="T105" s="35" t="n">
        <v>20.8222700057143</v>
      </c>
      <c r="U105" s="35" t="n">
        <v>6.05521371428572</v>
      </c>
      <c r="V105" s="70" t="n">
        <v>26.87748372</v>
      </c>
      <c r="W105" s="35" t="n">
        <v>25.2149971889036</v>
      </c>
      <c r="X105" s="35" t="n">
        <v>4.69487854861942</v>
      </c>
      <c r="Y105" s="35" t="n">
        <v>8.15022388646545</v>
      </c>
      <c r="Z105" s="35"/>
      <c r="AA105" s="35" t="n">
        <v>1.48823570262982</v>
      </c>
      <c r="AB105" s="35" t="n">
        <v>0.282621225782021</v>
      </c>
      <c r="AC105" s="71" t="n">
        <v>4.16729730147631</v>
      </c>
      <c r="AD105" s="38" t="n">
        <v>5.80292088571948</v>
      </c>
      <c r="AE105" s="38" t="n">
        <v>5.00617134735486</v>
      </c>
      <c r="AF105" s="38" t="n">
        <v>1.43883718840668</v>
      </c>
      <c r="AG105" s="72"/>
      <c r="AH105" s="72"/>
      <c r="AI105" s="73" t="n">
        <v>48.7032705335564</v>
      </c>
      <c r="AJ105" s="42" t="s">
        <v>16</v>
      </c>
      <c r="AK105" s="43" t="n">
        <v>784.097315575661</v>
      </c>
      <c r="AL105" s="43" t="n">
        <v>801.460562939982</v>
      </c>
      <c r="AM105" s="43" t="n">
        <v>693.530477198439</v>
      </c>
      <c r="AN105" s="74"/>
      <c r="AO105" s="75" t="n">
        <v>36.9428571428571</v>
      </c>
      <c r="AP105" s="76" t="n">
        <v>1.82940185768604</v>
      </c>
      <c r="AQ105" s="76" t="n">
        <v>1.2319670287887</v>
      </c>
      <c r="AR105" s="76" t="n">
        <v>1.61993726235741</v>
      </c>
      <c r="AS105" s="77" t="n">
        <v>42.2181707224335</v>
      </c>
      <c r="AT105" s="78" t="n">
        <v>40.585405321118</v>
      </c>
      <c r="AU105" s="78" t="n">
        <v>49.5197718631179</v>
      </c>
      <c r="AV105" s="78" t="n">
        <v>33.3479087452471</v>
      </c>
      <c r="AW105" s="78" t="n">
        <v>43.8498098859316</v>
      </c>
      <c r="AX105" s="78" t="n">
        <v>23.4980988593156</v>
      </c>
      <c r="AY105" s="48" t="n">
        <v>1.51001506480005</v>
      </c>
      <c r="AZ105" s="48" t="n">
        <v>27.9123792811503</v>
      </c>
      <c r="BA105" s="48" t="n">
        <v>-1.03489556115026</v>
      </c>
      <c r="BB105" s="49" t="n">
        <f aca="false">AT105/V105</f>
        <v>1.51001506480005</v>
      </c>
      <c r="BC105" s="49" t="n">
        <f aca="false">AS105/V105</f>
        <v>1.57076351202543</v>
      </c>
      <c r="BD105" s="49" t="n">
        <f aca="false">SUM(AP105:AR105)/V105</f>
        <v>0.174172039228089</v>
      </c>
      <c r="BE105" s="50" t="n">
        <v>6.63</v>
      </c>
      <c r="BF105" s="51" t="n">
        <v>140.87052764229</v>
      </c>
      <c r="BG105" s="51" t="n">
        <v>581.111673470919</v>
      </c>
      <c r="BH105" s="51" t="n">
        <v>212.042128718996</v>
      </c>
      <c r="BI105" s="51" t="n">
        <v>162.827736574553</v>
      </c>
      <c r="BJ105" s="51" t="n">
        <v>9.08483745574131</v>
      </c>
      <c r="BK105" s="51" t="n">
        <v>16.7081410341853</v>
      </c>
      <c r="BL105" s="51" t="n">
        <v>13.2503583674968</v>
      </c>
      <c r="BM105" s="51"/>
      <c r="BN105" s="52" t="n">
        <f aca="false">(BG105*0.5-BH105*0.25+BI105*0.5)/SUM(BG105:BI105)*1000</f>
        <v>333.645745141917</v>
      </c>
      <c r="BO105" s="53" t="n">
        <v>5.9960865</v>
      </c>
      <c r="BP105" s="54" t="s">
        <v>77</v>
      </c>
      <c r="BQ105" s="55" t="n">
        <v>445.090436135235</v>
      </c>
      <c r="BR105" s="56" t="n">
        <v>16.5599741691606</v>
      </c>
      <c r="BS105" s="56" t="n">
        <v>22.0245569745146</v>
      </c>
      <c r="BT105" s="56" t="n">
        <v>10.966760898742</v>
      </c>
      <c r="BU105" s="55"/>
      <c r="BV105" s="55"/>
      <c r="BW105" s="55"/>
      <c r="BX105" s="55"/>
      <c r="BY105" s="79" t="n">
        <v>0.0593406593406593</v>
      </c>
      <c r="BZ105" s="80" t="n">
        <v>0.659413</v>
      </c>
      <c r="CA105" s="81" t="n">
        <v>3.26</v>
      </c>
      <c r="CB105" s="81" t="n">
        <v>0.189</v>
      </c>
      <c r="CC105" s="82" t="n">
        <v>5.24913</v>
      </c>
      <c r="CD105" s="82" t="n">
        <v>7.08463</v>
      </c>
      <c r="CE105" s="83" t="n">
        <v>82.351476</v>
      </c>
      <c r="CF105" s="84" t="n">
        <v>38.296022</v>
      </c>
      <c r="CG105" s="80" t="n">
        <v>0.0815</v>
      </c>
      <c r="CH105" s="63" t="n">
        <v>107263.987791284</v>
      </c>
      <c r="CI105" s="63" t="n">
        <v>2664.36687273234</v>
      </c>
      <c r="CJ105" s="64" t="n">
        <v>232150.354197859</v>
      </c>
      <c r="CK105" s="65" t="n">
        <v>1.14769020359174</v>
      </c>
    </row>
    <row r="106" customFormat="false" ht="15" hidden="false" customHeight="false" outlineLevel="0" collapsed="false">
      <c r="A106" s="7" t="s">
        <v>73</v>
      </c>
      <c r="B106" s="66" t="n">
        <v>104</v>
      </c>
      <c r="C106" s="8" t="s">
        <v>182</v>
      </c>
      <c r="D106" s="67" t="n">
        <v>41680</v>
      </c>
      <c r="E106" s="4" t="s">
        <v>75</v>
      </c>
      <c r="F106" s="7" t="n">
        <v>250</v>
      </c>
      <c r="G106" s="68" t="n">
        <v>1</v>
      </c>
      <c r="H106" s="68" t="n">
        <v>94</v>
      </c>
      <c r="I106" s="66" t="n">
        <v>2</v>
      </c>
      <c r="J106" s="69" t="n">
        <v>614.488095238095</v>
      </c>
      <c r="K106" s="31" t="n">
        <v>517.274673584909</v>
      </c>
      <c r="L106" s="31" t="n">
        <v>938.269724837384</v>
      </c>
      <c r="M106" s="31" t="n">
        <v>170.721845675262</v>
      </c>
      <c r="N106" s="31" t="n">
        <v>331.625930542679</v>
      </c>
      <c r="O106" s="32"/>
      <c r="P106" s="33" t="n">
        <v>61.7450442961328</v>
      </c>
      <c r="Q106" s="33" t="n">
        <v>11.5172883248561</v>
      </c>
      <c r="R106" s="31" t="n">
        <v>139.221046884843</v>
      </c>
      <c r="S106" s="34" t="s">
        <v>76</v>
      </c>
      <c r="T106" s="35" t="n">
        <v>22.64246544</v>
      </c>
      <c r="U106" s="35" t="n">
        <v>5.3442685</v>
      </c>
      <c r="V106" s="70" t="n">
        <v>27.98673394</v>
      </c>
      <c r="W106" s="35" t="n">
        <v>26.2561643068107</v>
      </c>
      <c r="X106" s="35" t="n">
        <v>4.8717704875829</v>
      </c>
      <c r="Y106" s="35" t="n">
        <v>8.60766965568157</v>
      </c>
      <c r="Z106" s="35"/>
      <c r="AA106" s="35" t="n">
        <v>1.57684065808174</v>
      </c>
      <c r="AB106" s="35" t="n">
        <v>0.298559171906863</v>
      </c>
      <c r="AC106" s="71" t="n">
        <v>4.27178354145789</v>
      </c>
      <c r="AD106" s="38" t="n">
        <v>6.54772686789519</v>
      </c>
      <c r="AE106" s="38" t="n">
        <v>5.66382736099459</v>
      </c>
      <c r="AF106" s="38" t="n">
        <v>1.3857508182054</v>
      </c>
      <c r="AG106" s="72"/>
      <c r="AH106" s="72"/>
      <c r="AI106" s="73" t="n">
        <v>45.5973772166274</v>
      </c>
      <c r="AJ106" s="42" t="s">
        <v>16</v>
      </c>
      <c r="AK106" s="43" t="n">
        <v>766.041765290202</v>
      </c>
      <c r="AL106" s="43" t="n">
        <v>784.285804475811</v>
      </c>
      <c r="AM106" s="43" t="n">
        <v>715.554987301355</v>
      </c>
      <c r="AN106" s="74"/>
      <c r="AO106" s="75" t="n">
        <v>41.0357142857143</v>
      </c>
      <c r="AP106" s="76" t="n">
        <v>1.62734182395054</v>
      </c>
      <c r="AQ106" s="76" t="n">
        <v>1.28555825740319</v>
      </c>
      <c r="AR106" s="76" t="n">
        <v>1.86296534331272</v>
      </c>
      <c r="AS106" s="77" t="n">
        <v>40.8244130735438</v>
      </c>
      <c r="AT106" s="78" t="n">
        <v>39.8409515129202</v>
      </c>
      <c r="AU106" s="78" t="n">
        <v>39.6567198177677</v>
      </c>
      <c r="AV106" s="78" t="n">
        <v>31.3277904328018</v>
      </c>
      <c r="AW106" s="78" t="n">
        <v>45.3986332574032</v>
      </c>
      <c r="AX106" s="78" t="n">
        <v>31.125284738041</v>
      </c>
      <c r="AY106" s="48" t="n">
        <v>1.42356559355351</v>
      </c>
      <c r="AZ106" s="48" t="n">
        <v>26.1157136204135</v>
      </c>
      <c r="BA106" s="48" t="n">
        <v>1.87102031958652</v>
      </c>
      <c r="BB106" s="49" t="n">
        <f aca="false">AT106/V106</f>
        <v>1.42356559355351</v>
      </c>
      <c r="BC106" s="49" t="n">
        <f aca="false">AS106/V106</f>
        <v>1.4587058697548</v>
      </c>
      <c r="BD106" s="49" t="n">
        <f aca="false">SUM(AP106:AR106)/V106</f>
        <v>0.17064747301008</v>
      </c>
      <c r="BE106" s="50" t="n">
        <v>6.97</v>
      </c>
      <c r="BF106" s="51" t="n">
        <v>115.529015655215</v>
      </c>
      <c r="BG106" s="51" t="n">
        <v>596.174045422686</v>
      </c>
      <c r="BH106" s="51" t="n">
        <v>218.90494826455</v>
      </c>
      <c r="BI106" s="51" t="n">
        <v>143.463919001743</v>
      </c>
      <c r="BJ106" s="51" t="n">
        <v>10.2030978388251</v>
      </c>
      <c r="BK106" s="51" t="n">
        <v>13.3744963735757</v>
      </c>
      <c r="BL106" s="51" t="n">
        <v>12.904368720511</v>
      </c>
      <c r="BM106" s="51"/>
      <c r="BN106" s="52" t="n">
        <f aca="false">(BG106*0.5-BH106*0.25+BI106*0.5)/SUM(BG106:BI106)*1000</f>
        <v>328.720541328874</v>
      </c>
      <c r="BO106" s="53" t="n">
        <v>7.69417646</v>
      </c>
      <c r="BP106" s="54" t="s">
        <v>77</v>
      </c>
      <c r="BQ106" s="55" t="n">
        <v>515.689559495313</v>
      </c>
      <c r="BR106" s="56" t="n">
        <v>18.4262143843182</v>
      </c>
      <c r="BS106" s="56" t="n">
        <v>25.0427895023391</v>
      </c>
      <c r="BT106" s="56" t="n">
        <v>12.9437059084314</v>
      </c>
      <c r="BU106" s="55"/>
      <c r="BV106" s="55"/>
      <c r="BW106" s="55"/>
      <c r="BX106" s="55"/>
      <c r="BY106" s="79" t="n">
        <v>0.158241758241758</v>
      </c>
      <c r="BZ106" s="80" t="n">
        <v>0.424954</v>
      </c>
      <c r="CA106" s="81" t="n">
        <v>3.56</v>
      </c>
      <c r="CB106" s="81" t="n">
        <v>0.124</v>
      </c>
      <c r="CC106" s="82" t="n">
        <v>5.4511</v>
      </c>
      <c r="CD106" s="82" t="n">
        <v>8.051055</v>
      </c>
      <c r="CE106" s="83" t="n">
        <v>86.494788</v>
      </c>
      <c r="CF106" s="84" t="n">
        <v>37.805126</v>
      </c>
      <c r="CG106" s="80" t="n">
        <v>0.1025</v>
      </c>
      <c r="CH106" s="63" t="n">
        <v>111716.668311382</v>
      </c>
      <c r="CI106" s="63" t="n">
        <v>2535.4957211679</v>
      </c>
      <c r="CJ106" s="64" t="n">
        <v>329088.754687076</v>
      </c>
      <c r="CK106" s="65" t="n">
        <v>0.770459544744656</v>
      </c>
    </row>
    <row r="107" customFormat="false" ht="15" hidden="false" customHeight="false" outlineLevel="0" collapsed="false">
      <c r="A107" s="7" t="s">
        <v>73</v>
      </c>
      <c r="B107" s="66" t="n">
        <v>105</v>
      </c>
      <c r="C107" s="8" t="s">
        <v>183</v>
      </c>
      <c r="D107" s="67" t="n">
        <v>41680</v>
      </c>
      <c r="E107" s="4" t="s">
        <v>75</v>
      </c>
      <c r="F107" s="7" t="n">
        <v>332</v>
      </c>
      <c r="G107" s="68" t="n">
        <v>1</v>
      </c>
      <c r="H107" s="68" t="n">
        <v>89</v>
      </c>
      <c r="I107" s="66" t="n">
        <v>1</v>
      </c>
      <c r="J107" s="69" t="n">
        <v>573.488095238095</v>
      </c>
      <c r="K107" s="31" t="n">
        <v>517.274673584909</v>
      </c>
      <c r="L107" s="31" t="n">
        <v>938.269724837384</v>
      </c>
      <c r="M107" s="31" t="n">
        <v>170.721845675262</v>
      </c>
      <c r="N107" s="31" t="n">
        <v>331.625930542679</v>
      </c>
      <c r="O107" s="32"/>
      <c r="P107" s="33" t="n">
        <v>61.7450442961328</v>
      </c>
      <c r="Q107" s="33" t="n">
        <v>11.5172883248561</v>
      </c>
      <c r="R107" s="31" t="n">
        <v>139.221046884843</v>
      </c>
      <c r="S107" s="34" t="s">
        <v>76</v>
      </c>
      <c r="T107" s="35" t="n">
        <v>20.02944404</v>
      </c>
      <c r="U107" s="35" t="n">
        <v>5.111909</v>
      </c>
      <c r="V107" s="70" t="n">
        <v>25.14135304</v>
      </c>
      <c r="W107" s="35" t="n">
        <v>23.5865574155871</v>
      </c>
      <c r="X107" s="35" t="n">
        <v>4.38192252108039</v>
      </c>
      <c r="Y107" s="35" t="n">
        <v>7.69334830740641</v>
      </c>
      <c r="Z107" s="35"/>
      <c r="AA107" s="35" t="n">
        <v>1.40772646527394</v>
      </c>
      <c r="AB107" s="35" t="n">
        <v>0.266821669781053</v>
      </c>
      <c r="AC107" s="71" t="n">
        <v>3.85932310579795</v>
      </c>
      <c r="AD107" s="38" t="n">
        <v>6.38848047898524</v>
      </c>
      <c r="AE107" s="38" t="n">
        <v>5.58580402066081</v>
      </c>
      <c r="AF107" s="38" t="n">
        <v>1.30726192418566</v>
      </c>
      <c r="AG107" s="72"/>
      <c r="AH107" s="72"/>
      <c r="AI107" s="73" t="n">
        <v>41.7660616884965</v>
      </c>
      <c r="AJ107" s="42" t="s">
        <v>16</v>
      </c>
      <c r="AK107" s="43" t="n">
        <v>745.897507233555</v>
      </c>
      <c r="AL107" s="43" t="n">
        <v>763.178495180927</v>
      </c>
      <c r="AM107" s="43" t="n">
        <v>701.669320281969</v>
      </c>
      <c r="AN107" s="74"/>
      <c r="AO107" s="75" t="n">
        <v>30.9</v>
      </c>
      <c r="AP107" s="76" t="n">
        <v>1.3436512631579</v>
      </c>
      <c r="AQ107" s="76" t="n">
        <v>1.01193705263158</v>
      </c>
      <c r="AR107" s="76" t="n">
        <v>1.42479357894737</v>
      </c>
      <c r="AS107" s="77" t="n">
        <v>32.5147689473684</v>
      </c>
      <c r="AT107" s="78" t="n">
        <v>31.8969540918538</v>
      </c>
      <c r="AU107" s="78" t="n">
        <v>43.4838596491228</v>
      </c>
      <c r="AV107" s="78" t="n">
        <v>32.7487719298246</v>
      </c>
      <c r="AW107" s="78" t="n">
        <v>46.1098245614035</v>
      </c>
      <c r="AX107" s="78" t="n">
        <v>35.5368421052632</v>
      </c>
      <c r="AY107" s="48" t="n">
        <v>1.26870475272773</v>
      </c>
      <c r="AZ107" s="48" t="n">
        <v>22.430878207618</v>
      </c>
      <c r="BA107" s="48" t="n">
        <v>2.71047483238202</v>
      </c>
      <c r="BB107" s="49" t="n">
        <f aca="false">AT107/V107</f>
        <v>1.26870475272773</v>
      </c>
      <c r="BC107" s="49" t="n">
        <f aca="false">AS107/V107</f>
        <v>1.29327840453285</v>
      </c>
      <c r="BD107" s="49" t="n">
        <f aca="false">SUM(AP107:AR107)/V107</f>
        <v>0.150365093267743</v>
      </c>
      <c r="BE107" s="50" t="n">
        <v>7.04</v>
      </c>
      <c r="BF107" s="51" t="n">
        <v>97.5469309200888</v>
      </c>
      <c r="BG107" s="51" t="n">
        <v>618.240594572222</v>
      </c>
      <c r="BH107" s="51" t="n">
        <v>189.070786275427</v>
      </c>
      <c r="BI107" s="51" t="n">
        <v>150.68443395037</v>
      </c>
      <c r="BJ107" s="51" t="n">
        <v>11.2304763869544</v>
      </c>
      <c r="BK107" s="51" t="n">
        <v>13.5753095741037</v>
      </c>
      <c r="BL107" s="51" t="n">
        <v>12.2232748628137</v>
      </c>
      <c r="BM107" s="51"/>
      <c r="BN107" s="52" t="n">
        <f aca="false">(BG107*0.5-BH107*0.25+BI107*0.5)/SUM(BG107:BI107)*1000</f>
        <v>351.979426719659</v>
      </c>
      <c r="BO107" s="53" t="n">
        <v>4.26777894</v>
      </c>
      <c r="BP107" s="54" t="s">
        <v>77</v>
      </c>
      <c r="BQ107" s="55" t="n">
        <v>521.798054695372</v>
      </c>
      <c r="BR107" s="56" t="n">
        <v>20.7545733065834</v>
      </c>
      <c r="BS107" s="56" t="n">
        <v>28.987567533837</v>
      </c>
      <c r="BT107" s="56" t="n">
        <v>16.358867783825</v>
      </c>
      <c r="BU107" s="55"/>
      <c r="BV107" s="55"/>
      <c r="BW107" s="55"/>
      <c r="BX107" s="55"/>
      <c r="BY107" s="79" t="n">
        <v>0.247252747252747</v>
      </c>
      <c r="BZ107" s="80" t="n">
        <v>0.451441</v>
      </c>
      <c r="CA107" s="81" t="n">
        <v>3.6</v>
      </c>
      <c r="CB107" s="81" t="n">
        <v>0.03</v>
      </c>
      <c r="CC107" s="82" t="n">
        <v>5.35543</v>
      </c>
      <c r="CD107" s="82" t="n">
        <v>6.04962</v>
      </c>
      <c r="CE107" s="83" t="n">
        <v>93.924432</v>
      </c>
      <c r="CF107" s="84" t="n">
        <v>36.342665</v>
      </c>
      <c r="CG107" s="80" t="n">
        <v>0.134</v>
      </c>
      <c r="CH107" s="63" t="n">
        <v>139547.463608935</v>
      </c>
      <c r="CI107" s="63" t="n">
        <v>3499.7174224437</v>
      </c>
      <c r="CJ107" s="64" t="n">
        <v>210283.637841422</v>
      </c>
      <c r="CK107" s="65" t="n">
        <v>1.6642842297996</v>
      </c>
    </row>
    <row r="108" customFormat="false" ht="15" hidden="false" customHeight="false" outlineLevel="0" collapsed="false">
      <c r="A108" s="7" t="s">
        <v>73</v>
      </c>
      <c r="B108" s="66" t="n">
        <v>106</v>
      </c>
      <c r="C108" s="8" t="s">
        <v>184</v>
      </c>
      <c r="D108" s="67" t="n">
        <v>41680</v>
      </c>
      <c r="E108" s="4" t="s">
        <v>75</v>
      </c>
      <c r="F108" s="7" t="n">
        <v>340</v>
      </c>
      <c r="G108" s="68" t="n">
        <v>1</v>
      </c>
      <c r="H108" s="68" t="n">
        <v>96</v>
      </c>
      <c r="I108" s="66" t="n">
        <v>1</v>
      </c>
      <c r="J108" s="69" t="n">
        <v>669.270238095238</v>
      </c>
      <c r="K108" s="31" t="n">
        <v>517.274673584909</v>
      </c>
      <c r="L108" s="31" t="n">
        <v>938.269724837384</v>
      </c>
      <c r="M108" s="31" t="n">
        <v>170.721845675262</v>
      </c>
      <c r="N108" s="31" t="n">
        <v>331.625930542679</v>
      </c>
      <c r="O108" s="32"/>
      <c r="P108" s="33" t="n">
        <v>61.7450442961328</v>
      </c>
      <c r="Q108" s="33" t="n">
        <v>11.5172883248561</v>
      </c>
      <c r="R108" s="31" t="n">
        <v>139.221046884843</v>
      </c>
      <c r="S108" s="34" t="s">
        <v>76</v>
      </c>
      <c r="T108" s="35" t="n">
        <v>20.1740631</v>
      </c>
      <c r="U108" s="35" t="n">
        <v>5.3339605</v>
      </c>
      <c r="V108" s="70" t="n">
        <v>25.5080236</v>
      </c>
      <c r="W108" s="35" t="n">
        <v>23.9304711104376</v>
      </c>
      <c r="X108" s="35" t="n">
        <v>4.44841951689563</v>
      </c>
      <c r="Y108" s="35" t="n">
        <v>7.78696399339201</v>
      </c>
      <c r="Z108" s="35"/>
      <c r="AA108" s="35" t="n">
        <v>1.42408421502442</v>
      </c>
      <c r="AB108" s="35" t="n">
        <v>0.270057001785626</v>
      </c>
      <c r="AC108" s="71" t="n">
        <v>3.92597074388343</v>
      </c>
      <c r="AD108" s="38" t="n">
        <v>5.92147592019993</v>
      </c>
      <c r="AE108" s="38" t="n">
        <v>5.13622551919907</v>
      </c>
      <c r="AF108" s="38" t="n">
        <v>1.1239238901018</v>
      </c>
      <c r="AG108" s="72"/>
      <c r="AH108" s="72"/>
      <c r="AI108" s="73" t="n">
        <v>45.6063666263306</v>
      </c>
      <c r="AJ108" s="42" t="s">
        <v>16</v>
      </c>
      <c r="AK108" s="43" t="n">
        <v>767.858301644353</v>
      </c>
      <c r="AL108" s="43" t="n">
        <v>785.36880885062</v>
      </c>
      <c r="AM108" s="43" t="n">
        <v>747.343098861742</v>
      </c>
      <c r="AN108" s="74"/>
      <c r="AO108" s="75" t="n">
        <v>40.7071428571429</v>
      </c>
      <c r="AP108" s="76" t="n">
        <v>1.53884152641879</v>
      </c>
      <c r="AQ108" s="76" t="n">
        <v>1.27606669602087</v>
      </c>
      <c r="AR108" s="76" t="n">
        <v>1.86858797129811</v>
      </c>
      <c r="AS108" s="77" t="n">
        <v>39.365480039139</v>
      </c>
      <c r="AT108" s="78" t="n">
        <v>38.7157730598593</v>
      </c>
      <c r="AU108" s="78" t="n">
        <v>37.8027397260274</v>
      </c>
      <c r="AV108" s="78" t="n">
        <v>31.3474885844749</v>
      </c>
      <c r="AW108" s="78" t="n">
        <v>45.903196347032</v>
      </c>
      <c r="AX108" s="78" t="n">
        <v>28.4885844748858</v>
      </c>
      <c r="AY108" s="48" t="n">
        <v>1.51778803669679</v>
      </c>
      <c r="AZ108" s="48" t="n">
        <v>26.4087713113167</v>
      </c>
      <c r="BA108" s="48" t="n">
        <v>-0.900747711316708</v>
      </c>
      <c r="BB108" s="49" t="n">
        <f aca="false">AT108/V108</f>
        <v>1.51778803669679</v>
      </c>
      <c r="BC108" s="49" t="n">
        <f aca="false">AS108/V108</f>
        <v>1.54325872738878</v>
      </c>
      <c r="BD108" s="49" t="n">
        <f aca="false">SUM(AP108:AR108)/V108</f>
        <v>0.183608744729943</v>
      </c>
      <c r="BE108" s="50" t="n">
        <v>6.64</v>
      </c>
      <c r="BF108" s="51" t="n">
        <v>133.823513031269</v>
      </c>
      <c r="BG108" s="51" t="n">
        <v>576.881653298559</v>
      </c>
      <c r="BH108" s="51" t="n">
        <v>240.502221572181</v>
      </c>
      <c r="BI108" s="51" t="n">
        <v>146.757603919944</v>
      </c>
      <c r="BJ108" s="51" t="n">
        <v>7.52180931609312</v>
      </c>
      <c r="BK108" s="51" t="n">
        <v>13.5611517002462</v>
      </c>
      <c r="BL108" s="51" t="n">
        <v>9.80043581486652</v>
      </c>
      <c r="BM108" s="51"/>
      <c r="BN108" s="52" t="n">
        <f aca="false">(BG108*0.5-BH108*0.25+BI108*0.5)/SUM(BG108:BI108)*1000</f>
        <v>312.914732798986</v>
      </c>
      <c r="BO108" s="53" t="n">
        <v>5.87646854</v>
      </c>
      <c r="BP108" s="54" t="s">
        <v>77</v>
      </c>
      <c r="BQ108" s="55" t="n">
        <v>582.990504339141</v>
      </c>
      <c r="BR108" s="56" t="n">
        <v>22.8551813139745</v>
      </c>
      <c r="BS108" s="56" t="n">
        <v>31.0196278700815</v>
      </c>
      <c r="BT108" s="56" t="n">
        <v>15.0582168006245</v>
      </c>
      <c r="BU108" s="55"/>
      <c r="BV108" s="55"/>
      <c r="BW108" s="55"/>
      <c r="BX108" s="55"/>
      <c r="BY108" s="79" t="n">
        <v>0.118681318681319</v>
      </c>
      <c r="BZ108" s="80" t="n">
        <v>0.461251</v>
      </c>
      <c r="CA108" s="81" t="n">
        <v>3.59</v>
      </c>
      <c r="CB108" s="81" t="n">
        <v>0.13</v>
      </c>
      <c r="CC108" s="82" t="n">
        <v>3.86723</v>
      </c>
      <c r="CD108" s="82" t="n">
        <v>6.716765</v>
      </c>
      <c r="CE108" s="83" t="n">
        <v>78.424272</v>
      </c>
      <c r="CF108" s="84" t="n">
        <v>36.618794</v>
      </c>
      <c r="CG108" s="80" t="n">
        <v>0.1025</v>
      </c>
      <c r="CH108" s="63" t="n">
        <v>68763.2657347627</v>
      </c>
      <c r="CI108" s="63" t="n">
        <v>1642.04896762354</v>
      </c>
      <c r="CJ108" s="64" t="n">
        <v>315650.972780603</v>
      </c>
      <c r="CK108" s="65" t="n">
        <v>0.52021033014996</v>
      </c>
    </row>
    <row r="109" customFormat="false" ht="15" hidden="false" customHeight="false" outlineLevel="0" collapsed="false">
      <c r="A109" s="7" t="s">
        <v>73</v>
      </c>
      <c r="B109" s="66" t="n">
        <v>107</v>
      </c>
      <c r="C109" s="8" t="s">
        <v>185</v>
      </c>
      <c r="D109" s="67" t="n">
        <v>41680</v>
      </c>
      <c r="E109" s="4" t="s">
        <v>75</v>
      </c>
      <c r="F109" s="7" t="n">
        <v>524</v>
      </c>
      <c r="G109" s="68" t="n">
        <v>1</v>
      </c>
      <c r="H109" s="68" t="n">
        <v>93</v>
      </c>
      <c r="I109" s="66" t="n">
        <v>3</v>
      </c>
      <c r="J109" s="69" t="n">
        <v>630.595238095238</v>
      </c>
      <c r="K109" s="31" t="n">
        <v>517.274673584909</v>
      </c>
      <c r="L109" s="31" t="n">
        <v>938.269724837384</v>
      </c>
      <c r="M109" s="31" t="n">
        <v>170.721845675262</v>
      </c>
      <c r="N109" s="31" t="n">
        <v>331.625930542679</v>
      </c>
      <c r="O109" s="32"/>
      <c r="P109" s="33" t="n">
        <v>61.7450442961328</v>
      </c>
      <c r="Q109" s="33" t="n">
        <v>11.5172883248561</v>
      </c>
      <c r="R109" s="31" t="n">
        <v>139.221046884843</v>
      </c>
      <c r="S109" s="34" t="s">
        <v>76</v>
      </c>
      <c r="T109" s="35" t="n">
        <v>21.4527547314286</v>
      </c>
      <c r="U109" s="35" t="n">
        <v>5.87494642857143</v>
      </c>
      <c r="V109" s="70" t="n">
        <v>27.32770116</v>
      </c>
      <c r="W109" s="35" t="n">
        <v>25.6375217800022</v>
      </c>
      <c r="X109" s="35" t="n">
        <v>4.76857574070311</v>
      </c>
      <c r="Y109" s="35" t="n">
        <v>8.32224401341069</v>
      </c>
      <c r="Z109" s="35"/>
      <c r="AA109" s="35" t="n">
        <v>1.52113456849748</v>
      </c>
      <c r="AB109" s="35" t="n">
        <v>0.288608365916771</v>
      </c>
      <c r="AC109" s="71" t="n">
        <v>4.21731305610262</v>
      </c>
      <c r="AD109" s="38" t="n">
        <v>6.16137776699694</v>
      </c>
      <c r="AE109" s="38" t="n">
        <v>5.35522371000535</v>
      </c>
      <c r="AF109" s="38" t="n">
        <v>1.25563893671239</v>
      </c>
      <c r="AG109" s="72"/>
      <c r="AH109" s="72"/>
      <c r="AI109" s="73" t="n">
        <v>46.8415307145562</v>
      </c>
      <c r="AJ109" s="42" t="s">
        <v>16</v>
      </c>
      <c r="AK109" s="43" t="n">
        <v>774.537282484066</v>
      </c>
      <c r="AL109" s="43" t="n">
        <v>791.117731426657</v>
      </c>
      <c r="AM109" s="43" t="n">
        <v>736.684703150536</v>
      </c>
      <c r="AN109" s="74"/>
      <c r="AO109" s="75" t="n">
        <v>43.4642857142857</v>
      </c>
      <c r="AP109" s="76" t="n">
        <v>2.27767214714715</v>
      </c>
      <c r="AQ109" s="76" t="n">
        <v>1.35693411625912</v>
      </c>
      <c r="AR109" s="76" t="n">
        <v>1.95499224581725</v>
      </c>
      <c r="AS109" s="77" t="n">
        <v>51.5507964929215</v>
      </c>
      <c r="AT109" s="78" t="n">
        <v>48.8241819456399</v>
      </c>
      <c r="AU109" s="78" t="n">
        <v>52.4033033033033</v>
      </c>
      <c r="AV109" s="78" t="n">
        <v>31.2195195195195</v>
      </c>
      <c r="AW109" s="78" t="n">
        <v>44.9792792792793</v>
      </c>
      <c r="AX109" s="78" t="n">
        <v>17.4024024024024</v>
      </c>
      <c r="AY109" s="48" t="n">
        <v>1.78661870092112</v>
      </c>
      <c r="AZ109" s="48" t="n">
        <v>30.148830630393</v>
      </c>
      <c r="BA109" s="48" t="n">
        <v>-2.82112947039298</v>
      </c>
      <c r="BB109" s="49" t="n">
        <f aca="false">AT109/V109</f>
        <v>1.78661870092112</v>
      </c>
      <c r="BC109" s="49" t="n">
        <f aca="false">AS109/V109</f>
        <v>1.88639345077358</v>
      </c>
      <c r="BD109" s="49" t="n">
        <f aca="false">SUM(AP109:AR109)/V109</f>
        <v>0.204539652878124</v>
      </c>
      <c r="BE109" s="50" t="n">
        <v>6.67</v>
      </c>
      <c r="BF109" s="51" t="n">
        <v>133.823513030102</v>
      </c>
      <c r="BG109" s="51" t="n">
        <v>576.881653231225</v>
      </c>
      <c r="BH109" s="51" t="n">
        <v>240.502221606044</v>
      </c>
      <c r="BI109" s="51" t="n">
        <v>146.757603956505</v>
      </c>
      <c r="BJ109" s="51" t="n">
        <v>7.52180931594428</v>
      </c>
      <c r="BK109" s="51" t="n">
        <v>13.5611516989084</v>
      </c>
      <c r="BL109" s="51" t="n">
        <v>9.80043581326374</v>
      </c>
      <c r="BM109" s="51"/>
      <c r="BN109" s="52" t="n">
        <f aca="false">(BG109*0.5-BH109*0.25+BI109*0.5)/SUM(BG109:BI109)*1000</f>
        <v>312.914732773244</v>
      </c>
      <c r="BO109" s="53" t="n">
        <v>5.57929236</v>
      </c>
      <c r="BP109" s="54" t="s">
        <v>77</v>
      </c>
      <c r="BQ109" s="55" t="n">
        <v>496.78564786015</v>
      </c>
      <c r="BR109" s="56" t="n">
        <v>18.1788305189499</v>
      </c>
      <c r="BS109" s="56" t="n">
        <v>24.4935581828882</v>
      </c>
      <c r="BT109" s="56" t="n">
        <v>10.1749917369484</v>
      </c>
      <c r="BU109" s="55"/>
      <c r="BV109" s="55"/>
      <c r="BW109" s="55"/>
      <c r="BX109" s="55"/>
      <c r="BY109" s="79" t="n">
        <v>0.089010989010989</v>
      </c>
      <c r="BZ109" s="80" t="n">
        <v>0.592705</v>
      </c>
      <c r="CA109" s="81" t="n">
        <v>3.61</v>
      </c>
      <c r="CB109" s="81" t="n">
        <v>0.095</v>
      </c>
      <c r="CC109" s="82" t="n">
        <v>3.83534</v>
      </c>
      <c r="CD109" s="82" t="n">
        <v>4.833795</v>
      </c>
      <c r="CE109" s="83" t="n">
        <v>68.341716</v>
      </c>
      <c r="CF109" s="84" t="n">
        <v>32.139368</v>
      </c>
      <c r="CG109" s="80" t="n">
        <v>0.974</v>
      </c>
      <c r="CH109" s="63" t="n">
        <v>125509.548087476</v>
      </c>
      <c r="CI109" s="63" t="n">
        <v>3966.71976589977</v>
      </c>
      <c r="CJ109" s="64" t="n">
        <v>298323.09854666</v>
      </c>
      <c r="CK109" s="65" t="n">
        <v>1.32967235364088</v>
      </c>
    </row>
    <row r="110" customFormat="false" ht="15" hidden="false" customHeight="false" outlineLevel="0" collapsed="false">
      <c r="A110" s="7" t="s">
        <v>73</v>
      </c>
      <c r="B110" s="66" t="n">
        <v>108</v>
      </c>
      <c r="C110" s="8" t="s">
        <v>186</v>
      </c>
      <c r="D110" s="67" t="n">
        <v>41680</v>
      </c>
      <c r="E110" s="4" t="s">
        <v>75</v>
      </c>
      <c r="F110" s="7" t="n">
        <v>606</v>
      </c>
      <c r="G110" s="68" t="n">
        <v>1</v>
      </c>
      <c r="H110" s="68" t="n">
        <v>93</v>
      </c>
      <c r="I110" s="66" t="n">
        <v>3</v>
      </c>
      <c r="J110" s="69" t="n">
        <v>638.803571428571</v>
      </c>
      <c r="K110" s="31" t="n">
        <v>517.274673584909</v>
      </c>
      <c r="L110" s="31" t="n">
        <v>938.269724837384</v>
      </c>
      <c r="M110" s="31" t="n">
        <v>170.721845675262</v>
      </c>
      <c r="N110" s="31" t="n">
        <v>331.625930542679</v>
      </c>
      <c r="O110" s="32"/>
      <c r="P110" s="33" t="n">
        <v>61.7450442961328</v>
      </c>
      <c r="Q110" s="33" t="n">
        <v>11.5172883248561</v>
      </c>
      <c r="R110" s="31" t="n">
        <v>139.221046884843</v>
      </c>
      <c r="S110" s="34" t="s">
        <v>76</v>
      </c>
      <c r="T110" s="35" t="n">
        <v>17.9213319657143</v>
      </c>
      <c r="U110" s="35" t="n">
        <v>4.92648771428572</v>
      </c>
      <c r="V110" s="70" t="n">
        <v>22.84781968</v>
      </c>
      <c r="W110" s="35" t="n">
        <v>21.4347065346925</v>
      </c>
      <c r="X110" s="35" t="n">
        <v>3.98711102924104</v>
      </c>
      <c r="Y110" s="35" t="n">
        <v>6.95611900250379</v>
      </c>
      <c r="Z110" s="35"/>
      <c r="AA110" s="35" t="n">
        <v>1.27135813479968</v>
      </c>
      <c r="AB110" s="35" t="n">
        <v>0.241231166629821</v>
      </c>
      <c r="AC110" s="71" t="n">
        <v>3.52698892709945</v>
      </c>
      <c r="AD110" s="38" t="n">
        <v>5.68336490363401</v>
      </c>
      <c r="AE110" s="38" t="n">
        <v>4.99124351226902</v>
      </c>
      <c r="AF110" s="38" t="n">
        <v>1.048981325547</v>
      </c>
      <c r="AG110" s="72"/>
      <c r="AH110" s="72"/>
      <c r="AI110" s="73" t="n">
        <v>42.4451307843308</v>
      </c>
      <c r="AJ110" s="42" t="s">
        <v>16</v>
      </c>
      <c r="AK110" s="43" t="n">
        <v>751.251323617151</v>
      </c>
      <c r="AL110" s="43" t="n">
        <v>767.141971167621</v>
      </c>
      <c r="AM110" s="43" t="n">
        <v>736.906918855813</v>
      </c>
      <c r="AN110" s="74"/>
      <c r="AO110" s="75" t="n">
        <v>54.3571428571429</v>
      </c>
      <c r="AP110" s="76" t="n">
        <v>2.0322495350803</v>
      </c>
      <c r="AQ110" s="76" t="n">
        <v>1.41537637362637</v>
      </c>
      <c r="AR110" s="76" t="n">
        <v>2.51991994928149</v>
      </c>
      <c r="AS110" s="77" t="n">
        <v>52.2266001690617</v>
      </c>
      <c r="AT110" s="78" t="n">
        <v>49.3286414820358</v>
      </c>
      <c r="AU110" s="78" t="n">
        <v>37.3869822485207</v>
      </c>
      <c r="AV110" s="78" t="n">
        <v>26.0384615384615</v>
      </c>
      <c r="AW110" s="78" t="n">
        <v>46.3585798816568</v>
      </c>
      <c r="AX110" s="78" t="n">
        <v>29.414201183432</v>
      </c>
      <c r="AY110" s="48" t="n">
        <v>2.159008700739</v>
      </c>
      <c r="AZ110" s="48" t="n">
        <v>30.5046842034429</v>
      </c>
      <c r="BA110" s="48" t="n">
        <v>-7.65686452344292</v>
      </c>
      <c r="BB110" s="49" t="n">
        <f aca="false">AT110/V110</f>
        <v>2.159008700739</v>
      </c>
      <c r="BC110" s="49" t="n">
        <f aca="false">AS110/V110</f>
        <v>2.28584612888812</v>
      </c>
      <c r="BD110" s="49" t="n">
        <f aca="false">SUM(AP110:AR110)/V110</f>
        <v>0.261186666455176</v>
      </c>
      <c r="BE110" s="50" t="n">
        <v>6.62</v>
      </c>
      <c r="BF110" s="51" t="n">
        <v>128.816894661907</v>
      </c>
      <c r="BG110" s="51" t="n">
        <v>582.170531047063</v>
      </c>
      <c r="BH110" s="51" t="n">
        <v>225.41752815983</v>
      </c>
      <c r="BI110" s="51" t="n">
        <v>153.975737645983</v>
      </c>
      <c r="BJ110" s="51" t="n">
        <v>7.36261050831441</v>
      </c>
      <c r="BK110" s="51" t="n">
        <v>14.506998076696</v>
      </c>
      <c r="BL110" s="51" t="n">
        <v>11.5914701840042</v>
      </c>
      <c r="BM110" s="51"/>
      <c r="BN110" s="52" t="n">
        <f aca="false">(BG110*0.5-BH110*0.25+BI110*0.5)/SUM(BG110:BI110)*1000</f>
        <v>324.178960695896</v>
      </c>
      <c r="BO110" s="53" t="n">
        <v>6.0090582</v>
      </c>
      <c r="BP110" s="54" t="s">
        <v>77</v>
      </c>
      <c r="BQ110" s="55" t="n">
        <v>485.532235534145</v>
      </c>
      <c r="BR110" s="56" t="n">
        <v>21.2507032327097</v>
      </c>
      <c r="BS110" s="56" t="n">
        <v>29.5273711426867</v>
      </c>
      <c r="BT110" s="56" t="n">
        <v>9.84280574016948</v>
      </c>
      <c r="BU110" s="55"/>
      <c r="BV110" s="55"/>
      <c r="BW110" s="55"/>
      <c r="BX110" s="55"/>
      <c r="BY110" s="79" t="n">
        <v>0.385714285714286</v>
      </c>
      <c r="BZ110" s="80" t="n">
        <v>0.825202</v>
      </c>
      <c r="CA110" s="81" t="n">
        <v>3.46</v>
      </c>
      <c r="CB110" s="81" t="n">
        <v>1.025</v>
      </c>
      <c r="CC110" s="82" t="n">
        <v>4.51566</v>
      </c>
      <c r="CD110" s="82" t="n">
        <v>6.48607</v>
      </c>
      <c r="CE110" s="83" t="n">
        <v>81.293292</v>
      </c>
      <c r="CF110" s="84" t="n">
        <v>39.492581</v>
      </c>
      <c r="CG110" s="80" t="n">
        <v>0.8795</v>
      </c>
      <c r="CH110" s="63" t="n">
        <v>103984.782377497</v>
      </c>
      <c r="CI110" s="63" t="n">
        <v>5737.58661760518</v>
      </c>
      <c r="CJ110" s="64" t="n">
        <v>410923.365297894</v>
      </c>
      <c r="CK110" s="65" t="n">
        <v>1.39626682299893</v>
      </c>
    </row>
    <row r="111" customFormat="false" ht="15" hidden="false" customHeight="false" outlineLevel="0" collapsed="false">
      <c r="A111" s="7" t="s">
        <v>73</v>
      </c>
      <c r="B111" s="66" t="n">
        <v>109</v>
      </c>
      <c r="C111" s="8" t="s">
        <v>187</v>
      </c>
      <c r="D111" s="67" t="n">
        <v>41715</v>
      </c>
      <c r="E111" s="4" t="s">
        <v>75</v>
      </c>
      <c r="F111" s="7" t="n">
        <v>16</v>
      </c>
      <c r="G111" s="68" t="n">
        <v>1</v>
      </c>
      <c r="H111" s="68" t="n">
        <v>102</v>
      </c>
      <c r="I111" s="66" t="n">
        <v>2</v>
      </c>
      <c r="J111" s="69" t="n">
        <v>680.928571428571</v>
      </c>
      <c r="K111" s="31" t="n">
        <v>565.615579360671</v>
      </c>
      <c r="L111" s="31" t="n">
        <v>939.634075769448</v>
      </c>
      <c r="M111" s="31" t="n">
        <v>172.195461349099</v>
      </c>
      <c r="N111" s="31" t="n">
        <v>335.912152134911</v>
      </c>
      <c r="O111" s="32"/>
      <c r="P111" s="33" t="n">
        <v>70.7360592269219</v>
      </c>
      <c r="Q111" s="33" t="n">
        <v>11.1282368962545</v>
      </c>
      <c r="R111" s="31" t="n">
        <v>142.878548494611</v>
      </c>
      <c r="S111" s="34" t="s">
        <v>76</v>
      </c>
      <c r="T111" s="35" t="n">
        <v>16.7256393628571</v>
      </c>
      <c r="U111" s="35" t="n">
        <v>6.38930335714286</v>
      </c>
      <c r="V111" s="70" t="n">
        <v>23.11494272</v>
      </c>
      <c r="W111" s="35" t="n">
        <v>21.7073546788184</v>
      </c>
      <c r="X111" s="35" t="n">
        <v>4.0830430240768</v>
      </c>
      <c r="Y111" s="35" t="n">
        <v>6.93205727669783</v>
      </c>
      <c r="Z111" s="35"/>
      <c r="AA111" s="35" t="n">
        <v>1.39684576194051</v>
      </c>
      <c r="AB111" s="35" t="n">
        <v>0.23129374125367</v>
      </c>
      <c r="AC111" s="71" t="n">
        <v>3.72811664748198</v>
      </c>
      <c r="AD111" s="38" t="n">
        <v>5.51707244278845</v>
      </c>
      <c r="AE111" s="38" t="n">
        <v>4.81457081742444</v>
      </c>
      <c r="AF111" s="38" t="n">
        <v>1.07673056925413</v>
      </c>
      <c r="AG111" s="72"/>
      <c r="AH111" s="72"/>
      <c r="AI111" s="73" t="n">
        <v>41.9232742821788</v>
      </c>
      <c r="AJ111" s="42" t="s">
        <v>16</v>
      </c>
      <c r="AK111" s="43" t="n">
        <v>761.320090228264</v>
      </c>
      <c r="AL111" s="43" t="n">
        <v>778.205548826159</v>
      </c>
      <c r="AM111" s="43" t="n">
        <v>736.292132386338</v>
      </c>
      <c r="AN111" s="74"/>
      <c r="AO111" s="75" t="n">
        <v>39.95</v>
      </c>
      <c r="AP111" s="76" t="n">
        <v>1.226465</v>
      </c>
      <c r="AQ111" s="76" t="n">
        <v>1.27041</v>
      </c>
      <c r="AR111" s="76" t="n">
        <v>1.777775</v>
      </c>
      <c r="AS111" s="77" t="n">
        <v>34.376975</v>
      </c>
      <c r="AT111" s="78" t="n">
        <v>34.3786289808917</v>
      </c>
      <c r="AU111" s="78" t="n">
        <v>30.7</v>
      </c>
      <c r="AV111" s="78" t="n">
        <v>31.8</v>
      </c>
      <c r="AW111" s="78" t="n">
        <v>44.5</v>
      </c>
      <c r="AX111" s="78" t="n">
        <v>39</v>
      </c>
      <c r="AY111" s="48" t="n">
        <v>1.48729025190904</v>
      </c>
      <c r="AZ111" s="48" t="n">
        <v>24.9175629767094</v>
      </c>
      <c r="BA111" s="48" t="n">
        <v>-1.80262025670944</v>
      </c>
      <c r="BB111" s="49" t="n">
        <f aca="false">AT111/V111</f>
        <v>1.48729025190904</v>
      </c>
      <c r="BC111" s="49" t="n">
        <f aca="false">AS111/V111</f>
        <v>1.48721869729124</v>
      </c>
      <c r="BD111" s="49" t="n">
        <f aca="false">SUM(AP111:AR111)/V111</f>
        <v>0.184930157594611</v>
      </c>
      <c r="BE111" s="50" t="n">
        <v>6.74</v>
      </c>
      <c r="BF111" s="51" t="n">
        <v>132.178786603388</v>
      </c>
      <c r="BG111" s="51" t="n">
        <v>600.847281010286</v>
      </c>
      <c r="BH111" s="51" t="n">
        <v>206.315914628213</v>
      </c>
      <c r="BI111" s="51" t="n">
        <v>148.863841127714</v>
      </c>
      <c r="BJ111" s="51" t="n">
        <v>10.9673817901933</v>
      </c>
      <c r="BK111" s="51" t="n">
        <v>13.3397869181631</v>
      </c>
      <c r="BL111" s="51" t="n">
        <v>14.6906701473206</v>
      </c>
      <c r="BM111" s="51"/>
      <c r="BN111" s="52" t="n">
        <f aca="false">(BG111*0.5-BH111*0.25+BI111*0.5)/SUM(BG111:BI111)*1000</f>
        <v>338.145857783937</v>
      </c>
      <c r="BO111" s="53" t="n">
        <v>7.0306914</v>
      </c>
      <c r="BP111" s="54" t="s">
        <v>77</v>
      </c>
      <c r="BQ111" s="55" t="n">
        <v>485.433305259317</v>
      </c>
      <c r="BR111" s="56" t="n">
        <v>21.0008439622608</v>
      </c>
      <c r="BS111" s="56" t="n">
        <v>28.7361342714332</v>
      </c>
      <c r="BT111" s="56" t="n">
        <v>14.1202054779186</v>
      </c>
      <c r="BU111" s="55"/>
      <c r="BV111" s="55"/>
      <c r="BW111" s="55"/>
      <c r="BX111" s="55"/>
      <c r="BY111" s="79" t="n">
        <v>0.128571428571429</v>
      </c>
      <c r="BZ111" s="80" t="n">
        <v>0.670204</v>
      </c>
      <c r="CA111" s="81" t="n">
        <v>3.25</v>
      </c>
      <c r="CB111" s="81" t="n">
        <v>0.586</v>
      </c>
      <c r="CC111" s="82" t="n">
        <v>4.707</v>
      </c>
      <c r="CD111" s="82" t="n">
        <v>4.95226</v>
      </c>
      <c r="CE111" s="83" t="n">
        <v>84.26664</v>
      </c>
      <c r="CF111" s="84" t="n">
        <v>38.735783</v>
      </c>
      <c r="CG111" s="80" t="n">
        <v>0.113</v>
      </c>
      <c r="CH111" s="63" t="n">
        <v>108019.946028138</v>
      </c>
      <c r="CI111" s="63" t="n">
        <v>1933.47002524288</v>
      </c>
      <c r="CJ111" s="64" t="n">
        <v>285231.129936764</v>
      </c>
      <c r="CK111" s="65" t="n">
        <v>0.677860802105133</v>
      </c>
    </row>
    <row r="112" customFormat="false" ht="15" hidden="false" customHeight="false" outlineLevel="0" collapsed="false">
      <c r="A112" s="7" t="s">
        <v>73</v>
      </c>
      <c r="B112" s="66" t="n">
        <v>110</v>
      </c>
      <c r="C112" s="8" t="s">
        <v>188</v>
      </c>
      <c r="D112" s="67" t="n">
        <v>41715</v>
      </c>
      <c r="E112" s="4" t="s">
        <v>75</v>
      </c>
      <c r="F112" s="7" t="n">
        <v>23</v>
      </c>
      <c r="G112" s="68" t="n">
        <v>1</v>
      </c>
      <c r="H112" s="68" t="n">
        <v>106</v>
      </c>
      <c r="I112" s="66" t="n">
        <v>3</v>
      </c>
      <c r="J112" s="69" t="n">
        <v>650.27380952381</v>
      </c>
      <c r="K112" s="31" t="n">
        <v>565.615579360671</v>
      </c>
      <c r="L112" s="31" t="n">
        <v>939.634075769448</v>
      </c>
      <c r="M112" s="31" t="n">
        <v>172.195461349099</v>
      </c>
      <c r="N112" s="31" t="n">
        <v>335.912152134911</v>
      </c>
      <c r="O112" s="32"/>
      <c r="P112" s="33" t="n">
        <v>70.7360592269219</v>
      </c>
      <c r="Q112" s="33" t="n">
        <v>11.1282368962545</v>
      </c>
      <c r="R112" s="31" t="n">
        <v>142.878548494611</v>
      </c>
      <c r="S112" s="34" t="s">
        <v>76</v>
      </c>
      <c r="T112" s="35" t="n">
        <v>20.3741886628571</v>
      </c>
      <c r="U112" s="35" t="n">
        <v>9.09472385714286</v>
      </c>
      <c r="V112" s="70" t="n">
        <v>29.46891252</v>
      </c>
      <c r="W112" s="35" t="n">
        <v>27.6725813364718</v>
      </c>
      <c r="X112" s="35" t="n">
        <v>5.22067721373967</v>
      </c>
      <c r="Y112" s="35" t="n">
        <v>8.71391383925893</v>
      </c>
      <c r="Z112" s="35"/>
      <c r="AA112" s="35" t="n">
        <v>1.7454335920996</v>
      </c>
      <c r="AB112" s="35" t="n">
        <v>0.291020651795394</v>
      </c>
      <c r="AC112" s="71" t="n">
        <v>4.81612651975757</v>
      </c>
      <c r="AD112" s="38" t="n">
        <v>6.7563352632472</v>
      </c>
      <c r="AE112" s="38" t="n">
        <v>5.92359327288248</v>
      </c>
      <c r="AF112" s="38" t="n">
        <v>1.17481379782722</v>
      </c>
      <c r="AG112" s="72"/>
      <c r="AH112" s="72"/>
      <c r="AI112" s="73" t="n">
        <v>43.0737434506062</v>
      </c>
      <c r="AJ112" s="42" t="s">
        <v>16</v>
      </c>
      <c r="AK112" s="43" t="n">
        <v>770.730078394925</v>
      </c>
      <c r="AL112" s="43" t="n">
        <v>785.939981498028</v>
      </c>
      <c r="AM112" s="43" t="n">
        <v>774.969079732535</v>
      </c>
      <c r="AN112" s="74"/>
      <c r="AO112" s="75" t="n">
        <v>50.05</v>
      </c>
      <c r="AP112" s="76" t="n">
        <v>2.48740878172589</v>
      </c>
      <c r="AQ112" s="76" t="n">
        <v>1.54489360406091</v>
      </c>
      <c r="AR112" s="76" t="n">
        <v>2.31065860406091</v>
      </c>
      <c r="AS112" s="77" t="n">
        <v>57.3311317258883</v>
      </c>
      <c r="AT112" s="78" t="n">
        <v>54.7479330794723</v>
      </c>
      <c r="AU112" s="78" t="n">
        <v>49.6984771573604</v>
      </c>
      <c r="AV112" s="78" t="n">
        <v>30.8670050761421</v>
      </c>
      <c r="AW112" s="78" t="n">
        <v>46.1670050761421</v>
      </c>
      <c r="AX112" s="78" t="n">
        <v>29.1319796954315</v>
      </c>
      <c r="AY112" s="48" t="n">
        <v>1.85781993286369</v>
      </c>
      <c r="AZ112" s="48" t="n">
        <v>32.8800763245748</v>
      </c>
      <c r="BA112" s="48" t="n">
        <v>-3.41116380457477</v>
      </c>
      <c r="BB112" s="49" t="n">
        <f aca="false">AT112/V112</f>
        <v>1.85781993286369</v>
      </c>
      <c r="BC112" s="49" t="n">
        <f aca="false">AS112/V112</f>
        <v>1.94547836425856</v>
      </c>
      <c r="BD112" s="49" t="n">
        <f aca="false">SUM(AP112:AR112)/V112</f>
        <v>0.215242452043076</v>
      </c>
      <c r="BE112" s="50" t="n">
        <v>6.97</v>
      </c>
      <c r="BF112" s="51" t="n">
        <v>114.487695600239</v>
      </c>
      <c r="BG112" s="51" t="n">
        <v>572.608616434315</v>
      </c>
      <c r="BH112" s="51" t="n">
        <v>253.802484394599</v>
      </c>
      <c r="BI112" s="51" t="n">
        <v>133.137880261224</v>
      </c>
      <c r="BJ112" s="51" t="n">
        <v>8.98361366249402</v>
      </c>
      <c r="BK112" s="51" t="n">
        <v>14.3024635920352</v>
      </c>
      <c r="BL112" s="51" t="n">
        <v>12.1898172772242</v>
      </c>
      <c r="BM112" s="51"/>
      <c r="BN112" s="52" t="n">
        <f aca="false">(BG112*0.5-BH112*0.25+BI112*0.5)/SUM(BG112:BI112)*1000</f>
        <v>301.623609584066</v>
      </c>
      <c r="BO112" s="53" t="n">
        <v>8.67545326</v>
      </c>
      <c r="BP112" s="54" t="s">
        <v>77</v>
      </c>
      <c r="BQ112" s="55" t="n">
        <v>398.020647665499</v>
      </c>
      <c r="BR112" s="56" t="n">
        <v>13.5064586246734</v>
      </c>
      <c r="BS112" s="56" t="n">
        <v>18.3006513453303</v>
      </c>
      <c r="BT112" s="56" t="n">
        <v>7.27005797803783</v>
      </c>
      <c r="BU112" s="55"/>
      <c r="BV112" s="55"/>
      <c r="BW112" s="55"/>
      <c r="BX112" s="55"/>
      <c r="BY112" s="79" t="n">
        <v>0.0692307692307692</v>
      </c>
      <c r="BZ112" s="80" t="n">
        <v>0.556408</v>
      </c>
      <c r="CA112" s="81" t="n">
        <v>3.61</v>
      </c>
      <c r="CB112" s="81" t="n">
        <v>0.404</v>
      </c>
      <c r="CC112" s="82" t="n">
        <v>5.0259</v>
      </c>
      <c r="CD112" s="82" t="n">
        <v>6.018445</v>
      </c>
      <c r="CE112" s="83" t="n">
        <v>80.443764</v>
      </c>
      <c r="CF112" s="84" t="n">
        <v>39.05282</v>
      </c>
      <c r="CG112" s="80" t="n">
        <v>0.134</v>
      </c>
      <c r="CH112" s="63" t="n">
        <v>80748.0860459217</v>
      </c>
      <c r="CI112" s="63" t="n">
        <v>1200.07614136359</v>
      </c>
      <c r="CJ112" s="64" t="n">
        <v>282859.531676029</v>
      </c>
      <c r="CK112" s="65" t="n">
        <v>0.424265759846511</v>
      </c>
    </row>
    <row r="113" customFormat="false" ht="15" hidden="false" customHeight="false" outlineLevel="0" collapsed="false">
      <c r="A113" s="7" t="s">
        <v>73</v>
      </c>
      <c r="B113" s="66" t="n">
        <v>111</v>
      </c>
      <c r="C113" s="8" t="s">
        <v>189</v>
      </c>
      <c r="D113" s="67" t="n">
        <v>41715</v>
      </c>
      <c r="E113" s="4" t="s">
        <v>75</v>
      </c>
      <c r="F113" s="7" t="n">
        <v>308</v>
      </c>
      <c r="G113" s="68" t="n">
        <v>1</v>
      </c>
      <c r="H113" s="68" t="n">
        <v>110</v>
      </c>
      <c r="I113" s="66" t="n">
        <v>2</v>
      </c>
      <c r="J113" s="69" t="n">
        <v>563.666666666667</v>
      </c>
      <c r="K113" s="31" t="n">
        <v>565.615579360671</v>
      </c>
      <c r="L113" s="31" t="n">
        <v>939.634075769448</v>
      </c>
      <c r="M113" s="31" t="n">
        <v>172.195461349099</v>
      </c>
      <c r="N113" s="31" t="n">
        <v>335.912152134911</v>
      </c>
      <c r="O113" s="32"/>
      <c r="P113" s="33" t="n">
        <v>70.7360592269219</v>
      </c>
      <c r="Q113" s="33" t="n">
        <v>11.1282368962545</v>
      </c>
      <c r="R113" s="31" t="n">
        <v>142.878548494611</v>
      </c>
      <c r="S113" s="34" t="s">
        <v>76</v>
      </c>
      <c r="T113" s="35" t="n">
        <v>15.6903539685714</v>
      </c>
      <c r="U113" s="35" t="n">
        <v>6.64712607142857</v>
      </c>
      <c r="V113" s="70" t="n">
        <v>22.33748004</v>
      </c>
      <c r="W113" s="35" t="n">
        <v>20.9763306166063</v>
      </c>
      <c r="X113" s="35" t="n">
        <v>3.95331386568613</v>
      </c>
      <c r="Y113" s="35" t="n">
        <v>6.63730354658344</v>
      </c>
      <c r="Z113" s="35"/>
      <c r="AA113" s="35" t="n">
        <v>1.33223863894061</v>
      </c>
      <c r="AB113" s="35" t="n">
        <v>0.221595424357679</v>
      </c>
      <c r="AC113" s="71" t="n">
        <v>3.63420326996956</v>
      </c>
      <c r="AD113" s="38" t="n">
        <v>5.42808992422051</v>
      </c>
      <c r="AE113" s="38" t="n">
        <v>4.77661657728467</v>
      </c>
      <c r="AF113" s="38" t="n">
        <v>1.03767278240746</v>
      </c>
      <c r="AG113" s="72"/>
      <c r="AH113" s="72"/>
      <c r="AI113" s="73" t="n">
        <v>40.8238307491747</v>
      </c>
      <c r="AJ113" s="42" t="s">
        <v>16</v>
      </c>
      <c r="AK113" s="43" t="n">
        <v>756.996316751023</v>
      </c>
      <c r="AL113" s="43" t="n">
        <v>772.285407558213</v>
      </c>
      <c r="AM113" s="43" t="n">
        <v>737.518239719283</v>
      </c>
      <c r="AN113" s="74"/>
      <c r="AO113" s="75" t="n">
        <v>42.7071428571429</v>
      </c>
      <c r="AP113" s="76" t="n">
        <v>1.33673357142857</v>
      </c>
      <c r="AQ113" s="76" t="n">
        <v>1.33246285714286</v>
      </c>
      <c r="AR113" s="76" t="n">
        <v>1.95171642857143</v>
      </c>
      <c r="AS113" s="77" t="n">
        <v>37.1338607142857</v>
      </c>
      <c r="AT113" s="78" t="n">
        <v>37.1362816924477</v>
      </c>
      <c r="AU113" s="78" t="n">
        <v>31.3</v>
      </c>
      <c r="AV113" s="78" t="n">
        <v>31.2</v>
      </c>
      <c r="AW113" s="78" t="n">
        <v>45.7</v>
      </c>
      <c r="AX113" s="78" t="n">
        <v>33</v>
      </c>
      <c r="AY113" s="48" t="n">
        <v>1.66250989932379</v>
      </c>
      <c r="AZ113" s="48" t="n">
        <v>24.4067825473544</v>
      </c>
      <c r="BA113" s="48" t="n">
        <v>-2.06930250735437</v>
      </c>
      <c r="BB113" s="49" t="n">
        <f aca="false">AT113/V113</f>
        <v>1.66250989932379</v>
      </c>
      <c r="BC113" s="49" t="n">
        <f aca="false">AS113/V113</f>
        <v>1.66240151744018</v>
      </c>
      <c r="BD113" s="49" t="n">
        <f aca="false">SUM(AP113:AR113)/V113</f>
        <v>0.206868135925276</v>
      </c>
      <c r="BE113" s="50" t="n">
        <v>7.28</v>
      </c>
      <c r="BF113" s="51" t="n">
        <v>99.5734597740801</v>
      </c>
      <c r="BG113" s="51" t="n">
        <v>591.076876251763</v>
      </c>
      <c r="BH113" s="51" t="n">
        <v>209.363017530295</v>
      </c>
      <c r="BI113" s="51" t="n">
        <v>152.063854689971</v>
      </c>
      <c r="BJ113" s="51" t="n">
        <v>11.8104324224429</v>
      </c>
      <c r="BK113" s="51" t="n">
        <v>15.1218097765202</v>
      </c>
      <c r="BL113" s="51" t="n">
        <v>15.5888849508984</v>
      </c>
      <c r="BM113" s="51"/>
      <c r="BN113" s="52" t="n">
        <f aca="false">(BG113*0.5-BH113*0.25+BI113*0.5)/SUM(BG113:BI113)*1000</f>
        <v>335.147879050754</v>
      </c>
      <c r="BO113" s="53" t="n">
        <v>10.39930788</v>
      </c>
      <c r="BP113" s="54" t="s">
        <v>77</v>
      </c>
      <c r="BQ113" s="55" t="n">
        <v>529.033745239946</v>
      </c>
      <c r="BR113" s="56" t="n">
        <v>23.6836807147717</v>
      </c>
      <c r="BS113" s="56" t="n">
        <v>32.6569804847062</v>
      </c>
      <c r="BT113" s="56" t="n">
        <v>14.2457381603591</v>
      </c>
      <c r="BU113" s="55"/>
      <c r="BV113" s="55"/>
      <c r="BW113" s="55"/>
      <c r="BX113" s="55"/>
      <c r="BY113" s="79" t="n">
        <v>0.0989010989010989</v>
      </c>
      <c r="BZ113" s="80" t="n">
        <v>0.721216</v>
      </c>
      <c r="CA113" s="81" t="n">
        <v>3.16</v>
      </c>
      <c r="CB113" s="81" t="n">
        <v>0.109</v>
      </c>
      <c r="CC113" s="82" t="n">
        <v>6.41843</v>
      </c>
      <c r="CD113" s="82" t="n">
        <v>6.342665</v>
      </c>
      <c r="CE113" s="83" t="n">
        <v>80.339436</v>
      </c>
      <c r="CF113" s="84" t="n">
        <v>36.240395</v>
      </c>
      <c r="CG113" s="80" t="n">
        <v>0.2075</v>
      </c>
      <c r="CH113" s="63" t="n">
        <v>130448.503670006</v>
      </c>
      <c r="CI113" s="63" t="n">
        <v>2230.60998030441</v>
      </c>
      <c r="CJ113" s="64" t="n">
        <v>282022.945199314</v>
      </c>
      <c r="CK113" s="65" t="n">
        <v>0.790932091971441</v>
      </c>
    </row>
    <row r="114" customFormat="false" ht="15" hidden="false" customHeight="false" outlineLevel="0" collapsed="false">
      <c r="A114" s="7" t="s">
        <v>73</v>
      </c>
      <c r="B114" s="66" t="n">
        <v>112</v>
      </c>
      <c r="C114" s="8" t="s">
        <v>190</v>
      </c>
      <c r="D114" s="67" t="n">
        <v>41722</v>
      </c>
      <c r="E114" s="4" t="s">
        <v>75</v>
      </c>
      <c r="F114" s="7" t="n">
        <v>122</v>
      </c>
      <c r="G114" s="68" t="n">
        <v>1</v>
      </c>
      <c r="H114" s="68" t="n">
        <v>105</v>
      </c>
      <c r="I114" s="66" t="n">
        <v>3</v>
      </c>
      <c r="J114" s="69" t="n">
        <v>564.915476190476</v>
      </c>
      <c r="K114" s="31" t="n">
        <v>561.877878540377</v>
      </c>
      <c r="L114" s="31" t="n">
        <v>938.480821835986</v>
      </c>
      <c r="M114" s="31" t="n">
        <v>170.297665251475</v>
      </c>
      <c r="N114" s="31" t="n">
        <v>344.318643487719</v>
      </c>
      <c r="O114" s="32"/>
      <c r="P114" s="33" t="n">
        <v>69.371688886037</v>
      </c>
      <c r="Q114" s="33" t="n">
        <v>10.9808633291955</v>
      </c>
      <c r="R114" s="31" t="n">
        <v>131.81940149838</v>
      </c>
      <c r="S114" s="34" t="s">
        <v>76</v>
      </c>
      <c r="T114" s="35" t="n">
        <v>20.46614634</v>
      </c>
      <c r="U114" s="35" t="n">
        <v>6.587671</v>
      </c>
      <c r="V114" s="70" t="n">
        <v>27.05381734</v>
      </c>
      <c r="W114" s="35" t="n">
        <v>25.3844730272815</v>
      </c>
      <c r="X114" s="35" t="n">
        <v>4.72564899500812</v>
      </c>
      <c r="Y114" s="35" t="n">
        <v>8.4013740991544</v>
      </c>
      <c r="Z114" s="35"/>
      <c r="AA114" s="35" t="n">
        <v>1.6401470306307</v>
      </c>
      <c r="AB114" s="35" t="n">
        <v>0.271305108167121</v>
      </c>
      <c r="AC114" s="71" t="n">
        <v>4.07776924515594</v>
      </c>
      <c r="AD114" s="38" t="n">
        <v>6.48891133294047</v>
      </c>
      <c r="AE114" s="38" t="n">
        <v>5.66206186162493</v>
      </c>
      <c r="AF114" s="38" t="n">
        <v>1.31161494329241</v>
      </c>
      <c r="AG114" s="72"/>
      <c r="AH114" s="72"/>
      <c r="AI114" s="73" t="n">
        <v>41.8105741081498</v>
      </c>
      <c r="AJ114" s="42" t="s">
        <v>16</v>
      </c>
      <c r="AK114" s="43" t="n">
        <v>760.148031925003</v>
      </c>
      <c r="AL114" s="43" t="n">
        <v>776.947827298218</v>
      </c>
      <c r="AM114" s="43" t="n">
        <v>722.447658580247</v>
      </c>
      <c r="AN114" s="74"/>
      <c r="AO114" s="75" t="n">
        <v>40.0785714285714</v>
      </c>
      <c r="AP114" s="76" t="n">
        <v>1.66526464285714</v>
      </c>
      <c r="AQ114" s="76" t="n">
        <v>1.24450954734219</v>
      </c>
      <c r="AR114" s="76" t="n">
        <v>1.83946661960133</v>
      </c>
      <c r="AS114" s="77" t="n">
        <v>41.0103982142857</v>
      </c>
      <c r="AT114" s="78" t="n">
        <v>39.8570608865882</v>
      </c>
      <c r="AU114" s="78" t="n">
        <v>41.55</v>
      </c>
      <c r="AV114" s="78" t="n">
        <v>31.0517441860465</v>
      </c>
      <c r="AW114" s="78" t="n">
        <v>45.896511627907</v>
      </c>
      <c r="AX114" s="78" t="n">
        <v>40.8255813953488</v>
      </c>
      <c r="AY114" s="48" t="n">
        <v>1.47325090524871</v>
      </c>
      <c r="AZ114" s="48" t="n">
        <v>25.7379891266926</v>
      </c>
      <c r="BA114" s="48" t="n">
        <v>1.31582821330739</v>
      </c>
      <c r="BB114" s="49" t="n">
        <f aca="false">AT114/V114</f>
        <v>1.47325090524871</v>
      </c>
      <c r="BC114" s="49" t="n">
        <f aca="false">AS114/V114</f>
        <v>1.51588212853239</v>
      </c>
      <c r="BD114" s="49" t="n">
        <f aca="false">SUM(AP114:AR114)/V114</f>
        <v>0.175547899585274</v>
      </c>
      <c r="BE114" s="50" t="n">
        <v>6.74</v>
      </c>
      <c r="BF114" s="51" t="n">
        <v>147.906227882872</v>
      </c>
      <c r="BG114" s="51" t="n">
        <v>589.339807486246</v>
      </c>
      <c r="BH114" s="51" t="n">
        <v>198.169758345556</v>
      </c>
      <c r="BI114" s="51" t="n">
        <v>172.93130620412</v>
      </c>
      <c r="BJ114" s="51" t="n">
        <v>9.21331777701038</v>
      </c>
      <c r="BK114" s="51" t="n">
        <v>14.3193382643855</v>
      </c>
      <c r="BL114" s="51" t="n">
        <v>11.0513475445725</v>
      </c>
      <c r="BM114" s="51"/>
      <c r="BN114" s="52" t="n">
        <f aca="false">(BG114*0.5-BH114*0.25+BI114*0.5)/SUM(BG114:BI114)*1000</f>
        <v>345.250943512941</v>
      </c>
      <c r="BO114" s="53" t="n">
        <v>8.12074162</v>
      </c>
      <c r="BP114" s="54" t="s">
        <v>77</v>
      </c>
      <c r="BQ114" s="55" t="n">
        <v>379.107372340692</v>
      </c>
      <c r="BR114" s="56" t="n">
        <v>14.0130824266404</v>
      </c>
      <c r="BS114" s="56" t="n">
        <v>19.2221614870725</v>
      </c>
      <c r="BT114" s="56" t="n">
        <v>9.51167406496501</v>
      </c>
      <c r="BU114" s="55"/>
      <c r="BV114" s="55"/>
      <c r="BW114" s="55"/>
      <c r="BX114" s="55"/>
      <c r="BY114" s="79" t="n">
        <v>0.128571428571429</v>
      </c>
      <c r="BZ114" s="80" t="n">
        <v>0.7574741</v>
      </c>
      <c r="CA114" s="81" t="n">
        <v>3.6</v>
      </c>
      <c r="CB114" s="81" t="n">
        <v>0.442</v>
      </c>
      <c r="CC114" s="82" t="n">
        <v>5.711416</v>
      </c>
      <c r="CD114" s="82" t="n">
        <v>6.326918</v>
      </c>
      <c r="CE114" s="83" t="n">
        <v>85.02764</v>
      </c>
      <c r="CF114" s="84" t="n">
        <v>39.09894</v>
      </c>
      <c r="CG114" s="80" t="n">
        <v>0.1235</v>
      </c>
      <c r="CH114" s="63" t="n">
        <v>115662.486073603</v>
      </c>
      <c r="CI114" s="63" t="n">
        <v>474.5133487024</v>
      </c>
      <c r="CJ114" s="64" t="n">
        <v>115895.94969097</v>
      </c>
      <c r="CK114" s="65" t="n">
        <v>0.409430484816479</v>
      </c>
    </row>
    <row r="115" customFormat="false" ht="15" hidden="false" customHeight="false" outlineLevel="0" collapsed="false">
      <c r="A115" s="7" t="s">
        <v>73</v>
      </c>
      <c r="B115" s="66" t="n">
        <v>113</v>
      </c>
      <c r="C115" s="8" t="s">
        <v>191</v>
      </c>
      <c r="D115" s="67" t="n">
        <v>41715</v>
      </c>
      <c r="E115" s="4" t="s">
        <v>75</v>
      </c>
      <c r="F115" s="7" t="n">
        <v>31</v>
      </c>
      <c r="G115" s="68" t="n">
        <v>1</v>
      </c>
      <c r="H115" s="68" t="n">
        <v>114</v>
      </c>
      <c r="I115" s="66" t="n">
        <v>3</v>
      </c>
      <c r="J115" s="69" t="n">
        <v>662.003571428571</v>
      </c>
      <c r="K115" s="31" t="n">
        <v>565.615579360671</v>
      </c>
      <c r="L115" s="31" t="n">
        <v>939.634075769448</v>
      </c>
      <c r="M115" s="31" t="n">
        <v>172.195461349099</v>
      </c>
      <c r="N115" s="31" t="n">
        <v>335.912152134911</v>
      </c>
      <c r="O115" s="32"/>
      <c r="P115" s="33" t="n">
        <v>70.7360592269219</v>
      </c>
      <c r="Q115" s="33" t="n">
        <v>11.1282368962545</v>
      </c>
      <c r="R115" s="31" t="n">
        <v>142.878548494611</v>
      </c>
      <c r="S115" s="34" t="s">
        <v>76</v>
      </c>
      <c r="T115" s="35" t="n">
        <v>15.3411715857143</v>
      </c>
      <c r="U115" s="35" t="n">
        <v>6.45894371428572</v>
      </c>
      <c r="V115" s="70" t="n">
        <v>21.8001153</v>
      </c>
      <c r="W115" s="35" t="n">
        <v>20.4717646956211</v>
      </c>
      <c r="X115" s="35" t="n">
        <v>3.85775568815523</v>
      </c>
      <c r="Y115" s="35" t="n">
        <v>6.48131655732665</v>
      </c>
      <c r="Z115" s="35"/>
      <c r="AA115" s="35" t="n">
        <v>1.30124363065063</v>
      </c>
      <c r="AB115" s="35" t="n">
        <v>0.216379353117001</v>
      </c>
      <c r="AC115" s="71" t="n">
        <v>3.54489362141332</v>
      </c>
      <c r="AD115" s="38" t="n">
        <v>5.08579520781934</v>
      </c>
      <c r="AE115" s="38" t="n">
        <v>4.4776877312887</v>
      </c>
      <c r="AF115" s="38" t="n">
        <v>0.763483239729801</v>
      </c>
      <c r="AG115" s="72"/>
      <c r="AH115" s="72"/>
      <c r="AI115" s="73" t="n">
        <v>42.5458250431164</v>
      </c>
      <c r="AJ115" s="42" t="s">
        <v>16</v>
      </c>
      <c r="AK115" s="43" t="n">
        <v>766.707875723055</v>
      </c>
      <c r="AL115" s="43" t="n">
        <v>781.274951238255</v>
      </c>
      <c r="AM115" s="43" t="n">
        <v>802.091344956348</v>
      </c>
      <c r="AN115" s="74"/>
      <c r="AO115" s="75" t="n">
        <v>40.8571428571429</v>
      </c>
      <c r="AP115" s="76" t="n">
        <v>1.60074880952381</v>
      </c>
      <c r="AQ115" s="76" t="n">
        <v>1.17430238095238</v>
      </c>
      <c r="AR115" s="76" t="n">
        <v>1.89804126984127</v>
      </c>
      <c r="AS115" s="77" t="n">
        <v>40.3540892857143</v>
      </c>
      <c r="AT115" s="78" t="n">
        <v>38.8427205363462</v>
      </c>
      <c r="AU115" s="78" t="n">
        <v>39.1791666666667</v>
      </c>
      <c r="AV115" s="78" t="n">
        <v>28.7416666666667</v>
      </c>
      <c r="AW115" s="78" t="n">
        <v>46.4555555555556</v>
      </c>
      <c r="AX115" s="78" t="n">
        <v>36.2777777777778</v>
      </c>
      <c r="AY115" s="48" t="n">
        <v>1.78176674764404</v>
      </c>
      <c r="AZ115" s="48" t="n">
        <v>27.0458643524328</v>
      </c>
      <c r="BA115" s="48" t="n">
        <v>-5.24574905243276</v>
      </c>
      <c r="BB115" s="49" t="n">
        <f aca="false">AT115/V115</f>
        <v>1.78176674764404</v>
      </c>
      <c r="BC115" s="49" t="n">
        <f aca="false">AS115/V115</f>
        <v>1.85109522268051</v>
      </c>
      <c r="BD115" s="49" t="n">
        <f aca="false">SUM(AP115:AR115)/V115</f>
        <v>0.21436090571124</v>
      </c>
      <c r="BE115" s="50" t="n">
        <v>6.73</v>
      </c>
      <c r="BF115" s="51" t="n">
        <v>155.05639637685</v>
      </c>
      <c r="BG115" s="51" t="n">
        <v>573.137570786882</v>
      </c>
      <c r="BH115" s="51" t="n">
        <v>226.129340750058</v>
      </c>
      <c r="BI115" s="51" t="n">
        <v>146.557796311237</v>
      </c>
      <c r="BJ115" s="51" t="n">
        <v>10.0069849123644</v>
      </c>
      <c r="BK115" s="51" t="n">
        <v>21.9925962025211</v>
      </c>
      <c r="BL115" s="51" t="n">
        <v>17.200586658828</v>
      </c>
      <c r="BM115" s="51"/>
      <c r="BN115" s="52" t="n">
        <f aca="false">(BG115*0.5-BH115*0.25+BI115*0.5)/SUM(BG115:BI115)*1000</f>
        <v>320.688755373721</v>
      </c>
      <c r="BO115" s="53" t="n">
        <v>6.5362261</v>
      </c>
      <c r="BP115" s="54" t="s">
        <v>77</v>
      </c>
      <c r="BQ115" s="55" t="n">
        <v>481.04294823966</v>
      </c>
      <c r="BR115" s="56" t="n">
        <v>22.0660735789622</v>
      </c>
      <c r="BS115" s="56" t="n">
        <v>30.0763182090726</v>
      </c>
      <c r="BT115" s="56" t="n">
        <v>12.3843783750815</v>
      </c>
      <c r="BU115" s="55"/>
      <c r="BV115" s="55"/>
      <c r="BW115" s="55"/>
      <c r="BX115" s="55"/>
      <c r="BY115" s="79" t="n">
        <v>0.0989010989010989</v>
      </c>
      <c r="BZ115" s="80" t="n">
        <v>0.4939214</v>
      </c>
      <c r="CA115" s="81" t="n">
        <v>3.32</v>
      </c>
      <c r="CB115" s="81" t="n">
        <v>0.03</v>
      </c>
      <c r="CC115" s="82" t="n">
        <v>6.276924</v>
      </c>
      <c r="CD115" s="82" t="n">
        <v>6.001269</v>
      </c>
      <c r="CE115" s="83" t="n">
        <v>87.266345</v>
      </c>
      <c r="CF115" s="84" t="n">
        <v>37.679308</v>
      </c>
      <c r="CG115" s="80" t="n">
        <v>0.155</v>
      </c>
      <c r="CH115" s="63" t="n">
        <v>78848.695154757</v>
      </c>
      <c r="CI115" s="63" t="n">
        <v>2560.1226083455</v>
      </c>
      <c r="CJ115" s="64" t="n">
        <v>471963.839250033</v>
      </c>
      <c r="CK115" s="65" t="n">
        <v>0.542440415014343</v>
      </c>
    </row>
    <row r="116" customFormat="false" ht="15" hidden="false" customHeight="false" outlineLevel="0" collapsed="false">
      <c r="A116" s="7" t="s">
        <v>73</v>
      </c>
      <c r="B116" s="66" t="n">
        <v>114</v>
      </c>
      <c r="C116" s="8" t="s">
        <v>192</v>
      </c>
      <c r="D116" s="67" t="n">
        <v>41715</v>
      </c>
      <c r="E116" s="4" t="s">
        <v>75</v>
      </c>
      <c r="F116" s="7" t="n">
        <v>147</v>
      </c>
      <c r="G116" s="68" t="n">
        <v>1</v>
      </c>
      <c r="H116" s="68" t="n">
        <v>106</v>
      </c>
      <c r="I116" s="66" t="n">
        <v>3</v>
      </c>
      <c r="J116" s="69" t="n">
        <v>615.690476190476</v>
      </c>
      <c r="K116" s="31" t="n">
        <v>565.615579360671</v>
      </c>
      <c r="L116" s="31" t="n">
        <v>939.634075769448</v>
      </c>
      <c r="M116" s="31" t="n">
        <v>172.195461349099</v>
      </c>
      <c r="N116" s="31" t="n">
        <v>335.912152134911</v>
      </c>
      <c r="O116" s="32"/>
      <c r="P116" s="33" t="n">
        <v>70.7360592269219</v>
      </c>
      <c r="Q116" s="33" t="n">
        <v>11.1282368962545</v>
      </c>
      <c r="R116" s="31" t="n">
        <v>142.878548494611</v>
      </c>
      <c r="S116" s="34" t="s">
        <v>76</v>
      </c>
      <c r="T116" s="35" t="n">
        <v>17.30149962</v>
      </c>
      <c r="U116" s="35" t="n">
        <v>5.673695</v>
      </c>
      <c r="V116" s="70" t="n">
        <v>22.97519462</v>
      </c>
      <c r="W116" s="35" t="n">
        <v>21.5774127282114</v>
      </c>
      <c r="X116" s="35" t="n">
        <v>4.04747039548606</v>
      </c>
      <c r="Y116" s="35" t="n">
        <v>6.97835870557111</v>
      </c>
      <c r="Z116" s="35"/>
      <c r="AA116" s="35" t="n">
        <v>1.41364075984878</v>
      </c>
      <c r="AB116" s="35" t="n">
        <v>0.23264331671668</v>
      </c>
      <c r="AC116" s="71" t="n">
        <v>3.66049465234678</v>
      </c>
      <c r="AD116" s="38" t="n">
        <v>5.84980812018505</v>
      </c>
      <c r="AE116" s="38" t="n">
        <v>5.11662296787616</v>
      </c>
      <c r="AF116" s="38" t="n">
        <v>1.14859174151684</v>
      </c>
      <c r="AG116" s="72"/>
      <c r="AH116" s="72"/>
      <c r="AI116" s="73" t="n">
        <v>39.7693927624623</v>
      </c>
      <c r="AJ116" s="42" t="s">
        <v>16</v>
      </c>
      <c r="AK116" s="43" t="n">
        <v>745.385916553117</v>
      </c>
      <c r="AL116" s="43" t="n">
        <v>762.87133993658</v>
      </c>
      <c r="AM116" s="43" t="n">
        <v>716.219853566365</v>
      </c>
      <c r="AN116" s="74"/>
      <c r="AO116" s="75" t="n">
        <v>40.1714285714286</v>
      </c>
      <c r="AP116" s="76" t="n">
        <v>1.51479761904762</v>
      </c>
      <c r="AQ116" s="76" t="n">
        <v>1.2568874829932</v>
      </c>
      <c r="AR116" s="76" t="n">
        <v>1.88499646258503</v>
      </c>
      <c r="AS116" s="77" t="n">
        <v>38.7905357142857</v>
      </c>
      <c r="AT116" s="78" t="n">
        <v>38.3575847008103</v>
      </c>
      <c r="AU116" s="78" t="n">
        <v>37.7083333333333</v>
      </c>
      <c r="AV116" s="78" t="n">
        <v>31.2880952380952</v>
      </c>
      <c r="AW116" s="78" t="n">
        <v>46.9238095238095</v>
      </c>
      <c r="AX116" s="78" t="n">
        <v>32.2738095238095</v>
      </c>
      <c r="AY116" s="48" t="n">
        <v>1.66952164433114</v>
      </c>
      <c r="AZ116" s="48" t="n">
        <v>25.6821031492763</v>
      </c>
      <c r="BA116" s="48" t="n">
        <v>-2.70690852927635</v>
      </c>
      <c r="BB116" s="49" t="n">
        <f aca="false">AT116/V116</f>
        <v>1.66952164433114</v>
      </c>
      <c r="BC116" s="49" t="n">
        <f aca="false">AS116/V116</f>
        <v>1.68836592489704</v>
      </c>
      <c r="BD116" s="49" t="n">
        <f aca="false">SUM(AP116:AR116)/V116</f>
        <v>0.202683008420403</v>
      </c>
      <c r="BE116" s="50" t="n">
        <v>6.86</v>
      </c>
      <c r="BF116" s="51" t="n">
        <v>130.668089149843</v>
      </c>
      <c r="BG116" s="51" t="n">
        <v>603.710785292791</v>
      </c>
      <c r="BH116" s="51" t="n">
        <v>211.470783401848</v>
      </c>
      <c r="BI116" s="51" t="n">
        <v>136.551004005048</v>
      </c>
      <c r="BJ116" s="51" t="n">
        <v>10.4940304023241</v>
      </c>
      <c r="BK116" s="51" t="n">
        <v>19.3134166203573</v>
      </c>
      <c r="BL116" s="51" t="n">
        <v>13.4848558995222</v>
      </c>
      <c r="BM116" s="51"/>
      <c r="BN116" s="52" t="n">
        <f aca="false">(BG116*0.5-BH116*0.25+BI116*0.5)/SUM(BG116:BI116)*1000</f>
        <v>333.353305223659</v>
      </c>
      <c r="BO116" s="53" t="n">
        <v>9.34854036</v>
      </c>
      <c r="BP116" s="54" t="s">
        <v>77</v>
      </c>
      <c r="BQ116" s="55" t="n">
        <v>439.039219722783</v>
      </c>
      <c r="BR116" s="56" t="n">
        <v>19.1092709761247</v>
      </c>
      <c r="BS116" s="56" t="n">
        <v>26.6718198892689</v>
      </c>
      <c r="BT116" s="56" t="n">
        <v>11.4459558167517</v>
      </c>
      <c r="BU116" s="55"/>
      <c r="BV116" s="55"/>
      <c r="BW116" s="55"/>
      <c r="BX116" s="55"/>
      <c r="BY116" s="79" t="n">
        <v>0.207692307692308</v>
      </c>
      <c r="BZ116" s="80" t="n">
        <v>0.4349222</v>
      </c>
      <c r="CA116" s="81" t="n">
        <v>3.46</v>
      </c>
      <c r="CB116" s="81" t="n">
        <v>0.167</v>
      </c>
      <c r="CC116" s="82" t="n">
        <v>5.688648</v>
      </c>
      <c r="CD116" s="82" t="n">
        <v>6.400622</v>
      </c>
      <c r="CE116" s="83" t="n">
        <v>86.003396</v>
      </c>
      <c r="CF116" s="84" t="n">
        <v>38.08694</v>
      </c>
      <c r="CG116" s="80" t="n">
        <v>0.113</v>
      </c>
      <c r="CH116" s="63" t="n">
        <v>112968.776087458</v>
      </c>
      <c r="CI116" s="63" t="n">
        <v>2556.41902840306</v>
      </c>
      <c r="CJ116" s="64" t="n">
        <v>294259.937519835</v>
      </c>
      <c r="CK116" s="65" t="n">
        <v>0.868762173318527</v>
      </c>
    </row>
    <row r="117" customFormat="false" ht="15" hidden="false" customHeight="false" outlineLevel="0" collapsed="false">
      <c r="A117" s="7" t="s">
        <v>73</v>
      </c>
      <c r="B117" s="66" t="n">
        <v>115</v>
      </c>
      <c r="C117" s="8" t="s">
        <v>193</v>
      </c>
      <c r="D117" s="67" t="n">
        <v>41715</v>
      </c>
      <c r="E117" s="4" t="s">
        <v>75</v>
      </c>
      <c r="F117" s="7" t="n">
        <v>236</v>
      </c>
      <c r="G117" s="68" t="n">
        <v>1</v>
      </c>
      <c r="H117" s="68" t="n">
        <v>104</v>
      </c>
      <c r="I117" s="66" t="n">
        <v>2</v>
      </c>
      <c r="J117" s="69" t="n">
        <v>674.559523809524</v>
      </c>
      <c r="K117" s="31" t="n">
        <v>565.615579360671</v>
      </c>
      <c r="L117" s="31" t="n">
        <v>939.634075769448</v>
      </c>
      <c r="M117" s="31" t="n">
        <v>172.195461349099</v>
      </c>
      <c r="N117" s="31" t="n">
        <v>335.912152134911</v>
      </c>
      <c r="O117" s="32"/>
      <c r="P117" s="33" t="n">
        <v>70.7360592269219</v>
      </c>
      <c r="Q117" s="33" t="n">
        <v>11.1282368962545</v>
      </c>
      <c r="R117" s="31" t="n">
        <v>142.878548494611</v>
      </c>
      <c r="S117" s="34" t="s">
        <v>76</v>
      </c>
      <c r="T117" s="35" t="n">
        <v>16.3508721685714</v>
      </c>
      <c r="U117" s="35" t="n">
        <v>7.44814357142857</v>
      </c>
      <c r="V117" s="70" t="n">
        <v>23.79901574</v>
      </c>
      <c r="W117" s="35" t="n">
        <v>22.3481057100825</v>
      </c>
      <c r="X117" s="35" t="n">
        <v>4.21786589672572</v>
      </c>
      <c r="Y117" s="35" t="n">
        <v>7.02387773486416</v>
      </c>
      <c r="Z117" s="35"/>
      <c r="AA117" s="35" t="n">
        <v>1.40575735387988</v>
      </c>
      <c r="AB117" s="35" t="n">
        <v>0.234608330236757</v>
      </c>
      <c r="AC117" s="71" t="n">
        <v>3.89636806740373</v>
      </c>
      <c r="AD117" s="38" t="n">
        <v>6.02549336328331</v>
      </c>
      <c r="AE117" s="38" t="n">
        <v>5.25502483866857</v>
      </c>
      <c r="AF117" s="38" t="n">
        <v>1.30518193506012</v>
      </c>
      <c r="AG117" s="72"/>
      <c r="AH117" s="72"/>
      <c r="AI117" s="73" t="n">
        <v>38.9359536376484</v>
      </c>
      <c r="AJ117" s="42" t="s">
        <v>16</v>
      </c>
      <c r="AK117" s="43" t="n">
        <v>746.817539468407</v>
      </c>
      <c r="AL117" s="43" t="n">
        <v>764.855916342935</v>
      </c>
      <c r="AM117" s="43" t="n">
        <v>690.558693183367</v>
      </c>
      <c r="AN117" s="74"/>
      <c r="AO117" s="75" t="n">
        <v>43.3142857142857</v>
      </c>
      <c r="AP117" s="76" t="n">
        <v>1.25611428571429</v>
      </c>
      <c r="AQ117" s="76" t="n">
        <v>1.38172571428571</v>
      </c>
      <c r="AR117" s="76" t="n">
        <v>2.02710857142857</v>
      </c>
      <c r="AS117" s="77" t="n">
        <v>36.1674285714286</v>
      </c>
      <c r="AT117" s="78" t="n">
        <v>36.9337327752502</v>
      </c>
      <c r="AU117" s="78" t="n">
        <v>29</v>
      </c>
      <c r="AV117" s="78" t="n">
        <v>31.9</v>
      </c>
      <c r="AW117" s="78" t="n">
        <v>46.8</v>
      </c>
      <c r="AX117" s="78" t="n">
        <v>31</v>
      </c>
      <c r="AY117" s="48" t="n">
        <v>1.55190169117684</v>
      </c>
      <c r="AZ117" s="48" t="n">
        <v>25.5178926909774</v>
      </c>
      <c r="BA117" s="48" t="n">
        <v>-1.7188769509774</v>
      </c>
      <c r="BB117" s="49" t="n">
        <f aca="false">AT117/V117</f>
        <v>1.55190169117684</v>
      </c>
      <c r="BC117" s="49" t="n">
        <f aca="false">AS117/V117</f>
        <v>1.51970270395008</v>
      </c>
      <c r="BD117" s="49" t="n">
        <f aca="false">SUM(AP117:AR117)/V117</f>
        <v>0.196014348760987</v>
      </c>
      <c r="BE117" s="50" t="n">
        <v>6.96</v>
      </c>
      <c r="BF117" s="51" t="n">
        <v>112.542138372819</v>
      </c>
      <c r="BG117" s="51" t="n">
        <v>608.108486662211</v>
      </c>
      <c r="BH117" s="51" t="n">
        <v>204.864609854427</v>
      </c>
      <c r="BI117" s="51" t="n">
        <v>144.416452949173</v>
      </c>
      <c r="BJ117" s="51" t="n">
        <v>9.28879854436021</v>
      </c>
      <c r="BK117" s="51" t="n">
        <v>15.3489938558524</v>
      </c>
      <c r="BL117" s="51" t="n">
        <v>12.9975337558669</v>
      </c>
      <c r="BM117" s="51"/>
      <c r="BN117" s="52" t="n">
        <f aca="false">(BG117*0.5-BH117*0.25+BI117*0.5)/SUM(BG117:BI117)*1000</f>
        <v>339.51312454105</v>
      </c>
      <c r="BO117" s="53" t="n">
        <v>9.44132032</v>
      </c>
      <c r="BP117" s="54" t="s">
        <v>77</v>
      </c>
      <c r="BQ117" s="55" t="n">
        <v>499.922445860612</v>
      </c>
      <c r="BR117" s="56" t="n">
        <v>21.0060134974562</v>
      </c>
      <c r="BS117" s="56" t="n">
        <v>29.247064915996</v>
      </c>
      <c r="BT117" s="56" t="n">
        <v>13.5356599048016</v>
      </c>
      <c r="BU117" s="55"/>
      <c r="BV117" s="55"/>
      <c r="BW117" s="55"/>
      <c r="BX117" s="55"/>
      <c r="BY117" s="79" t="n">
        <v>0.158241758241758</v>
      </c>
      <c r="BZ117" s="80" t="n">
        <v>0.550322</v>
      </c>
      <c r="CA117" s="81" t="n">
        <v>3.64</v>
      </c>
      <c r="CB117" s="81" t="n">
        <v>0.093</v>
      </c>
      <c r="CC117" s="82" t="n">
        <v>4.595784</v>
      </c>
      <c r="CD117" s="82" t="n">
        <v>7.199082</v>
      </c>
      <c r="CE117" s="83" t="n">
        <v>84.278804</v>
      </c>
      <c r="CF117" s="84" t="n">
        <v>40.67766</v>
      </c>
      <c r="CG117" s="80" t="n">
        <v>0.071</v>
      </c>
      <c r="CH117" s="63" t="n">
        <v>76384.3915172277</v>
      </c>
      <c r="CI117" s="63" t="n">
        <v>829.630080449123</v>
      </c>
      <c r="CJ117" s="64" t="n">
        <v>215797.816779572</v>
      </c>
      <c r="CK117" s="65" t="n">
        <v>0.384447856252666</v>
      </c>
    </row>
    <row r="118" customFormat="false" ht="15" hidden="false" customHeight="false" outlineLevel="0" collapsed="false">
      <c r="A118" s="7" t="s">
        <v>73</v>
      </c>
      <c r="B118" s="66" t="n">
        <v>116</v>
      </c>
      <c r="C118" s="8" t="s">
        <v>194</v>
      </c>
      <c r="D118" s="67" t="n">
        <v>41715</v>
      </c>
      <c r="E118" s="4" t="s">
        <v>75</v>
      </c>
      <c r="F118" s="7" t="n">
        <v>282</v>
      </c>
      <c r="G118" s="68" t="n">
        <v>1</v>
      </c>
      <c r="H118" s="68" t="n">
        <v>112</v>
      </c>
      <c r="I118" s="66" t="n">
        <v>5</v>
      </c>
      <c r="J118" s="69" t="n">
        <v>670.07619047619</v>
      </c>
      <c r="K118" s="31" t="n">
        <v>565.615579360671</v>
      </c>
      <c r="L118" s="31" t="n">
        <v>939.634075769448</v>
      </c>
      <c r="M118" s="31" t="n">
        <v>172.195461349099</v>
      </c>
      <c r="N118" s="31" t="n">
        <v>335.912152134911</v>
      </c>
      <c r="O118" s="32"/>
      <c r="P118" s="33" t="n">
        <v>70.7360592269219</v>
      </c>
      <c r="Q118" s="33" t="n">
        <v>11.1282368962545</v>
      </c>
      <c r="R118" s="31" t="n">
        <v>142.878548494611</v>
      </c>
      <c r="S118" s="34" t="s">
        <v>76</v>
      </c>
      <c r="T118" s="35" t="n">
        <v>14.7378037042857</v>
      </c>
      <c r="U118" s="35" t="n">
        <v>5.99312028571429</v>
      </c>
      <c r="V118" s="70" t="n">
        <v>20.73092399</v>
      </c>
      <c r="W118" s="35" t="n">
        <v>19.4680079873568</v>
      </c>
      <c r="X118" s="35" t="n">
        <v>3.66615427748115</v>
      </c>
      <c r="Y118" s="35" t="n">
        <v>6.18285948101674</v>
      </c>
      <c r="Z118" s="35"/>
      <c r="AA118" s="35" t="n">
        <v>1.2429806768146</v>
      </c>
      <c r="AB118" s="35" t="n">
        <v>0.206371962513422</v>
      </c>
      <c r="AC118" s="71" t="n">
        <v>3.3611082255605</v>
      </c>
      <c r="AD118" s="38" t="n">
        <v>4.70306552278686</v>
      </c>
      <c r="AE118" s="38" t="n">
        <v>4.11709300441874</v>
      </c>
      <c r="AF118" s="38" t="n">
        <v>1.02775242537853</v>
      </c>
      <c r="AG118" s="72"/>
      <c r="AH118" s="72"/>
      <c r="AI118" s="73" t="n">
        <v>43.8803077510887</v>
      </c>
      <c r="AJ118" s="42" t="s">
        <v>16</v>
      </c>
      <c r="AK118" s="43" t="n">
        <v>773.137679485223</v>
      </c>
      <c r="AL118" s="43" t="n">
        <v>788.520068047408</v>
      </c>
      <c r="AM118" s="43" t="n">
        <v>719.664709231863</v>
      </c>
      <c r="AN118" s="74"/>
      <c r="AO118" s="75" t="n">
        <v>36.6428571428571</v>
      </c>
      <c r="AP118" s="76" t="n">
        <v>1.47998279220779</v>
      </c>
      <c r="AQ118" s="76" t="n">
        <v>1.18549636363636</v>
      </c>
      <c r="AR118" s="76" t="n">
        <v>1.58167227272727</v>
      </c>
      <c r="AS118" s="77" t="n">
        <v>36.8568847402597</v>
      </c>
      <c r="AT118" s="78" t="n">
        <v>35.7616941004219</v>
      </c>
      <c r="AU118" s="78" t="n">
        <v>40.3893939393939</v>
      </c>
      <c r="AV118" s="78" t="n">
        <v>32.3527272727273</v>
      </c>
      <c r="AW118" s="78" t="n">
        <v>43.1645454545455</v>
      </c>
      <c r="AX118" s="78" t="n">
        <v>27.530303030303</v>
      </c>
      <c r="AY118" s="48" t="n">
        <v>1.72504101204907</v>
      </c>
      <c r="AZ118" s="48" t="n">
        <v>25.8536270243974</v>
      </c>
      <c r="BA118" s="48" t="n">
        <v>-5.12270303439737</v>
      </c>
      <c r="BB118" s="49" t="n">
        <f aca="false">AT118/V118</f>
        <v>1.72504101204907</v>
      </c>
      <c r="BC118" s="49" t="n">
        <f aca="false">AS118/V118</f>
        <v>1.777869850762</v>
      </c>
      <c r="BD118" s="49" t="n">
        <f aca="false">SUM(AP118:AR118)/V118</f>
        <v>0.204870339142632</v>
      </c>
      <c r="BE118" s="50" t="n">
        <v>6.86</v>
      </c>
      <c r="BF118" s="51" t="n">
        <v>124.616843817278</v>
      </c>
      <c r="BG118" s="51" t="n">
        <v>636.693474144159</v>
      </c>
      <c r="BH118" s="51" t="n">
        <v>179.562010270817</v>
      </c>
      <c r="BI118" s="51" t="n">
        <v>137.800829625885</v>
      </c>
      <c r="BJ118" s="51" t="n">
        <v>9.81339057206279</v>
      </c>
      <c r="BK118" s="51" t="n">
        <v>14.4549788897223</v>
      </c>
      <c r="BL118" s="51" t="n">
        <v>16.7001921192451</v>
      </c>
      <c r="BM118" s="51"/>
      <c r="BN118" s="52" t="n">
        <f aca="false">(BG118*0.5-BH118*0.25+BI118*0.5)/SUM(BG118:BI118)*1000</f>
        <v>358.843229984279</v>
      </c>
      <c r="BO118" s="53" t="n">
        <v>9.25967676</v>
      </c>
      <c r="BP118" s="54" t="s">
        <v>77</v>
      </c>
      <c r="BQ118" s="55" t="n">
        <v>493.151361288841</v>
      </c>
      <c r="BR118" s="56" t="n">
        <v>23.7881997699052</v>
      </c>
      <c r="BS118" s="56" t="n">
        <v>32.1252095941486</v>
      </c>
      <c r="BT118" s="56" t="n">
        <v>13.7899328791312</v>
      </c>
      <c r="BU118" s="55"/>
      <c r="BV118" s="55"/>
      <c r="BW118" s="55"/>
      <c r="BX118" s="55"/>
      <c r="BY118" s="79" t="n">
        <v>0.197802197802198</v>
      </c>
      <c r="BZ118" s="80" t="n">
        <v>0.427355</v>
      </c>
      <c r="CA118" s="81" t="n">
        <v>3.76</v>
      </c>
      <c r="CB118" s="81" t="n">
        <v>0.604</v>
      </c>
      <c r="CC118" s="82" t="n">
        <v>4.880384</v>
      </c>
      <c r="CD118" s="82" t="n">
        <v>4.668578</v>
      </c>
      <c r="CE118" s="83" t="n">
        <v>85.889936</v>
      </c>
      <c r="CF118" s="84" t="n">
        <v>33.77582</v>
      </c>
      <c r="CG118" s="80" t="n">
        <v>1.121</v>
      </c>
      <c r="CH118" s="63" t="n">
        <v>147105.802500019</v>
      </c>
      <c r="CI118" s="63" t="n">
        <v>2556.73111908906</v>
      </c>
      <c r="CJ118" s="64" t="n">
        <v>264970.315079234</v>
      </c>
      <c r="CK118" s="65" t="n">
        <v>0.964912283975856</v>
      </c>
    </row>
    <row r="119" customFormat="false" ht="15" hidden="false" customHeight="false" outlineLevel="0" collapsed="false">
      <c r="A119" s="7" t="s">
        <v>73</v>
      </c>
      <c r="B119" s="66" t="n">
        <v>117</v>
      </c>
      <c r="C119" s="8" t="s">
        <v>195</v>
      </c>
      <c r="D119" s="67" t="n">
        <v>41715</v>
      </c>
      <c r="E119" s="4" t="s">
        <v>75</v>
      </c>
      <c r="F119" s="7" t="n">
        <v>293</v>
      </c>
      <c r="G119" s="68" t="n">
        <v>1</v>
      </c>
      <c r="H119" s="68" t="n">
        <v>105</v>
      </c>
      <c r="I119" s="66" t="n">
        <v>2</v>
      </c>
      <c r="J119" s="69" t="n">
        <v>628.779761904762</v>
      </c>
      <c r="K119" s="31" t="n">
        <v>565.615579360671</v>
      </c>
      <c r="L119" s="31" t="n">
        <v>939.634075769448</v>
      </c>
      <c r="M119" s="31" t="n">
        <v>172.195461349099</v>
      </c>
      <c r="N119" s="31" t="n">
        <v>335.912152134911</v>
      </c>
      <c r="O119" s="32"/>
      <c r="P119" s="33" t="n">
        <v>70.7360592269219</v>
      </c>
      <c r="Q119" s="33" t="n">
        <v>11.1282368962545</v>
      </c>
      <c r="R119" s="31" t="n">
        <v>142.878548494611</v>
      </c>
      <c r="S119" s="34" t="s">
        <v>76</v>
      </c>
      <c r="T119" s="35" t="n">
        <v>19.3670916571429</v>
      </c>
      <c r="U119" s="35" t="n">
        <v>8.78622014285714</v>
      </c>
      <c r="V119" s="70" t="n">
        <v>28.1533118</v>
      </c>
      <c r="W119" s="35" t="n">
        <v>26.4369887407282</v>
      </c>
      <c r="X119" s="35" t="n">
        <v>4.9891752864555</v>
      </c>
      <c r="Y119" s="35" t="n">
        <v>8.31218592518463</v>
      </c>
      <c r="Z119" s="35"/>
      <c r="AA119" s="35" t="n">
        <v>1.66387521245852</v>
      </c>
      <c r="AB119" s="35" t="n">
        <v>0.27763258255205</v>
      </c>
      <c r="AC119" s="71" t="n">
        <v>4.60761100279261</v>
      </c>
      <c r="AD119" s="38" t="n">
        <v>6.46020933484363</v>
      </c>
      <c r="AE119" s="38" t="n">
        <v>5.64302312608215</v>
      </c>
      <c r="AF119" s="38" t="n">
        <v>1.24245212954284</v>
      </c>
      <c r="AG119" s="72"/>
      <c r="AH119" s="72"/>
      <c r="AI119" s="73" t="n">
        <v>42.9757873409175</v>
      </c>
      <c r="AJ119" s="42" t="s">
        <v>16</v>
      </c>
      <c r="AK119" s="43" t="n">
        <v>770.534657494767</v>
      </c>
      <c r="AL119" s="43" t="n">
        <v>786.548188924836</v>
      </c>
      <c r="AM119" s="43" t="n">
        <v>750.970439359823</v>
      </c>
      <c r="AN119" s="74"/>
      <c r="AO119" s="75" t="n">
        <v>49.65</v>
      </c>
      <c r="AP119" s="76" t="n">
        <v>1.78558483870968</v>
      </c>
      <c r="AQ119" s="76" t="n">
        <v>1.51496564516129</v>
      </c>
      <c r="AR119" s="76" t="n">
        <v>2.25229483870968</v>
      </c>
      <c r="AS119" s="77" t="n">
        <v>46.6437725806452</v>
      </c>
      <c r="AT119" s="78" t="n">
        <v>45.6467450852681</v>
      </c>
      <c r="AU119" s="78" t="n">
        <v>35.9634408602151</v>
      </c>
      <c r="AV119" s="78" t="n">
        <v>30.5129032258065</v>
      </c>
      <c r="AW119" s="78" t="n">
        <v>45.3634408602151</v>
      </c>
      <c r="AX119" s="78" t="n">
        <v>29.9569892473118</v>
      </c>
      <c r="AY119" s="48" t="n">
        <v>1.62136324882631</v>
      </c>
      <c r="AZ119" s="48" t="n">
        <v>28.687622372983</v>
      </c>
      <c r="BA119" s="48" t="n">
        <v>-0.53431057298296</v>
      </c>
      <c r="BB119" s="49" t="n">
        <f aca="false">AT119/V119</f>
        <v>1.62136324882631</v>
      </c>
      <c r="BC119" s="49" t="n">
        <f aca="false">AS119/V119</f>
        <v>1.65677746589817</v>
      </c>
      <c r="BD119" s="49" t="n">
        <f aca="false">SUM(AP119:AR119)/V119</f>
        <v>0.197235954406637</v>
      </c>
      <c r="BE119" s="50" t="n">
        <v>7.06</v>
      </c>
      <c r="BF119" s="51" t="n">
        <v>118.652171827677</v>
      </c>
      <c r="BG119" s="51" t="n">
        <v>595.561192251293</v>
      </c>
      <c r="BH119" s="51" t="n">
        <v>213.315368595641</v>
      </c>
      <c r="BI119" s="51" t="n">
        <v>148.288912167372</v>
      </c>
      <c r="BJ119" s="51" t="n">
        <v>9.77769274456998</v>
      </c>
      <c r="BK119" s="51" t="n">
        <v>14.3546264478336</v>
      </c>
      <c r="BL119" s="51" t="n">
        <v>13.7270834151807</v>
      </c>
      <c r="BM119" s="51"/>
      <c r="BN119" s="52" t="n">
        <f aca="false">(BG119*0.5-BH119*0.25+BI119*0.5)/SUM(BG119:BI119)*1000</f>
        <v>332.853847158839</v>
      </c>
      <c r="BO119" s="53" t="n">
        <v>5.5012733</v>
      </c>
      <c r="BP119" s="54" t="s">
        <v>77</v>
      </c>
      <c r="BQ119" s="55" t="n">
        <v>408.616494162354</v>
      </c>
      <c r="BR119" s="56" t="n">
        <v>14.5139760844177</v>
      </c>
      <c r="BS119" s="56" t="n">
        <v>19.6507247215292</v>
      </c>
      <c r="BT119" s="56" t="n">
        <v>8.95171152727448</v>
      </c>
      <c r="BU119" s="55"/>
      <c r="BV119" s="55"/>
      <c r="BW119" s="55"/>
      <c r="BX119" s="55"/>
      <c r="BY119" s="79" t="n">
        <v>0.148351648351648</v>
      </c>
      <c r="BZ119" s="80" t="n">
        <v>0.5276204</v>
      </c>
      <c r="CA119" s="81" t="n">
        <v>3.61</v>
      </c>
      <c r="CB119" s="81" t="n">
        <v>0.269</v>
      </c>
      <c r="CC119" s="82" t="n">
        <v>4.64132</v>
      </c>
      <c r="CD119" s="82" t="n">
        <v>6.339202</v>
      </c>
      <c r="CE119" s="83" t="n">
        <v>80.723724</v>
      </c>
      <c r="CF119" s="84" t="n">
        <v>36.56894</v>
      </c>
      <c r="CG119" s="80" t="n">
        <v>0.0605</v>
      </c>
      <c r="CH119" s="63" t="n">
        <v>1109706.61701868</v>
      </c>
      <c r="CI119" s="63" t="n">
        <v>13134.833304594</v>
      </c>
      <c r="CJ119" s="64" t="n">
        <v>1911250.46572395</v>
      </c>
      <c r="CK119" s="65" t="n">
        <v>0.687237677120394</v>
      </c>
    </row>
    <row r="120" customFormat="false" ht="15" hidden="false" customHeight="false" outlineLevel="0" collapsed="false">
      <c r="A120" s="7" t="s">
        <v>73</v>
      </c>
      <c r="B120" s="66" t="n">
        <v>118</v>
      </c>
      <c r="C120" s="8" t="s">
        <v>196</v>
      </c>
      <c r="D120" s="67" t="n">
        <v>41715</v>
      </c>
      <c r="E120" s="4" t="s">
        <v>75</v>
      </c>
      <c r="F120" s="7" t="n">
        <v>294</v>
      </c>
      <c r="G120" s="68" t="n">
        <v>1</v>
      </c>
      <c r="H120" s="68" t="n">
        <v>115</v>
      </c>
      <c r="I120" s="66" t="n">
        <v>2</v>
      </c>
      <c r="J120" s="69" t="n">
        <v>629.660714285714</v>
      </c>
      <c r="K120" s="31" t="n">
        <v>565.615579360671</v>
      </c>
      <c r="L120" s="31" t="n">
        <v>939.634075769448</v>
      </c>
      <c r="M120" s="31" t="n">
        <v>172.195461349099</v>
      </c>
      <c r="N120" s="31" t="n">
        <v>335.912152134911</v>
      </c>
      <c r="O120" s="32"/>
      <c r="P120" s="33" t="n">
        <v>70.7360592269219</v>
      </c>
      <c r="Q120" s="33" t="n">
        <v>11.1282368962545</v>
      </c>
      <c r="R120" s="31" t="n">
        <v>142.878548494611</v>
      </c>
      <c r="S120" s="34" t="s">
        <v>76</v>
      </c>
      <c r="T120" s="35" t="n">
        <v>11.3519364857143</v>
      </c>
      <c r="U120" s="35" t="n">
        <v>6.39881371428572</v>
      </c>
      <c r="V120" s="70" t="n">
        <v>17.7507502</v>
      </c>
      <c r="W120" s="35" t="n">
        <v>16.6669583892111</v>
      </c>
      <c r="X120" s="35" t="n">
        <v>3.15950636690293</v>
      </c>
      <c r="Y120" s="35" t="n">
        <v>5.12892061340241</v>
      </c>
      <c r="Z120" s="35"/>
      <c r="AA120" s="35" t="n">
        <v>1.01704934481914</v>
      </c>
      <c r="AB120" s="35" t="n">
        <v>0.171561132649387</v>
      </c>
      <c r="AC120" s="71" t="n">
        <v>2.96232193599934</v>
      </c>
      <c r="AD120" s="38" t="n">
        <v>3.89306861497435</v>
      </c>
      <c r="AE120" s="38" t="n">
        <v>3.37674913321558</v>
      </c>
      <c r="AF120" s="38" t="n">
        <v>0.84179305417569</v>
      </c>
      <c r="AG120" s="72"/>
      <c r="AH120" s="72"/>
      <c r="AI120" s="73" t="n">
        <v>44.0683557411477</v>
      </c>
      <c r="AJ120" s="42" t="s">
        <v>16</v>
      </c>
      <c r="AK120" s="43" t="n">
        <v>780.681460157422</v>
      </c>
      <c r="AL120" s="43" t="n">
        <v>797.398598210851</v>
      </c>
      <c r="AM120" s="43" t="n">
        <v>733.568172865925</v>
      </c>
      <c r="AN120" s="74"/>
      <c r="AO120" s="75" t="n">
        <v>42.4142857142857</v>
      </c>
      <c r="AP120" s="76" t="n">
        <v>1.46428553191489</v>
      </c>
      <c r="AQ120" s="76" t="n">
        <v>1.34372066869301</v>
      </c>
      <c r="AR120" s="76" t="n">
        <v>1.91947203647416</v>
      </c>
      <c r="AS120" s="77" t="n">
        <v>38.9299972644377</v>
      </c>
      <c r="AT120" s="78" t="n">
        <v>38.6070761949935</v>
      </c>
      <c r="AU120" s="78" t="n">
        <v>34.5234042553191</v>
      </c>
      <c r="AV120" s="78" t="n">
        <v>31.6808510638298</v>
      </c>
      <c r="AW120" s="78" t="n">
        <v>45.2553191489362</v>
      </c>
      <c r="AX120" s="78" t="n">
        <v>35.5531914893617</v>
      </c>
      <c r="AY120" s="48" t="n">
        <v>2.17495462219921</v>
      </c>
      <c r="AZ120" s="48" t="n">
        <v>26.087513061336</v>
      </c>
      <c r="BA120" s="48" t="n">
        <v>-8.33676286133596</v>
      </c>
      <c r="BB120" s="49" t="n">
        <f aca="false">AT120/V120</f>
        <v>2.17495462219921</v>
      </c>
      <c r="BC120" s="49" t="n">
        <f aca="false">AS120/V120</f>
        <v>2.19314658962626</v>
      </c>
      <c r="BD120" s="49" t="n">
        <f aca="false">SUM(AP120:AR120)/V120</f>
        <v>0.266325545896199</v>
      </c>
      <c r="BE120" s="50" t="n">
        <v>7.1</v>
      </c>
      <c r="BF120" s="51" t="n">
        <v>122.861516611798</v>
      </c>
      <c r="BG120" s="51" t="n">
        <v>603.412350642016</v>
      </c>
      <c r="BH120" s="51" t="n">
        <v>218.747325322466</v>
      </c>
      <c r="BI120" s="51" t="n">
        <v>135.33983214298</v>
      </c>
      <c r="BJ120" s="51" t="n">
        <v>9.62771203003694</v>
      </c>
      <c r="BK120" s="51" t="n">
        <v>14.5542601612876</v>
      </c>
      <c r="BL120" s="51" t="n">
        <v>13.3433953231042</v>
      </c>
      <c r="BM120" s="51"/>
      <c r="BN120" s="52" t="n">
        <f aca="false">(BG120*0.5-BH120*0.25+BI120*0.5)/SUM(BG120:BI120)*1000</f>
        <v>328.657359504944</v>
      </c>
      <c r="BO120" s="53" t="n">
        <v>5.86936144</v>
      </c>
      <c r="BP120" s="54" t="s">
        <v>77</v>
      </c>
      <c r="BQ120" s="55" t="n">
        <v>443.427153091784</v>
      </c>
      <c r="BR120" s="56" t="n">
        <v>24.9807556354313</v>
      </c>
      <c r="BS120" s="56" t="n">
        <v>33.3649489297351</v>
      </c>
      <c r="BT120" s="56" t="n">
        <v>11.4856445189519</v>
      </c>
      <c r="BU120" s="55"/>
      <c r="BV120" s="55"/>
      <c r="BW120" s="55"/>
      <c r="BX120" s="55"/>
      <c r="BY120" s="79" t="n">
        <v>0.148351648351648</v>
      </c>
      <c r="BZ120" s="80" t="n">
        <v>0.6392366</v>
      </c>
      <c r="CA120" s="81" t="n">
        <v>3.38</v>
      </c>
      <c r="CB120" s="81" t="n">
        <v>0.305</v>
      </c>
      <c r="CC120" s="82" t="n">
        <v>5.233288</v>
      </c>
      <c r="CD120" s="82" t="n">
        <v>8.353778</v>
      </c>
      <c r="CE120" s="83" t="n">
        <v>84.490596</v>
      </c>
      <c r="CF120" s="84" t="n">
        <v>35.69862</v>
      </c>
      <c r="CG120" s="80" t="n">
        <v>0.1445</v>
      </c>
      <c r="CH120" s="63" t="n">
        <v>486678.059299335</v>
      </c>
      <c r="CI120" s="63" t="n">
        <v>16846.1019325926</v>
      </c>
      <c r="CJ120" s="64" t="n">
        <v>1653588.94500898</v>
      </c>
      <c r="CK120" s="65" t="n">
        <v>1.01875995140383</v>
      </c>
    </row>
    <row r="121" customFormat="false" ht="15" hidden="false" customHeight="false" outlineLevel="0" collapsed="false">
      <c r="A121" s="7" t="s">
        <v>73</v>
      </c>
      <c r="B121" s="66" t="n">
        <v>119</v>
      </c>
      <c r="C121" s="8" t="s">
        <v>197</v>
      </c>
      <c r="D121" s="67" t="n">
        <v>41722</v>
      </c>
      <c r="E121" s="4" t="s">
        <v>75</v>
      </c>
      <c r="F121" s="7" t="n">
        <v>151</v>
      </c>
      <c r="G121" s="68" t="n">
        <v>1</v>
      </c>
      <c r="H121" s="68" t="n">
        <v>80</v>
      </c>
      <c r="I121" s="66" t="n">
        <v>1</v>
      </c>
      <c r="J121" s="69" t="n">
        <v>509.522619047619</v>
      </c>
      <c r="K121" s="31" t="n">
        <v>561.877878540377</v>
      </c>
      <c r="L121" s="31" t="n">
        <v>938.480821835986</v>
      </c>
      <c r="M121" s="31" t="n">
        <v>170.297665251475</v>
      </c>
      <c r="N121" s="31" t="n">
        <v>344.318643487719</v>
      </c>
      <c r="O121" s="32"/>
      <c r="P121" s="33" t="n">
        <v>69.371688886037</v>
      </c>
      <c r="Q121" s="33" t="n">
        <v>10.9808633291955</v>
      </c>
      <c r="R121" s="31" t="n">
        <v>131.81940149838</v>
      </c>
      <c r="S121" s="34" t="s">
        <v>76</v>
      </c>
      <c r="T121" s="35" t="n">
        <v>20.5136267742857</v>
      </c>
      <c r="U121" s="35" t="n">
        <v>5.68903428571429</v>
      </c>
      <c r="V121" s="70" t="n">
        <v>26.20266106</v>
      </c>
      <c r="W121" s="35" t="n">
        <v>24.5863633837937</v>
      </c>
      <c r="X121" s="35" t="n">
        <v>4.56454147851687</v>
      </c>
      <c r="Y121" s="35" t="n">
        <v>8.23295280457034</v>
      </c>
      <c r="Z121" s="35"/>
      <c r="AA121" s="35" t="n">
        <v>1.61337893424019</v>
      </c>
      <c r="AB121" s="35" t="n">
        <v>0.265473897799818</v>
      </c>
      <c r="AC121" s="71" t="n">
        <v>3.89578865807446</v>
      </c>
      <c r="AD121" s="38" t="n">
        <v>5.93470600348161</v>
      </c>
      <c r="AE121" s="38" t="n">
        <v>5.14094513576825</v>
      </c>
      <c r="AF121" s="38" t="n">
        <v>1.30322203797062</v>
      </c>
      <c r="AG121" s="72"/>
      <c r="AH121" s="72"/>
      <c r="AI121" s="73" t="n">
        <v>44.7324429624783</v>
      </c>
      <c r="AJ121" s="42" t="s">
        <v>16</v>
      </c>
      <c r="AK121" s="43" t="n">
        <v>773.50750788662</v>
      </c>
      <c r="AL121" s="43" t="n">
        <v>790.902580608691</v>
      </c>
      <c r="AM121" s="43" t="n">
        <v>714.490043719775</v>
      </c>
      <c r="AN121" s="74"/>
      <c r="AO121" s="75" t="n">
        <v>36.85</v>
      </c>
      <c r="AP121" s="76" t="n">
        <v>1.03993013452915</v>
      </c>
      <c r="AQ121" s="76" t="n">
        <v>1.21370349775785</v>
      </c>
      <c r="AR121" s="76" t="n">
        <v>1.72310930493274</v>
      </c>
      <c r="AS121" s="77" t="n">
        <v>30.3389520179372</v>
      </c>
      <c r="AT121" s="78" t="n">
        <v>31.3579527712719</v>
      </c>
      <c r="AU121" s="78" t="n">
        <v>28.2206278026906</v>
      </c>
      <c r="AV121" s="78" t="n">
        <v>32.9363228699552</v>
      </c>
      <c r="AW121" s="78" t="n">
        <v>46.7600896860987</v>
      </c>
      <c r="AX121" s="78" t="n">
        <v>30.9596412556054</v>
      </c>
      <c r="AY121" s="48" t="n">
        <v>1.19674687618433</v>
      </c>
      <c r="AZ121" s="48" t="n">
        <v>20.4738136650744</v>
      </c>
      <c r="BA121" s="48" t="n">
        <v>5.72884739492556</v>
      </c>
      <c r="BB121" s="49" t="n">
        <f aca="false">AT121/V121</f>
        <v>1.19674687618433</v>
      </c>
      <c r="BC121" s="49" t="n">
        <f aca="false">AS121/V121</f>
        <v>1.15785766752719</v>
      </c>
      <c r="BD121" s="49" t="n">
        <f aca="false">SUM(AP121:AR121)/V121</f>
        <v>0.151768666858439</v>
      </c>
      <c r="BE121" s="50" t="n">
        <v>6.92</v>
      </c>
      <c r="BF121" s="51" t="n">
        <v>113.677667073761</v>
      </c>
      <c r="BG121" s="51" t="n">
        <v>602.70388165642</v>
      </c>
      <c r="BH121" s="51" t="n">
        <v>199.852151158298</v>
      </c>
      <c r="BI121" s="51" t="n">
        <v>161.662790246077</v>
      </c>
      <c r="BJ121" s="51" t="n">
        <v>8.53858670544295</v>
      </c>
      <c r="BK121" s="51" t="n">
        <v>12.2812730763744</v>
      </c>
      <c r="BL121" s="51" t="n">
        <v>9.98619277927865</v>
      </c>
      <c r="BM121" s="51"/>
      <c r="BN121" s="52" t="n">
        <f aca="false">(BG121*0.5-BH121*0.25+BI121*0.5)/SUM(BG121:BI121)*1000</f>
        <v>344.54865453371</v>
      </c>
      <c r="BO121" s="53" t="n">
        <v>2.757386</v>
      </c>
      <c r="BP121" s="54" t="s">
        <v>77</v>
      </c>
      <c r="BQ121" s="55" t="n">
        <v>412.98369070755</v>
      </c>
      <c r="BR121" s="56" t="n">
        <v>15.761135472534</v>
      </c>
      <c r="BS121" s="56" t="n">
        <v>21.2380976042768</v>
      </c>
      <c r="BT121" s="56" t="n">
        <v>13.1699825470079</v>
      </c>
      <c r="BU121" s="55"/>
      <c r="BV121" s="55"/>
      <c r="BW121" s="55"/>
      <c r="BX121" s="55"/>
      <c r="BY121" s="79" t="n">
        <v>0.365934065934066</v>
      </c>
      <c r="BZ121" s="80" t="n">
        <v>0.6420743</v>
      </c>
      <c r="CA121" s="81" t="n">
        <v>3.645</v>
      </c>
      <c r="CB121" s="81" t="n">
        <v>0.182</v>
      </c>
      <c r="CC121" s="82" t="n">
        <v>3.753368</v>
      </c>
      <c r="CD121" s="82" t="n">
        <v>5.890836</v>
      </c>
      <c r="CE121" s="83" t="n">
        <v>74.687652</v>
      </c>
      <c r="CF121" s="84" t="n">
        <v>38.14766</v>
      </c>
      <c r="CG121" s="80" t="n">
        <v>0.1445</v>
      </c>
      <c r="CH121" s="63" t="n">
        <v>107723.66344961</v>
      </c>
      <c r="CI121" s="63" t="n">
        <v>541.463253204436</v>
      </c>
      <c r="CJ121" s="64" t="n">
        <v>491320.091828653</v>
      </c>
      <c r="CK121" s="65" t="n">
        <v>0.110205803143355</v>
      </c>
    </row>
    <row r="122" customFormat="false" ht="15" hidden="false" customHeight="false" outlineLevel="0" collapsed="false">
      <c r="A122" s="7" t="s">
        <v>73</v>
      </c>
      <c r="B122" s="66" t="n">
        <v>120</v>
      </c>
      <c r="C122" s="8" t="s">
        <v>198</v>
      </c>
      <c r="D122" s="67" t="n">
        <v>41715</v>
      </c>
      <c r="E122" s="4" t="s">
        <v>75</v>
      </c>
      <c r="F122" s="7" t="n">
        <v>338</v>
      </c>
      <c r="G122" s="68" t="n">
        <v>1</v>
      </c>
      <c r="H122" s="68" t="n">
        <v>110</v>
      </c>
      <c r="I122" s="66" t="n">
        <v>1</v>
      </c>
      <c r="J122" s="69" t="n">
        <v>666.89880952381</v>
      </c>
      <c r="K122" s="31" t="n">
        <v>565.615579360671</v>
      </c>
      <c r="L122" s="31" t="n">
        <v>939.634075769448</v>
      </c>
      <c r="M122" s="31" t="n">
        <v>172.195461349099</v>
      </c>
      <c r="N122" s="31" t="n">
        <v>335.912152134911</v>
      </c>
      <c r="O122" s="32"/>
      <c r="P122" s="33" t="n">
        <v>70.7360592269219</v>
      </c>
      <c r="Q122" s="33" t="n">
        <v>11.1282368962545</v>
      </c>
      <c r="R122" s="31" t="n">
        <v>142.878548494611</v>
      </c>
      <c r="S122" s="34" t="s">
        <v>76</v>
      </c>
      <c r="T122" s="35" t="n">
        <v>21.3259817714286</v>
      </c>
      <c r="U122" s="35" t="n">
        <v>8.10877592857143</v>
      </c>
      <c r="V122" s="70" t="n">
        <v>29.4347577</v>
      </c>
      <c r="W122" s="35" t="n">
        <v>27.6423760305369</v>
      </c>
      <c r="X122" s="35" t="n">
        <v>5.19893958218299</v>
      </c>
      <c r="Y122" s="35" t="n">
        <v>8.83091086165507</v>
      </c>
      <c r="Z122" s="35"/>
      <c r="AA122" s="35" t="n">
        <v>1.77977698884432</v>
      </c>
      <c r="AB122" s="35" t="n">
        <v>0.294642629474689</v>
      </c>
      <c r="AC122" s="71" t="n">
        <v>4.74558863398418</v>
      </c>
      <c r="AD122" s="38" t="n">
        <v>7.18567254899902</v>
      </c>
      <c r="AE122" s="38" t="n">
        <v>6.34135527574815</v>
      </c>
      <c r="AF122" s="38" t="n">
        <v>1.52890111686304</v>
      </c>
      <c r="AG122" s="72"/>
      <c r="AH122" s="72"/>
      <c r="AI122" s="73" t="n">
        <v>41.0041826238983</v>
      </c>
      <c r="AJ122" s="42" t="s">
        <v>16</v>
      </c>
      <c r="AK122" s="43" t="n">
        <v>755.877978604899</v>
      </c>
      <c r="AL122" s="43" t="n">
        <v>770.592974035851</v>
      </c>
      <c r="AM122" s="43" t="n">
        <v>705.920583862398</v>
      </c>
      <c r="AN122" s="74"/>
      <c r="AO122" s="75" t="n">
        <v>42.0785714285714</v>
      </c>
      <c r="AP122" s="76" t="n">
        <v>1.60710440336134</v>
      </c>
      <c r="AQ122" s="76" t="n">
        <v>1.33146500840336</v>
      </c>
      <c r="AR122" s="76" t="n">
        <v>1.95051505042017</v>
      </c>
      <c r="AS122" s="77" t="n">
        <v>40.9379946218487</v>
      </c>
      <c r="AT122" s="78" t="n">
        <v>40.4159545269496</v>
      </c>
      <c r="AU122" s="78" t="n">
        <v>38.1929411764706</v>
      </c>
      <c r="AV122" s="78" t="n">
        <v>31.6423529411765</v>
      </c>
      <c r="AW122" s="78" t="n">
        <v>46.3541176470588</v>
      </c>
      <c r="AX122" s="78" t="n">
        <v>34.0941176470588</v>
      </c>
      <c r="AY122" s="48" t="n">
        <v>1.37306904099128</v>
      </c>
      <c r="AZ122" s="48" t="n">
        <v>27.2566382015231</v>
      </c>
      <c r="BA122" s="48" t="n">
        <v>2.17811949847686</v>
      </c>
      <c r="BB122" s="49" t="n">
        <f aca="false">AT122/V122</f>
        <v>1.37306904099128</v>
      </c>
      <c r="BC122" s="49" t="n">
        <f aca="false">AS122/V122</f>
        <v>1.39080453928278</v>
      </c>
      <c r="BD122" s="49" t="n">
        <f aca="false">SUM(AP122:AR122)/V122</f>
        <v>0.166099021843991</v>
      </c>
      <c r="BE122" s="50" t="n">
        <v>6.75</v>
      </c>
      <c r="BF122" s="51" t="n">
        <v>159.116724117686</v>
      </c>
      <c r="BG122" s="51" t="n">
        <v>587.094236123451</v>
      </c>
      <c r="BH122" s="51" t="n">
        <v>238.630505062559</v>
      </c>
      <c r="BI122" s="51" t="n">
        <v>135.748930307327</v>
      </c>
      <c r="BJ122" s="51" t="n">
        <v>8.7681139292311</v>
      </c>
      <c r="BK122" s="51" t="n">
        <v>12.7300224483219</v>
      </c>
      <c r="BL122" s="51" t="n">
        <v>12.053067751001</v>
      </c>
      <c r="BM122" s="51"/>
      <c r="BN122" s="52" t="n">
        <f aca="false">(BG122*0.5-BH122*0.25+BI122*0.5)/SUM(BG122:BI122)*1000</f>
        <v>313.855663339233</v>
      </c>
      <c r="BO122" s="53" t="n">
        <v>6.5652012</v>
      </c>
      <c r="BP122" s="54" t="s">
        <v>77</v>
      </c>
      <c r="BQ122" s="55" t="n">
        <v>559.37240647811</v>
      </c>
      <c r="BR122" s="56" t="n">
        <v>19.0038053711619</v>
      </c>
      <c r="BS122" s="56" t="n">
        <v>26.2603568588306</v>
      </c>
      <c r="BT122" s="56" t="n">
        <v>13.8403858828849</v>
      </c>
      <c r="BU122" s="55"/>
      <c r="BV122" s="55"/>
      <c r="BW122" s="55"/>
      <c r="BX122" s="55"/>
      <c r="BY122" s="79" t="n">
        <v>0.108791208791209</v>
      </c>
      <c r="BZ122" s="80" t="n">
        <v>0.4632992</v>
      </c>
      <c r="CA122" s="81" t="n">
        <v>3.68</v>
      </c>
      <c r="CB122" s="81" t="n">
        <v>0.841</v>
      </c>
      <c r="CC122" s="82" t="n">
        <v>6.155392</v>
      </c>
      <c r="CD122" s="82" t="n">
        <v>6.345344</v>
      </c>
      <c r="CE122" s="83" t="n">
        <v>98.930272</v>
      </c>
      <c r="CF122" s="84" t="n">
        <v>37.68214</v>
      </c>
      <c r="CG122" s="80" t="n">
        <v>0.1025</v>
      </c>
      <c r="CH122" s="63" t="n">
        <v>77546.5695452644</v>
      </c>
      <c r="CI122" s="63" t="n">
        <v>2983.47492033245</v>
      </c>
      <c r="CJ122" s="64" t="n">
        <v>579671.959907528</v>
      </c>
      <c r="CK122" s="65" t="n">
        <v>0.514683325515415</v>
      </c>
    </row>
    <row r="123" customFormat="false" ht="15" hidden="false" customHeight="false" outlineLevel="0" collapsed="false">
      <c r="A123" s="7" t="s">
        <v>73</v>
      </c>
      <c r="B123" s="66" t="n">
        <v>121</v>
      </c>
      <c r="C123" s="8" t="s">
        <v>199</v>
      </c>
      <c r="D123" s="67" t="n">
        <v>41715</v>
      </c>
      <c r="E123" s="4" t="s">
        <v>75</v>
      </c>
      <c r="F123" s="7" t="n">
        <v>295</v>
      </c>
      <c r="G123" s="68" t="n">
        <v>1</v>
      </c>
      <c r="H123" s="68" t="n">
        <v>109</v>
      </c>
      <c r="I123" s="66" t="n">
        <v>2</v>
      </c>
      <c r="J123" s="69" t="n">
        <v>567.27380952381</v>
      </c>
      <c r="K123" s="31" t="n">
        <v>565.615579360671</v>
      </c>
      <c r="L123" s="31" t="n">
        <v>939.634075769448</v>
      </c>
      <c r="M123" s="31" t="n">
        <v>172.195461349099</v>
      </c>
      <c r="N123" s="31" t="n">
        <v>335.912152134911</v>
      </c>
      <c r="O123" s="32"/>
      <c r="P123" s="33" t="n">
        <v>70.7360592269219</v>
      </c>
      <c r="Q123" s="33" t="n">
        <v>11.1282368962545</v>
      </c>
      <c r="R123" s="31" t="n">
        <v>142.878548494611</v>
      </c>
      <c r="S123" s="34" t="s">
        <v>76</v>
      </c>
      <c r="T123" s="35" t="n">
        <v>13.1737354528571</v>
      </c>
      <c r="U123" s="35" t="n">
        <v>5.63982585714286</v>
      </c>
      <c r="V123" s="70" t="n">
        <v>18.81356131</v>
      </c>
      <c r="W123" s="35" t="n">
        <v>17.6670651062</v>
      </c>
      <c r="X123" s="35" t="n">
        <v>3.33031133343223</v>
      </c>
      <c r="Y123" s="35" t="n">
        <v>5.58482868858554</v>
      </c>
      <c r="Z123" s="35"/>
      <c r="AA123" s="35" t="n">
        <v>1.12052597233747</v>
      </c>
      <c r="AB123" s="35" t="n">
        <v>0.186469153583805</v>
      </c>
      <c r="AC123" s="71" t="n">
        <v>3.06363105499829</v>
      </c>
      <c r="AD123" s="38" t="n">
        <v>3.85250998131555</v>
      </c>
      <c r="AE123" s="38" t="n">
        <v>3.32982202669844</v>
      </c>
      <c r="AF123" s="38" t="n">
        <v>0.756514564994113</v>
      </c>
      <c r="AG123" s="72"/>
      <c r="AH123" s="72"/>
      <c r="AI123" s="73" t="n">
        <v>48.4019910365371</v>
      </c>
      <c r="AJ123" s="42" t="s">
        <v>16</v>
      </c>
      <c r="AK123" s="43" t="n">
        <v>795.226968576767</v>
      </c>
      <c r="AL123" s="43" t="n">
        <v>811.52375866154</v>
      </c>
      <c r="AM123" s="43" t="n">
        <v>772.839686968712</v>
      </c>
      <c r="AN123" s="74"/>
      <c r="AO123" s="75" t="n">
        <v>38.6428571428572</v>
      </c>
      <c r="AP123" s="76" t="n">
        <v>1.57276428571429</v>
      </c>
      <c r="AQ123" s="76" t="n">
        <v>1.22884285714286</v>
      </c>
      <c r="AR123" s="76" t="n">
        <v>1.78143571428571</v>
      </c>
      <c r="AS123" s="77" t="n">
        <v>39.0486071428572</v>
      </c>
      <c r="AT123" s="78" t="n">
        <v>38.2929054595087</v>
      </c>
      <c r="AU123" s="78" t="n">
        <v>40.7</v>
      </c>
      <c r="AV123" s="78" t="n">
        <v>31.8</v>
      </c>
      <c r="AW123" s="78" t="n">
        <v>46.1</v>
      </c>
      <c r="AX123" s="78" t="n">
        <v>29</v>
      </c>
      <c r="AY123" s="48" t="n">
        <v>2.03538845349576</v>
      </c>
      <c r="AZ123" s="48" t="n">
        <v>25.136900433286</v>
      </c>
      <c r="BA123" s="48" t="n">
        <v>-6.32333912328596</v>
      </c>
      <c r="BB123" s="49" t="n">
        <f aca="false">AT123/V123</f>
        <v>2.03538845349576</v>
      </c>
      <c r="BC123" s="49" t="n">
        <f aca="false">AS123/V123</f>
        <v>2.07555637656447</v>
      </c>
      <c r="BD123" s="49" t="n">
        <f aca="false">SUM(AP123:AR123)/V123</f>
        <v>0.243603153152446</v>
      </c>
      <c r="BE123" s="50" t="n">
        <v>7.09</v>
      </c>
      <c r="BF123" s="51" t="n">
        <v>104.096830112323</v>
      </c>
      <c r="BG123" s="51" t="n">
        <v>611.9255843598</v>
      </c>
      <c r="BH123" s="51" t="n">
        <v>231.862741279936</v>
      </c>
      <c r="BI123" s="51" t="n">
        <v>119.409121146542</v>
      </c>
      <c r="BJ123" s="51" t="n">
        <v>8.91165339835181</v>
      </c>
      <c r="BK123" s="51" t="n">
        <v>11.5232283260108</v>
      </c>
      <c r="BL123" s="51" t="n">
        <v>11.3925471112499</v>
      </c>
      <c r="BM123" s="51"/>
      <c r="BN123" s="52" t="n">
        <f aca="false">(BG123*0.5-BH123*0.25+BI123*0.5)/SUM(BG123:BI123)*1000</f>
        <v>319.458558014079</v>
      </c>
      <c r="BO123" s="53" t="n">
        <v>3.13453942</v>
      </c>
      <c r="BP123" s="54" t="s">
        <v>77</v>
      </c>
      <c r="BQ123" s="55" t="n">
        <v>470.903845229923</v>
      </c>
      <c r="BR123" s="56" t="n">
        <v>25.0300215610759</v>
      </c>
      <c r="BS123" s="56" t="n">
        <v>32.8447974703859</v>
      </c>
      <c r="BT123" s="56" t="n">
        <v>12.2974174871077</v>
      </c>
      <c r="BU123" s="55"/>
      <c r="BV123" s="55"/>
      <c r="BW123" s="55"/>
      <c r="BX123" s="55"/>
      <c r="BY123" s="79" t="n">
        <v>0.089010989010989</v>
      </c>
      <c r="BZ123" s="80" t="n">
        <v>0.3942485</v>
      </c>
      <c r="CA123" s="81" t="n">
        <v>3.59</v>
      </c>
      <c r="CB123" s="81" t="n">
        <v>0.614</v>
      </c>
      <c r="CC123" s="82" t="n">
        <v>5.312976</v>
      </c>
      <c r="CD123" s="82" t="n">
        <v>6.922692</v>
      </c>
      <c r="CE123" s="83" t="n">
        <v>85.458788</v>
      </c>
      <c r="CF123" s="84" t="n">
        <v>38.50186</v>
      </c>
      <c r="CG123" s="80" t="n">
        <v>0.071</v>
      </c>
      <c r="CH123" s="63" t="n">
        <v>115213.305718392</v>
      </c>
      <c r="CI123" s="63" t="n">
        <v>4883.49645272986</v>
      </c>
      <c r="CJ123" s="64" t="n">
        <v>360982.586917027</v>
      </c>
      <c r="CK123" s="65" t="n">
        <v>1.35283435537358</v>
      </c>
    </row>
    <row r="124" customFormat="false" ht="15" hidden="false" customHeight="false" outlineLevel="0" collapsed="false">
      <c r="A124" s="7" t="s">
        <v>73</v>
      </c>
      <c r="B124" s="66" t="n">
        <v>122</v>
      </c>
      <c r="C124" s="8" t="s">
        <v>200</v>
      </c>
      <c r="D124" s="67" t="n">
        <v>41715</v>
      </c>
      <c r="E124" s="4" t="s">
        <v>75</v>
      </c>
      <c r="F124" s="7" t="n">
        <v>427</v>
      </c>
      <c r="G124" s="68" t="n">
        <v>1</v>
      </c>
      <c r="H124" s="68" t="n">
        <v>111</v>
      </c>
      <c r="I124" s="66" t="n">
        <v>5</v>
      </c>
      <c r="J124" s="69" t="n">
        <v>618.442857142857</v>
      </c>
      <c r="K124" s="31" t="n">
        <v>565.615579360671</v>
      </c>
      <c r="L124" s="31" t="n">
        <v>939.634075769448</v>
      </c>
      <c r="M124" s="31" t="n">
        <v>172.195461349099</v>
      </c>
      <c r="N124" s="31" t="n">
        <v>335.912152134911</v>
      </c>
      <c r="O124" s="32"/>
      <c r="P124" s="33" t="n">
        <v>70.7360592269219</v>
      </c>
      <c r="Q124" s="33" t="n">
        <v>11.1282368962545</v>
      </c>
      <c r="R124" s="31" t="n">
        <v>142.878548494611</v>
      </c>
      <c r="S124" s="34" t="s">
        <v>76</v>
      </c>
      <c r="T124" s="35" t="n">
        <v>14.01858014</v>
      </c>
      <c r="U124" s="35" t="n">
        <v>4.760578</v>
      </c>
      <c r="V124" s="70" t="n">
        <v>18.77915814</v>
      </c>
      <c r="W124" s="35" t="n">
        <v>17.6364221508433</v>
      </c>
      <c r="X124" s="35" t="n">
        <v>3.3102469214444</v>
      </c>
      <c r="Y124" s="35" t="n">
        <v>5.68783915681424</v>
      </c>
      <c r="Z124" s="35"/>
      <c r="AA124" s="35" t="n">
        <v>1.15087367298817</v>
      </c>
      <c r="AB124" s="35" t="n">
        <v>0.189655261373651</v>
      </c>
      <c r="AC124" s="71" t="n">
        <v>3.00016323508081</v>
      </c>
      <c r="AD124" s="38" t="n">
        <v>4.3003425291856</v>
      </c>
      <c r="AE124" s="38" t="n">
        <v>3.77207815024263</v>
      </c>
      <c r="AF124" s="38" t="n">
        <v>0.742501693452072</v>
      </c>
      <c r="AG124" s="72"/>
      <c r="AH124" s="72"/>
      <c r="AI124" s="73" t="n">
        <v>44.1023616343344</v>
      </c>
      <c r="AJ124" s="42" t="s">
        <v>16</v>
      </c>
      <c r="AK124" s="43" t="n">
        <v>771.004509513886</v>
      </c>
      <c r="AL124" s="43" t="n">
        <v>786.119989758678</v>
      </c>
      <c r="AM124" s="43" t="n">
        <v>775.695979462436</v>
      </c>
      <c r="AN124" s="74"/>
      <c r="AO124" s="75" t="n">
        <v>38.2571428571429</v>
      </c>
      <c r="AP124" s="76" t="n">
        <v>1.94127357555739</v>
      </c>
      <c r="AQ124" s="76" t="n">
        <v>1.18650216350124</v>
      </c>
      <c r="AR124" s="76" t="n">
        <v>1.75295113129645</v>
      </c>
      <c r="AS124" s="77" t="n">
        <v>44.421960776218</v>
      </c>
      <c r="AT124" s="78" t="n">
        <v>42.3088741622179</v>
      </c>
      <c r="AU124" s="78" t="n">
        <v>50.742774566474</v>
      </c>
      <c r="AV124" s="78" t="n">
        <v>31.0138728323699</v>
      </c>
      <c r="AW124" s="78" t="n">
        <v>45.8202312138728</v>
      </c>
      <c r="AX124" s="78" t="n">
        <v>18.6994219653179</v>
      </c>
      <c r="AY124" s="48" t="n">
        <v>2.2529696936786</v>
      </c>
      <c r="AZ124" s="48" t="n">
        <v>27.858152293404</v>
      </c>
      <c r="BA124" s="48" t="n">
        <v>-9.07899415340395</v>
      </c>
      <c r="BB124" s="49" t="n">
        <f aca="false">AT124/V124</f>
        <v>2.2529696936786</v>
      </c>
      <c r="BC124" s="49" t="n">
        <f aca="false">AS124/V124</f>
        <v>2.36549266186743</v>
      </c>
      <c r="BD124" s="49" t="n">
        <f aca="false">SUM(AP124:AR124)/V124</f>
        <v>0.259901260427592</v>
      </c>
      <c r="BE124" s="50" t="n">
        <v>6.82</v>
      </c>
      <c r="BF124" s="51" t="n">
        <v>116.280420057368</v>
      </c>
      <c r="BG124" s="51" t="n">
        <v>619.341771437399</v>
      </c>
      <c r="BH124" s="51" t="n">
        <v>227.843687645204</v>
      </c>
      <c r="BI124" s="51" t="n">
        <v>114.779649115607</v>
      </c>
      <c r="BJ124" s="51" t="n">
        <v>9.31467144344678</v>
      </c>
      <c r="BK124" s="51" t="n">
        <v>12.9459227515949</v>
      </c>
      <c r="BL124" s="51" t="n">
        <v>10.799173228639</v>
      </c>
      <c r="BM124" s="51"/>
      <c r="BN124" s="52" t="n">
        <f aca="false">(BG124*0.5-BH124*0.25+BI124*0.5)/SUM(BG124:BI124)*1000</f>
        <v>322.360744399585</v>
      </c>
      <c r="BO124" s="53" t="n">
        <v>5.28212612</v>
      </c>
      <c r="BP124" s="54" t="s">
        <v>77</v>
      </c>
      <c r="BQ124" s="55" t="n">
        <v>434.012817470265</v>
      </c>
      <c r="BR124" s="56" t="n">
        <v>23.1114096933775</v>
      </c>
      <c r="BS124" s="56" t="n">
        <v>31.3042447195094</v>
      </c>
      <c r="BT124" s="56" t="n">
        <v>10.2581982164357</v>
      </c>
      <c r="BU124" s="55"/>
      <c r="BV124" s="55"/>
      <c r="BW124" s="55"/>
      <c r="BX124" s="55"/>
      <c r="BY124" s="79" t="n">
        <v>0.257142857142857</v>
      </c>
      <c r="BZ124" s="80" t="n">
        <v>0.4150583</v>
      </c>
      <c r="CA124" s="81" t="n">
        <v>4.34</v>
      </c>
      <c r="CB124" s="81" t="n">
        <v>0.615</v>
      </c>
      <c r="CC124" s="82" t="n">
        <v>3.935512</v>
      </c>
      <c r="CD124" s="82" t="n">
        <v>4.55188</v>
      </c>
      <c r="CE124" s="83" t="n">
        <v>78.567984</v>
      </c>
      <c r="CF124" s="84" t="n">
        <v>37.16602</v>
      </c>
      <c r="CG124" s="80" t="n">
        <v>0.155</v>
      </c>
      <c r="CH124" s="63" t="n">
        <v>78570.0103520421</v>
      </c>
      <c r="CI124" s="63" t="n">
        <v>3255.49946295935</v>
      </c>
      <c r="CJ124" s="64" t="n">
        <v>358356.046719552</v>
      </c>
      <c r="CK124" s="65" t="n">
        <v>0.908453894600272</v>
      </c>
    </row>
    <row r="125" customFormat="false" ht="15" hidden="false" customHeight="false" outlineLevel="0" collapsed="false">
      <c r="A125" s="7" t="s">
        <v>73</v>
      </c>
      <c r="B125" s="66" t="n">
        <v>123</v>
      </c>
      <c r="C125" s="8" t="s">
        <v>201</v>
      </c>
      <c r="D125" s="67" t="n">
        <v>41715</v>
      </c>
      <c r="E125" s="4" t="s">
        <v>75</v>
      </c>
      <c r="F125" s="7" t="n">
        <v>509</v>
      </c>
      <c r="G125" s="68" t="n">
        <v>1</v>
      </c>
      <c r="H125" s="68" t="n">
        <v>107</v>
      </c>
      <c r="I125" s="66" t="n">
        <v>6</v>
      </c>
      <c r="J125" s="69" t="n">
        <v>669.255952380952</v>
      </c>
      <c r="K125" s="31" t="n">
        <v>565.615579360671</v>
      </c>
      <c r="L125" s="31" t="n">
        <v>939.634075769448</v>
      </c>
      <c r="M125" s="31" t="n">
        <v>172.195461349099</v>
      </c>
      <c r="N125" s="31" t="n">
        <v>335.912152134911</v>
      </c>
      <c r="O125" s="32"/>
      <c r="P125" s="33" t="n">
        <v>70.7360592269219</v>
      </c>
      <c r="Q125" s="33" t="n">
        <v>11.1282368962545</v>
      </c>
      <c r="R125" s="31" t="n">
        <v>142.878548494611</v>
      </c>
      <c r="S125" s="34" t="s">
        <v>76</v>
      </c>
      <c r="T125" s="35" t="n">
        <v>15.7029150457143</v>
      </c>
      <c r="U125" s="35" t="n">
        <v>6.17633271428571</v>
      </c>
      <c r="V125" s="70" t="n">
        <v>21.87924776</v>
      </c>
      <c r="W125" s="35" t="n">
        <v>20.54666134741</v>
      </c>
      <c r="X125" s="35" t="n">
        <v>3.86683689908439</v>
      </c>
      <c r="Y125" s="35" t="n">
        <v>6.54472261977376</v>
      </c>
      <c r="Z125" s="35"/>
      <c r="AA125" s="35" t="n">
        <v>1.31737781448159</v>
      </c>
      <c r="AB125" s="35" t="n">
        <v>0.218407104007737</v>
      </c>
      <c r="AC125" s="71" t="n">
        <v>3.53737984771109</v>
      </c>
      <c r="AD125" s="38" t="n">
        <v>5.10029149375475</v>
      </c>
      <c r="AE125" s="38" t="n">
        <v>4.47980968627021</v>
      </c>
      <c r="AF125" s="38" t="n">
        <v>0.85552849278263</v>
      </c>
      <c r="AG125" s="72"/>
      <c r="AH125" s="72"/>
      <c r="AI125" s="73" t="n">
        <v>42.8224748085818</v>
      </c>
      <c r="AJ125" s="42" t="s">
        <v>16</v>
      </c>
      <c r="AK125" s="43" t="n">
        <v>766.889083678682</v>
      </c>
      <c r="AL125" s="43" t="n">
        <v>781.968972451336</v>
      </c>
      <c r="AM125" s="43" t="n">
        <v>778.75237174208</v>
      </c>
      <c r="AN125" s="74"/>
      <c r="AO125" s="75" t="n">
        <v>47.2214285714286</v>
      </c>
      <c r="AP125" s="76" t="n">
        <v>1.36415809630819</v>
      </c>
      <c r="AQ125" s="76" t="n">
        <v>1.27824693097913</v>
      </c>
      <c r="AR125" s="76" t="n">
        <v>2.19515973515249</v>
      </c>
      <c r="AS125" s="77" t="n">
        <v>39.3509428731942</v>
      </c>
      <c r="AT125" s="78" t="n">
        <v>38.365049811831</v>
      </c>
      <c r="AU125" s="78" t="n">
        <v>28.8885393258427</v>
      </c>
      <c r="AV125" s="78" t="n">
        <v>27.0692134831461</v>
      </c>
      <c r="AW125" s="78" t="n">
        <v>46.4865168539326</v>
      </c>
      <c r="AX125" s="78" t="n">
        <v>25.1056179775281</v>
      </c>
      <c r="AY125" s="48" t="n">
        <v>1.75349034997312</v>
      </c>
      <c r="AZ125" s="48" t="n">
        <v>26.656585157748</v>
      </c>
      <c r="BA125" s="48" t="n">
        <v>-4.77733739774802</v>
      </c>
      <c r="BB125" s="49" t="n">
        <f aca="false">AT125/V125</f>
        <v>1.75349034997312</v>
      </c>
      <c r="BC125" s="49" t="n">
        <f aca="false">AS125/V125</f>
        <v>1.79855099703822</v>
      </c>
      <c r="BD125" s="49" t="n">
        <f aca="false">SUM(AP125:AR125)/V125</f>
        <v>0.221102883220872</v>
      </c>
      <c r="BE125" s="50" t="n">
        <v>6.96</v>
      </c>
      <c r="BF125" s="51" t="n">
        <v>112.661929377644</v>
      </c>
      <c r="BG125" s="51" t="n">
        <v>579.771606746703</v>
      </c>
      <c r="BH125" s="51" t="n">
        <v>247.66687371929</v>
      </c>
      <c r="BI125" s="51" t="n">
        <v>129.481618257949</v>
      </c>
      <c r="BJ125" s="51" t="n">
        <v>10.3921378389229</v>
      </c>
      <c r="BK125" s="51" t="n">
        <v>13.9320779864618</v>
      </c>
      <c r="BL125" s="51" t="n">
        <v>13.7805610725642</v>
      </c>
      <c r="BM125" s="51"/>
      <c r="BN125" s="52" t="n">
        <f aca="false">(BG125*0.5-BH125*0.25+BI125*0.5)/SUM(BG125:BI125)*1000</f>
        <v>305.887497255867</v>
      </c>
      <c r="BO125" s="53" t="n">
        <v>8.36850606</v>
      </c>
      <c r="BP125" s="54" t="s">
        <v>77</v>
      </c>
      <c r="BQ125" s="55" t="n">
        <v>433.593748338132</v>
      </c>
      <c r="BR125" s="56" t="n">
        <v>19.817580252043</v>
      </c>
      <c r="BS125" s="56" t="n">
        <v>26.9868520281947</v>
      </c>
      <c r="BT125" s="56" t="n">
        <v>11.3017903134436</v>
      </c>
      <c r="BU125" s="55"/>
      <c r="BV125" s="55"/>
      <c r="BW125" s="55"/>
      <c r="BX125" s="55"/>
      <c r="BY125" s="79" t="n">
        <v>0.0692307692307692</v>
      </c>
      <c r="BZ125" s="80" t="n">
        <v>0.4216796</v>
      </c>
      <c r="CA125" s="81" t="n">
        <v>3.82</v>
      </c>
      <c r="CB125" s="81" t="n">
        <v>0.03</v>
      </c>
      <c r="CC125" s="82" t="n">
        <v>4.618552</v>
      </c>
      <c r="CD125" s="82" t="n">
        <v>3.9991</v>
      </c>
      <c r="CE125" s="83" t="n">
        <v>75.444052</v>
      </c>
      <c r="CF125" s="84" t="n">
        <v>36.36654</v>
      </c>
      <c r="CG125" s="80" t="n">
        <v>0.1445</v>
      </c>
      <c r="CH125" s="63" t="n">
        <v>20931.2769672873</v>
      </c>
      <c r="CI125" s="63" t="n">
        <v>677.743625896086</v>
      </c>
      <c r="CJ125" s="64" t="n">
        <v>155512.285845552</v>
      </c>
      <c r="CK125" s="65" t="n">
        <v>0.435813557887761</v>
      </c>
    </row>
    <row r="126" customFormat="false" ht="15" hidden="false" customHeight="false" outlineLevel="0" collapsed="false">
      <c r="A126" s="7" t="s">
        <v>73</v>
      </c>
      <c r="B126" s="66" t="n">
        <v>124</v>
      </c>
      <c r="C126" s="8" t="s">
        <v>202</v>
      </c>
      <c r="D126" s="67" t="n">
        <v>41722</v>
      </c>
      <c r="E126" s="4" t="s">
        <v>75</v>
      </c>
      <c r="F126" s="7" t="n">
        <v>168</v>
      </c>
      <c r="G126" s="68" t="n">
        <v>1</v>
      </c>
      <c r="H126" s="68" t="n">
        <v>92</v>
      </c>
      <c r="I126" s="66" t="n">
        <v>1</v>
      </c>
      <c r="J126" s="69" t="n">
        <v>559.357142857143</v>
      </c>
      <c r="K126" s="31" t="n">
        <v>561.877878540377</v>
      </c>
      <c r="L126" s="31" t="n">
        <v>938.480821835986</v>
      </c>
      <c r="M126" s="31" t="n">
        <v>170.297665251475</v>
      </c>
      <c r="N126" s="31" t="n">
        <v>344.318643487719</v>
      </c>
      <c r="O126" s="32"/>
      <c r="P126" s="33" t="n">
        <v>69.371688886037</v>
      </c>
      <c r="Q126" s="33" t="n">
        <v>10.9808633291955</v>
      </c>
      <c r="R126" s="31" t="n">
        <v>131.81940149838</v>
      </c>
      <c r="S126" s="34" t="s">
        <v>76</v>
      </c>
      <c r="T126" s="35" t="n">
        <v>15.8189708028571</v>
      </c>
      <c r="U126" s="35" t="n">
        <v>6.02852335714286</v>
      </c>
      <c r="V126" s="70" t="n">
        <v>21.84749416</v>
      </c>
      <c r="W126" s="35" t="n">
        <v>20.4988642929452</v>
      </c>
      <c r="X126" s="35" t="n">
        <v>3.8289707753721</v>
      </c>
      <c r="Y126" s="35" t="n">
        <v>6.68629795403304</v>
      </c>
      <c r="Z126" s="35"/>
      <c r="AA126" s="35" t="n">
        <v>1.29905957322775</v>
      </c>
      <c r="AB126" s="35" t="n">
        <v>0.216322417137421</v>
      </c>
      <c r="AC126" s="71" t="n">
        <v>3.34805544789225</v>
      </c>
      <c r="AD126" s="38" t="n">
        <v>5.5293381472326</v>
      </c>
      <c r="AE126" s="38" t="n">
        <v>4.850137447659</v>
      </c>
      <c r="AF126" s="38" t="n">
        <v>1.05863100656714</v>
      </c>
      <c r="AG126" s="72"/>
      <c r="AH126" s="72"/>
      <c r="AI126" s="73" t="n">
        <v>39.1226601407421</v>
      </c>
      <c r="AJ126" s="42" t="s">
        <v>16</v>
      </c>
      <c r="AK126" s="43" t="n">
        <v>746.912020813988</v>
      </c>
      <c r="AL126" s="43" t="n">
        <v>763.394821374167</v>
      </c>
      <c r="AM126" s="43" t="n">
        <v>723.520739991999</v>
      </c>
      <c r="AN126" s="74"/>
      <c r="AO126" s="75" t="n">
        <v>38.9428571428571</v>
      </c>
      <c r="AP126" s="76" t="n">
        <v>1.41994205574913</v>
      </c>
      <c r="AQ126" s="76" t="n">
        <v>1.19249044134727</v>
      </c>
      <c r="AR126" s="76" t="n">
        <v>1.8242037398374</v>
      </c>
      <c r="AS126" s="77" t="n">
        <v>36.8762736933798</v>
      </c>
      <c r="AT126" s="78" t="n">
        <v>36.3759542724724</v>
      </c>
      <c r="AU126" s="78" t="n">
        <v>36.4621951219512</v>
      </c>
      <c r="AV126" s="78" t="n">
        <v>30.6215447154471</v>
      </c>
      <c r="AW126" s="78" t="n">
        <v>46.8430894308943</v>
      </c>
      <c r="AX126" s="78" t="n">
        <v>36.739837398374</v>
      </c>
      <c r="AY126" s="48" t="n">
        <v>1.66499434699803</v>
      </c>
      <c r="AZ126" s="48" t="n">
        <v>23.8667704937484</v>
      </c>
      <c r="BA126" s="48" t="n">
        <v>-2.01927633374843</v>
      </c>
      <c r="BB126" s="49" t="n">
        <f aca="false">AT126/V126</f>
        <v>1.66499434699803</v>
      </c>
      <c r="BC126" s="49" t="n">
        <f aca="false">AS126/V126</f>
        <v>1.68789488731827</v>
      </c>
      <c r="BD126" s="49" t="n">
        <f aca="false">SUM(AP126:AR126)/V126</f>
        <v>0.20307300253485</v>
      </c>
      <c r="BE126" s="50" t="n">
        <v>7.33</v>
      </c>
      <c r="BF126" s="51" t="n">
        <v>80.7580593585921</v>
      </c>
      <c r="BG126" s="51" t="n">
        <v>593.194832113898</v>
      </c>
      <c r="BH126" s="51" t="n">
        <v>264.77365879913</v>
      </c>
      <c r="BI126" s="51" t="n">
        <v>104.49479482347</v>
      </c>
      <c r="BJ126" s="51" t="n">
        <v>9.63823907632954</v>
      </c>
      <c r="BK126" s="51" t="n">
        <v>12.7766338365818</v>
      </c>
      <c r="BL126" s="51" t="n">
        <v>10.1467169724811</v>
      </c>
      <c r="BM126" s="51"/>
      <c r="BN126" s="52" t="n">
        <f aca="false">(BG126*0.5-BH126*0.25+BI126*0.5)/SUM(BG126:BI126)*1000</f>
        <v>293.67499307011</v>
      </c>
      <c r="BO126" s="53" t="n">
        <v>2.39480462</v>
      </c>
      <c r="BP126" s="54" t="s">
        <v>77</v>
      </c>
      <c r="BQ126" s="55" t="n">
        <v>394.149748400497</v>
      </c>
      <c r="BR126" s="56" t="n">
        <v>18.0409590918731</v>
      </c>
      <c r="BS126" s="56" t="n">
        <v>25.1873364713517</v>
      </c>
      <c r="BT126" s="56" t="n">
        <v>10.8354476544625</v>
      </c>
      <c r="BU126" s="55"/>
      <c r="BV126" s="55"/>
      <c r="BW126" s="55"/>
      <c r="BX126" s="55"/>
      <c r="BY126" s="79" t="n">
        <v>0.346153846153846</v>
      </c>
      <c r="BZ126" s="80" t="n">
        <v>0.4122206</v>
      </c>
      <c r="CA126" s="81" t="n">
        <v>3.41</v>
      </c>
      <c r="CB126" s="81" t="n">
        <v>0.277</v>
      </c>
      <c r="CC126" s="82" t="n">
        <v>4.69824</v>
      </c>
      <c r="CD126" s="82" t="n">
        <v>6.044386</v>
      </c>
      <c r="CE126" s="83" t="n">
        <v>81.691916</v>
      </c>
      <c r="CF126" s="84" t="n">
        <v>37.7125</v>
      </c>
      <c r="CG126" s="80" t="n">
        <v>0.197</v>
      </c>
      <c r="CH126" s="63" t="n">
        <v>31131.1273171374</v>
      </c>
      <c r="CI126" s="63" t="n">
        <v>1175.80035551792</v>
      </c>
      <c r="CJ126" s="63" t="n">
        <v>202734.78565264</v>
      </c>
      <c r="CK126" s="85" t="n">
        <v>0.613362354738798</v>
      </c>
    </row>
    <row r="127" customFormat="false" ht="15" hidden="false" customHeight="false" outlineLevel="0" collapsed="false">
      <c r="A127" s="7" t="s">
        <v>73</v>
      </c>
      <c r="B127" s="66" t="n">
        <v>125</v>
      </c>
      <c r="C127" s="8" t="s">
        <v>203</v>
      </c>
      <c r="D127" s="67" t="n">
        <v>41722</v>
      </c>
      <c r="E127" s="4" t="s">
        <v>75</v>
      </c>
      <c r="F127" s="7" t="n">
        <v>291</v>
      </c>
      <c r="G127" s="68" t="n">
        <v>1</v>
      </c>
      <c r="H127" s="68" t="n">
        <v>83</v>
      </c>
      <c r="I127" s="66" t="n">
        <v>8</v>
      </c>
      <c r="J127" s="69" t="n">
        <v>680.285714285714</v>
      </c>
      <c r="K127" s="31" t="n">
        <v>561.877878540377</v>
      </c>
      <c r="L127" s="31" t="n">
        <v>938.480821835986</v>
      </c>
      <c r="M127" s="31" t="n">
        <v>170.297665251475</v>
      </c>
      <c r="N127" s="31" t="n">
        <v>344.318643487719</v>
      </c>
      <c r="O127" s="32"/>
      <c r="P127" s="33" t="n">
        <v>69.371688886037</v>
      </c>
      <c r="Q127" s="33" t="n">
        <v>10.9808633291955</v>
      </c>
      <c r="R127" s="31" t="n">
        <v>131.81940149838</v>
      </c>
      <c r="S127" s="34" t="s">
        <v>76</v>
      </c>
      <c r="T127" s="35" t="n">
        <v>20.65839291</v>
      </c>
      <c r="U127" s="35" t="n">
        <v>8.3851285</v>
      </c>
      <c r="V127" s="70" t="n">
        <v>29.04352141</v>
      </c>
      <c r="W127" s="35" t="n">
        <v>27.2504035946028</v>
      </c>
      <c r="X127" s="35" t="n">
        <v>5.09680944078173</v>
      </c>
      <c r="Y127" s="35" t="n">
        <v>8.83714541110196</v>
      </c>
      <c r="Z127" s="35"/>
      <c r="AA127" s="35" t="n">
        <v>1.71361344618664</v>
      </c>
      <c r="AB127" s="35" t="n">
        <v>0.286122615758051</v>
      </c>
      <c r="AC127" s="71" t="n">
        <v>4.47962848982846</v>
      </c>
      <c r="AD127" s="38" t="n">
        <v>6.69222998189051</v>
      </c>
      <c r="AE127" s="38" t="n">
        <v>5.87108562457839</v>
      </c>
      <c r="AF127" s="38" t="n">
        <v>1.37137038066826</v>
      </c>
      <c r="AG127" s="72"/>
      <c r="AH127" s="72"/>
      <c r="AI127" s="73" t="n">
        <v>42.7544505392541</v>
      </c>
      <c r="AJ127" s="42" t="s">
        <v>16</v>
      </c>
      <c r="AK127" s="43" t="n">
        <v>769.579250139196</v>
      </c>
      <c r="AL127" s="43" t="n">
        <v>784.550507510971</v>
      </c>
      <c r="AM127" s="43" t="n">
        <v>730.935520230491</v>
      </c>
      <c r="AN127" s="74"/>
      <c r="AO127" s="75" t="n">
        <v>45.3928571428572</v>
      </c>
      <c r="AP127" s="76" t="n">
        <v>1.9038719924812</v>
      </c>
      <c r="AQ127" s="76" t="n">
        <v>1.44588195488722</v>
      </c>
      <c r="AR127" s="76" t="n">
        <v>2.06728627819549</v>
      </c>
      <c r="AS127" s="77" t="n">
        <v>46.7152227443609</v>
      </c>
      <c r="AT127" s="78" t="n">
        <v>45.55451840908</v>
      </c>
      <c r="AU127" s="78" t="n">
        <v>41.9421052631579</v>
      </c>
      <c r="AV127" s="78" t="n">
        <v>31.8526315789474</v>
      </c>
      <c r="AW127" s="78" t="n">
        <v>45.5421052631579</v>
      </c>
      <c r="AX127" s="78" t="n">
        <v>30.1052631578947</v>
      </c>
      <c r="AY127" s="48" t="n">
        <v>1.56849156705203</v>
      </c>
      <c r="AZ127" s="48" t="n">
        <v>28.7364954418188</v>
      </c>
      <c r="BA127" s="48" t="n">
        <v>0.307025968181211</v>
      </c>
      <c r="BB127" s="49" t="n">
        <f aca="false">AT127/V127</f>
        <v>1.56849156705203</v>
      </c>
      <c r="BC127" s="49" t="n">
        <f aca="false">AS127/V127</f>
        <v>1.60845587850364</v>
      </c>
      <c r="BD127" s="49" t="n">
        <f aca="false">SUM(AP127:AR127)/V127</f>
        <v>0.186514580966025</v>
      </c>
      <c r="BE127" s="50" t="n">
        <v>7.17</v>
      </c>
      <c r="BF127" s="51" t="n">
        <v>104.72718688847</v>
      </c>
      <c r="BG127" s="51" t="n">
        <v>618.340581403744</v>
      </c>
      <c r="BH127" s="51" t="n">
        <v>202.219509497422</v>
      </c>
      <c r="BI127" s="51" t="n">
        <v>143.54748015122</v>
      </c>
      <c r="BJ127" s="51" t="n">
        <v>8.92820874719386</v>
      </c>
      <c r="BK127" s="51" t="n">
        <v>13.0792807243624</v>
      </c>
      <c r="BL127" s="51" t="n">
        <v>8.90981509794779</v>
      </c>
      <c r="BM127" s="51"/>
      <c r="BN127" s="52" t="n">
        <f aca="false">(BG127*0.5-BH127*0.25+BI127*0.5)/SUM(BG127:BI127)*1000</f>
        <v>342.689097485756</v>
      </c>
      <c r="BO127" s="53" t="n">
        <v>6.59896738</v>
      </c>
      <c r="BP127" s="54" t="s">
        <v>77</v>
      </c>
      <c r="BQ127" s="55" t="n">
        <v>444.651974804009</v>
      </c>
      <c r="BR127" s="56" t="n">
        <v>15.3098506385286</v>
      </c>
      <c r="BS127" s="56" t="n">
        <v>20.7982301132079</v>
      </c>
      <c r="BT127" s="56" t="n">
        <v>9.76087532769043</v>
      </c>
      <c r="BU127" s="55"/>
      <c r="BV127" s="55"/>
      <c r="BW127" s="55"/>
      <c r="BX127" s="55"/>
      <c r="BY127" s="79" t="n">
        <v>0.207692307692308</v>
      </c>
      <c r="BZ127" s="80" t="n">
        <v>0.9494918</v>
      </c>
      <c r="CA127" s="81" t="n">
        <v>3.62</v>
      </c>
      <c r="CB127" s="81" t="n">
        <v>0.553</v>
      </c>
      <c r="CC127" s="82" t="n">
        <v>5.768336</v>
      </c>
      <c r="CD127" s="82" t="n">
        <v>6.222504</v>
      </c>
      <c r="CE127" s="83" t="n">
        <v>79.536176</v>
      </c>
      <c r="CF127" s="84" t="n">
        <v>37.26722</v>
      </c>
      <c r="CG127" s="80" t="n">
        <v>0.1235</v>
      </c>
      <c r="CH127" s="63" t="n">
        <v>116100.435918746</v>
      </c>
      <c r="CI127" s="63" t="n">
        <v>1338.55616547154</v>
      </c>
      <c r="CJ127" s="64" t="n">
        <v>218754.116233047</v>
      </c>
      <c r="CK127" s="65" t="n">
        <v>0.611899875769894</v>
      </c>
    </row>
    <row r="128" customFormat="false" ht="15" hidden="false" customHeight="false" outlineLevel="0" collapsed="false">
      <c r="A128" s="7" t="s">
        <v>73</v>
      </c>
      <c r="B128" s="66" t="n">
        <v>126</v>
      </c>
      <c r="C128" s="8" t="s">
        <v>204</v>
      </c>
      <c r="D128" s="67" t="n">
        <v>41722</v>
      </c>
      <c r="E128" s="4" t="s">
        <v>75</v>
      </c>
      <c r="F128" s="7" t="n">
        <v>304</v>
      </c>
      <c r="G128" s="68" t="n">
        <v>1</v>
      </c>
      <c r="H128" s="68" t="n">
        <v>97</v>
      </c>
      <c r="I128" s="66" t="n">
        <v>2</v>
      </c>
      <c r="J128" s="69" t="n">
        <v>632.660714285715</v>
      </c>
      <c r="K128" s="31" t="n">
        <v>561.877878540377</v>
      </c>
      <c r="L128" s="31" t="n">
        <v>938.480821835986</v>
      </c>
      <c r="M128" s="31" t="n">
        <v>170.297665251475</v>
      </c>
      <c r="N128" s="31" t="n">
        <v>344.318643487719</v>
      </c>
      <c r="O128" s="32"/>
      <c r="P128" s="33" t="n">
        <v>69.371688886037</v>
      </c>
      <c r="Q128" s="33" t="n">
        <v>10.9808633291955</v>
      </c>
      <c r="R128" s="31" t="n">
        <v>131.81940149838</v>
      </c>
      <c r="S128" s="34" t="s">
        <v>76</v>
      </c>
      <c r="T128" s="35" t="n">
        <v>20.5317621857143</v>
      </c>
      <c r="U128" s="35" t="n">
        <v>6.89660421428572</v>
      </c>
      <c r="V128" s="70" t="n">
        <v>27.4283664</v>
      </c>
      <c r="W128" s="35" t="n">
        <v>25.7357449221634</v>
      </c>
      <c r="X128" s="35" t="n">
        <v>4.79498847940423</v>
      </c>
      <c r="Y128" s="35" t="n">
        <v>8.48748695959045</v>
      </c>
      <c r="Z128" s="35"/>
      <c r="AA128" s="35" t="n">
        <v>1.65503358683126</v>
      </c>
      <c r="AB128" s="35" t="n">
        <v>0.274209518181957</v>
      </c>
      <c r="AC128" s="71" t="n">
        <v>4.15113161358149</v>
      </c>
      <c r="AD128" s="38" t="n">
        <v>6.37346712147941</v>
      </c>
      <c r="AE128" s="38" t="n">
        <v>5.56905115751629</v>
      </c>
      <c r="AF128" s="38" t="n">
        <v>1.39804975659851</v>
      </c>
      <c r="AG128" s="72"/>
      <c r="AH128" s="72"/>
      <c r="AI128" s="73" t="n">
        <v>43.0236028452764</v>
      </c>
      <c r="AJ128" s="42" t="s">
        <v>16</v>
      </c>
      <c r="AK128" s="43" t="n">
        <v>767.632274247313</v>
      </c>
      <c r="AL128" s="43" t="n">
        <v>783.606374155493</v>
      </c>
      <c r="AM128" s="43" t="n">
        <v>708.435220938796</v>
      </c>
      <c r="AN128" s="74"/>
      <c r="AO128" s="75" t="n">
        <v>46.65</v>
      </c>
      <c r="AP128" s="76" t="n">
        <v>1.780485</v>
      </c>
      <c r="AQ128" s="76" t="n">
        <v>1.52085</v>
      </c>
      <c r="AR128" s="76" t="n">
        <v>2.061915</v>
      </c>
      <c r="AS128" s="77" t="n">
        <v>45.367275</v>
      </c>
      <c r="AT128" s="78" t="n">
        <v>44.6072849044586</v>
      </c>
      <c r="AU128" s="78" t="n">
        <v>38.1668810289389</v>
      </c>
      <c r="AV128" s="78" t="n">
        <v>32.6012861736334</v>
      </c>
      <c r="AW128" s="78" t="n">
        <v>44.1996784565916</v>
      </c>
      <c r="AX128" s="78" t="n">
        <v>37.2861736334405</v>
      </c>
      <c r="AY128" s="48" t="n">
        <v>1.62631941887938</v>
      </c>
      <c r="AZ128" s="48" t="n">
        <v>28.0825736216594</v>
      </c>
      <c r="BA128" s="48" t="n">
        <v>-0.654207221659437</v>
      </c>
      <c r="BB128" s="49" t="n">
        <f aca="false">AT128/V128</f>
        <v>1.62631941887938</v>
      </c>
      <c r="BC128" s="49" t="n">
        <f aca="false">AS128/V128</f>
        <v>1.6540275982313</v>
      </c>
      <c r="BD128" s="49" t="n">
        <f aca="false">SUM(AP128:AR128)/V128</f>
        <v>0.195536617886219</v>
      </c>
      <c r="BE128" s="50" t="n">
        <v>7.11</v>
      </c>
      <c r="BF128" s="51" t="n">
        <v>77.4008055986785</v>
      </c>
      <c r="BG128" s="51" t="n">
        <v>635.891073613122</v>
      </c>
      <c r="BH128" s="51" t="n">
        <v>204.328913910807</v>
      </c>
      <c r="BI128" s="51" t="n">
        <v>124.64717217055</v>
      </c>
      <c r="BJ128" s="51" t="n">
        <v>7.77463973541198</v>
      </c>
      <c r="BK128" s="51" t="n">
        <v>10.210720874576</v>
      </c>
      <c r="BL128" s="51" t="n">
        <v>12.1723553174238</v>
      </c>
      <c r="BM128" s="51"/>
      <c r="BN128" s="52" t="n">
        <f aca="false">(BG128*0.5-BH128*0.25+BI128*0.5)/SUM(BG128:BI128)*1000</f>
        <v>341.173280805173</v>
      </c>
      <c r="BO128" s="53" t="n">
        <v>4.3429651</v>
      </c>
      <c r="BP128" s="54" t="s">
        <v>77</v>
      </c>
      <c r="BQ128" s="55" t="n">
        <v>462.002529603269</v>
      </c>
      <c r="BR128" s="56" t="n">
        <v>16.843968133781</v>
      </c>
      <c r="BS128" s="56" t="n">
        <v>22.9091855608566</v>
      </c>
      <c r="BT128" s="56" t="n">
        <v>10.3571093957591</v>
      </c>
      <c r="BU128" s="55"/>
      <c r="BV128" s="55"/>
      <c r="BW128" s="55"/>
      <c r="BX128" s="55"/>
      <c r="BY128" s="79" t="n">
        <v>0.138461538461538</v>
      </c>
      <c r="BZ128" s="80" t="n">
        <v>0.5843744</v>
      </c>
      <c r="CA128" s="81" t="n">
        <v>3.3</v>
      </c>
      <c r="CB128" s="81" t="n">
        <v>0.121</v>
      </c>
      <c r="CC128" s="82" t="n">
        <v>5.21052</v>
      </c>
      <c r="CD128" s="82" t="n">
        <v>6.744574</v>
      </c>
      <c r="CE128" s="83" t="n">
        <v>77.592228</v>
      </c>
      <c r="CF128" s="84" t="n">
        <v>38.7245</v>
      </c>
      <c r="CG128" s="80" t="n">
        <v>0.155</v>
      </c>
      <c r="CH128" s="63" t="n">
        <v>47053.5677260732</v>
      </c>
      <c r="CI128" s="63" t="n">
        <v>1251.18600015895</v>
      </c>
      <c r="CJ128" s="87" t="n">
        <v>1200.07614136359</v>
      </c>
      <c r="CK128" s="85" t="n">
        <v>104.258884668542</v>
      </c>
    </row>
    <row r="129" customFormat="false" ht="15" hidden="false" customHeight="false" outlineLevel="0" collapsed="false">
      <c r="A129" s="7" t="s">
        <v>73</v>
      </c>
      <c r="B129" s="66" t="n">
        <v>127</v>
      </c>
      <c r="C129" s="8" t="s">
        <v>205</v>
      </c>
      <c r="D129" s="67" t="n">
        <v>41722</v>
      </c>
      <c r="E129" s="4" t="s">
        <v>75</v>
      </c>
      <c r="F129" s="7" t="n">
        <v>317</v>
      </c>
      <c r="G129" s="68" t="n">
        <v>1</v>
      </c>
      <c r="H129" s="68" t="n">
        <v>82</v>
      </c>
      <c r="I129" s="66" t="n">
        <v>2</v>
      </c>
      <c r="J129" s="69" t="n">
        <v>630.017857142857</v>
      </c>
      <c r="K129" s="31" t="n">
        <v>561.877878540377</v>
      </c>
      <c r="L129" s="31" t="n">
        <v>938.480821835986</v>
      </c>
      <c r="M129" s="31" t="n">
        <v>170.297665251475</v>
      </c>
      <c r="N129" s="31" t="n">
        <v>344.318643487719</v>
      </c>
      <c r="O129" s="32"/>
      <c r="P129" s="33" t="n">
        <v>69.371688886037</v>
      </c>
      <c r="Q129" s="33" t="n">
        <v>10.9808633291955</v>
      </c>
      <c r="R129" s="31" t="n">
        <v>131.81940149838</v>
      </c>
      <c r="S129" s="34" t="s">
        <v>76</v>
      </c>
      <c r="T129" s="35" t="n">
        <v>20.3843882257143</v>
      </c>
      <c r="U129" s="35" t="n">
        <v>6.75658721428571</v>
      </c>
      <c r="V129" s="70" t="n">
        <v>27.14097544</v>
      </c>
      <c r="W129" s="35" t="n">
        <v>25.4661406236126</v>
      </c>
      <c r="X129" s="35" t="n">
        <v>4.74352894848625</v>
      </c>
      <c r="Y129" s="35" t="n">
        <v>8.40795430665339</v>
      </c>
      <c r="Z129" s="35"/>
      <c r="AA129" s="35" t="n">
        <v>1.64012604874212</v>
      </c>
      <c r="AB129" s="35" t="n">
        <v>0.271601425438721</v>
      </c>
      <c r="AC129" s="71" t="n">
        <v>4.10237519423895</v>
      </c>
      <c r="AD129" s="38" t="n">
        <v>6.21621285683605</v>
      </c>
      <c r="AE129" s="38" t="n">
        <v>5.37574797612721</v>
      </c>
      <c r="AF129" s="38" t="n">
        <v>1.19851937234658</v>
      </c>
      <c r="AG129" s="72"/>
      <c r="AH129" s="72"/>
      <c r="AI129" s="73" t="n">
        <v>43.6924268351006</v>
      </c>
      <c r="AJ129" s="42" t="s">
        <v>16</v>
      </c>
      <c r="AK129" s="43" t="n">
        <v>770.965753586193</v>
      </c>
      <c r="AL129" s="43" t="n">
        <v>788.906059399407</v>
      </c>
      <c r="AM129" s="43" t="n">
        <v>747.335921133348</v>
      </c>
      <c r="AN129" s="74"/>
      <c r="AO129" s="75" t="n">
        <v>41.4928571428571</v>
      </c>
      <c r="AP129" s="76" t="n">
        <v>2.01607100460829</v>
      </c>
      <c r="AQ129" s="76" t="n">
        <v>1.380641359447</v>
      </c>
      <c r="AR129" s="76" t="n">
        <v>1.87183647926267</v>
      </c>
      <c r="AS129" s="77" t="n">
        <v>46.8382079262673</v>
      </c>
      <c r="AT129" s="78" t="n">
        <v>45.3650056958525</v>
      </c>
      <c r="AU129" s="78" t="n">
        <v>48.5883870967742</v>
      </c>
      <c r="AV129" s="78" t="n">
        <v>33.2741935483871</v>
      </c>
      <c r="AW129" s="78" t="n">
        <v>45.1122580645161</v>
      </c>
      <c r="AX129" s="78" t="n">
        <v>24.5612903225806</v>
      </c>
      <c r="AY129" s="48" t="n">
        <v>1.67145819044492</v>
      </c>
      <c r="AZ129" s="48" t="n">
        <v>28.0533712984139</v>
      </c>
      <c r="BA129" s="48" t="n">
        <v>-0.91239585841387</v>
      </c>
      <c r="BB129" s="49" t="n">
        <f aca="false">AT129/V129</f>
        <v>1.67145819044492</v>
      </c>
      <c r="BC129" s="49" t="n">
        <f aca="false">AS129/V129</f>
        <v>1.72573782507602</v>
      </c>
      <c r="BD129" s="49" t="n">
        <f aca="false">SUM(AP129:AR129)/V129</f>
        <v>0.194117888465912</v>
      </c>
      <c r="BE129" s="50" t="n">
        <v>6.72</v>
      </c>
      <c r="BF129" s="51" t="n">
        <v>131.827907915706</v>
      </c>
      <c r="BG129" s="51" t="n">
        <v>599.013409177042</v>
      </c>
      <c r="BH129" s="51" t="n">
        <v>206.17910264608</v>
      </c>
      <c r="BI129" s="51" t="n">
        <v>156.499196166618</v>
      </c>
      <c r="BJ129" s="51" t="n">
        <v>9.70164453360048</v>
      </c>
      <c r="BK129" s="51" t="n">
        <v>13.3508232919702</v>
      </c>
      <c r="BL129" s="51" t="n">
        <v>10.2806998065804</v>
      </c>
      <c r="BM129" s="51"/>
      <c r="BN129" s="52" t="n">
        <f aca="false">(BG129*0.5-BH129*0.25+BI129*0.5)/SUM(BG129:BI129)*1000</f>
        <v>339.205926702022</v>
      </c>
      <c r="BO129" s="53" t="n">
        <v>7.5640718</v>
      </c>
      <c r="BP129" s="54" t="s">
        <v>77</v>
      </c>
      <c r="BQ129" s="55" t="n">
        <v>481.539185509327</v>
      </c>
      <c r="BR129" s="56" t="n">
        <v>17.7421473511096</v>
      </c>
      <c r="BS129" s="56" t="n">
        <v>23.9686298798943</v>
      </c>
      <c r="BT129" s="56" t="n">
        <v>10.614771851629</v>
      </c>
      <c r="BU129" s="55"/>
      <c r="BV129" s="55"/>
      <c r="BW129" s="55"/>
      <c r="BX129" s="55"/>
      <c r="BY129" s="79" t="n">
        <v>0.207692307692308</v>
      </c>
      <c r="BZ129" s="80" t="n">
        <v>0.7499069</v>
      </c>
      <c r="CA129" s="81" t="n">
        <v>3.8</v>
      </c>
      <c r="CB129" s="81" t="n">
        <v>0.078</v>
      </c>
      <c r="CC129" s="82" t="n">
        <v>5.347128</v>
      </c>
      <c r="CD129" s="82" t="n">
        <v>7.942264</v>
      </c>
      <c r="CE129" s="83" t="n">
        <v>74.687652</v>
      </c>
      <c r="CF129" s="84" t="n">
        <v>37.7631</v>
      </c>
      <c r="CG129" s="80" t="n">
        <v>0.155</v>
      </c>
      <c r="CH129" s="63" t="n">
        <v>132204.118094248</v>
      </c>
      <c r="CI129" s="63" t="n">
        <v>1868.32435240299</v>
      </c>
      <c r="CJ129" s="64" t="n">
        <v>177750.092579919</v>
      </c>
      <c r="CK129" s="65" t="n">
        <v>1.05109613462674</v>
      </c>
    </row>
    <row r="130" customFormat="false" ht="15" hidden="false" customHeight="false" outlineLevel="0" collapsed="false">
      <c r="A130" s="7" t="s">
        <v>73</v>
      </c>
      <c r="B130" s="66" t="n">
        <v>128</v>
      </c>
      <c r="C130" s="8" t="s">
        <v>206</v>
      </c>
      <c r="D130" s="67" t="n">
        <v>41722</v>
      </c>
      <c r="E130" s="4" t="s">
        <v>75</v>
      </c>
      <c r="F130" s="7" t="n">
        <v>346</v>
      </c>
      <c r="G130" s="68" t="n">
        <v>1</v>
      </c>
      <c r="H130" s="68" t="n">
        <v>105</v>
      </c>
      <c r="I130" s="66" t="n">
        <v>1</v>
      </c>
      <c r="J130" s="69" t="n">
        <v>687.746428571429</v>
      </c>
      <c r="K130" s="31" t="n">
        <v>561.877878540377</v>
      </c>
      <c r="L130" s="31" t="n">
        <v>938.480821835986</v>
      </c>
      <c r="M130" s="31" t="n">
        <v>170.297665251475</v>
      </c>
      <c r="N130" s="31" t="n">
        <v>344.318643487719</v>
      </c>
      <c r="O130" s="32"/>
      <c r="P130" s="33" t="n">
        <v>69.371688886037</v>
      </c>
      <c r="Q130" s="33" t="n">
        <v>10.9808633291955</v>
      </c>
      <c r="R130" s="31" t="n">
        <v>131.81940149838</v>
      </c>
      <c r="S130" s="34" t="s">
        <v>76</v>
      </c>
      <c r="T130" s="35" t="n">
        <v>15.7463559014286</v>
      </c>
      <c r="U130" s="35" t="n">
        <v>5.61939392857143</v>
      </c>
      <c r="V130" s="70" t="n">
        <v>21.36574983</v>
      </c>
      <c r="W130" s="35" t="n">
        <v>20.0470679801091</v>
      </c>
      <c r="X130" s="35" t="n">
        <v>3.73957464756143</v>
      </c>
      <c r="Y130" s="35" t="n">
        <v>6.57717373327933</v>
      </c>
      <c r="Z130" s="35"/>
      <c r="AA130" s="35" t="n">
        <v>1.28033563902101</v>
      </c>
      <c r="AB130" s="35" t="n">
        <v>0.212632850629112</v>
      </c>
      <c r="AC130" s="71" t="n">
        <v>3.25278214446671</v>
      </c>
      <c r="AD130" s="38" t="n">
        <v>5.01641320487205</v>
      </c>
      <c r="AE130" s="38" t="n">
        <v>4.37414968703752</v>
      </c>
      <c r="AF130" s="38" t="n">
        <v>1.04347145118509</v>
      </c>
      <c r="AG130" s="72"/>
      <c r="AH130" s="72"/>
      <c r="AI130" s="73" t="n">
        <v>42.3874274197744</v>
      </c>
      <c r="AJ130" s="42" t="s">
        <v>16</v>
      </c>
      <c r="AK130" s="43" t="n">
        <v>765.212396251667</v>
      </c>
      <c r="AL130" s="43" t="n">
        <v>781.80601315975</v>
      </c>
      <c r="AM130" s="43" t="n">
        <v>720.965203391372</v>
      </c>
      <c r="AN130" s="74"/>
      <c r="AO130" s="75" t="n">
        <v>36.7142857142857</v>
      </c>
      <c r="AP130" s="76" t="n">
        <v>1.72510415584416</v>
      </c>
      <c r="AQ130" s="76" t="n">
        <v>1.23024008658009</v>
      </c>
      <c r="AR130" s="76" t="n">
        <v>1.68678779220779</v>
      </c>
      <c r="AS130" s="77" t="n">
        <v>40.5622766233766</v>
      </c>
      <c r="AT130" s="78" t="n">
        <v>39.6505589367745</v>
      </c>
      <c r="AU130" s="78" t="n">
        <v>46.9872727272727</v>
      </c>
      <c r="AV130" s="78" t="n">
        <v>33.5084848484848</v>
      </c>
      <c r="AW130" s="78" t="n">
        <v>45.9436363636364</v>
      </c>
      <c r="AX130" s="78" t="n">
        <v>35.9575757575758</v>
      </c>
      <c r="AY130" s="48" t="n">
        <v>1.85580001882735</v>
      </c>
      <c r="AZ130" s="48" t="n">
        <v>27.3098814503238</v>
      </c>
      <c r="BA130" s="48" t="n">
        <v>-5.94413162032383</v>
      </c>
      <c r="BB130" s="49" t="n">
        <f aca="false">AT130/V130</f>
        <v>1.85580001882735</v>
      </c>
      <c r="BC130" s="49" t="n">
        <f aca="false">AS130/V130</f>
        <v>1.89847194440246</v>
      </c>
      <c r="BD130" s="49" t="n">
        <f aca="false">SUM(AP130:AR130)/V130</f>
        <v>0.217269792615185</v>
      </c>
      <c r="BE130" s="50" t="n">
        <v>6.94</v>
      </c>
      <c r="BF130" s="51" t="n">
        <v>175.247667039568</v>
      </c>
      <c r="BG130" s="51" t="n">
        <v>631.080909988563</v>
      </c>
      <c r="BH130" s="51" t="n">
        <v>199.579301603559</v>
      </c>
      <c r="BI130" s="51" t="n">
        <v>134.801338008058</v>
      </c>
      <c r="BJ130" s="51" t="n">
        <v>8.56887799459432</v>
      </c>
      <c r="BK130" s="51" t="n">
        <v>11.4500577012334</v>
      </c>
      <c r="BL130" s="51" t="n">
        <v>9.54439032588271</v>
      </c>
      <c r="BM130" s="51"/>
      <c r="BN130" s="52" t="n">
        <f aca="false">(BG130*0.5-BH130*0.25+BI130*0.5)/SUM(BG130:BI130)*1000</f>
        <v>344.960706861234</v>
      </c>
      <c r="BO130" s="53" t="n">
        <v>4.00437888</v>
      </c>
      <c r="BP130" s="54" t="s">
        <v>77</v>
      </c>
      <c r="BQ130" s="55" t="n">
        <v>491.275733153997</v>
      </c>
      <c r="BR130" s="56" t="n">
        <v>22.9936106648683</v>
      </c>
      <c r="BS130" s="56" t="n">
        <v>31.3455174057261</v>
      </c>
      <c r="BT130" s="56" t="n">
        <v>12.3901338676554</v>
      </c>
      <c r="BU130" s="55"/>
      <c r="BV130" s="55"/>
      <c r="BW130" s="55"/>
      <c r="BX130" s="55"/>
      <c r="BY130" s="79" t="n">
        <v>0.148351648351648</v>
      </c>
      <c r="BZ130" s="80" t="n">
        <v>0.531404</v>
      </c>
      <c r="CA130" s="81" t="n">
        <v>3.67</v>
      </c>
      <c r="CB130" s="81" t="n">
        <v>0.916</v>
      </c>
      <c r="CC130" s="82" t="n">
        <v>4.869</v>
      </c>
      <c r="CD130" s="82" t="n">
        <v>5.252068</v>
      </c>
      <c r="CE130" s="83" t="n">
        <v>78.999132</v>
      </c>
      <c r="CF130" s="84" t="n">
        <v>36.62966</v>
      </c>
      <c r="CG130" s="80" t="n">
        <v>0.26</v>
      </c>
      <c r="CH130" s="63"/>
      <c r="CI130" s="63"/>
      <c r="CJ130" s="64"/>
      <c r="CK130" s="65"/>
    </row>
    <row r="131" customFormat="false" ht="15" hidden="false" customHeight="false" outlineLevel="0" collapsed="false">
      <c r="A131" s="7" t="s">
        <v>73</v>
      </c>
      <c r="B131" s="66" t="n">
        <v>129</v>
      </c>
      <c r="C131" s="8" t="s">
        <v>207</v>
      </c>
      <c r="D131" s="67" t="n">
        <v>41722</v>
      </c>
      <c r="E131" s="4" t="s">
        <v>75</v>
      </c>
      <c r="F131" s="7" t="n">
        <v>543</v>
      </c>
      <c r="G131" s="68" t="n">
        <v>1</v>
      </c>
      <c r="H131" s="68" t="n">
        <v>87</v>
      </c>
      <c r="I131" s="66" t="n">
        <v>3</v>
      </c>
      <c r="J131" s="69" t="n">
        <v>720.847619047619</v>
      </c>
      <c r="K131" s="31" t="n">
        <v>561.877878540377</v>
      </c>
      <c r="L131" s="31" t="n">
        <v>938.480821835986</v>
      </c>
      <c r="M131" s="31" t="n">
        <v>170.297665251475</v>
      </c>
      <c r="N131" s="31" t="n">
        <v>344.318643487719</v>
      </c>
      <c r="O131" s="32"/>
      <c r="P131" s="33" t="n">
        <v>69.371688886037</v>
      </c>
      <c r="Q131" s="33" t="n">
        <v>10.9808633291955</v>
      </c>
      <c r="R131" s="31" t="n">
        <v>131.81940149838</v>
      </c>
      <c r="S131" s="34" t="s">
        <v>76</v>
      </c>
      <c r="T131" s="35" t="n">
        <v>26.3124026271429</v>
      </c>
      <c r="U131" s="35" t="n">
        <v>9.55974964285714</v>
      </c>
      <c r="V131" s="70" t="n">
        <v>35.87215227</v>
      </c>
      <c r="W131" s="35" t="n">
        <v>33.6580483661283</v>
      </c>
      <c r="X131" s="35" t="n">
        <v>6.28082915342824</v>
      </c>
      <c r="Y131" s="35" t="n">
        <v>11.0254415254924</v>
      </c>
      <c r="Z131" s="35"/>
      <c r="AA131" s="35" t="n">
        <v>2.14513598930799</v>
      </c>
      <c r="AB131" s="35" t="n">
        <v>0.356512082133948</v>
      </c>
      <c r="AC131" s="71" t="n">
        <v>5.47098716787174</v>
      </c>
      <c r="AD131" s="38" t="n">
        <v>9.2554189861215</v>
      </c>
      <c r="AE131" s="38" t="n">
        <v>8.09050186339695</v>
      </c>
      <c r="AF131" s="38" t="n">
        <v>1.95127670704656</v>
      </c>
      <c r="AG131" s="72"/>
      <c r="AH131" s="72"/>
      <c r="AI131" s="73" t="n">
        <v>38.5192807228433</v>
      </c>
      <c r="AJ131" s="42" t="s">
        <v>16</v>
      </c>
      <c r="AK131" s="43" t="n">
        <v>741.98874613214</v>
      </c>
      <c r="AL131" s="43" t="n">
        <v>759.626530469342</v>
      </c>
      <c r="AM131" s="43" t="n">
        <v>689.328166810348</v>
      </c>
      <c r="AN131" s="74"/>
      <c r="AO131" s="75" t="n">
        <v>61.6785714285714</v>
      </c>
      <c r="AP131" s="76" t="n">
        <v>2.62133928571429</v>
      </c>
      <c r="AQ131" s="76" t="n">
        <v>1.73933571428571</v>
      </c>
      <c r="AR131" s="76" t="n">
        <v>2.73236071428571</v>
      </c>
      <c r="AS131" s="77" t="n">
        <v>63.9915178571429</v>
      </c>
      <c r="AT131" s="78" t="n">
        <v>60.1780928571428</v>
      </c>
      <c r="AU131" s="78" t="n">
        <v>42.5</v>
      </c>
      <c r="AV131" s="78" t="n">
        <v>28.2</v>
      </c>
      <c r="AW131" s="78" t="n">
        <v>44.3</v>
      </c>
      <c r="AX131" s="78" t="n">
        <v>42</v>
      </c>
      <c r="AY131" s="48" t="n">
        <v>1.67757129274538</v>
      </c>
      <c r="AZ131" s="48" t="n">
        <v>35.5770902272738</v>
      </c>
      <c r="BA131" s="48" t="n">
        <v>0.295062042726194</v>
      </c>
      <c r="BB131" s="49" t="n">
        <f aca="false">AT131/V131</f>
        <v>1.67757129274538</v>
      </c>
      <c r="BC131" s="49" t="n">
        <f aca="false">AS131/V131</f>
        <v>1.78387729220973</v>
      </c>
      <c r="BD131" s="49" t="n">
        <f aca="false">SUM(AP131:AR131)/V131</f>
        <v>0.197730976967826</v>
      </c>
      <c r="BE131" s="50" t="n">
        <v>7.1</v>
      </c>
      <c r="BF131" s="51" t="n">
        <v>174.468756279678</v>
      </c>
      <c r="BG131" s="51" t="n">
        <v>612.473046605346</v>
      </c>
      <c r="BH131" s="51" t="n">
        <v>219.12248971454</v>
      </c>
      <c r="BI131" s="51" t="n">
        <v>134.877304756639</v>
      </c>
      <c r="BJ131" s="51" t="n">
        <v>8.18395462736557</v>
      </c>
      <c r="BK131" s="51" t="n">
        <v>11.1527092053474</v>
      </c>
      <c r="BL131" s="51" t="n">
        <v>9.21537071265209</v>
      </c>
      <c r="BM131" s="51"/>
      <c r="BN131" s="52" t="n">
        <f aca="false">(BG131*0.5-BH131*0.25+BI131*0.5)/SUM(BG131:BI131)*1000</f>
        <v>329.957076597362</v>
      </c>
      <c r="BO131" s="53" t="n">
        <v>10.15899844</v>
      </c>
      <c r="BP131" s="54" t="s">
        <v>77</v>
      </c>
      <c r="BQ131" s="55" t="n">
        <v>412.310644752664</v>
      </c>
      <c r="BR131" s="56" t="n">
        <v>11.4938920210116</v>
      </c>
      <c r="BS131" s="56" t="n">
        <v>16.1263281444943</v>
      </c>
      <c r="BT131" s="56" t="n">
        <v>6.85150733725396</v>
      </c>
      <c r="BU131" s="55"/>
      <c r="BV131" s="55"/>
      <c r="BW131" s="55"/>
      <c r="BX131" s="55"/>
      <c r="BY131" s="79" t="n">
        <v>0.089010989010989</v>
      </c>
      <c r="BZ131" s="80" t="n">
        <v>0.5465384</v>
      </c>
      <c r="CA131" s="81" t="n">
        <v>3.43</v>
      </c>
      <c r="CB131" s="81" t="n">
        <v>0.742</v>
      </c>
      <c r="CC131" s="82" t="n">
        <v>6.587984</v>
      </c>
      <c r="CD131" s="82" t="n">
        <v>6.591024</v>
      </c>
      <c r="CE131" s="83" t="n">
        <v>87.93978</v>
      </c>
      <c r="CF131" s="84" t="n">
        <v>38.90666</v>
      </c>
      <c r="CG131" s="80" t="n">
        <v>0.1445</v>
      </c>
      <c r="CH131" s="63" t="n">
        <v>104059.203101258</v>
      </c>
      <c r="CI131" s="63" t="n">
        <v>1469.82548750036</v>
      </c>
      <c r="CJ131" s="64" t="n">
        <v>359395.417836739</v>
      </c>
      <c r="CK131" s="65" t="n">
        <v>0.408971682596146</v>
      </c>
    </row>
    <row r="132" customFormat="false" ht="15" hidden="false" customHeight="false" outlineLevel="0" collapsed="false">
      <c r="A132" s="7" t="s">
        <v>73</v>
      </c>
      <c r="B132" s="66" t="n">
        <v>130</v>
      </c>
      <c r="C132" s="8" t="s">
        <v>208</v>
      </c>
      <c r="D132" s="67" t="n">
        <v>41722</v>
      </c>
      <c r="E132" s="4" t="s">
        <v>75</v>
      </c>
      <c r="F132" s="7" t="n">
        <v>9</v>
      </c>
      <c r="G132" s="68" t="n">
        <v>1</v>
      </c>
      <c r="H132" s="68" t="n">
        <v>95</v>
      </c>
      <c r="I132" s="66" t="n">
        <v>1</v>
      </c>
      <c r="J132" s="69" t="n">
        <v>604.309523809524</v>
      </c>
      <c r="K132" s="31" t="n">
        <v>561.877878540377</v>
      </c>
      <c r="L132" s="31" t="n">
        <v>938.480821835986</v>
      </c>
      <c r="M132" s="31" t="n">
        <v>170.297665251475</v>
      </c>
      <c r="N132" s="31" t="n">
        <v>344.318643487719</v>
      </c>
      <c r="O132" s="32"/>
      <c r="P132" s="33" t="n">
        <v>69.371688886037</v>
      </c>
      <c r="Q132" s="33" t="n">
        <v>10.9808633291955</v>
      </c>
      <c r="R132" s="31" t="n">
        <v>131.81940149838</v>
      </c>
      <c r="S132" s="34" t="s">
        <v>76</v>
      </c>
      <c r="T132" s="35" t="n">
        <v>24.8523017828571</v>
      </c>
      <c r="U132" s="35" t="n">
        <v>8.09613635714286</v>
      </c>
      <c r="V132" s="70" t="n">
        <v>32.94843814</v>
      </c>
      <c r="W132" s="35" t="n">
        <v>30.9153130886582</v>
      </c>
      <c r="X132" s="35" t="n">
        <v>5.75661153165436</v>
      </c>
      <c r="Y132" s="35" t="n">
        <v>10.22176642952</v>
      </c>
      <c r="Z132" s="35"/>
      <c r="AA132" s="35" t="n">
        <v>1.99488439779636</v>
      </c>
      <c r="AB132" s="35" t="n">
        <v>0.330132430701695</v>
      </c>
      <c r="AC132" s="71" t="n">
        <v>4.97193122101818</v>
      </c>
      <c r="AD132" s="38" t="n">
        <v>8.16367872102558</v>
      </c>
      <c r="AE132" s="38" t="n">
        <v>7.00019450422822</v>
      </c>
      <c r="AF132" s="38" t="n">
        <v>1.77138574810759</v>
      </c>
      <c r="AG132" s="72"/>
      <c r="AH132" s="72"/>
      <c r="AI132" s="73" t="n">
        <v>40.4391747866606</v>
      </c>
      <c r="AJ132" s="42" t="s">
        <v>16</v>
      </c>
      <c r="AK132" s="43" t="n">
        <v>752.228658416597</v>
      </c>
      <c r="AL132" s="43" t="n">
        <v>773.568700916816</v>
      </c>
      <c r="AM132" s="43" t="n">
        <v>692.286731809655</v>
      </c>
      <c r="AN132" s="74"/>
      <c r="AO132" s="75" t="n">
        <v>47.1642857142857</v>
      </c>
      <c r="AP132" s="76" t="n">
        <v>1.58185584155844</v>
      </c>
      <c r="AQ132" s="76" t="n">
        <v>1.31692976103896</v>
      </c>
      <c r="AR132" s="76" t="n">
        <v>2.08169436623377</v>
      </c>
      <c r="AS132" s="77" t="n">
        <v>42.5935519090909</v>
      </c>
      <c r="AT132" s="78" t="n">
        <v>40.7204791339565</v>
      </c>
      <c r="AU132" s="78" t="n">
        <v>33.5392727272727</v>
      </c>
      <c r="AV132" s="78" t="n">
        <v>27.9221818181818</v>
      </c>
      <c r="AW132" s="78" t="n">
        <v>44.1370909090909</v>
      </c>
      <c r="AX132" s="78" t="n">
        <v>47.3345454545455</v>
      </c>
      <c r="AY132" s="48" t="n">
        <v>1.23588495943063</v>
      </c>
      <c r="AZ132" s="48" t="n">
        <v>26.6340517032876</v>
      </c>
      <c r="BA132" s="48" t="n">
        <v>6.31438643671241</v>
      </c>
      <c r="BB132" s="49" t="n">
        <f aca="false">AT132/V132</f>
        <v>1.23588495943063</v>
      </c>
      <c r="BC132" s="49" t="n">
        <f aca="false">AS132/V132</f>
        <v>1.29273356533952</v>
      </c>
      <c r="BD132" s="49" t="n">
        <f aca="false">SUM(AP132:AR132)/V132</f>
        <v>0.151159819705832</v>
      </c>
      <c r="BE132" s="50" t="n">
        <v>7.52</v>
      </c>
      <c r="BF132" s="51" t="n">
        <v>102.920357572215</v>
      </c>
      <c r="BG132" s="51" t="n">
        <v>589.574977811172</v>
      </c>
      <c r="BH132" s="51" t="n">
        <v>243.047714135605</v>
      </c>
      <c r="BI132" s="51" t="n">
        <v>128.231667222435</v>
      </c>
      <c r="BJ132" s="51" t="n">
        <v>9.2865883957993</v>
      </c>
      <c r="BK132" s="51" t="n">
        <v>13.9691910473899</v>
      </c>
      <c r="BL132" s="51" t="n">
        <v>10.9147370094891</v>
      </c>
      <c r="BM132" s="51"/>
      <c r="BN132" s="52" t="n">
        <f aca="false">(BG132*0.5-BH132*0.25+BI132*0.5)/SUM(BG132:BI132)*1000</f>
        <v>310.287809112596</v>
      </c>
      <c r="BO132" s="53" t="n">
        <v>6.5269819</v>
      </c>
      <c r="BP132" s="54" t="s">
        <v>77</v>
      </c>
      <c r="BQ132" s="55" t="n">
        <v>523.418069457859</v>
      </c>
      <c r="BR132" s="56" t="n">
        <v>15.8859751480123</v>
      </c>
      <c r="BS132" s="56" t="n">
        <v>21.8864927476727</v>
      </c>
      <c r="BT132" s="56" t="n">
        <v>12.8539270801798</v>
      </c>
      <c r="BU132" s="55"/>
      <c r="BV132" s="55"/>
      <c r="BW132" s="55"/>
      <c r="BX132" s="55"/>
      <c r="BY132" s="79" t="n">
        <v>0.118681318681319</v>
      </c>
      <c r="BZ132" s="80" t="n">
        <v>0.6969365</v>
      </c>
      <c r="CA132" s="81" t="n">
        <v>3.42</v>
      </c>
      <c r="CB132" s="81" t="n">
        <v>0.676</v>
      </c>
      <c r="CC132" s="82" t="n">
        <v>7.555624</v>
      </c>
      <c r="CD132" s="82" t="n">
        <v>7.291212</v>
      </c>
      <c r="CE132" s="83" t="n">
        <v>86.003396</v>
      </c>
      <c r="CF132" s="84" t="n">
        <v>38.53222</v>
      </c>
      <c r="CG132" s="80" t="n">
        <v>0.0605</v>
      </c>
      <c r="CH132" s="63"/>
      <c r="CI132" s="63"/>
      <c r="CJ132" s="64"/>
      <c r="CK132" s="65"/>
    </row>
    <row r="133" customFormat="false" ht="15" hidden="false" customHeight="false" outlineLevel="0" collapsed="false">
      <c r="A133" s="7" t="s">
        <v>73</v>
      </c>
      <c r="B133" s="66" t="n">
        <v>131</v>
      </c>
      <c r="C133" s="8" t="s">
        <v>209</v>
      </c>
      <c r="D133" s="67" t="n">
        <v>41722</v>
      </c>
      <c r="E133" s="4" t="s">
        <v>75</v>
      </c>
      <c r="F133" s="7" t="n">
        <v>174</v>
      </c>
      <c r="G133" s="68" t="n">
        <v>1</v>
      </c>
      <c r="H133" s="68" t="n">
        <v>96</v>
      </c>
      <c r="I133" s="66" t="n">
        <v>1</v>
      </c>
      <c r="J133" s="69" t="n">
        <v>545.142857142857</v>
      </c>
      <c r="K133" s="31" t="n">
        <v>561.877878540377</v>
      </c>
      <c r="L133" s="31" t="n">
        <v>938.480821835986</v>
      </c>
      <c r="M133" s="31" t="n">
        <v>170.297665251475</v>
      </c>
      <c r="N133" s="31" t="n">
        <v>344.318643487719</v>
      </c>
      <c r="O133" s="32"/>
      <c r="P133" s="33" t="n">
        <v>69.371688886037</v>
      </c>
      <c r="Q133" s="33" t="n">
        <v>10.9808633291955</v>
      </c>
      <c r="R133" s="31" t="n">
        <v>131.81940149838</v>
      </c>
      <c r="S133" s="34" t="s">
        <v>76</v>
      </c>
      <c r="T133" s="35" t="n">
        <v>16.9759498271429</v>
      </c>
      <c r="U133" s="35" t="n">
        <v>5.56153414285714</v>
      </c>
      <c r="V133" s="70" t="n">
        <v>22.53748397</v>
      </c>
      <c r="W133" s="35" t="n">
        <v>21.1467620519223</v>
      </c>
      <c r="X133" s="35" t="n">
        <v>3.93807791044098</v>
      </c>
      <c r="Y133" s="35" t="n">
        <v>6.98864923099265</v>
      </c>
      <c r="Z133" s="35"/>
      <c r="AA133" s="35" t="n">
        <v>1.36369907573805</v>
      </c>
      <c r="AB133" s="35" t="n">
        <v>0.225725834694848</v>
      </c>
      <c r="AC133" s="71" t="n">
        <v>3.40274646194954</v>
      </c>
      <c r="AD133" s="38" t="n">
        <v>5.39537970892592</v>
      </c>
      <c r="AE133" s="38" t="n">
        <v>4.69570226304643</v>
      </c>
      <c r="AF133" s="38" t="n">
        <v>0.874738270203802</v>
      </c>
      <c r="AG133" s="72"/>
      <c r="AH133" s="72"/>
      <c r="AI133" s="73" t="n">
        <v>41.8368765263018</v>
      </c>
      <c r="AJ133" s="42" t="s">
        <v>16</v>
      </c>
      <c r="AK133" s="43" t="n">
        <v>760.604168765786</v>
      </c>
      <c r="AL133" s="43" t="n">
        <v>777.946985381643</v>
      </c>
      <c r="AM133" s="43" t="n">
        <v>777.876850053012</v>
      </c>
      <c r="AN133" s="74"/>
      <c r="AO133" s="75" t="n">
        <v>33.6214285714286</v>
      </c>
      <c r="AP133" s="76" t="n">
        <v>1.16325599420849</v>
      </c>
      <c r="AQ133" s="76" t="n">
        <v>1.09442293436293</v>
      </c>
      <c r="AR133" s="76" t="n">
        <v>1.50255981660232</v>
      </c>
      <c r="AS133" s="77" t="n">
        <v>30.8974113416988</v>
      </c>
      <c r="AT133" s="78" t="n">
        <v>30.7598861553501</v>
      </c>
      <c r="AU133" s="78" t="n">
        <v>34.5986486486486</v>
      </c>
      <c r="AV133" s="78" t="n">
        <v>32.5513513513514</v>
      </c>
      <c r="AW133" s="78" t="n">
        <v>44.6905405405405</v>
      </c>
      <c r="AX133" s="78" t="n">
        <v>37.972972972973</v>
      </c>
      <c r="AY133" s="48" t="n">
        <v>1.36483230321073</v>
      </c>
      <c r="AZ133" s="48" t="n">
        <v>21.6186559093831</v>
      </c>
      <c r="BA133" s="48" t="n">
        <v>0.918828060616871</v>
      </c>
      <c r="BB133" s="49" t="n">
        <f aca="false">AT133/V133</f>
        <v>1.36483230321073</v>
      </c>
      <c r="BC133" s="49" t="n">
        <f aca="false">AS133/V133</f>
        <v>1.3709343679546</v>
      </c>
      <c r="BD133" s="49" t="n">
        <f aca="false">SUM(AP133:AR133)/V133</f>
        <v>0.166843767928091</v>
      </c>
      <c r="BE133" s="50" t="n">
        <v>6.99</v>
      </c>
      <c r="BF133" s="51" t="n">
        <v>165.316580169957</v>
      </c>
      <c r="BG133" s="51" t="n">
        <v>627.003206496677</v>
      </c>
      <c r="BH133" s="51" t="n">
        <v>206.293759536886</v>
      </c>
      <c r="BI133" s="51" t="n">
        <v>129.899268846303</v>
      </c>
      <c r="BJ133" s="51" t="n">
        <v>8.621807240385</v>
      </c>
      <c r="BK133" s="51" t="n">
        <v>13.0690918021023</v>
      </c>
      <c r="BL133" s="51" t="n">
        <v>10.1377416995376</v>
      </c>
      <c r="BM133" s="51"/>
      <c r="BN133" s="52" t="n">
        <f aca="false">(BG133*0.5-BH133*0.25+BI133*0.5)/SUM(BG133:BI133)*1000</f>
        <v>339.367810992365</v>
      </c>
      <c r="BO133" s="53" t="n">
        <v>5.07967814</v>
      </c>
      <c r="BP133" s="54" t="s">
        <v>77</v>
      </c>
      <c r="BQ133" s="55" t="n">
        <v>571.83866135915</v>
      </c>
      <c r="BR133" s="56" t="n">
        <v>25.3727817231211</v>
      </c>
      <c r="BS133" s="56" t="n">
        <v>34.7599892467611</v>
      </c>
      <c r="BT133" s="56" t="n">
        <v>18.5904023984721</v>
      </c>
      <c r="BU133" s="55"/>
      <c r="BV133" s="55"/>
      <c r="BW133" s="55"/>
      <c r="BX133" s="55"/>
      <c r="BY133" s="79" t="n">
        <v>0.0978260869565218</v>
      </c>
      <c r="BZ133" s="80" t="n">
        <v>0.5257286</v>
      </c>
      <c r="CA133" s="81" t="n">
        <v>3.7</v>
      </c>
      <c r="CB133" s="81" t="n">
        <v>0.288</v>
      </c>
      <c r="CC133" s="82" t="n">
        <v>4.994224</v>
      </c>
      <c r="CD133" s="82" t="n">
        <v>6.94726</v>
      </c>
      <c r="CE133" s="83" t="n">
        <v>85.246996</v>
      </c>
      <c r="CF133" s="84" t="n">
        <v>37.90478</v>
      </c>
      <c r="CG133" s="80" t="n">
        <v>0.1025</v>
      </c>
      <c r="CH133" s="63" t="n">
        <v>119645.05922052</v>
      </c>
      <c r="CI133" s="63" t="n">
        <v>897.437567011719</v>
      </c>
      <c r="CJ133" s="64" t="n">
        <v>191581.994759693</v>
      </c>
      <c r="CK133" s="65" t="n">
        <v>0.468435234812855</v>
      </c>
    </row>
    <row r="134" customFormat="false" ht="15" hidden="false" customHeight="false" outlineLevel="0" collapsed="false">
      <c r="A134" s="7" t="s">
        <v>73</v>
      </c>
      <c r="B134" s="66" t="n">
        <v>132</v>
      </c>
      <c r="C134" s="8" t="s">
        <v>210</v>
      </c>
      <c r="D134" s="67" t="n">
        <v>41722</v>
      </c>
      <c r="E134" s="4" t="s">
        <v>75</v>
      </c>
      <c r="F134" s="7" t="n">
        <v>299</v>
      </c>
      <c r="G134" s="68" t="n">
        <v>1</v>
      </c>
      <c r="H134" s="68" t="n">
        <v>100</v>
      </c>
      <c r="I134" s="66" t="n">
        <v>2</v>
      </c>
      <c r="J134" s="69" t="n">
        <v>535.922619047619</v>
      </c>
      <c r="K134" s="31" t="n">
        <v>561.877878540377</v>
      </c>
      <c r="L134" s="31" t="n">
        <v>938.480821835986</v>
      </c>
      <c r="M134" s="31" t="n">
        <v>170.297665251475</v>
      </c>
      <c r="N134" s="31" t="n">
        <v>344.318643487719</v>
      </c>
      <c r="O134" s="32"/>
      <c r="P134" s="33" t="n">
        <v>69.371688886037</v>
      </c>
      <c r="Q134" s="33" t="n">
        <v>10.9808633291955</v>
      </c>
      <c r="R134" s="31" t="n">
        <v>131.81940149838</v>
      </c>
      <c r="S134" s="34" t="s">
        <v>76</v>
      </c>
      <c r="T134" s="35" t="n">
        <v>14.4612902985714</v>
      </c>
      <c r="U134" s="35" t="n">
        <v>4.72382507142857</v>
      </c>
      <c r="V134" s="70" t="n">
        <v>19.18511537</v>
      </c>
      <c r="W134" s="35" t="n">
        <v>18.0012662258448</v>
      </c>
      <c r="X134" s="35" t="n">
        <v>3.35211526143004</v>
      </c>
      <c r="Y134" s="35" t="n">
        <v>5.95056278031718</v>
      </c>
      <c r="Z134" s="35"/>
      <c r="AA134" s="35" t="n">
        <v>1.16122920185876</v>
      </c>
      <c r="AB134" s="35" t="n">
        <v>0.192190821452163</v>
      </c>
      <c r="AC134" s="71" t="n">
        <v>2.8957887671532</v>
      </c>
      <c r="AD134" s="38" t="n">
        <v>4.20295418852308</v>
      </c>
      <c r="AE134" s="38" t="n">
        <v>3.60354160980609</v>
      </c>
      <c r="AF134" s="38" t="n">
        <v>0.833146497601483</v>
      </c>
      <c r="AG134" s="72"/>
      <c r="AH134" s="72"/>
      <c r="AI134" s="73" t="n">
        <v>45.7275556267005</v>
      </c>
      <c r="AJ134" s="42" t="s">
        <v>16</v>
      </c>
      <c r="AK134" s="43" t="n">
        <v>780.926301069042</v>
      </c>
      <c r="AL134" s="43" t="n">
        <v>799.817325926084</v>
      </c>
      <c r="AM134" s="43" t="n">
        <v>751.456488627406</v>
      </c>
      <c r="AN134" s="74"/>
      <c r="AO134" s="75" t="n">
        <v>34.7071428571429</v>
      </c>
      <c r="AP134" s="76" t="n">
        <v>1.16914583508403</v>
      </c>
      <c r="AQ134" s="76" t="n">
        <v>0.999310514705882</v>
      </c>
      <c r="AR134" s="76" t="n">
        <v>1.45916739758403</v>
      </c>
      <c r="AS134" s="77" t="n">
        <v>31.4200446691177</v>
      </c>
      <c r="AT134" s="78" t="n">
        <v>29.8772823416508</v>
      </c>
      <c r="AU134" s="78" t="n">
        <v>33.6860294117647</v>
      </c>
      <c r="AV134" s="78" t="n">
        <v>28.7926470588235</v>
      </c>
      <c r="AW134" s="78" t="n">
        <v>42.0422794117647</v>
      </c>
      <c r="AX134" s="78" t="n">
        <v>32.0220588235294</v>
      </c>
      <c r="AY134" s="48" t="n">
        <v>1.55731575054119</v>
      </c>
      <c r="AZ134" s="48" t="n">
        <v>21.7551987947048</v>
      </c>
      <c r="BA134" s="48" t="n">
        <v>-2.57008342470485</v>
      </c>
      <c r="BB134" s="49" t="n">
        <f aca="false">AT134/V134</f>
        <v>1.55731575054119</v>
      </c>
      <c r="BC134" s="49" t="n">
        <f aca="false">AS134/V134</f>
        <v>1.63773029576093</v>
      </c>
      <c r="BD134" s="49" t="n">
        <f aca="false">SUM(AP134:AR134)/V134</f>
        <v>0.189085323565294</v>
      </c>
      <c r="BE134" s="50" t="n">
        <v>6.84</v>
      </c>
      <c r="BF134" s="51" t="n">
        <v>182.257265744761</v>
      </c>
      <c r="BG134" s="51" t="n">
        <v>622.434182607334</v>
      </c>
      <c r="BH134" s="51" t="n">
        <v>208.965129163489</v>
      </c>
      <c r="BI134" s="51" t="n">
        <v>133.870704428825</v>
      </c>
      <c r="BJ134" s="51" t="n">
        <v>7.31918492037279</v>
      </c>
      <c r="BK134" s="51" t="n">
        <v>12.2489233322796</v>
      </c>
      <c r="BL134" s="51" t="n">
        <v>10.1867511695902</v>
      </c>
      <c r="BM134" s="51"/>
      <c r="BN134" s="52" t="n">
        <f aca="false">(BG134*0.5-BH134*0.25+BI134*0.5)/SUM(BG134:BI134)*1000</f>
        <v>337.637299157336</v>
      </c>
      <c r="BO134" s="53" t="n">
        <v>3.25770596</v>
      </c>
      <c r="BP134" s="54" t="s">
        <v>77</v>
      </c>
      <c r="BQ134" s="55" t="n">
        <v>478.311986263939</v>
      </c>
      <c r="BR134" s="56" t="n">
        <v>24.9314104731359</v>
      </c>
      <c r="BS134" s="56" t="n">
        <v>33.2213595564337</v>
      </c>
      <c r="BT134" s="56" t="n">
        <v>16.0092200085127</v>
      </c>
      <c r="BU134" s="55"/>
      <c r="BV134" s="55"/>
      <c r="BW134" s="55"/>
      <c r="BX134" s="55"/>
      <c r="BY134" s="79" t="n">
        <v>0.166304347826087</v>
      </c>
      <c r="BZ134" s="80" t="n">
        <v>0.6250481</v>
      </c>
      <c r="CA134" s="81" t="n">
        <v>3.54</v>
      </c>
      <c r="CB134" s="81" t="n">
        <v>0.858</v>
      </c>
      <c r="CC134" s="82" t="n">
        <v>3.935512</v>
      </c>
      <c r="CD134" s="82" t="n">
        <v>6.523462</v>
      </c>
      <c r="CE134" s="83" t="n">
        <v>89.013868</v>
      </c>
      <c r="CF134" s="84" t="n">
        <v>35.50634</v>
      </c>
      <c r="CG134" s="80" t="n">
        <v>0.5645</v>
      </c>
      <c r="CH134" s="63" t="n">
        <v>261731.963367332</v>
      </c>
      <c r="CI134" s="63" t="n">
        <v>4624.48779903217</v>
      </c>
      <c r="CJ134" s="64" t="n">
        <v>657582.136239447</v>
      </c>
      <c r="CK134" s="65" t="n">
        <v>0.703256299734433</v>
      </c>
    </row>
    <row r="135" customFormat="false" ht="15" hidden="false" customHeight="false" outlineLevel="0" collapsed="false">
      <c r="A135" s="7" t="s">
        <v>73</v>
      </c>
      <c r="B135" s="66" t="n">
        <v>133</v>
      </c>
      <c r="C135" s="8" t="s">
        <v>211</v>
      </c>
      <c r="D135" s="67" t="n">
        <v>41722</v>
      </c>
      <c r="E135" s="4" t="s">
        <v>75</v>
      </c>
      <c r="F135" s="7" t="n">
        <v>406</v>
      </c>
      <c r="G135" s="68" t="n">
        <v>1</v>
      </c>
      <c r="H135" s="68" t="n">
        <v>113</v>
      </c>
      <c r="I135" s="66" t="n">
        <v>4</v>
      </c>
      <c r="J135" s="69" t="n">
        <v>692.952380952381</v>
      </c>
      <c r="K135" s="31" t="n">
        <v>561.877878540377</v>
      </c>
      <c r="L135" s="31" t="n">
        <v>938.480821835986</v>
      </c>
      <c r="M135" s="31" t="n">
        <v>170.297665251475</v>
      </c>
      <c r="N135" s="31" t="n">
        <v>344.318643487719</v>
      </c>
      <c r="O135" s="32"/>
      <c r="P135" s="33" t="n">
        <v>69.371688886037</v>
      </c>
      <c r="Q135" s="33" t="n">
        <v>10.9808633291955</v>
      </c>
      <c r="R135" s="31" t="n">
        <v>131.81940149838</v>
      </c>
      <c r="S135" s="34" t="s">
        <v>76</v>
      </c>
      <c r="T135" s="35" t="n">
        <v>17.6403557742857</v>
      </c>
      <c r="U135" s="35" t="n">
        <v>7.16780278571429</v>
      </c>
      <c r="V135" s="70" t="n">
        <v>24.80815856</v>
      </c>
      <c r="W135" s="35" t="n">
        <v>23.2765236306382</v>
      </c>
      <c r="X135" s="35" t="n">
        <v>4.35364938260987</v>
      </c>
      <c r="Y135" s="35" t="n">
        <v>7.54768326583885</v>
      </c>
      <c r="Z135" s="35"/>
      <c r="AA135" s="35" t="n">
        <v>1.46352418635819</v>
      </c>
      <c r="AB135" s="35" t="n">
        <v>0.24437651954954</v>
      </c>
      <c r="AC135" s="71" t="n">
        <v>3.82679671835903</v>
      </c>
      <c r="AD135" s="38" t="n">
        <v>6.47854934379676</v>
      </c>
      <c r="AE135" s="38" t="n">
        <v>5.65276838352651</v>
      </c>
      <c r="AF135" s="38" t="n">
        <v>1.17180802033536</v>
      </c>
      <c r="AG135" s="72"/>
      <c r="AH135" s="72"/>
      <c r="AI135" s="73" t="n">
        <v>37.7208703030921</v>
      </c>
      <c r="AJ135" s="42" t="s">
        <v>16</v>
      </c>
      <c r="AK135" s="43" t="n">
        <v>738.854081888908</v>
      </c>
      <c r="AL135" s="43" t="n">
        <v>757.147223819714</v>
      </c>
      <c r="AM135" s="43" t="n">
        <v>730.844650693276</v>
      </c>
      <c r="AN135" s="74"/>
      <c r="AO135" s="75" t="n">
        <v>41.2357142857143</v>
      </c>
      <c r="AP135" s="76" t="n">
        <v>1.50098</v>
      </c>
      <c r="AQ135" s="76" t="n">
        <v>1.41026142857143</v>
      </c>
      <c r="AR135" s="76" t="n">
        <v>1.83911285714286</v>
      </c>
      <c r="AS135" s="77" t="n">
        <v>39.0089857142857</v>
      </c>
      <c r="AT135" s="78" t="n">
        <v>39.1364224567789</v>
      </c>
      <c r="AU135" s="78" t="n">
        <v>36.4</v>
      </c>
      <c r="AV135" s="78" t="n">
        <v>34.2</v>
      </c>
      <c r="AW135" s="78" t="n">
        <v>44.6</v>
      </c>
      <c r="AX135" s="78" t="n">
        <v>34</v>
      </c>
      <c r="AY135" s="48" t="n">
        <v>1.57756257330124</v>
      </c>
      <c r="AZ135" s="48" t="n">
        <v>26.9705786830438</v>
      </c>
      <c r="BA135" s="48" t="n">
        <v>-2.16242012304377</v>
      </c>
      <c r="BB135" s="49" t="n">
        <f aca="false">AT135/V135</f>
        <v>1.57756257330124</v>
      </c>
      <c r="BC135" s="49" t="n">
        <f aca="false">AS135/V135</f>
        <v>1.57242568487863</v>
      </c>
      <c r="BD135" s="49" t="n">
        <f aca="false">SUM(AP135:AR135)/V135</f>
        <v>0.191483550632155</v>
      </c>
      <c r="BE135" s="50" t="n">
        <v>6.65</v>
      </c>
      <c r="BF135" s="51" t="n">
        <v>189.014449364839</v>
      </c>
      <c r="BG135" s="51" t="n">
        <v>561.656276087813</v>
      </c>
      <c r="BH135" s="51" t="n">
        <v>280.785340840058</v>
      </c>
      <c r="BI135" s="51" t="n">
        <v>115.297138546673</v>
      </c>
      <c r="BJ135" s="51" t="n">
        <v>8.73477946214843</v>
      </c>
      <c r="BK135" s="51" t="n">
        <v>17.0240831554212</v>
      </c>
      <c r="BL135" s="51" t="n">
        <v>11.5272575297766</v>
      </c>
      <c r="BM135" s="51"/>
      <c r="BN135" s="52" t="n">
        <f aca="false">(BG135*0.5-BH135*0.25+BI135*0.5)/SUM(BG135:BI135)*1000</f>
        <v>280.11852979083</v>
      </c>
      <c r="BO135" s="53" t="n">
        <v>4.38384832</v>
      </c>
      <c r="BP135" s="54" t="s">
        <v>77</v>
      </c>
      <c r="BQ135" s="55" t="n">
        <v>455.61959378418</v>
      </c>
      <c r="BR135" s="56" t="n">
        <v>18.365715967279</v>
      </c>
      <c r="BS135" s="56" t="n">
        <v>25.8525829141239</v>
      </c>
      <c r="BT135" s="56" t="n">
        <v>11.6418304275858</v>
      </c>
      <c r="BU135" s="55"/>
      <c r="BV135" s="55"/>
      <c r="BW135" s="55"/>
      <c r="BX135" s="55"/>
      <c r="BY135" s="79" t="n">
        <v>0.0782608695652174</v>
      </c>
      <c r="BZ135" s="80" t="n">
        <v>0.3374945</v>
      </c>
      <c r="CA135" s="81" t="n">
        <v>4.34</v>
      </c>
      <c r="CB135" s="81" t="n">
        <v>0.686</v>
      </c>
      <c r="CC135" s="82" t="n">
        <v>5.278824</v>
      </c>
      <c r="CD135" s="82" t="n">
        <v>6.695438</v>
      </c>
      <c r="CE135" s="83" t="n">
        <v>85.458788</v>
      </c>
      <c r="CF135" s="84" t="n">
        <v>35.4355</v>
      </c>
      <c r="CG135" s="80" t="n">
        <v>0.449</v>
      </c>
      <c r="CH135" s="63" t="n">
        <v>17.2408782201081</v>
      </c>
      <c r="CI135" s="63" t="n">
        <v>7095.50360482265</v>
      </c>
      <c r="CJ135" s="64" t="n">
        <v>892372.43999701</v>
      </c>
      <c r="CK135" s="65" t="n">
        <v>0.7951280526824</v>
      </c>
    </row>
    <row r="136" customFormat="false" ht="15" hidden="false" customHeight="false" outlineLevel="0" collapsed="false">
      <c r="A136" s="7" t="s">
        <v>73</v>
      </c>
      <c r="B136" s="66" t="n">
        <v>134</v>
      </c>
      <c r="C136" s="8" t="s">
        <v>212</v>
      </c>
      <c r="D136" s="67" t="n">
        <v>41722</v>
      </c>
      <c r="E136" s="4" t="s">
        <v>75</v>
      </c>
      <c r="F136" s="7" t="n">
        <v>301</v>
      </c>
      <c r="G136" s="68" t="n">
        <v>1</v>
      </c>
      <c r="H136" s="68" t="n">
        <v>113</v>
      </c>
      <c r="I136" s="66" t="n">
        <v>2</v>
      </c>
      <c r="J136" s="69" t="n">
        <v>556.952380952381</v>
      </c>
      <c r="K136" s="31" t="n">
        <v>561.877878540377</v>
      </c>
      <c r="L136" s="31" t="n">
        <v>938.480821835986</v>
      </c>
      <c r="M136" s="31" t="n">
        <v>170.297665251475</v>
      </c>
      <c r="N136" s="31" t="n">
        <v>344.318643487719</v>
      </c>
      <c r="O136" s="32"/>
      <c r="P136" s="33" t="n">
        <v>69.371688886037</v>
      </c>
      <c r="Q136" s="33" t="n">
        <v>10.9808633291955</v>
      </c>
      <c r="R136" s="31" t="n">
        <v>131.81940149838</v>
      </c>
      <c r="S136" s="34" t="s">
        <v>76</v>
      </c>
      <c r="T136" s="35" t="n">
        <v>11.8073359642857</v>
      </c>
      <c r="U136" s="35" t="n">
        <v>3.31776478571429</v>
      </c>
      <c r="V136" s="70" t="n">
        <v>15.12510075</v>
      </c>
      <c r="W136" s="35" t="n">
        <v>14.1920909111138</v>
      </c>
      <c r="X136" s="35" t="n">
        <v>2.63542312860128</v>
      </c>
      <c r="Y136" s="35" t="n">
        <v>4.74765520642265</v>
      </c>
      <c r="Z136" s="35"/>
      <c r="AA136" s="35" t="n">
        <v>0.930083285182781</v>
      </c>
      <c r="AB136" s="35" t="n">
        <v>0.15310847808367</v>
      </c>
      <c r="AC136" s="71" t="n">
        <v>2.25141552257664</v>
      </c>
      <c r="AD136" s="38" t="n">
        <v>2.86762278812946</v>
      </c>
      <c r="AE136" s="38" t="n">
        <v>2.43645778306685</v>
      </c>
      <c r="AF136" s="38" t="n">
        <v>0.660751940705174</v>
      </c>
      <c r="AG136" s="72"/>
      <c r="AH136" s="72"/>
      <c r="AI136" s="73" t="n">
        <v>53.3921262996875</v>
      </c>
      <c r="AJ136" s="42" t="s">
        <v>16</v>
      </c>
      <c r="AK136" s="43" t="n">
        <v>810.406367830015</v>
      </c>
      <c r="AL136" s="43" t="n">
        <v>828.322845567536</v>
      </c>
      <c r="AM136" s="43" t="n">
        <v>749.280510771012</v>
      </c>
      <c r="AN136" s="74"/>
      <c r="AO136" s="75" t="n">
        <v>29.35</v>
      </c>
      <c r="AP136" s="76" t="n">
        <v>1.34291173728814</v>
      </c>
      <c r="AQ136" s="76" t="n">
        <v>1.03869152542373</v>
      </c>
      <c r="AR136" s="76" t="n">
        <v>1.36012377118644</v>
      </c>
      <c r="AS136" s="77" t="n">
        <v>31.883676059322</v>
      </c>
      <c r="AT136" s="78" t="n">
        <v>31.7432632575839</v>
      </c>
      <c r="AU136" s="78" t="n">
        <v>45.7550847457627</v>
      </c>
      <c r="AV136" s="78" t="n">
        <v>35.3898305084746</v>
      </c>
      <c r="AW136" s="78" t="n">
        <v>46.3415254237288</v>
      </c>
      <c r="AX136" s="78" t="n">
        <v>34.4152542372881</v>
      </c>
      <c r="AY136" s="48" t="n">
        <v>2.09871416939711</v>
      </c>
      <c r="AZ136" s="48" t="n">
        <v>22.4470631573644</v>
      </c>
      <c r="BA136" s="48" t="n">
        <v>-7.32196240736442</v>
      </c>
      <c r="BB136" s="49" t="n">
        <f aca="false">AT136/V136</f>
        <v>2.09871416939711</v>
      </c>
      <c r="BC136" s="49" t="n">
        <f aca="false">AS136/V136</f>
        <v>2.10799759858274</v>
      </c>
      <c r="BD136" s="49" t="n">
        <f aca="false">SUM(AP136:AR136)/V136</f>
        <v>0.247385263460034</v>
      </c>
      <c r="BE136" s="50" t="n">
        <v>7.1</v>
      </c>
      <c r="BF136" s="51" t="n">
        <v>168.287473673372</v>
      </c>
      <c r="BG136" s="51" t="n">
        <v>631.017598104299</v>
      </c>
      <c r="BH136" s="51" t="n">
        <v>205.690440735625</v>
      </c>
      <c r="BI136" s="51" t="n">
        <v>120.439620699586</v>
      </c>
      <c r="BJ136" s="51" t="n">
        <v>10.1015517968858</v>
      </c>
      <c r="BK136" s="51" t="n">
        <v>13.2790571640041</v>
      </c>
      <c r="BL136" s="51" t="n">
        <v>14.4966071214909</v>
      </c>
      <c r="BM136" s="51"/>
      <c r="BN136" s="52" t="n">
        <f aca="false">(BG136*0.5-BH136*0.25+BI136*0.5)/SUM(BG136:BI136)*1000</f>
        <v>338.825463329307</v>
      </c>
      <c r="BO136" s="53" t="n">
        <v>12.17025804</v>
      </c>
      <c r="BP136" s="54" t="s">
        <v>77</v>
      </c>
      <c r="BQ136" s="55" t="n">
        <v>494.089812099906</v>
      </c>
      <c r="BR136" s="56" t="n">
        <v>32.6668774156698</v>
      </c>
      <c r="BS136" s="56" t="n">
        <v>42.030046933082</v>
      </c>
      <c r="BT136" s="56" t="n">
        <v>15.5651864803742</v>
      </c>
      <c r="BU136" s="55"/>
      <c r="BV136" s="55"/>
      <c r="BW136" s="55"/>
      <c r="BX136" s="55"/>
      <c r="BY136" s="79" t="n">
        <v>0.0684782608695652</v>
      </c>
      <c r="BZ136" s="80" t="n">
        <v>0.5058647</v>
      </c>
      <c r="CA136" s="81" t="n">
        <v>3.48</v>
      </c>
      <c r="CB136" s="81" t="n">
        <v>0.273</v>
      </c>
      <c r="CC136" s="82" t="n">
        <v>6.417224</v>
      </c>
      <c r="CD136" s="82" t="n">
        <v>4.637868</v>
      </c>
      <c r="CE136" s="83" t="n">
        <v>82.660108</v>
      </c>
      <c r="CF136" s="84" t="n">
        <v>37.22674</v>
      </c>
      <c r="CG136" s="80" t="n">
        <v>0.1235</v>
      </c>
      <c r="CH136" s="63" t="n">
        <v>30919.0392724125</v>
      </c>
      <c r="CI136" s="63" t="n">
        <v>1659.41305112135</v>
      </c>
      <c r="CJ136" s="64" t="n">
        <v>303953.680562824</v>
      </c>
      <c r="CK136" s="65" t="n">
        <v>0.545942739712397</v>
      </c>
    </row>
    <row r="137" customFormat="false" ht="15" hidden="false" customHeight="false" outlineLevel="0" collapsed="false">
      <c r="A137" s="7" t="s">
        <v>73</v>
      </c>
      <c r="B137" s="66" t="n">
        <v>135</v>
      </c>
      <c r="C137" s="8" t="s">
        <v>213</v>
      </c>
      <c r="D137" s="67" t="n">
        <v>41757</v>
      </c>
      <c r="E137" s="4" t="s">
        <v>75</v>
      </c>
      <c r="F137" s="7" t="n">
        <v>124</v>
      </c>
      <c r="G137" s="68" t="n">
        <v>1</v>
      </c>
      <c r="H137" s="68" t="n">
        <v>105</v>
      </c>
      <c r="I137" s="66" t="n">
        <v>3</v>
      </c>
      <c r="J137" s="69" t="n">
        <v>700.011904761905</v>
      </c>
      <c r="K137" s="31" t="n">
        <v>562.320765481806</v>
      </c>
      <c r="L137" s="31" t="n">
        <v>937.72660758843</v>
      </c>
      <c r="M137" s="31" t="n">
        <v>171.588403155321</v>
      </c>
      <c r="N137" s="31" t="n">
        <v>347.814594767761</v>
      </c>
      <c r="O137" s="32"/>
      <c r="P137" s="33" t="n">
        <v>71.050293535186</v>
      </c>
      <c r="Q137" s="33" t="n">
        <v>10.7701479954284</v>
      </c>
      <c r="R137" s="31" t="n">
        <v>123.566485977534</v>
      </c>
      <c r="S137" s="34" t="s">
        <v>76</v>
      </c>
      <c r="T137" s="35" t="n">
        <v>11.5748914542857</v>
      </c>
      <c r="U137" s="35" t="n">
        <v>4.11706428571429</v>
      </c>
      <c r="V137" s="70" t="n">
        <v>15.69195574</v>
      </c>
      <c r="W137" s="35" t="n">
        <v>14.7147349313737</v>
      </c>
      <c r="X137" s="35" t="n">
        <v>2.76126885601959</v>
      </c>
      <c r="Y137" s="35" t="n">
        <v>4.87243034295479</v>
      </c>
      <c r="Z137" s="35"/>
      <c r="AA137" s="35" t="n">
        <v>0.960126672111742</v>
      </c>
      <c r="AB137" s="35" t="n">
        <v>0.153767387668537</v>
      </c>
      <c r="AC137" s="71" t="n">
        <v>2.29267926753779</v>
      </c>
      <c r="AD137" s="38" t="n">
        <v>3.37650723670291</v>
      </c>
      <c r="AE137" s="38" t="n">
        <v>2.90612593801955</v>
      </c>
      <c r="AF137" s="38" t="n">
        <v>0.640400858154007</v>
      </c>
      <c r="AG137" s="72"/>
      <c r="AH137" s="72"/>
      <c r="AI137" s="73" t="n">
        <v>45.5403696450203</v>
      </c>
      <c r="AJ137" s="42" t="s">
        <v>16</v>
      </c>
      <c r="AK137" s="43" t="n">
        <v>784.825595187225</v>
      </c>
      <c r="AL137" s="43" t="n">
        <v>802.502324943461</v>
      </c>
      <c r="AM137" s="43" t="n">
        <v>768.077325481028</v>
      </c>
      <c r="AN137" s="74"/>
      <c r="AO137" s="75" t="n">
        <v>32.2357142857143</v>
      </c>
      <c r="AP137" s="76" t="n">
        <v>1.7344767965368</v>
      </c>
      <c r="AQ137" s="76" t="n">
        <v>1.12180285714286</v>
      </c>
      <c r="AR137" s="76" t="n">
        <v>1.44363250649351</v>
      </c>
      <c r="AS137" s="77" t="n">
        <v>38.9114376623377</v>
      </c>
      <c r="AT137" s="78" t="n">
        <v>37.6188061762208</v>
      </c>
      <c r="AU137" s="78" t="n">
        <v>53.8060606060606</v>
      </c>
      <c r="AV137" s="78" t="n">
        <v>34.8</v>
      </c>
      <c r="AW137" s="78" t="n">
        <v>44.7836363636364</v>
      </c>
      <c r="AX137" s="78" t="n">
        <v>26.4757575757576</v>
      </c>
      <c r="AY137" s="48" t="n">
        <v>2.39733063230147</v>
      </c>
      <c r="AZ137" s="48" t="n">
        <v>26.8814957851664</v>
      </c>
      <c r="BA137" s="48" t="n">
        <v>-11.1895400451664</v>
      </c>
      <c r="BB137" s="49" t="n">
        <f aca="false">AT137/V137</f>
        <v>2.39733063230147</v>
      </c>
      <c r="BC137" s="49" t="n">
        <f aca="false">AS137/V137</f>
        <v>2.47970605494059</v>
      </c>
      <c r="BD137" s="49" t="n">
        <f aca="false">SUM(AP137:AR137)/V137</f>
        <v>0.274020156022513</v>
      </c>
      <c r="BE137" s="50" t="n">
        <v>6.88</v>
      </c>
      <c r="BF137" s="51" t="n">
        <v>195.728441175657</v>
      </c>
      <c r="BG137" s="51" t="n">
        <v>591.967461213404</v>
      </c>
      <c r="BH137" s="51" t="n">
        <v>208.17303971442</v>
      </c>
      <c r="BI137" s="51" t="n">
        <v>154.422906312781</v>
      </c>
      <c r="BJ137" s="51" t="n">
        <v>9.66861100706254</v>
      </c>
      <c r="BK137" s="51" t="n">
        <v>15.4755211292718</v>
      </c>
      <c r="BL137" s="51" t="n">
        <v>15.317336244951</v>
      </c>
      <c r="BM137" s="51"/>
      <c r="BN137" s="52" t="n">
        <f aca="false">(BG137*0.5-BH137*0.25+BI137*0.5)/SUM(BG137:BI137)*1000</f>
        <v>336.438544991846</v>
      </c>
      <c r="BO137" s="53" t="n">
        <v>13.23027952</v>
      </c>
      <c r="BP137" s="54" t="s">
        <v>77</v>
      </c>
      <c r="BQ137" s="55" t="n">
        <v>416.474347696351</v>
      </c>
      <c r="BR137" s="56" t="n">
        <v>26.5406272230762</v>
      </c>
      <c r="BS137" s="56" t="n">
        <v>35.2687050549934</v>
      </c>
      <c r="BT137" s="56" t="n">
        <v>11.0709081448631</v>
      </c>
      <c r="BU137" s="55"/>
      <c r="BV137" s="55"/>
      <c r="BW137" s="55"/>
      <c r="BX137" s="55"/>
      <c r="BY137" s="79" t="n">
        <v>0.0880434782608696</v>
      </c>
      <c r="BZ137" s="80" t="n">
        <v>0.6978824</v>
      </c>
      <c r="CA137" s="81" t="n">
        <v>3.38</v>
      </c>
      <c r="CB137" s="81" t="n">
        <v>0.493</v>
      </c>
      <c r="CC137" s="82" t="n">
        <v>5.89356</v>
      </c>
      <c r="CD137" s="82" t="n">
        <v>6.541888</v>
      </c>
      <c r="CE137" s="83" t="n">
        <v>80.935516</v>
      </c>
      <c r="CF137" s="84" t="n">
        <v>34.89914</v>
      </c>
      <c r="CG137" s="80" t="n">
        <v>0.5015</v>
      </c>
      <c r="CH137" s="63" t="n">
        <v>112521.609512778</v>
      </c>
      <c r="CI137" s="63" t="n">
        <v>1754.39699801109</v>
      </c>
      <c r="CJ137" s="64" t="n">
        <v>205882.888869765</v>
      </c>
      <c r="CK137" s="65" t="n">
        <v>0.8521334665752</v>
      </c>
    </row>
    <row r="138" customFormat="false" ht="15" hidden="false" customHeight="false" outlineLevel="0" collapsed="false">
      <c r="A138" s="7" t="s">
        <v>73</v>
      </c>
      <c r="B138" s="66" t="n">
        <v>136</v>
      </c>
      <c r="C138" s="8" t="s">
        <v>214</v>
      </c>
      <c r="D138" s="67" t="n">
        <v>41722</v>
      </c>
      <c r="E138" s="4" t="s">
        <v>75</v>
      </c>
      <c r="F138" s="7" t="n">
        <v>266</v>
      </c>
      <c r="G138" s="68" t="n">
        <v>1</v>
      </c>
      <c r="H138" s="68" t="n">
        <v>82</v>
      </c>
      <c r="I138" s="66" t="n">
        <v>2</v>
      </c>
      <c r="J138" s="69" t="n">
        <v>644.046428571429</v>
      </c>
      <c r="K138" s="31" t="n">
        <v>561.877878540377</v>
      </c>
      <c r="L138" s="31" t="n">
        <v>938.480821835986</v>
      </c>
      <c r="M138" s="31" t="n">
        <v>170.297665251475</v>
      </c>
      <c r="N138" s="31" t="n">
        <v>344.318643487719</v>
      </c>
      <c r="O138" s="32"/>
      <c r="P138" s="33" t="n">
        <v>69.371688886037</v>
      </c>
      <c r="Q138" s="33" t="n">
        <v>10.9808633291955</v>
      </c>
      <c r="R138" s="31" t="n">
        <v>131.81940149838</v>
      </c>
      <c r="S138" s="34" t="s">
        <v>76</v>
      </c>
      <c r="T138" s="35" t="n">
        <v>17.7883205271429</v>
      </c>
      <c r="U138" s="35" t="n">
        <v>6.96771714285714</v>
      </c>
      <c r="V138" s="70" t="n">
        <v>24.75603767</v>
      </c>
      <c r="W138" s="35" t="n">
        <v>23.227761515641</v>
      </c>
      <c r="X138" s="35" t="n">
        <v>4.34117575435858</v>
      </c>
      <c r="Y138" s="35" t="n">
        <v>7.55749045748138</v>
      </c>
      <c r="Z138" s="35"/>
      <c r="AA138" s="35" t="n">
        <v>1.46709533061247</v>
      </c>
      <c r="AB138" s="35" t="n">
        <v>0.244586867350129</v>
      </c>
      <c r="AC138" s="71" t="n">
        <v>3.80438895927947</v>
      </c>
      <c r="AD138" s="38" t="n">
        <v>6.8069961070873</v>
      </c>
      <c r="AE138" s="38" t="n">
        <v>5.99605664765989</v>
      </c>
      <c r="AF138" s="38" t="n">
        <v>1.33541932465591</v>
      </c>
      <c r="AG138" s="72"/>
      <c r="AH138" s="72"/>
      <c r="AI138" s="73" t="n">
        <v>35.9316890302714</v>
      </c>
      <c r="AJ138" s="42" t="s">
        <v>16</v>
      </c>
      <c r="AK138" s="43" t="n">
        <v>725.03693047227</v>
      </c>
      <c r="AL138" s="43" t="n">
        <v>741.858179333282</v>
      </c>
      <c r="AM138" s="43" t="n">
        <v>692.383031644104</v>
      </c>
      <c r="AN138" s="74"/>
      <c r="AO138" s="75" t="n">
        <v>41.5785714285714</v>
      </c>
      <c r="AP138" s="76" t="n">
        <v>2.02165612745098</v>
      </c>
      <c r="AQ138" s="76" t="n">
        <v>1.33300084733894</v>
      </c>
      <c r="AR138" s="76" t="n">
        <v>1.90495078431373</v>
      </c>
      <c r="AS138" s="77" t="n">
        <v>46.9562704831933</v>
      </c>
      <c r="AT138" s="78" t="n">
        <v>45.2409594229603</v>
      </c>
      <c r="AU138" s="78" t="n">
        <v>48.6225490196078</v>
      </c>
      <c r="AV138" s="78" t="n">
        <v>32.0598039215686</v>
      </c>
      <c r="AW138" s="78" t="n">
        <v>45.8156862745098</v>
      </c>
      <c r="AX138" s="78" t="n">
        <v>28</v>
      </c>
      <c r="AY138" s="48" t="n">
        <v>1.82747174753997</v>
      </c>
      <c r="AZ138" s="48" t="n">
        <v>28.2871573081329</v>
      </c>
      <c r="BA138" s="48" t="n">
        <v>-3.53111963813289</v>
      </c>
      <c r="BB138" s="49" t="n">
        <f aca="false">AT138/V138</f>
        <v>1.82747174753997</v>
      </c>
      <c r="BC138" s="49" t="n">
        <f aca="false">AS138/V138</f>
        <v>1.89676034222941</v>
      </c>
      <c r="BD138" s="49" t="n">
        <f aca="false">SUM(AP138:AR138)/V138</f>
        <v>0.212457576176553</v>
      </c>
      <c r="BE138" s="50" t="n">
        <v>7.08</v>
      </c>
      <c r="BF138" s="51" t="n">
        <v>161.599267164366</v>
      </c>
      <c r="BG138" s="51" t="n">
        <v>586.465635807295</v>
      </c>
      <c r="BH138" s="51" t="n">
        <v>230.139603704352</v>
      </c>
      <c r="BI138" s="51" t="n">
        <v>139.377653915854</v>
      </c>
      <c r="BJ138" s="51" t="n">
        <v>9.31585383439027</v>
      </c>
      <c r="BK138" s="51" t="n">
        <v>17.492940036275</v>
      </c>
      <c r="BL138" s="51" t="n">
        <v>12.233188323724</v>
      </c>
      <c r="BM138" s="51"/>
      <c r="BN138" s="52" t="n">
        <f aca="false">(BG138*0.5-BH138*0.25+BI138*0.5)/SUM(BG138:BI138)*1000</f>
        <v>319.447916939788</v>
      </c>
      <c r="BO138" s="53" t="n">
        <v>8.36015646</v>
      </c>
      <c r="BP138" s="54" t="s">
        <v>77</v>
      </c>
      <c r="BQ138" s="55" t="n">
        <v>454.026297810226</v>
      </c>
      <c r="BR138" s="56" t="n">
        <v>18.340022901178</v>
      </c>
      <c r="BS138" s="56" t="n">
        <v>26.3483097748424</v>
      </c>
      <c r="BT138" s="56" t="n">
        <v>10.0357353955629</v>
      </c>
      <c r="BU138" s="55"/>
      <c r="BV138" s="55"/>
      <c r="BW138" s="55"/>
      <c r="BX138" s="55"/>
      <c r="BY138" s="79" t="n">
        <v>0.195652173913044</v>
      </c>
      <c r="BZ138" s="80" t="n">
        <v>0.5257286</v>
      </c>
      <c r="CA138" s="81" t="n">
        <v>3.6</v>
      </c>
      <c r="CB138" s="81" t="n">
        <v>0.895</v>
      </c>
      <c r="CC138" s="82" t="n">
        <v>5.278824</v>
      </c>
      <c r="CD138" s="82" t="n">
        <v>5.024814</v>
      </c>
      <c r="CE138" s="83" t="n">
        <v>83.953552</v>
      </c>
      <c r="CF138" s="84" t="n">
        <v>37.49998</v>
      </c>
      <c r="CG138" s="80" t="n">
        <v>0.1235</v>
      </c>
      <c r="CH138" s="63" t="n">
        <v>125923.829370175</v>
      </c>
      <c r="CI138" s="63" t="n">
        <v>725.183718845232</v>
      </c>
      <c r="CJ138" s="64" t="n">
        <v>137443.513420089</v>
      </c>
      <c r="CK138" s="65" t="n">
        <v>0.527623094608144</v>
      </c>
    </row>
    <row r="139" customFormat="false" ht="15" hidden="false" customHeight="false" outlineLevel="0" collapsed="false">
      <c r="A139" s="7" t="s">
        <v>73</v>
      </c>
      <c r="B139" s="66" t="n">
        <v>137</v>
      </c>
      <c r="C139" s="8" t="s">
        <v>215</v>
      </c>
      <c r="D139" s="67" t="n">
        <v>41722</v>
      </c>
      <c r="E139" s="4" t="s">
        <v>75</v>
      </c>
      <c r="F139" s="7" t="n">
        <v>297</v>
      </c>
      <c r="G139" s="68" t="n">
        <v>1</v>
      </c>
      <c r="H139" s="68" t="n">
        <v>107</v>
      </c>
      <c r="I139" s="66" t="n">
        <v>2</v>
      </c>
      <c r="J139" s="69" t="n">
        <v>611.582142857143</v>
      </c>
      <c r="K139" s="31" t="n">
        <v>561.877878540377</v>
      </c>
      <c r="L139" s="31" t="n">
        <v>938.480821835986</v>
      </c>
      <c r="M139" s="31" t="n">
        <v>170.297665251475</v>
      </c>
      <c r="N139" s="31" t="n">
        <v>344.318643487719</v>
      </c>
      <c r="O139" s="32"/>
      <c r="P139" s="33" t="n">
        <v>69.371688886037</v>
      </c>
      <c r="Q139" s="33" t="n">
        <v>10.9808633291955</v>
      </c>
      <c r="R139" s="31" t="n">
        <v>131.81940149838</v>
      </c>
      <c r="S139" s="34" t="s">
        <v>76</v>
      </c>
      <c r="T139" s="35" t="n">
        <v>19.1617731185714</v>
      </c>
      <c r="U139" s="35" t="n">
        <v>8.23842357142857</v>
      </c>
      <c r="V139" s="70" t="n">
        <v>27.40019669</v>
      </c>
      <c r="W139" s="35" t="n">
        <v>25.7082865586496</v>
      </c>
      <c r="X139" s="35" t="n">
        <v>4.81431730659181</v>
      </c>
      <c r="Y139" s="35" t="n">
        <v>8.29166715133136</v>
      </c>
      <c r="Z139" s="35"/>
      <c r="AA139" s="35" t="n">
        <v>1.60488271626057</v>
      </c>
      <c r="AB139" s="35" t="n">
        <v>0.268651361055517</v>
      </c>
      <c r="AC139" s="71" t="n">
        <v>4.2516143572529</v>
      </c>
      <c r="AD139" s="38" t="n">
        <v>6.13820556478694</v>
      </c>
      <c r="AE139" s="38" t="n">
        <v>5.37869466656295</v>
      </c>
      <c r="AF139" s="38" t="n">
        <v>1.06722449429197</v>
      </c>
      <c r="AG139" s="72"/>
      <c r="AH139" s="72"/>
      <c r="AI139" s="73" t="n">
        <v>43.7670844060176</v>
      </c>
      <c r="AJ139" s="42" t="s">
        <v>16</v>
      </c>
      <c r="AK139" s="43" t="n">
        <v>775.979507219116</v>
      </c>
      <c r="AL139" s="43" t="n">
        <v>790.779729551705</v>
      </c>
      <c r="AM139" s="43" t="n">
        <v>778.322776350717</v>
      </c>
      <c r="AN139" s="74"/>
      <c r="AO139" s="75" t="n">
        <v>45.65</v>
      </c>
      <c r="AP139" s="76" t="n">
        <v>1.43128569306931</v>
      </c>
      <c r="AQ139" s="76" t="n">
        <v>1.45180559405941</v>
      </c>
      <c r="AR139" s="76" t="n">
        <v>2.15495118811881</v>
      </c>
      <c r="AS139" s="77" t="n">
        <v>39.7292853960396</v>
      </c>
      <c r="AT139" s="78" t="n">
        <v>40.2992946090055</v>
      </c>
      <c r="AU139" s="78" t="n">
        <v>31.3534653465347</v>
      </c>
      <c r="AV139" s="78" t="n">
        <v>31.8029702970297</v>
      </c>
      <c r="AW139" s="78" t="n">
        <v>47.2059405940594</v>
      </c>
      <c r="AX139" s="78" t="n">
        <v>35.4851485148515</v>
      </c>
      <c r="AY139" s="48" t="n">
        <v>1.47076661766129</v>
      </c>
      <c r="AZ139" s="48" t="n">
        <v>25.9830710132531</v>
      </c>
      <c r="BA139" s="48" t="n">
        <v>1.41712567674693</v>
      </c>
      <c r="BB139" s="49" t="n">
        <f aca="false">AT139/V139</f>
        <v>1.47076661766129</v>
      </c>
      <c r="BC139" s="49" t="n">
        <f aca="false">AS139/V139</f>
        <v>1.44996351104805</v>
      </c>
      <c r="BD139" s="49" t="n">
        <f aca="false">SUM(AP139:AR139)/V139</f>
        <v>0.183868843433748</v>
      </c>
      <c r="BE139" s="50" t="n">
        <v>7.12</v>
      </c>
      <c r="BF139" s="51" t="n">
        <v>121.579601311924</v>
      </c>
      <c r="BG139" s="51" t="n">
        <v>596.342220801206</v>
      </c>
      <c r="BH139" s="51" t="n">
        <v>209.051448635414</v>
      </c>
      <c r="BI139" s="51" t="n">
        <v>144.549484844376</v>
      </c>
      <c r="BJ139" s="51" t="n">
        <v>13.5099767186239</v>
      </c>
      <c r="BK139" s="51" t="n">
        <v>14.6798385339916</v>
      </c>
      <c r="BL139" s="51" t="n">
        <v>16.8919060882802</v>
      </c>
      <c r="BM139" s="51"/>
      <c r="BN139" s="52" t="n">
        <f aca="false">(BG139*0.5-BH139*0.25+BI139*0.5)/SUM(BG139:BI139)*1000</f>
        <v>334.949506431011</v>
      </c>
      <c r="BO139" s="53" t="n">
        <v>7.90977506</v>
      </c>
      <c r="BP139" s="54" t="s">
        <v>77</v>
      </c>
      <c r="BQ139" s="55" t="n">
        <v>572.030999864372</v>
      </c>
      <c r="BR139" s="56" t="n">
        <v>20.8768939265732</v>
      </c>
      <c r="BS139" s="56" t="n">
        <v>28.1378496381443</v>
      </c>
      <c r="BT139" s="56" t="n">
        <v>14.1945660690682</v>
      </c>
      <c r="BU139" s="55"/>
      <c r="BV139" s="55"/>
      <c r="BW139" s="55"/>
      <c r="BX139" s="55"/>
      <c r="BY139" s="79" t="n">
        <v>0.185869565217391</v>
      </c>
      <c r="BZ139" s="80" t="n">
        <v>0.5465384</v>
      </c>
      <c r="CA139" s="81" t="n">
        <v>3.34</v>
      </c>
      <c r="CB139" s="81" t="n">
        <v>0.635</v>
      </c>
      <c r="CC139" s="82" t="n">
        <v>5.768336</v>
      </c>
      <c r="CD139" s="82" t="n">
        <v>6.646302</v>
      </c>
      <c r="CE139" s="83" t="n">
        <v>85.1411</v>
      </c>
      <c r="CF139" s="84" t="n">
        <v>40.21214</v>
      </c>
      <c r="CG139" s="80" t="n">
        <v>0.134</v>
      </c>
      <c r="CH139" s="63" t="n">
        <v>180381.0944993</v>
      </c>
      <c r="CI139" s="63" t="n">
        <v>770.81967564813</v>
      </c>
      <c r="CJ139" s="64" t="n">
        <v>119663.340005176</v>
      </c>
      <c r="CK139" s="65" t="n">
        <v>0.644156911895314</v>
      </c>
    </row>
    <row r="140" customFormat="false" ht="15" hidden="false" customHeight="false" outlineLevel="0" collapsed="false">
      <c r="A140" s="7" t="s">
        <v>73</v>
      </c>
      <c r="B140" s="66" t="n">
        <v>138</v>
      </c>
      <c r="C140" s="8" t="s">
        <v>216</v>
      </c>
      <c r="D140" s="67" t="n">
        <v>41722</v>
      </c>
      <c r="E140" s="4" t="s">
        <v>75</v>
      </c>
      <c r="F140" s="7" t="n">
        <v>330</v>
      </c>
      <c r="G140" s="68" t="n">
        <v>1</v>
      </c>
      <c r="H140" s="68" t="n">
        <v>101</v>
      </c>
      <c r="I140" s="66" t="n">
        <v>1</v>
      </c>
      <c r="J140" s="69" t="n">
        <v>561.833333333333</v>
      </c>
      <c r="K140" s="31" t="n">
        <v>561.877878540377</v>
      </c>
      <c r="L140" s="31" t="n">
        <v>938.480821835986</v>
      </c>
      <c r="M140" s="31" t="n">
        <v>170.297665251475</v>
      </c>
      <c r="N140" s="31" t="n">
        <v>344.318643487719</v>
      </c>
      <c r="O140" s="32"/>
      <c r="P140" s="33" t="n">
        <v>69.371688886037</v>
      </c>
      <c r="Q140" s="33" t="n">
        <v>10.9808633291955</v>
      </c>
      <c r="R140" s="31" t="n">
        <v>131.81940149838</v>
      </c>
      <c r="S140" s="34" t="s">
        <v>76</v>
      </c>
      <c r="T140" s="35" t="n">
        <v>22.7398523685714</v>
      </c>
      <c r="U140" s="35" t="n">
        <v>7.51342757142857</v>
      </c>
      <c r="V140" s="70" t="n">
        <v>30.25327994</v>
      </c>
      <c r="W140" s="35" t="n">
        <v>28.3864024674395</v>
      </c>
      <c r="X140" s="35" t="n">
        <v>5.28715521317379</v>
      </c>
      <c r="Y140" s="35" t="n">
        <v>9.3745993118718</v>
      </c>
      <c r="Z140" s="35"/>
      <c r="AA140" s="35" t="n">
        <v>1.82884698672338</v>
      </c>
      <c r="AB140" s="35" t="n">
        <v>0.3028166638447</v>
      </c>
      <c r="AC140" s="71" t="n">
        <v>4.57140809927945</v>
      </c>
      <c r="AD140" s="38" t="n">
        <v>7.47154569262759</v>
      </c>
      <c r="AE140" s="38" t="n">
        <v>6.57941411348964</v>
      </c>
      <c r="AF140" s="38" t="n">
        <v>1.3072023350184</v>
      </c>
      <c r="AG140" s="72"/>
      <c r="AH140" s="72"/>
      <c r="AI140" s="73" t="n">
        <v>40.5293196752445</v>
      </c>
      <c r="AJ140" s="42" t="s">
        <v>16</v>
      </c>
      <c r="AK140" s="43" t="n">
        <v>753.033531985769</v>
      </c>
      <c r="AL140" s="43" t="n">
        <v>768.219515627719</v>
      </c>
      <c r="AM140" s="43" t="n">
        <v>752.758850021786</v>
      </c>
      <c r="AN140" s="74"/>
      <c r="AO140" s="75" t="n">
        <v>41.6214285714286</v>
      </c>
      <c r="AP140" s="76" t="n">
        <v>1.65365748364231</v>
      </c>
      <c r="AQ140" s="76" t="n">
        <v>1.32729464830971</v>
      </c>
      <c r="AR140" s="76" t="n">
        <v>1.90065365594329</v>
      </c>
      <c r="AS140" s="77" t="n">
        <v>41.4534336832061</v>
      </c>
      <c r="AT140" s="78" t="n">
        <v>40.6859831698491</v>
      </c>
      <c r="AU140" s="78" t="n">
        <v>39.7309160305343</v>
      </c>
      <c r="AV140" s="78" t="n">
        <v>31.8896946564886</v>
      </c>
      <c r="AW140" s="78" t="n">
        <v>45.6652671755725</v>
      </c>
      <c r="AX140" s="78" t="n">
        <v>45.530534351145</v>
      </c>
      <c r="AY140" s="48" t="n">
        <v>1.34484536058701</v>
      </c>
      <c r="AZ140" s="48" t="n">
        <v>25.7680132000546</v>
      </c>
      <c r="BA140" s="48" t="n">
        <v>4.48526673994544</v>
      </c>
      <c r="BB140" s="49" t="n">
        <f aca="false">AT140/V140</f>
        <v>1.34484536058701</v>
      </c>
      <c r="BC140" s="49" t="n">
        <f aca="false">AS140/V140</f>
        <v>1.3702128749484</v>
      </c>
      <c r="BD140" s="49" t="n">
        <f aca="false">SUM(AP140:AR140)/V140</f>
        <v>0.161357902269664</v>
      </c>
      <c r="BE140" s="50" t="n">
        <v>6.59</v>
      </c>
      <c r="BF140" s="51" t="n">
        <v>140.623575378833</v>
      </c>
      <c r="BG140" s="51" t="n">
        <v>550.61183086122</v>
      </c>
      <c r="BH140" s="51" t="n">
        <v>280.612380344363</v>
      </c>
      <c r="BI140" s="51" t="n">
        <v>128.259860144633</v>
      </c>
      <c r="BJ140" s="51" t="n">
        <v>10.2279849766253</v>
      </c>
      <c r="BK140" s="51" t="n">
        <v>15.4432413975414</v>
      </c>
      <c r="BL140" s="51" t="n">
        <v>9.8695778975087</v>
      </c>
      <c r="BM140" s="51"/>
      <c r="BN140" s="52" t="n">
        <f aca="false">(BG140*0.5-BH140*0.25+BI140*0.5)/SUM(BG140:BI140)*1000</f>
        <v>280.653695519814</v>
      </c>
      <c r="BO140" s="53" t="n">
        <v>4.24254128</v>
      </c>
      <c r="BP140" s="54" t="s">
        <v>77</v>
      </c>
      <c r="BQ140" s="55" t="n">
        <v>487.51409630896</v>
      </c>
      <c r="BR140" s="56" t="n">
        <v>16.1144212222881</v>
      </c>
      <c r="BS140" s="56" t="n">
        <v>22.3558653948957</v>
      </c>
      <c r="BT140" s="56" t="n">
        <v>11.9823599757629</v>
      </c>
      <c r="BU140" s="55"/>
      <c r="BV140" s="55"/>
      <c r="BW140" s="55"/>
      <c r="BX140" s="55"/>
      <c r="BY140" s="79" t="n">
        <v>0.0782608695652174</v>
      </c>
      <c r="BZ140" s="80" t="n">
        <v>0.3299273</v>
      </c>
      <c r="CA140" s="81" t="n">
        <v>3.3</v>
      </c>
      <c r="CB140" s="81" t="n">
        <v>0.643</v>
      </c>
      <c r="CC140" s="82" t="n">
        <v>6.74736</v>
      </c>
      <c r="CD140" s="82" t="n">
        <v>5.522316</v>
      </c>
      <c r="CE140" s="83" t="n">
        <v>98.60502</v>
      </c>
      <c r="CF140" s="84" t="n">
        <v>37.5607</v>
      </c>
      <c r="CG140" s="80" t="n">
        <v>0.0395</v>
      </c>
      <c r="CH140" s="63" t="n">
        <v>54939.3051845814</v>
      </c>
      <c r="CI140" s="63" t="n">
        <v>2390.56876520188</v>
      </c>
      <c r="CJ140" s="64" t="n">
        <v>411656.6805996</v>
      </c>
      <c r="CK140" s="65" t="n">
        <v>0.580719050088021</v>
      </c>
    </row>
    <row r="141" customFormat="false" ht="15" hidden="false" customHeight="false" outlineLevel="0" collapsed="false">
      <c r="A141" s="7" t="s">
        <v>73</v>
      </c>
      <c r="B141" s="66" t="n">
        <v>139</v>
      </c>
      <c r="C141" s="8" t="s">
        <v>217</v>
      </c>
      <c r="D141" s="67" t="n">
        <v>41722</v>
      </c>
      <c r="E141" s="4" t="s">
        <v>75</v>
      </c>
      <c r="F141" s="7" t="n">
        <v>541</v>
      </c>
      <c r="G141" s="68" t="n">
        <v>1</v>
      </c>
      <c r="H141" s="68" t="n">
        <v>112</v>
      </c>
      <c r="I141" s="66" t="n">
        <v>3</v>
      </c>
      <c r="J141" s="69" t="n">
        <v>679.084523809524</v>
      </c>
      <c r="K141" s="31" t="n">
        <v>561.877878540377</v>
      </c>
      <c r="L141" s="31" t="n">
        <v>938.480821835986</v>
      </c>
      <c r="M141" s="31" t="n">
        <v>170.297665251475</v>
      </c>
      <c r="N141" s="31" t="n">
        <v>344.318643487719</v>
      </c>
      <c r="O141" s="32"/>
      <c r="P141" s="33" t="n">
        <v>69.371688886037</v>
      </c>
      <c r="Q141" s="33" t="n">
        <v>10.9808633291955</v>
      </c>
      <c r="R141" s="31" t="n">
        <v>131.81940149838</v>
      </c>
      <c r="S141" s="34" t="s">
        <v>76</v>
      </c>
      <c r="T141" s="35" t="n">
        <v>17.4469051857143</v>
      </c>
      <c r="U141" s="35" t="n">
        <v>6.30174671428571</v>
      </c>
      <c r="V141" s="70" t="n">
        <v>23.7486519</v>
      </c>
      <c r="W141" s="35" t="n">
        <v>22.2828563451333</v>
      </c>
      <c r="X141" s="35" t="n">
        <v>4.15764608647511</v>
      </c>
      <c r="Y141" s="35" t="n">
        <v>7.30300387046908</v>
      </c>
      <c r="Z141" s="35"/>
      <c r="AA141" s="35" t="n">
        <v>1.4211322110124</v>
      </c>
      <c r="AB141" s="35" t="n">
        <v>0.236129995593805</v>
      </c>
      <c r="AC141" s="71" t="n">
        <v>3.61988148770285</v>
      </c>
      <c r="AD141" s="38" t="n">
        <v>5.96773482020109</v>
      </c>
      <c r="AE141" s="38" t="n">
        <v>5.25682683519007</v>
      </c>
      <c r="AF141" s="38" t="n">
        <v>0.970751245240393</v>
      </c>
      <c r="AG141" s="72"/>
      <c r="AH141" s="72"/>
      <c r="AI141" s="73" t="n">
        <v>39.5677761676831</v>
      </c>
      <c r="AJ141" s="42" t="s">
        <v>16</v>
      </c>
      <c r="AK141" s="43" t="n">
        <v>748.712691342236</v>
      </c>
      <c r="AL141" s="43" t="n">
        <v>764.086490808518</v>
      </c>
      <c r="AM141" s="43" t="n">
        <v>766.5142186108</v>
      </c>
      <c r="AN141" s="74"/>
      <c r="AO141" s="75" t="n">
        <v>39.3571428571429</v>
      </c>
      <c r="AP141" s="76" t="n">
        <v>1.41292142857143</v>
      </c>
      <c r="AQ141" s="76" t="n">
        <v>1.27517142857143</v>
      </c>
      <c r="AR141" s="76" t="n">
        <v>1.77894285714286</v>
      </c>
      <c r="AS141" s="77" t="n">
        <v>36.9366785714286</v>
      </c>
      <c r="AT141" s="78" t="n">
        <v>36.6918621019108</v>
      </c>
      <c r="AU141" s="78" t="n">
        <v>35.9</v>
      </c>
      <c r="AV141" s="78" t="n">
        <v>32.4</v>
      </c>
      <c r="AW141" s="78" t="n">
        <v>45.2</v>
      </c>
      <c r="AX141" s="78" t="n">
        <v>33</v>
      </c>
      <c r="AY141" s="48" t="n">
        <v>1.54500820747265</v>
      </c>
      <c r="AZ141" s="48" t="n">
        <v>26.0080205923865</v>
      </c>
      <c r="BA141" s="48" t="n">
        <v>-2.25936869238655</v>
      </c>
      <c r="BB141" s="49" t="n">
        <f aca="false">AT141/V141</f>
        <v>1.54500820747265</v>
      </c>
      <c r="BC141" s="49" t="n">
        <f aca="false">AS141/V141</f>
        <v>1.55531685448758</v>
      </c>
      <c r="BD141" s="49" t="n">
        <f aca="false">SUM(AP141:AR141)/V141</f>
        <v>0.188096391032862</v>
      </c>
      <c r="BE141" s="50" t="n">
        <v>7.24</v>
      </c>
      <c r="BF141" s="51" t="n">
        <v>109.116525136104</v>
      </c>
      <c r="BG141" s="51" t="n">
        <v>598.501346480041</v>
      </c>
      <c r="BH141" s="51" t="n">
        <v>217.14908891163</v>
      </c>
      <c r="BI141" s="51" t="n">
        <v>138.358603849832</v>
      </c>
      <c r="BJ141" s="51" t="n">
        <v>12.451332014133</v>
      </c>
      <c r="BK141" s="51" t="n">
        <v>14.3639331226974</v>
      </c>
      <c r="BL141" s="51" t="n">
        <v>14.2005712435567</v>
      </c>
      <c r="BM141" s="51"/>
      <c r="BN141" s="52" t="n">
        <f aca="false">(BG141*0.5-BH141*0.25+BI141*0.5)/SUM(BG141:BI141)*1000</f>
        <v>329.28692498217</v>
      </c>
      <c r="BO141" s="53" t="n">
        <v>4.22424174</v>
      </c>
      <c r="BP141" s="54" t="s">
        <v>77</v>
      </c>
      <c r="BQ141" s="55" t="n">
        <v>531.284253427443</v>
      </c>
      <c r="BR141" s="56" t="n">
        <v>22.371133134822</v>
      </c>
      <c r="BS141" s="56" t="n">
        <v>31.2042366141309</v>
      </c>
      <c r="BT141" s="56" t="n">
        <v>14.4796209020903</v>
      </c>
      <c r="BU141" s="55"/>
      <c r="BV141" s="55"/>
      <c r="BW141" s="55"/>
      <c r="BX141" s="55"/>
      <c r="BY141" s="79" t="n">
        <v>0.0391304347826087</v>
      </c>
      <c r="BZ141" s="80" t="n">
        <v>0.3081716</v>
      </c>
      <c r="CA141" s="81" t="n">
        <v>3.55</v>
      </c>
      <c r="CB141" s="81" t="n">
        <v>0.115</v>
      </c>
      <c r="CC141" s="82" t="n">
        <v>5.062528</v>
      </c>
      <c r="CD141" s="82" t="n">
        <v>5.16608</v>
      </c>
      <c r="CE141" s="83" t="n">
        <v>101.728952</v>
      </c>
      <c r="CF141" s="84" t="n">
        <v>35.39502</v>
      </c>
      <c r="CG141" s="80" t="n">
        <v>0.1025</v>
      </c>
      <c r="CH141" s="63" t="n">
        <v>100142.001749818</v>
      </c>
      <c r="CI141" s="63" t="n">
        <v>1079.88174111687</v>
      </c>
      <c r="CJ141" s="64" t="n">
        <v>223821.544094886</v>
      </c>
      <c r="CK141" s="65" t="n">
        <v>0.48247443984171</v>
      </c>
    </row>
    <row r="142" customFormat="false" ht="15" hidden="false" customHeight="false" outlineLevel="0" collapsed="false">
      <c r="A142" s="7" t="s">
        <v>73</v>
      </c>
      <c r="B142" s="66" t="n">
        <v>140</v>
      </c>
      <c r="C142" s="8" t="s">
        <v>218</v>
      </c>
      <c r="D142" s="67" t="n">
        <v>41757</v>
      </c>
      <c r="E142" s="4" t="s">
        <v>75</v>
      </c>
      <c r="F142" s="7" t="n">
        <v>153</v>
      </c>
      <c r="G142" s="68" t="n">
        <v>1</v>
      </c>
      <c r="H142" s="68" t="n">
        <v>95</v>
      </c>
      <c r="I142" s="66" t="n">
        <v>1</v>
      </c>
      <c r="J142" s="69" t="n">
        <v>625.297619047619</v>
      </c>
      <c r="K142" s="31" t="n">
        <v>562.320765481806</v>
      </c>
      <c r="L142" s="31" t="n">
        <v>937.72660758843</v>
      </c>
      <c r="M142" s="31" t="n">
        <v>171.588403155321</v>
      </c>
      <c r="N142" s="31" t="n">
        <v>347.814594767761</v>
      </c>
      <c r="O142" s="32"/>
      <c r="P142" s="33" t="n">
        <v>71.050293535186</v>
      </c>
      <c r="Q142" s="33" t="n">
        <v>10.7701479954284</v>
      </c>
      <c r="R142" s="31" t="n">
        <v>123.566485977534</v>
      </c>
      <c r="S142" s="34" t="s">
        <v>76</v>
      </c>
      <c r="T142" s="35" t="n">
        <v>18.84193299</v>
      </c>
      <c r="U142" s="35" t="n">
        <v>7.3620595</v>
      </c>
      <c r="V142" s="70" t="n">
        <v>26.20399249</v>
      </c>
      <c r="W142" s="35" t="n">
        <v>24.5721282474282</v>
      </c>
      <c r="X142" s="35" t="n">
        <v>4.61916939664144</v>
      </c>
      <c r="Y142" s="35" t="n">
        <v>8.06722052141927</v>
      </c>
      <c r="Z142" s="35"/>
      <c r="AA142" s="35" t="n">
        <v>1.58500621015008</v>
      </c>
      <c r="AB142" s="35" t="n">
        <v>0.25497381796629</v>
      </c>
      <c r="AC142" s="71" t="n">
        <v>3.8703784121957</v>
      </c>
      <c r="AD142" s="38" t="n">
        <v>5.96564220619651</v>
      </c>
      <c r="AE142" s="38" t="n">
        <v>5.22529086101659</v>
      </c>
      <c r="AF142" s="38" t="n">
        <v>0.97840255139619</v>
      </c>
      <c r="AG142" s="72"/>
      <c r="AH142" s="72"/>
      <c r="AI142" s="73" t="n">
        <v>42.7403805245727</v>
      </c>
      <c r="AJ142" s="42" t="s">
        <v>16</v>
      </c>
      <c r="AK142" s="43" t="n">
        <v>772.338424823121</v>
      </c>
      <c r="AL142" s="43" t="n">
        <v>787.348869076349</v>
      </c>
      <c r="AM142" s="43" t="n">
        <v>788.186475233496</v>
      </c>
      <c r="AN142" s="74"/>
      <c r="AO142" s="75" t="n">
        <v>39.5428571428571</v>
      </c>
      <c r="AP142" s="76" t="n">
        <v>1.09140704237658</v>
      </c>
      <c r="AQ142" s="76" t="n">
        <v>1.0657948798602</v>
      </c>
      <c r="AR142" s="76" t="n">
        <v>1.85066617737003</v>
      </c>
      <c r="AS142" s="77" t="n">
        <v>32.1882484927916</v>
      </c>
      <c r="AT142" s="78" t="n">
        <v>31.5355673669418</v>
      </c>
      <c r="AU142" s="78" t="n">
        <v>27.6006116207951</v>
      </c>
      <c r="AV142" s="78" t="n">
        <v>26.9529051987768</v>
      </c>
      <c r="AW142" s="78" t="n">
        <v>46.8015290519878</v>
      </c>
      <c r="AX142" s="78" t="n">
        <v>39.9816513761468</v>
      </c>
      <c r="AY142" s="48" t="n">
        <v>1.20346421939239</v>
      </c>
      <c r="AZ142" s="48" t="n">
        <v>23.1994118628807</v>
      </c>
      <c r="BA142" s="48" t="n">
        <v>3.00458062711933</v>
      </c>
      <c r="BB142" s="49" t="n">
        <f aca="false">AT142/V142</f>
        <v>1.20346421939239</v>
      </c>
      <c r="BC142" s="49" t="n">
        <f aca="false">AS142/V142</f>
        <v>1.22837191718305</v>
      </c>
      <c r="BD142" s="49" t="n">
        <f aca="false">SUM(AP142:AR142)/V142</f>
        <v>0.152948757756525</v>
      </c>
      <c r="BE142" s="50" t="n">
        <v>6.85</v>
      </c>
      <c r="BF142" s="51" t="n">
        <v>121.094269520753</v>
      </c>
      <c r="BG142" s="51" t="n">
        <v>547.642505888116</v>
      </c>
      <c r="BH142" s="51" t="n">
        <v>227.758518432539</v>
      </c>
      <c r="BI142" s="51" t="n">
        <v>172.841754129749</v>
      </c>
      <c r="BJ142" s="51" t="n">
        <v>12.2597503284902</v>
      </c>
      <c r="BK142" s="51" t="n">
        <v>16.8938812244526</v>
      </c>
      <c r="BL142" s="51" t="n">
        <v>17.6284656185447</v>
      </c>
      <c r="BM142" s="51"/>
      <c r="BN142" s="52" t="n">
        <f aca="false">(BG142*0.5-BH142*0.25+BI142*0.5)/SUM(BG142:BI142)*1000</f>
        <v>319.857432393472</v>
      </c>
      <c r="BO142" s="53" t="n">
        <v>9.32135446</v>
      </c>
      <c r="BP142" s="54" t="s">
        <v>77</v>
      </c>
      <c r="BQ142" s="55" t="n">
        <v>437.633925833414</v>
      </c>
      <c r="BR142" s="56" t="n">
        <v>16.7010399655863</v>
      </c>
      <c r="BS142" s="56" t="n">
        <v>22.6204374954219</v>
      </c>
      <c r="BT142" s="56" t="n">
        <v>13.8774711341385</v>
      </c>
      <c r="BU142" s="55"/>
      <c r="BV142" s="55"/>
      <c r="BW142" s="55"/>
      <c r="BX142" s="55"/>
      <c r="BY142" s="79" t="n">
        <v>0.117391304347826</v>
      </c>
      <c r="BZ142" s="80" t="n">
        <v>0.5669713</v>
      </c>
      <c r="CA142" s="81" t="n">
        <v>3.62</v>
      </c>
      <c r="CB142" s="81" t="n">
        <v>0.534</v>
      </c>
      <c r="CC142" s="82" t="n">
        <v>6.819076</v>
      </c>
      <c r="CD142" s="82" t="n">
        <v>5.804373</v>
      </c>
      <c r="CE142" s="83" t="n">
        <v>85.549277</v>
      </c>
      <c r="CF142" s="84" t="n">
        <v>39.367196</v>
      </c>
      <c r="CG142" s="80" t="n">
        <v>0.3545</v>
      </c>
      <c r="CH142" s="63" t="n">
        <v>74206.1631467821</v>
      </c>
      <c r="CI142" s="63" t="n">
        <v>2246.06515205569</v>
      </c>
      <c r="CJ142" s="64" t="n">
        <v>366820.865991262</v>
      </c>
      <c r="CK142" s="65" t="n">
        <v>0.612305722027599</v>
      </c>
    </row>
    <row r="143" customFormat="false" ht="15" hidden="false" customHeight="false" outlineLevel="0" collapsed="false">
      <c r="A143" s="7" t="s">
        <v>73</v>
      </c>
      <c r="B143" s="66" t="n">
        <v>141</v>
      </c>
      <c r="C143" s="8" t="s">
        <v>219</v>
      </c>
      <c r="D143" s="67" t="n">
        <v>41757</v>
      </c>
      <c r="E143" s="4" t="s">
        <v>75</v>
      </c>
      <c r="F143" s="7" t="n">
        <v>157</v>
      </c>
      <c r="G143" s="68" t="n">
        <v>1</v>
      </c>
      <c r="H143" s="68" t="n">
        <v>109</v>
      </c>
      <c r="I143" s="66" t="n">
        <v>1</v>
      </c>
      <c r="J143" s="69" t="n">
        <v>529.916666666667</v>
      </c>
      <c r="K143" s="31" t="n">
        <v>562.320765481806</v>
      </c>
      <c r="L143" s="31" t="n">
        <v>937.72660758843</v>
      </c>
      <c r="M143" s="31" t="n">
        <v>171.588403155321</v>
      </c>
      <c r="N143" s="31" t="n">
        <v>347.814594767761</v>
      </c>
      <c r="O143" s="32"/>
      <c r="P143" s="33" t="n">
        <v>71.050293535186</v>
      </c>
      <c r="Q143" s="33" t="n">
        <v>10.7701479954284</v>
      </c>
      <c r="R143" s="31" t="n">
        <v>123.566485977534</v>
      </c>
      <c r="S143" s="34" t="s">
        <v>76</v>
      </c>
      <c r="T143" s="35" t="n">
        <v>14.66053217</v>
      </c>
      <c r="U143" s="35" t="n">
        <v>6.6284735</v>
      </c>
      <c r="V143" s="70" t="n">
        <v>21.28900567</v>
      </c>
      <c r="W143" s="35" t="n">
        <v>19.9632195851499</v>
      </c>
      <c r="X143" s="35" t="n">
        <v>3.7635715650964</v>
      </c>
      <c r="Y143" s="35" t="n">
        <v>6.46203485709383</v>
      </c>
      <c r="Z143" s="35"/>
      <c r="AA143" s="35" t="n">
        <v>1.26337596506193</v>
      </c>
      <c r="AB143" s="35" t="n">
        <v>0.204753691979164</v>
      </c>
      <c r="AC143" s="71" t="n">
        <v>3.20003151679361</v>
      </c>
      <c r="AD143" s="38" t="n">
        <v>5.40834436738843</v>
      </c>
      <c r="AE143" s="38" t="n">
        <v>4.7491593710359</v>
      </c>
      <c r="AF143" s="38" t="n">
        <v>0.963468171355284</v>
      </c>
      <c r="AG143" s="72"/>
      <c r="AH143" s="72"/>
      <c r="AI143" s="73" t="n">
        <v>37.8588488584048</v>
      </c>
      <c r="AJ143" s="42" t="s">
        <v>16</v>
      </c>
      <c r="AK143" s="43" t="n">
        <v>745.955990090709</v>
      </c>
      <c r="AL143" s="43" t="n">
        <v>762.104536756753</v>
      </c>
      <c r="AM143" s="43" t="n">
        <v>744.001633902608</v>
      </c>
      <c r="AN143" s="74"/>
      <c r="AO143" s="75" t="n">
        <v>36.9785714285714</v>
      </c>
      <c r="AP143" s="76" t="n">
        <v>1.70148669918187</v>
      </c>
      <c r="AQ143" s="76" t="n">
        <v>1.13144654499685</v>
      </c>
      <c r="AR143" s="76" t="n">
        <v>1.72740427942102</v>
      </c>
      <c r="AS143" s="77" t="n">
        <v>40.3137290591567</v>
      </c>
      <c r="AT143" s="78" t="n">
        <v>38.8167739419696</v>
      </c>
      <c r="AU143" s="78" t="n">
        <v>46.0127753303965</v>
      </c>
      <c r="AV143" s="78" t="n">
        <v>30.5973568281938</v>
      </c>
      <c r="AW143" s="78" t="n">
        <v>46.7136563876652</v>
      </c>
      <c r="AX143" s="78" t="n">
        <v>25.9735682819383</v>
      </c>
      <c r="AY143" s="48" t="n">
        <v>1.82332489096329</v>
      </c>
      <c r="AZ143" s="48" t="n">
        <v>25.0493259731611</v>
      </c>
      <c r="BA143" s="48" t="n">
        <v>-3.76032030316107</v>
      </c>
      <c r="BB143" s="49" t="n">
        <f aca="false">AT143/V143</f>
        <v>1.82332489096329</v>
      </c>
      <c r="BC143" s="49" t="n">
        <f aca="false">AS143/V143</f>
        <v>1.89364076857596</v>
      </c>
      <c r="BD143" s="49" t="n">
        <f aca="false">SUM(AP143:AR143)/V143</f>
        <v>0.214210921556852</v>
      </c>
      <c r="BE143" s="50" t="n">
        <v>6.99</v>
      </c>
      <c r="BF143" s="51" t="n">
        <v>142.386655712204</v>
      </c>
      <c r="BG143" s="51" t="n">
        <v>569.849811270974</v>
      </c>
      <c r="BH143" s="51" t="n">
        <v>226.841384804816</v>
      </c>
      <c r="BI143" s="51" t="n">
        <v>158.640652355443</v>
      </c>
      <c r="BJ143" s="51" t="n">
        <v>10.7079556220594</v>
      </c>
      <c r="BK143" s="51" t="n">
        <v>13.722892688126</v>
      </c>
      <c r="BL143" s="51" t="n">
        <v>15.262178880473</v>
      </c>
      <c r="BM143" s="51"/>
      <c r="BN143" s="52" t="n">
        <f aca="false">(BG143*0.5-BH143*0.25+BI143*0.5)/SUM(BG143:BI143)*1000</f>
        <v>321.914197791075</v>
      </c>
      <c r="BO143" s="53" t="n">
        <v>13.0866664</v>
      </c>
      <c r="BP143" s="54" t="s">
        <v>77</v>
      </c>
      <c r="BQ143" s="55" t="n">
        <v>400.942798467152</v>
      </c>
      <c r="BR143" s="56" t="n">
        <v>18.8333266796087</v>
      </c>
      <c r="BS143" s="56" t="n">
        <v>26.3534383868943</v>
      </c>
      <c r="BT143" s="56" t="n">
        <v>10.3291118181679</v>
      </c>
      <c r="BU143" s="55"/>
      <c r="BV143" s="55"/>
      <c r="BW143" s="55"/>
      <c r="BX143" s="55"/>
      <c r="BY143" s="79" t="n">
        <v>0.0684782608695652</v>
      </c>
      <c r="BZ143" s="80" t="n">
        <v>0.6089678</v>
      </c>
      <c r="CA143" s="81" t="n">
        <v>3.28</v>
      </c>
      <c r="CB143" s="81" t="n">
        <v>0.057</v>
      </c>
      <c r="CC143" s="82" t="n">
        <v>6.940888</v>
      </c>
      <c r="CD143" s="82" t="n">
        <v>5.153796</v>
      </c>
      <c r="CE143" s="83" t="n">
        <v>85.352892</v>
      </c>
      <c r="CF143" s="84" t="n">
        <v>38.66378</v>
      </c>
      <c r="CG143" s="80" t="n">
        <v>0.113</v>
      </c>
      <c r="CH143" s="63" t="n">
        <v>78658.1461443619</v>
      </c>
      <c r="CI143" s="63" t="n">
        <v>4820.34371186521</v>
      </c>
      <c r="CJ143" s="64" t="n">
        <v>542378.270423154</v>
      </c>
      <c r="CK143" s="65" t="n">
        <v>0.888742041251848</v>
      </c>
    </row>
    <row r="144" customFormat="false" ht="15" hidden="false" customHeight="false" outlineLevel="0" collapsed="false">
      <c r="A144" s="7" t="s">
        <v>73</v>
      </c>
      <c r="B144" s="66" t="n">
        <v>142</v>
      </c>
      <c r="C144" s="8" t="s">
        <v>220</v>
      </c>
      <c r="D144" s="67" t="n">
        <v>41757</v>
      </c>
      <c r="E144" s="4" t="s">
        <v>75</v>
      </c>
      <c r="F144" s="7" t="n">
        <v>162</v>
      </c>
      <c r="G144" s="68" t="n">
        <v>1</v>
      </c>
      <c r="H144" s="68" t="n">
        <v>90</v>
      </c>
      <c r="I144" s="66" t="n">
        <v>1</v>
      </c>
      <c r="J144" s="69" t="n">
        <v>549.107142857143</v>
      </c>
      <c r="K144" s="31" t="n">
        <v>562.320765481806</v>
      </c>
      <c r="L144" s="31" t="n">
        <v>937.72660758843</v>
      </c>
      <c r="M144" s="31" t="n">
        <v>171.588403155321</v>
      </c>
      <c r="N144" s="31" t="n">
        <v>347.814594767761</v>
      </c>
      <c r="O144" s="32"/>
      <c r="P144" s="33" t="n">
        <v>71.050293535186</v>
      </c>
      <c r="Q144" s="33" t="n">
        <v>10.7701479954284</v>
      </c>
      <c r="R144" s="31" t="n">
        <v>123.566485977534</v>
      </c>
      <c r="S144" s="34" t="s">
        <v>76</v>
      </c>
      <c r="T144" s="35" t="n">
        <v>17.4258670771429</v>
      </c>
      <c r="U144" s="35" t="n">
        <v>7.61282614285714</v>
      </c>
      <c r="V144" s="70" t="n">
        <v>25.03869322</v>
      </c>
      <c r="W144" s="35" t="n">
        <v>23.4793943198682</v>
      </c>
      <c r="X144" s="35" t="n">
        <v>4.42340269414954</v>
      </c>
      <c r="Y144" s="35" t="n">
        <v>7.62625253784188</v>
      </c>
      <c r="Z144" s="35"/>
      <c r="AA144" s="35" t="n">
        <v>1.49278315215399</v>
      </c>
      <c r="AB144" s="35" t="n">
        <v>0.241495282401006</v>
      </c>
      <c r="AC144" s="71" t="n">
        <v>3.74792876936986</v>
      </c>
      <c r="AD144" s="38" t="n">
        <v>5.87492463528395</v>
      </c>
      <c r="AE144" s="38" t="n">
        <v>5.17087604627418</v>
      </c>
      <c r="AF144" s="38" t="n">
        <v>0.93497852370234</v>
      </c>
      <c r="AG144" s="72"/>
      <c r="AH144" s="72"/>
      <c r="AI144" s="73" t="n">
        <v>41.106107293806</v>
      </c>
      <c r="AJ144" s="42" t="s">
        <v>16</v>
      </c>
      <c r="AK144" s="43" t="n">
        <v>765.366164133867</v>
      </c>
      <c r="AL144" s="43" t="n">
        <v>779.769615185576</v>
      </c>
      <c r="AM144" s="43" t="n">
        <v>788.629119175842</v>
      </c>
      <c r="AN144" s="74"/>
      <c r="AO144" s="75" t="n">
        <v>41.45</v>
      </c>
      <c r="AP144" s="76" t="n">
        <v>1.431683</v>
      </c>
      <c r="AQ144" s="76" t="n">
        <v>1.24248677777778</v>
      </c>
      <c r="AR144" s="76" t="n">
        <v>1.88556971111111</v>
      </c>
      <c r="AS144" s="77" t="n">
        <v>38.055245</v>
      </c>
      <c r="AT144" s="78" t="n">
        <v>37.2442601732484</v>
      </c>
      <c r="AU144" s="78" t="n">
        <v>34.54</v>
      </c>
      <c r="AV144" s="78" t="n">
        <v>29.9755555555555</v>
      </c>
      <c r="AW144" s="78" t="n">
        <v>45.4902222222222</v>
      </c>
      <c r="AX144" s="78" t="n">
        <v>27.0488888888889</v>
      </c>
      <c r="AY144" s="48" t="n">
        <v>1.48746820954294</v>
      </c>
      <c r="AZ144" s="48" t="n">
        <v>24.0844944634888</v>
      </c>
      <c r="BA144" s="48" t="n">
        <v>0.954198756511232</v>
      </c>
      <c r="BB144" s="49" t="n">
        <f aca="false">AT144/V144</f>
        <v>1.48746820954294</v>
      </c>
      <c r="BC144" s="49" t="n">
        <f aca="false">AS144/V144</f>
        <v>1.51985747281743</v>
      </c>
      <c r="BD144" s="49" t="n">
        <f aca="false">SUM(AP144:AR144)/V144</f>
        <v>0.18210772618304</v>
      </c>
      <c r="BE144" s="50" t="n">
        <v>6.67</v>
      </c>
      <c r="BF144" s="51" t="n">
        <v>138.73826686242</v>
      </c>
      <c r="BG144" s="51" t="n">
        <v>519.313310970229</v>
      </c>
      <c r="BH144" s="51" t="n">
        <v>271.003486128812</v>
      </c>
      <c r="BI144" s="51" t="n">
        <v>162.161876112679</v>
      </c>
      <c r="BJ144" s="51" t="n">
        <v>9.36888256192658</v>
      </c>
      <c r="BK144" s="51" t="n">
        <v>17.8632118380413</v>
      </c>
      <c r="BL144" s="51" t="n">
        <v>15.3141080102032</v>
      </c>
      <c r="BM144" s="51"/>
      <c r="BN144" s="52" t="n">
        <f aca="false">(BG144*0.5-BH144*0.25+BI144*0.5)/SUM(BG144:BI144)*1000</f>
        <v>286.606650297744</v>
      </c>
      <c r="BO144" s="53" t="n">
        <v>7.13110528</v>
      </c>
      <c r="BP144" s="54" t="s">
        <v>77</v>
      </c>
      <c r="BQ144" s="55" t="n">
        <v>360.547903282058</v>
      </c>
      <c r="BR144" s="56" t="n">
        <v>14.3996294101349</v>
      </c>
      <c r="BS144" s="56" t="n">
        <v>19.692904575575</v>
      </c>
      <c r="BT144" s="56" t="n">
        <v>9.68063002473146</v>
      </c>
      <c r="BU144" s="55"/>
      <c r="BV144" s="55"/>
      <c r="BW144" s="55"/>
      <c r="BX144" s="55"/>
      <c r="BY144" s="79" t="n">
        <v>0.401086956521739</v>
      </c>
      <c r="BZ144" s="80" t="n">
        <v>0.4793795</v>
      </c>
      <c r="CA144" s="81" t="n">
        <v>3.68</v>
      </c>
      <c r="CB144" s="81" t="n">
        <v>0.645</v>
      </c>
      <c r="CC144" s="82" t="n">
        <v>4.777928</v>
      </c>
      <c r="CD144" s="82" t="n">
        <v>7.616738</v>
      </c>
      <c r="CE144" s="83" t="n">
        <v>87.720424</v>
      </c>
      <c r="CF144" s="84" t="n">
        <v>39.44302</v>
      </c>
      <c r="CG144" s="80" t="n">
        <v>0.5015</v>
      </c>
      <c r="CH144" s="63" t="n">
        <v>51224.8993577355</v>
      </c>
      <c r="CI144" s="63" t="n">
        <v>1868.55168647246</v>
      </c>
      <c r="CJ144" s="64" t="n">
        <v>546340.59471455</v>
      </c>
      <c r="CK144" s="65" t="n">
        <v>0.342012236423459</v>
      </c>
    </row>
    <row r="145" customFormat="false" ht="15" hidden="false" customHeight="false" outlineLevel="0" collapsed="false">
      <c r="A145" s="7" t="s">
        <v>73</v>
      </c>
      <c r="B145" s="66" t="n">
        <v>143</v>
      </c>
      <c r="C145" s="8" t="s">
        <v>221</v>
      </c>
      <c r="D145" s="67" t="n">
        <v>41757</v>
      </c>
      <c r="E145" s="4" t="s">
        <v>75</v>
      </c>
      <c r="F145" s="7" t="n">
        <v>296</v>
      </c>
      <c r="G145" s="68" t="n">
        <v>1</v>
      </c>
      <c r="H145" s="68" t="n">
        <v>98</v>
      </c>
      <c r="I145" s="66" t="n">
        <v>2</v>
      </c>
      <c r="J145" s="69" t="n">
        <v>648.845238095238</v>
      </c>
      <c r="K145" s="31" t="n">
        <v>562.320765481806</v>
      </c>
      <c r="L145" s="31" t="n">
        <v>937.72660758843</v>
      </c>
      <c r="M145" s="31" t="n">
        <v>171.588403155321</v>
      </c>
      <c r="N145" s="31" t="n">
        <v>347.814594767761</v>
      </c>
      <c r="O145" s="32"/>
      <c r="P145" s="33" t="n">
        <v>71.050293535186</v>
      </c>
      <c r="Q145" s="33" t="n">
        <v>10.7701479954284</v>
      </c>
      <c r="R145" s="31" t="n">
        <v>123.566485977534</v>
      </c>
      <c r="S145" s="34" t="s">
        <v>76</v>
      </c>
      <c r="T145" s="35" t="n">
        <v>15.3743343071429</v>
      </c>
      <c r="U145" s="35" t="n">
        <v>7.27223264285714</v>
      </c>
      <c r="V145" s="70" t="n">
        <v>22.64656695</v>
      </c>
      <c r="W145" s="35" t="n">
        <v>21.2362363074982</v>
      </c>
      <c r="X145" s="35" t="n">
        <v>4.00725727481887</v>
      </c>
      <c r="Y145" s="35" t="n">
        <v>6.84266969081933</v>
      </c>
      <c r="Z145" s="35"/>
      <c r="AA145" s="35" t="n">
        <v>1.33562734798038</v>
      </c>
      <c r="AB145" s="35" t="n">
        <v>0.216992268555714</v>
      </c>
      <c r="AC145" s="71" t="n">
        <v>3.42308319679376</v>
      </c>
      <c r="AD145" s="38" t="n">
        <v>4.89721087598412</v>
      </c>
      <c r="AE145" s="38" t="n">
        <v>4.27080148607168</v>
      </c>
      <c r="AF145" s="38" t="n">
        <v>0.901704310009206</v>
      </c>
      <c r="AG145" s="72"/>
      <c r="AH145" s="72"/>
      <c r="AI145" s="73" t="n">
        <v>44.309357724382</v>
      </c>
      <c r="AJ145" s="42" t="s">
        <v>16</v>
      </c>
      <c r="AK145" s="43" t="n">
        <v>783.754823113085</v>
      </c>
      <c r="AL145" s="43" t="n">
        <v>798.890847500896</v>
      </c>
      <c r="AM145" s="43" t="n">
        <v>774.98217654369</v>
      </c>
      <c r="AN145" s="74"/>
      <c r="AO145" s="75" t="n">
        <v>47.3571428571429</v>
      </c>
      <c r="AP145" s="76" t="n">
        <v>1.88302239382239</v>
      </c>
      <c r="AQ145" s="76" t="n">
        <v>1.48667297297297</v>
      </c>
      <c r="AR145" s="76" t="n">
        <v>2.19024652509652</v>
      </c>
      <c r="AS145" s="77" t="n">
        <v>47.1881930501931</v>
      </c>
      <c r="AT145" s="78" t="n">
        <v>46.2752273922239</v>
      </c>
      <c r="AU145" s="78" t="n">
        <v>39.7621621621622</v>
      </c>
      <c r="AV145" s="78" t="n">
        <v>31.3927927927928</v>
      </c>
      <c r="AW145" s="78" t="n">
        <v>46.2495495495496</v>
      </c>
      <c r="AX145" s="78" t="n">
        <v>27.018018018018</v>
      </c>
      <c r="AY145" s="48" t="n">
        <v>2.04336610906157</v>
      </c>
      <c r="AZ145" s="48" t="n">
        <v>28.9900676269648</v>
      </c>
      <c r="BA145" s="48" t="n">
        <v>-6.34350067696478</v>
      </c>
      <c r="BB145" s="49" t="n">
        <f aca="false">AT145/V145</f>
        <v>2.04336610906157</v>
      </c>
      <c r="BC145" s="49" t="n">
        <f aca="false">AS145/V145</f>
        <v>2.08367975395021</v>
      </c>
      <c r="BD145" s="49" t="n">
        <f aca="false">SUM(AP145:AR145)/V145</f>
        <v>0.245509259931863</v>
      </c>
      <c r="BE145" s="50" t="n">
        <v>6.87</v>
      </c>
      <c r="BF145" s="51" t="n">
        <v>127.875871803722</v>
      </c>
      <c r="BG145" s="51" t="n">
        <v>566.696861475225</v>
      </c>
      <c r="BH145" s="51" t="n">
        <v>230.084950575476</v>
      </c>
      <c r="BI145" s="51" t="n">
        <v>162.328300567523</v>
      </c>
      <c r="BJ145" s="51" t="n">
        <v>8.96926817642843</v>
      </c>
      <c r="BK145" s="51" t="n">
        <v>13.7868182533128</v>
      </c>
      <c r="BL145" s="51" t="n">
        <v>13.1586765739242</v>
      </c>
      <c r="BM145" s="51"/>
      <c r="BN145" s="52" t="n">
        <f aca="false">(BG145*0.5-BH145*0.25+BI145*0.5)/SUM(BG145:BI145)*1000</f>
        <v>320.079352035467</v>
      </c>
      <c r="BO145" s="53" t="n">
        <v>8.01712706</v>
      </c>
      <c r="BP145" s="54" t="s">
        <v>77</v>
      </c>
      <c r="BQ145" s="55" t="n">
        <v>475.840052051949</v>
      </c>
      <c r="BR145" s="56" t="n">
        <v>21.0115755338338</v>
      </c>
      <c r="BS145" s="56" t="n">
        <v>28.0476190006627</v>
      </c>
      <c r="BT145" s="56" t="n">
        <v>10.2828247178297</v>
      </c>
      <c r="BU145" s="55"/>
      <c r="BV145" s="55"/>
      <c r="BW145" s="55"/>
      <c r="BX145" s="55"/>
      <c r="BY145" s="79" t="n">
        <v>0.176086956521739</v>
      </c>
      <c r="BZ145" s="80" t="n">
        <v>0.7735544</v>
      </c>
      <c r="CA145" s="81" t="n">
        <v>3.34</v>
      </c>
      <c r="CB145" s="81" t="n">
        <v>0.177</v>
      </c>
      <c r="CC145" s="82" t="n">
        <v>4.675472</v>
      </c>
      <c r="CD145" s="82" t="n">
        <v>7.235934</v>
      </c>
      <c r="CE145" s="83" t="n">
        <v>77.055184</v>
      </c>
      <c r="CF145" s="84" t="n">
        <v>35.24322</v>
      </c>
      <c r="CG145" s="80" t="n">
        <v>0.155</v>
      </c>
      <c r="CH145" s="63" t="n">
        <v>75704.7985089115</v>
      </c>
      <c r="CI145" s="63" t="n">
        <v>1647.31686701105</v>
      </c>
      <c r="CJ145" s="64" t="n">
        <v>245708.585361185</v>
      </c>
      <c r="CK145" s="65" t="n">
        <v>0.670435208680047</v>
      </c>
    </row>
    <row r="146" customFormat="false" ht="15" hidden="false" customHeight="false" outlineLevel="0" collapsed="false">
      <c r="A146" s="7" t="s">
        <v>73</v>
      </c>
      <c r="B146" s="66" t="n">
        <v>144</v>
      </c>
      <c r="C146" s="8" t="s">
        <v>222</v>
      </c>
      <c r="D146" s="67" t="n">
        <v>41757</v>
      </c>
      <c r="E146" s="4" t="s">
        <v>75</v>
      </c>
      <c r="F146" s="7" t="n">
        <v>603</v>
      </c>
      <c r="G146" s="68" t="n">
        <v>1</v>
      </c>
      <c r="H146" s="68" t="n">
        <v>91</v>
      </c>
      <c r="I146" s="66" t="n">
        <v>4</v>
      </c>
      <c r="J146" s="69" t="n">
        <v>758.571428571429</v>
      </c>
      <c r="K146" s="31" t="n">
        <v>562.320765481806</v>
      </c>
      <c r="L146" s="31" t="n">
        <v>937.72660758843</v>
      </c>
      <c r="M146" s="31" t="n">
        <v>171.588403155321</v>
      </c>
      <c r="N146" s="31" t="n">
        <v>347.814594767761</v>
      </c>
      <c r="O146" s="32"/>
      <c r="P146" s="33" t="n">
        <v>71.050293535186</v>
      </c>
      <c r="Q146" s="33" t="n">
        <v>10.7701479954284</v>
      </c>
      <c r="R146" s="31" t="n">
        <v>123.566485977534</v>
      </c>
      <c r="S146" s="34" t="s">
        <v>76</v>
      </c>
      <c r="T146" s="35" t="n">
        <v>15.8583797171429</v>
      </c>
      <c r="U146" s="35" t="n">
        <v>7.11503564285714</v>
      </c>
      <c r="V146" s="70" t="n">
        <v>22.97341536</v>
      </c>
      <c r="W146" s="35" t="n">
        <v>21.542731884228</v>
      </c>
      <c r="X146" s="35" t="n">
        <v>4.0607171519421</v>
      </c>
      <c r="Y146" s="35" t="n">
        <v>6.97870629911434</v>
      </c>
      <c r="Z146" s="35"/>
      <c r="AA146" s="35" t="n">
        <v>1.36476024013691</v>
      </c>
      <c r="AB146" s="35" t="n">
        <v>0.221094262044882</v>
      </c>
      <c r="AC146" s="71" t="n">
        <v>3.44996658224435</v>
      </c>
      <c r="AD146" s="38" t="n">
        <v>5.41971281557643</v>
      </c>
      <c r="AE146" s="38" t="n">
        <v>4.78149826393123</v>
      </c>
      <c r="AF146" s="38" t="n">
        <v>0.936709764436664</v>
      </c>
      <c r="AG146" s="72"/>
      <c r="AH146" s="72"/>
      <c r="AI146" s="73" t="n">
        <v>40.7944608078587</v>
      </c>
      <c r="AJ146" s="42" t="s">
        <v>16</v>
      </c>
      <c r="AK146" s="43" t="n">
        <v>764.087632132707</v>
      </c>
      <c r="AL146" s="43" t="n">
        <v>778.045872286425</v>
      </c>
      <c r="AM146" s="43" t="n">
        <v>769.324055483976</v>
      </c>
      <c r="AN146" s="74"/>
      <c r="AO146" s="75" t="n">
        <v>51.65</v>
      </c>
      <c r="AP146" s="76" t="n">
        <v>1.83592725301205</v>
      </c>
      <c r="AQ146" s="76" t="n">
        <v>1.64672645783133</v>
      </c>
      <c r="AR146" s="76" t="n">
        <v>2.42691526506024</v>
      </c>
      <c r="AS146" s="77" t="n">
        <v>48.1989087951807</v>
      </c>
      <c r="AT146" s="78" t="n">
        <v>48.2092762910751</v>
      </c>
      <c r="AU146" s="78" t="n">
        <v>35.5455421686747</v>
      </c>
      <c r="AV146" s="78" t="n">
        <v>31.8824096385542</v>
      </c>
      <c r="AW146" s="78" t="n">
        <v>46.9877108433735</v>
      </c>
      <c r="AX146" s="78" t="n">
        <v>27</v>
      </c>
      <c r="AY146" s="48" t="n">
        <v>2.09848102842446</v>
      </c>
      <c r="AZ146" s="48" t="n">
        <v>30.6213969891378</v>
      </c>
      <c r="BA146" s="48" t="n">
        <v>-7.64798162913779</v>
      </c>
      <c r="BB146" s="49" t="n">
        <f aca="false">AT146/V146</f>
        <v>2.09848102842446</v>
      </c>
      <c r="BC146" s="49" t="n">
        <f aca="false">AS146/V146</f>
        <v>2.09802974611698</v>
      </c>
      <c r="BD146" s="49" t="n">
        <f aca="false">SUM(AP146:AR146)/V146</f>
        <v>0.257235107766911</v>
      </c>
      <c r="BE146" s="50" t="n">
        <v>7</v>
      </c>
      <c r="BF146" s="51" t="n">
        <v>121.246670146573</v>
      </c>
      <c r="BG146" s="51" t="n">
        <v>582.97122315426</v>
      </c>
      <c r="BH146" s="51" t="n">
        <v>221.545882918162</v>
      </c>
      <c r="BI146" s="51" t="n">
        <v>150.188047493569</v>
      </c>
      <c r="BJ146" s="51" t="n">
        <v>10.6138397617814</v>
      </c>
      <c r="BK146" s="51" t="n">
        <v>15.0749641903763</v>
      </c>
      <c r="BL146" s="51" t="n">
        <v>14.6309181037425</v>
      </c>
      <c r="BM146" s="51"/>
      <c r="BN146" s="52" t="n">
        <f aca="false">(BG146*0.5-BH146*0.25+BI146*0.5)/SUM(BG146:BI146)*1000</f>
        <v>325.957352835075</v>
      </c>
      <c r="BO146" s="53" t="n">
        <v>5.31322838</v>
      </c>
      <c r="BP146" s="54" t="s">
        <v>77</v>
      </c>
      <c r="BQ146" s="55" t="n">
        <v>358.954039507594</v>
      </c>
      <c r="BR146" s="56" t="n">
        <v>15.6247573067688</v>
      </c>
      <c r="BS146" s="56" t="n">
        <v>21.4157291545012</v>
      </c>
      <c r="BT146" s="56" t="n">
        <v>7.44574627796366</v>
      </c>
      <c r="BU146" s="55"/>
      <c r="BV146" s="55"/>
      <c r="BW146" s="55"/>
      <c r="BX146" s="55"/>
      <c r="BY146" s="79" t="n">
        <v>0.459782608695652</v>
      </c>
      <c r="BZ146" s="80" t="n">
        <v>0.3828977</v>
      </c>
      <c r="CA146" s="81" t="n">
        <v>4.35</v>
      </c>
      <c r="CB146" s="81" t="n">
        <v>0.305</v>
      </c>
      <c r="CC146" s="82" t="n">
        <v>5.233288</v>
      </c>
      <c r="CD146" s="82" t="n">
        <v>6.462042</v>
      </c>
      <c r="CE146" s="83" t="n">
        <v>84.059448</v>
      </c>
      <c r="CF146" s="84" t="n">
        <v>34.46398</v>
      </c>
      <c r="CG146" s="80" t="n">
        <v>0.1235</v>
      </c>
      <c r="CH146" s="63" t="n">
        <v>81617.0383713842</v>
      </c>
      <c r="CI146" s="63" t="n">
        <v>3256.40589225642</v>
      </c>
      <c r="CJ146" s="64" t="n">
        <v>373156.868701808</v>
      </c>
      <c r="CK146" s="65" t="n">
        <v>0.872664063128538</v>
      </c>
    </row>
    <row r="147" customFormat="false" ht="15" hidden="false" customHeight="false" outlineLevel="0" collapsed="false">
      <c r="A147" s="7" t="s">
        <v>73</v>
      </c>
      <c r="B147" s="66" t="n">
        <v>145</v>
      </c>
      <c r="C147" s="8" t="s">
        <v>223</v>
      </c>
      <c r="D147" s="67" t="n">
        <v>41757</v>
      </c>
      <c r="E147" s="4" t="s">
        <v>75</v>
      </c>
      <c r="F147" s="7" t="n">
        <v>30</v>
      </c>
      <c r="G147" s="68" t="n">
        <v>1</v>
      </c>
      <c r="H147" s="68" t="n">
        <v>98</v>
      </c>
      <c r="I147" s="66" t="n">
        <v>3</v>
      </c>
      <c r="J147" s="69" t="n">
        <v>696.571428571429</v>
      </c>
      <c r="K147" s="31" t="n">
        <v>562.320765481806</v>
      </c>
      <c r="L147" s="31" t="n">
        <v>937.72660758843</v>
      </c>
      <c r="M147" s="31" t="n">
        <v>171.588403155321</v>
      </c>
      <c r="N147" s="31" t="n">
        <v>347.814594767761</v>
      </c>
      <c r="O147" s="32"/>
      <c r="P147" s="33" t="n">
        <v>71.050293535186</v>
      </c>
      <c r="Q147" s="33" t="n">
        <v>10.7701479954284</v>
      </c>
      <c r="R147" s="31" t="n">
        <v>123.566485977534</v>
      </c>
      <c r="S147" s="34" t="s">
        <v>76</v>
      </c>
      <c r="T147" s="35" t="n">
        <v>16.74624405</v>
      </c>
      <c r="U147" s="35" t="n">
        <v>6.701918</v>
      </c>
      <c r="V147" s="70" t="n">
        <v>23.44816205</v>
      </c>
      <c r="W147" s="35" t="n">
        <v>21.9879174465267</v>
      </c>
      <c r="X147" s="35" t="n">
        <v>4.13528350327768</v>
      </c>
      <c r="Y147" s="35" t="n">
        <v>7.20257689468834</v>
      </c>
      <c r="Z147" s="35"/>
      <c r="AA147" s="35" t="n">
        <v>1.41402332890325</v>
      </c>
      <c r="AB147" s="35" t="n">
        <v>0.227736306874253</v>
      </c>
      <c r="AC147" s="71" t="n">
        <v>3.4731401871918</v>
      </c>
      <c r="AD147" s="38" t="n">
        <v>5.44860134094292</v>
      </c>
      <c r="AE147" s="38" t="n">
        <v>4.80046541548275</v>
      </c>
      <c r="AF147" s="38" t="n">
        <v>0.901632656965766</v>
      </c>
      <c r="AG147" s="72"/>
      <c r="AH147" s="72"/>
      <c r="AI147" s="73" t="n">
        <v>41.7972049382571</v>
      </c>
      <c r="AJ147" s="42" t="s">
        <v>16</v>
      </c>
      <c r="AK147" s="43" t="n">
        <v>767.63205025091</v>
      </c>
      <c r="AL147" s="43" t="n">
        <v>781.677122121401</v>
      </c>
      <c r="AM147" s="43" t="n">
        <v>781.965938671165</v>
      </c>
      <c r="AN147" s="74"/>
      <c r="AO147" s="75" t="n">
        <v>53.1428571428572</v>
      </c>
      <c r="AP147" s="76" t="n">
        <v>1.86183628636809</v>
      </c>
      <c r="AQ147" s="76" t="n">
        <v>1.51435253350768</v>
      </c>
      <c r="AR147" s="76" t="n">
        <v>2.45752271984309</v>
      </c>
      <c r="AS147" s="77" t="n">
        <v>49.1846871526643</v>
      </c>
      <c r="AT147" s="78" t="n">
        <v>47.6761605120528</v>
      </c>
      <c r="AU147" s="78" t="n">
        <v>35.0345537757437</v>
      </c>
      <c r="AV147" s="78" t="n">
        <v>28.495881006865</v>
      </c>
      <c r="AW147" s="78" t="n">
        <v>46.2437070938215</v>
      </c>
      <c r="AX147" s="78" t="n">
        <v>34.6659038901602</v>
      </c>
      <c r="AY147" s="48" t="n">
        <v>2.03325789076303</v>
      </c>
      <c r="AZ147" s="48" t="n">
        <v>30.3653205330056</v>
      </c>
      <c r="BA147" s="48" t="n">
        <v>-6.91715848300563</v>
      </c>
      <c r="BB147" s="49" t="n">
        <f aca="false">AT147/V147</f>
        <v>2.03325789076303</v>
      </c>
      <c r="BC147" s="49" t="n">
        <f aca="false">AS147/V147</f>
        <v>2.09759242740581</v>
      </c>
      <c r="BD147" s="49" t="n">
        <f aca="false">SUM(AP147:AR147)/V147</f>
        <v>0.248791846767319</v>
      </c>
      <c r="BE147" s="50" t="n">
        <v>6.55</v>
      </c>
      <c r="BF147" s="51" t="n">
        <v>144.722332759996</v>
      </c>
      <c r="BG147" s="51" t="n">
        <v>568.674745655747</v>
      </c>
      <c r="BH147" s="51" t="n">
        <v>252.263030299897</v>
      </c>
      <c r="BI147" s="51" t="n">
        <v>141.877261701635</v>
      </c>
      <c r="BJ147" s="51" t="n">
        <v>7.95469284185088</v>
      </c>
      <c r="BK147" s="51" t="n">
        <v>13.0006657898382</v>
      </c>
      <c r="BL147" s="51" t="n">
        <v>11.2544793329223</v>
      </c>
      <c r="BM147" s="51"/>
      <c r="BN147" s="52" t="n">
        <f aca="false">(BG147*0.5-BH147*0.25+BI147*0.5)/SUM(BG147:BI147)*1000</f>
        <v>303.495723139849</v>
      </c>
      <c r="BO147" s="53" t="n">
        <v>8.7772985</v>
      </c>
      <c r="BP147" s="54" t="s">
        <v>77</v>
      </c>
      <c r="BQ147" s="55" t="n">
        <v>503.258063463642</v>
      </c>
      <c r="BR147" s="56" t="n">
        <v>21.4625804099491</v>
      </c>
      <c r="BS147" s="56" t="n">
        <v>29.2805508666822</v>
      </c>
      <c r="BT147" s="56" t="n">
        <v>10.5557590640382</v>
      </c>
      <c r="BU147" s="55"/>
      <c r="BV147" s="55"/>
      <c r="BW147" s="55"/>
      <c r="BX147" s="55"/>
      <c r="BY147" s="79" t="n">
        <v>0.117391304347826</v>
      </c>
      <c r="BZ147" s="80" t="n">
        <v>0.6581546</v>
      </c>
      <c r="CA147" s="81" t="n">
        <v>3.37</v>
      </c>
      <c r="CB147" s="81" t="n">
        <v>0.154</v>
      </c>
      <c r="CC147" s="82" t="n">
        <v>5.77972</v>
      </c>
      <c r="CD147" s="82" t="n">
        <v>5.331914</v>
      </c>
      <c r="CE147" s="83" t="n">
        <v>85.458788</v>
      </c>
      <c r="CF147" s="84" t="n">
        <v>35.76946</v>
      </c>
      <c r="CG147" s="80" t="n">
        <v>0.0815</v>
      </c>
      <c r="CH147" s="63" t="n">
        <v>68999.911418363</v>
      </c>
      <c r="CI147" s="63" t="n">
        <v>3278.63969938872</v>
      </c>
      <c r="CJ147" s="64" t="n">
        <v>407542.143579444</v>
      </c>
      <c r="CK147" s="65" t="n">
        <v>0.804490959043503</v>
      </c>
    </row>
    <row r="148" customFormat="false" ht="15" hidden="false" customHeight="false" outlineLevel="0" collapsed="false">
      <c r="A148" s="7" t="s">
        <v>73</v>
      </c>
      <c r="B148" s="66" t="n">
        <v>146</v>
      </c>
      <c r="C148" s="8" t="s">
        <v>224</v>
      </c>
      <c r="D148" s="67" t="n">
        <v>41757</v>
      </c>
      <c r="E148" s="4" t="s">
        <v>75</v>
      </c>
      <c r="F148" s="7" t="n">
        <v>171</v>
      </c>
      <c r="G148" s="68" t="n">
        <v>1</v>
      </c>
      <c r="H148" s="68" t="n">
        <v>101</v>
      </c>
      <c r="I148" s="66" t="n">
        <v>1</v>
      </c>
      <c r="J148" s="69" t="n">
        <v>611.976190476191</v>
      </c>
      <c r="K148" s="31" t="n">
        <v>562.320765481806</v>
      </c>
      <c r="L148" s="31" t="n">
        <v>937.72660758843</v>
      </c>
      <c r="M148" s="31" t="n">
        <v>171.588403155321</v>
      </c>
      <c r="N148" s="31" t="n">
        <v>347.814594767761</v>
      </c>
      <c r="O148" s="32"/>
      <c r="P148" s="33" t="n">
        <v>71.050293535186</v>
      </c>
      <c r="Q148" s="33" t="n">
        <v>10.7701479954284</v>
      </c>
      <c r="R148" s="31" t="n">
        <v>123.566485977534</v>
      </c>
      <c r="S148" s="34" t="s">
        <v>76</v>
      </c>
      <c r="T148" s="35" t="n">
        <v>18.6559023557143</v>
      </c>
      <c r="U148" s="35" t="n">
        <v>7.78609871428572</v>
      </c>
      <c r="V148" s="70" t="n">
        <v>26.44200107</v>
      </c>
      <c r="W148" s="35" t="n">
        <v>24.7953121882746</v>
      </c>
      <c r="X148" s="35" t="n">
        <v>4.66708585812273</v>
      </c>
      <c r="Y148" s="35" t="n">
        <v>8.08970352574476</v>
      </c>
      <c r="Z148" s="35"/>
      <c r="AA148" s="35" t="n">
        <v>1.58597396858211</v>
      </c>
      <c r="AB148" s="35" t="n">
        <v>0.255967832029236</v>
      </c>
      <c r="AC148" s="71" t="n">
        <v>3.93621569695863</v>
      </c>
      <c r="AD148" s="38" t="n">
        <v>6.93515214438531</v>
      </c>
      <c r="AE148" s="38" t="n">
        <v>6.09604785800681</v>
      </c>
      <c r="AF148" s="38" t="n">
        <v>1.25718372622624</v>
      </c>
      <c r="AG148" s="72"/>
      <c r="AH148" s="72"/>
      <c r="AI148" s="73" t="n">
        <v>36.908755092917</v>
      </c>
      <c r="AJ148" s="42" t="s">
        <v>16</v>
      </c>
      <c r="AK148" s="43" t="n">
        <v>737.72211391922</v>
      </c>
      <c r="AL148" s="43" t="n">
        <v>754.14514599701</v>
      </c>
      <c r="AM148" s="43" t="n">
        <v>730.627684074378</v>
      </c>
      <c r="AN148" s="74"/>
      <c r="AO148" s="75" t="n">
        <v>40.8142857142857</v>
      </c>
      <c r="AP148" s="76" t="n">
        <v>1.22510003225806</v>
      </c>
      <c r="AQ148" s="76" t="n">
        <v>1.32434457603687</v>
      </c>
      <c r="AR148" s="76" t="n">
        <v>1.95696600460829</v>
      </c>
      <c r="AS148" s="77" t="n">
        <v>34.7022147695852</v>
      </c>
      <c r="AT148" s="78" t="n">
        <v>35.7272431229563</v>
      </c>
      <c r="AU148" s="78" t="n">
        <v>30.0164516129032</v>
      </c>
      <c r="AV148" s="78" t="n">
        <v>32.448064516129</v>
      </c>
      <c r="AW148" s="78" t="n">
        <v>47.948064516129</v>
      </c>
      <c r="AX148" s="78" t="n">
        <v>33.6741935483871</v>
      </c>
      <c r="AY148" s="48" t="n">
        <v>1.35115504414267</v>
      </c>
      <c r="AZ148" s="48" t="n">
        <v>24.0511031996879</v>
      </c>
      <c r="BA148" s="48" t="n">
        <v>2.39089787031212</v>
      </c>
      <c r="BB148" s="49" t="n">
        <f aca="false">AT148/V148</f>
        <v>1.35115504414267</v>
      </c>
      <c r="BC148" s="49" t="n">
        <f aca="false">AS148/V148</f>
        <v>1.31238988598926</v>
      </c>
      <c r="BD148" s="49" t="n">
        <f aca="false">SUM(AP148:AR148)/V148</f>
        <v>0.170426232151394</v>
      </c>
      <c r="BE148" s="50" t="n">
        <v>6.88</v>
      </c>
      <c r="BF148" s="51" t="n">
        <v>150.563114281175</v>
      </c>
      <c r="BG148" s="51" t="n">
        <v>535.591211020572</v>
      </c>
      <c r="BH148" s="51" t="n">
        <v>272.790498615641</v>
      </c>
      <c r="BI148" s="51" t="n">
        <v>151.345173368005</v>
      </c>
      <c r="BJ148" s="51" t="n">
        <v>8.05914152000199</v>
      </c>
      <c r="BK148" s="51" t="n">
        <v>15.4437763436133</v>
      </c>
      <c r="BL148" s="51" t="n">
        <v>11.7950747540568</v>
      </c>
      <c r="BM148" s="51"/>
      <c r="BN148" s="52" t="n">
        <f aca="false">(BG148*0.5-BH148*0.25+BI148*0.5)/SUM(BG148:BI148)*1000</f>
        <v>286.821774418471</v>
      </c>
      <c r="BO148" s="53" t="n">
        <v>12.59825456</v>
      </c>
      <c r="BP148" s="54" t="s">
        <v>77</v>
      </c>
      <c r="BQ148" s="55" t="n">
        <v>363.133397501067</v>
      </c>
      <c r="BR148" s="56" t="n">
        <v>13.7332040997859</v>
      </c>
      <c r="BS148" s="56" t="n">
        <v>19.4196622437856</v>
      </c>
      <c r="BT148" s="56" t="n">
        <v>10.1640475379344</v>
      </c>
      <c r="BU148" s="55"/>
      <c r="BV148" s="55"/>
      <c r="BW148" s="55"/>
      <c r="BX148" s="55"/>
      <c r="BY148" s="79" t="n">
        <v>0.107608695652174</v>
      </c>
      <c r="BZ148" s="80" t="n">
        <v>0.3526289</v>
      </c>
      <c r="CA148" s="81" t="n">
        <v>4.01</v>
      </c>
      <c r="CB148" s="81" t="n">
        <v>0.03</v>
      </c>
      <c r="CC148" s="82" t="n">
        <v>5.89356</v>
      </c>
      <c r="CD148" s="82" t="n">
        <v>7.727294</v>
      </c>
      <c r="CE148" s="83" t="n">
        <v>85.352892</v>
      </c>
      <c r="CF148" s="84" t="n">
        <v>37.78334</v>
      </c>
      <c r="CG148" s="80" t="n">
        <v>0.1025</v>
      </c>
      <c r="CH148" s="63" t="n">
        <v>28489.0742468049</v>
      </c>
      <c r="CI148" s="63" t="n">
        <v>1446.45132794087</v>
      </c>
      <c r="CJ148" s="64" t="n">
        <v>386137.432718501</v>
      </c>
      <c r="CK148" s="65" t="n">
        <v>0.374594951273566</v>
      </c>
    </row>
    <row r="149" customFormat="false" ht="15" hidden="false" customHeight="false" outlineLevel="0" collapsed="false">
      <c r="A149" s="7" t="s">
        <v>73</v>
      </c>
      <c r="B149" s="66" t="n">
        <v>147</v>
      </c>
      <c r="C149" s="8" t="s">
        <v>225</v>
      </c>
      <c r="D149" s="67" t="n">
        <v>41757</v>
      </c>
      <c r="E149" s="4" t="s">
        <v>75</v>
      </c>
      <c r="F149" s="7" t="n">
        <v>173</v>
      </c>
      <c r="G149" s="68" t="n">
        <v>1</v>
      </c>
      <c r="H149" s="68" t="n">
        <v>95</v>
      </c>
      <c r="I149" s="66" t="n">
        <v>1</v>
      </c>
      <c r="J149" s="69" t="n">
        <v>554.27380952381</v>
      </c>
      <c r="K149" s="31" t="n">
        <v>562.320765481806</v>
      </c>
      <c r="L149" s="31" t="n">
        <v>937.72660758843</v>
      </c>
      <c r="M149" s="31" t="n">
        <v>171.588403155321</v>
      </c>
      <c r="N149" s="31" t="n">
        <v>347.814594767761</v>
      </c>
      <c r="O149" s="32"/>
      <c r="P149" s="33" t="n">
        <v>71.050293535186</v>
      </c>
      <c r="Q149" s="33" t="n">
        <v>10.7701479954284</v>
      </c>
      <c r="R149" s="31" t="n">
        <v>123.566485977534</v>
      </c>
      <c r="S149" s="34" t="s">
        <v>76</v>
      </c>
      <c r="T149" s="35" t="n">
        <v>18.5664595085714</v>
      </c>
      <c r="U149" s="35" t="n">
        <v>8.26032807142857</v>
      </c>
      <c r="V149" s="70" t="n">
        <v>26.82678758</v>
      </c>
      <c r="W149" s="35" t="n">
        <v>25.1561333399695</v>
      </c>
      <c r="X149" s="35" t="n">
        <v>4.74102535232766</v>
      </c>
      <c r="Y149" s="35" t="n">
        <v>8.15610082315454</v>
      </c>
      <c r="Z149" s="35"/>
      <c r="AA149" s="35" t="n">
        <v>1.59548331733819</v>
      </c>
      <c r="AB149" s="35" t="n">
        <v>0.258356911877003</v>
      </c>
      <c r="AC149" s="71" t="n">
        <v>4.0245014359251</v>
      </c>
      <c r="AD149" s="38" t="n">
        <v>6.16440904414611</v>
      </c>
      <c r="AE149" s="38" t="n">
        <v>5.46664876485242</v>
      </c>
      <c r="AF149" s="38" t="n">
        <v>1.04098753393785</v>
      </c>
      <c r="AG149" s="72"/>
      <c r="AH149" s="72"/>
      <c r="AI149" s="73" t="n">
        <v>41.9110591180425</v>
      </c>
      <c r="AJ149" s="42" t="s">
        <v>16</v>
      </c>
      <c r="AK149" s="43" t="n">
        <v>770.21441625229</v>
      </c>
      <c r="AL149" s="43" t="n">
        <v>782.691215260546</v>
      </c>
      <c r="AM149" s="43" t="n">
        <v>780.429874008845</v>
      </c>
      <c r="AN149" s="74"/>
      <c r="AO149" s="75" t="n">
        <v>45.0714285714286</v>
      </c>
      <c r="AP149" s="76" t="n">
        <v>1.17190176803395</v>
      </c>
      <c r="AQ149" s="76" t="n">
        <v>1.33317715700141</v>
      </c>
      <c r="AR149" s="76" t="n">
        <v>2.06507468175389</v>
      </c>
      <c r="AS149" s="77" t="n">
        <v>35.6070979490806</v>
      </c>
      <c r="AT149" s="78" t="n">
        <v>35.7439613766791</v>
      </c>
      <c r="AU149" s="78" t="n">
        <v>26.0009900990099</v>
      </c>
      <c r="AV149" s="78" t="n">
        <v>29.5792079207921</v>
      </c>
      <c r="AW149" s="78" t="n">
        <v>45.8178217821782</v>
      </c>
      <c r="AX149" s="78" t="n">
        <v>35.6435643564356</v>
      </c>
      <c r="AY149" s="48" t="n">
        <v>1.33239812147046</v>
      </c>
      <c r="AZ149" s="48" t="n">
        <v>23.4164762687583</v>
      </c>
      <c r="BA149" s="48" t="n">
        <v>3.41031131124168</v>
      </c>
      <c r="BB149" s="49" t="n">
        <f aca="false">AT149/V149</f>
        <v>1.33239812147046</v>
      </c>
      <c r="BC149" s="49" t="n">
        <f aca="false">AS149/V149</f>
        <v>1.3272963765377</v>
      </c>
      <c r="BD149" s="49" t="n">
        <f aca="false">SUM(AP149:AR149)/V149</f>
        <v>0.170357840764968</v>
      </c>
      <c r="BE149" s="50" t="n">
        <v>7.48</v>
      </c>
      <c r="BF149" s="51" t="n">
        <v>68.2833909884749</v>
      </c>
      <c r="BG149" s="51" t="n">
        <v>531.001563072601</v>
      </c>
      <c r="BH149" s="51" t="n">
        <v>253.383466833839</v>
      </c>
      <c r="BI149" s="51" t="n">
        <v>139.245502275002</v>
      </c>
      <c r="BJ149" s="51" t="n">
        <v>14.6563695185826</v>
      </c>
      <c r="BK149" s="51" t="n">
        <v>33.9761892672023</v>
      </c>
      <c r="BL149" s="51" t="n">
        <v>22.7617846546639</v>
      </c>
      <c r="BM149" s="51"/>
      <c r="BN149" s="52" t="n">
        <f aca="false">(BG149*0.5-BH149*0.25+BI149*0.5)/SUM(BG149:BI149)*1000</f>
        <v>294.24933076157</v>
      </c>
      <c r="BO149" s="53" t="n">
        <v>4.16985006</v>
      </c>
      <c r="BP149" s="54" t="s">
        <v>77</v>
      </c>
      <c r="BQ149" s="55" t="n">
        <v>372.854716273409</v>
      </c>
      <c r="BR149" s="56" t="n">
        <v>13.8985972569962</v>
      </c>
      <c r="BS149" s="56" t="n">
        <v>18.9367433591741</v>
      </c>
      <c r="BT149" s="56" t="n">
        <v>10.4312645244932</v>
      </c>
      <c r="BU149" s="55"/>
      <c r="BV149" s="55"/>
      <c r="BW149" s="55"/>
      <c r="BX149" s="55"/>
      <c r="BY149" s="79" t="n">
        <v>0.195652173913044</v>
      </c>
      <c r="BZ149" s="80" t="n">
        <v>0.4415435</v>
      </c>
      <c r="CA149" s="81" t="n">
        <v>3.56</v>
      </c>
      <c r="CB149" s="81" t="n">
        <v>0.238</v>
      </c>
      <c r="CC149" s="82" t="n">
        <v>6.098472</v>
      </c>
      <c r="CD149" s="82" t="n">
        <v>7.414052</v>
      </c>
      <c r="CE149" s="83" t="n">
        <v>94.512896</v>
      </c>
      <c r="CF149" s="84" t="n">
        <v>36.8523</v>
      </c>
      <c r="CG149" s="80" t="n">
        <v>0.0605</v>
      </c>
      <c r="CH149" s="63" t="n">
        <v>38202.8445428043</v>
      </c>
      <c r="CI149" s="63" t="n">
        <v>3030.83249229767</v>
      </c>
      <c r="CJ149" s="64" t="n">
        <v>537130.327532689</v>
      </c>
      <c r="CK149" s="65" t="n">
        <v>0.564263892195365</v>
      </c>
    </row>
    <row r="150" customFormat="false" ht="15" hidden="false" customHeight="false" outlineLevel="0" collapsed="false">
      <c r="A150" s="7" t="s">
        <v>73</v>
      </c>
      <c r="B150" s="66" t="n">
        <v>148</v>
      </c>
      <c r="C150" s="8" t="s">
        <v>226</v>
      </c>
      <c r="D150" s="67" t="n">
        <v>41757</v>
      </c>
      <c r="E150" s="4" t="s">
        <v>75</v>
      </c>
      <c r="F150" s="7" t="n">
        <v>177</v>
      </c>
      <c r="G150" s="68" t="n">
        <v>1</v>
      </c>
      <c r="H150" s="68" t="n">
        <v>98</v>
      </c>
      <c r="I150" s="66" t="n">
        <v>1</v>
      </c>
      <c r="J150" s="69" t="n">
        <v>607.642857142857</v>
      </c>
      <c r="K150" s="31" t="n">
        <v>562.320765481806</v>
      </c>
      <c r="L150" s="31" t="n">
        <v>937.72660758843</v>
      </c>
      <c r="M150" s="31" t="n">
        <v>171.588403155321</v>
      </c>
      <c r="N150" s="31" t="n">
        <v>347.814594767761</v>
      </c>
      <c r="O150" s="32"/>
      <c r="P150" s="33" t="n">
        <v>71.050293535186</v>
      </c>
      <c r="Q150" s="33" t="n">
        <v>10.7701479954284</v>
      </c>
      <c r="R150" s="31" t="n">
        <v>123.566485977534</v>
      </c>
      <c r="S150" s="34" t="s">
        <v>76</v>
      </c>
      <c r="T150" s="35" t="n">
        <v>13.1240803</v>
      </c>
      <c r="U150" s="35" t="n">
        <v>5.213271</v>
      </c>
      <c r="V150" s="70" t="n">
        <v>18.3373513</v>
      </c>
      <c r="W150" s="35" t="n">
        <v>17.1953848832955</v>
      </c>
      <c r="X150" s="35" t="n">
        <v>3.23348306039254</v>
      </c>
      <c r="Y150" s="35" t="n">
        <v>5.63665311407739</v>
      </c>
      <c r="Z150" s="35"/>
      <c r="AA150" s="35" t="n">
        <v>1.10686815395269</v>
      </c>
      <c r="AB150" s="35" t="n">
        <v>0.178201616839479</v>
      </c>
      <c r="AC150" s="71" t="n">
        <v>2.71373194577465</v>
      </c>
      <c r="AD150" s="38" t="n">
        <v>4.06896822114235</v>
      </c>
      <c r="AE150" s="38" t="n">
        <v>3.56905366554044</v>
      </c>
      <c r="AF150" s="38" t="n">
        <v>0.698339200292724</v>
      </c>
      <c r="AG150" s="72"/>
      <c r="AH150" s="72"/>
      <c r="AI150" s="73" t="n">
        <v>43.7952835103366</v>
      </c>
      <c r="AJ150" s="42" t="s">
        <v>16</v>
      </c>
      <c r="AK150" s="43" t="n">
        <v>778.1049097782</v>
      </c>
      <c r="AL150" s="43" t="n">
        <v>792.44118757658</v>
      </c>
      <c r="AM150" s="43" t="n">
        <v>784.028805084277</v>
      </c>
      <c r="AN150" s="74"/>
      <c r="AO150" s="75" t="n">
        <v>35.0571428571429</v>
      </c>
      <c r="AP150" s="76" t="n">
        <v>1.31954310970797</v>
      </c>
      <c r="AQ150" s="76" t="n">
        <v>1.09378285714286</v>
      </c>
      <c r="AR150" s="76" t="n">
        <v>1.62804596685083</v>
      </c>
      <c r="AS150" s="77" t="n">
        <v>33.8160037884767</v>
      </c>
      <c r="AT150" s="78" t="n">
        <v>33.3317227367924</v>
      </c>
      <c r="AU150" s="78" t="n">
        <v>37.6397790055249</v>
      </c>
      <c r="AV150" s="78" t="n">
        <v>31.2</v>
      </c>
      <c r="AW150" s="78" t="n">
        <v>46.4397790055249</v>
      </c>
      <c r="AX150" s="78" t="n">
        <v>22.6022099447514</v>
      </c>
      <c r="AY150" s="48" t="n">
        <v>1.81769559798924</v>
      </c>
      <c r="AZ150" s="48" t="n">
        <v>23.6054236027512</v>
      </c>
      <c r="BA150" s="48" t="n">
        <v>-5.26807230275123</v>
      </c>
      <c r="BB150" s="49" t="n">
        <f aca="false">AT150/V150</f>
        <v>1.81769559798924</v>
      </c>
      <c r="BC150" s="49" t="n">
        <f aca="false">AS150/V150</f>
        <v>1.84410514011785</v>
      </c>
      <c r="BD150" s="49" t="n">
        <f aca="false">SUM(AP150:AR150)/V150</f>
        <v>0.220390168001071</v>
      </c>
      <c r="BE150" s="50" t="n">
        <v>7.06</v>
      </c>
      <c r="BF150" s="51" t="n">
        <v>114.6030935848</v>
      </c>
      <c r="BG150" s="51" t="n">
        <v>591.047229131945</v>
      </c>
      <c r="BH150" s="51" t="n">
        <v>219.716102181664</v>
      </c>
      <c r="BI150" s="51" t="n">
        <v>149.090451232104</v>
      </c>
      <c r="BJ150" s="51" t="n">
        <v>9.97221495398439</v>
      </c>
      <c r="BK150" s="51" t="n">
        <v>13.7727241692325</v>
      </c>
      <c r="BL150" s="51" t="n">
        <v>11.4261539529608</v>
      </c>
      <c r="BM150" s="51"/>
      <c r="BN150" s="52" t="n">
        <f aca="false">(BG150*0.5-BH150*0.25+BI150*0.5)/SUM(BG150:BI150)*1000</f>
        <v>328.320646714334</v>
      </c>
      <c r="BO150" s="53" t="n">
        <v>4.92007156</v>
      </c>
      <c r="BP150" s="54" t="s">
        <v>77</v>
      </c>
      <c r="BQ150" s="55" t="n">
        <v>362.873463159431</v>
      </c>
      <c r="BR150" s="56" t="n">
        <v>19.7887610496632</v>
      </c>
      <c r="BS150" s="56" t="n">
        <v>26.6303128377364</v>
      </c>
      <c r="BT150" s="56" t="n">
        <v>10.8867299186694</v>
      </c>
      <c r="BU150" s="55"/>
      <c r="BV150" s="55"/>
      <c r="BW150" s="55"/>
      <c r="BX150" s="55"/>
      <c r="BY150" s="79" t="n">
        <v>0.156521739130435</v>
      </c>
      <c r="BZ150" s="80" t="n">
        <v>0.559781</v>
      </c>
      <c r="CA150" s="81" t="n">
        <v>3.72</v>
      </c>
      <c r="CB150" s="81" t="n">
        <v>0.482</v>
      </c>
      <c r="CC150" s="82" t="n">
        <v>4.721008</v>
      </c>
      <c r="CD150" s="82" t="n">
        <v>6.013676</v>
      </c>
      <c r="CE150" s="83" t="n">
        <v>88.265032</v>
      </c>
      <c r="CF150" s="84" t="n">
        <v>34.65626</v>
      </c>
      <c r="CG150" s="80" t="n">
        <v>0.0815</v>
      </c>
      <c r="CH150" s="63" t="n">
        <v>78915.0229356408</v>
      </c>
      <c r="CI150" s="63" t="n">
        <v>5482.05204817481</v>
      </c>
      <c r="CJ150" s="64" t="n">
        <v>465017.27259029</v>
      </c>
      <c r="CK150" s="65" t="n">
        <v>1.1788921339713</v>
      </c>
    </row>
    <row r="151" customFormat="false" ht="15" hidden="false" customHeight="false" outlineLevel="0" collapsed="false">
      <c r="A151" s="7" t="s">
        <v>73</v>
      </c>
      <c r="B151" s="66" t="n">
        <v>149</v>
      </c>
      <c r="C151" s="8" t="s">
        <v>227</v>
      </c>
      <c r="D151" s="67" t="n">
        <v>41757</v>
      </c>
      <c r="E151" s="4" t="s">
        <v>75</v>
      </c>
      <c r="F151" s="7" t="n">
        <v>270</v>
      </c>
      <c r="G151" s="68" t="n">
        <v>1</v>
      </c>
      <c r="H151" s="68" t="n">
        <v>111</v>
      </c>
      <c r="I151" s="66" t="n">
        <v>2</v>
      </c>
      <c r="J151" s="69" t="n">
        <v>670.940476190476</v>
      </c>
      <c r="K151" s="31" t="n">
        <v>562.320765481806</v>
      </c>
      <c r="L151" s="31" t="n">
        <v>937.72660758843</v>
      </c>
      <c r="M151" s="31" t="n">
        <v>171.588403155321</v>
      </c>
      <c r="N151" s="31" t="n">
        <v>347.814594767761</v>
      </c>
      <c r="O151" s="32"/>
      <c r="P151" s="33" t="n">
        <v>71.050293535186</v>
      </c>
      <c r="Q151" s="33" t="n">
        <v>10.7701479954284</v>
      </c>
      <c r="R151" s="31" t="n">
        <v>123.566485977534</v>
      </c>
      <c r="S151" s="34" t="s">
        <v>76</v>
      </c>
      <c r="T151" s="35" t="n">
        <v>12.6756602242857</v>
      </c>
      <c r="U151" s="35" t="n">
        <v>4.36230878571429</v>
      </c>
      <c r="V151" s="70" t="n">
        <v>17.03796901</v>
      </c>
      <c r="W151" s="35" t="n">
        <v>15.9769256320982</v>
      </c>
      <c r="X151" s="35" t="n">
        <v>2.99632210097936</v>
      </c>
      <c r="Y151" s="35" t="n">
        <v>5.30571878076424</v>
      </c>
      <c r="Z151" s="35"/>
      <c r="AA151" s="35" t="n">
        <v>1.04654072609433</v>
      </c>
      <c r="AB151" s="35" t="n">
        <v>0.167356497330308</v>
      </c>
      <c r="AC151" s="71" t="n">
        <v>2.48006930672329</v>
      </c>
      <c r="AD151" s="38" t="n">
        <v>4.88360384466405</v>
      </c>
      <c r="AE151" s="38" t="n">
        <v>4.32703897543991</v>
      </c>
      <c r="AF151" s="38" t="n">
        <v>0.898669743478416</v>
      </c>
      <c r="AG151" s="72"/>
      <c r="AH151" s="72"/>
      <c r="AI151" s="73" t="n">
        <v>34.2690567567568</v>
      </c>
      <c r="AJ151" s="42" t="s">
        <v>16</v>
      </c>
      <c r="AK151" s="43" t="n">
        <v>713.369366865397</v>
      </c>
      <c r="AL151" s="43" t="n">
        <v>729.169486353073</v>
      </c>
      <c r="AM151" s="43" t="n">
        <v>700.075721770807</v>
      </c>
      <c r="AN151" s="74"/>
      <c r="AO151" s="75" t="n">
        <v>32.9857142857143</v>
      </c>
      <c r="AP151" s="76" t="n">
        <v>1.420035</v>
      </c>
      <c r="AQ151" s="76" t="n">
        <v>1.06708785714286</v>
      </c>
      <c r="AR151" s="76" t="n">
        <v>1.581665</v>
      </c>
      <c r="AS151" s="77" t="n">
        <v>34.4948107142857</v>
      </c>
      <c r="AT151" s="78" t="n">
        <v>34.093761155596</v>
      </c>
      <c r="AU151" s="78" t="n">
        <v>43.05</v>
      </c>
      <c r="AV151" s="78" t="n">
        <v>32.35</v>
      </c>
      <c r="AW151" s="78" t="n">
        <v>47.95</v>
      </c>
      <c r="AX151" s="78" t="n">
        <v>17</v>
      </c>
      <c r="AY151" s="48" t="n">
        <v>2.00104608334394</v>
      </c>
      <c r="AZ151" s="48" t="n">
        <v>24.9908079846397</v>
      </c>
      <c r="BA151" s="48" t="n">
        <v>-7.95283897463965</v>
      </c>
      <c r="BB151" s="49" t="n">
        <f aca="false">AT151/V151</f>
        <v>2.00104608334394</v>
      </c>
      <c r="BC151" s="49" t="n">
        <f aca="false">AS151/V151</f>
        <v>2.02458466112011</v>
      </c>
      <c r="BD151" s="49" t="n">
        <f aca="false">SUM(AP151:AR151)/V151</f>
        <v>0.238807093424972</v>
      </c>
      <c r="BE151" s="50" t="n">
        <v>7.64</v>
      </c>
      <c r="BF151" s="51" t="n">
        <v>60.6026828064543</v>
      </c>
      <c r="BG151" s="51" t="n">
        <v>602.945633256953</v>
      </c>
      <c r="BH151" s="51" t="n">
        <v>238.396237251599</v>
      </c>
      <c r="BI151" s="51" t="n">
        <v>113.912692144349</v>
      </c>
      <c r="BJ151" s="51" t="n">
        <v>10.3705537014689</v>
      </c>
      <c r="BK151" s="51" t="n">
        <v>15.0659997400347</v>
      </c>
      <c r="BL151" s="51" t="n">
        <v>14.3337595274867</v>
      </c>
      <c r="BM151" s="51"/>
      <c r="BN151" s="52" t="n">
        <f aca="false">(BG151*0.5-BH151*0.25+BI151*0.5)/SUM(BG151:BI151)*1000</f>
        <v>312.827716371069</v>
      </c>
      <c r="BO151" s="53" t="n">
        <v>3.75323484</v>
      </c>
      <c r="BP151" s="54" t="s">
        <v>77</v>
      </c>
      <c r="BQ151" s="55" t="n">
        <v>543.325428870755</v>
      </c>
      <c r="BR151" s="56" t="n">
        <v>31.8890959686489</v>
      </c>
      <c r="BS151" s="56" t="n">
        <v>46.6378296101472</v>
      </c>
      <c r="BT151" s="56" t="n">
        <v>15.9362126809989</v>
      </c>
      <c r="BU151" s="55"/>
      <c r="BV151" s="55"/>
      <c r="BW151" s="55"/>
      <c r="BX151" s="55"/>
      <c r="BY151" s="79" t="n">
        <v>0.58695652173913</v>
      </c>
      <c r="BZ151" s="80" t="n">
        <v>0.4207337</v>
      </c>
      <c r="CA151" s="81" t="n">
        <v>3.52</v>
      </c>
      <c r="CB151" s="81" t="n">
        <v>0.397</v>
      </c>
      <c r="CC151" s="82" t="n">
        <v>4.254264</v>
      </c>
      <c r="CD151" s="82" t="n">
        <v>4.349194</v>
      </c>
      <c r="CE151" s="83" t="n">
        <v>81.691916</v>
      </c>
      <c r="CF151" s="84" t="n">
        <v>34.03894</v>
      </c>
      <c r="CG151" s="80" t="n">
        <v>1.478</v>
      </c>
      <c r="CH151" s="63"/>
      <c r="CI151" s="63"/>
      <c r="CJ151" s="64"/>
      <c r="CK151" s="65"/>
    </row>
    <row r="152" customFormat="false" ht="15" hidden="false" customHeight="false" outlineLevel="0" collapsed="false">
      <c r="A152" s="7" t="s">
        <v>73</v>
      </c>
      <c r="B152" s="66" t="n">
        <v>150</v>
      </c>
      <c r="C152" s="8" t="s">
        <v>228</v>
      </c>
      <c r="D152" s="67" t="n">
        <v>41757</v>
      </c>
      <c r="E152" s="4" t="s">
        <v>75</v>
      </c>
      <c r="F152" s="7" t="n">
        <v>316</v>
      </c>
      <c r="G152" s="68" t="n">
        <v>1</v>
      </c>
      <c r="H152" s="68" t="n">
        <v>104</v>
      </c>
      <c r="I152" s="66" t="n">
        <v>2</v>
      </c>
      <c r="J152" s="69" t="n">
        <v>659.511904761905</v>
      </c>
      <c r="K152" s="31" t="n">
        <v>562.320765481806</v>
      </c>
      <c r="L152" s="31" t="n">
        <v>937.72660758843</v>
      </c>
      <c r="M152" s="31" t="n">
        <v>171.588403155321</v>
      </c>
      <c r="N152" s="31" t="n">
        <v>347.814594767761</v>
      </c>
      <c r="O152" s="32"/>
      <c r="P152" s="33" t="n">
        <v>71.050293535186</v>
      </c>
      <c r="Q152" s="33" t="n">
        <v>10.7701479954284</v>
      </c>
      <c r="R152" s="31" t="n">
        <v>123.566485977534</v>
      </c>
      <c r="S152" s="34" t="s">
        <v>76</v>
      </c>
      <c r="T152" s="35" t="n">
        <v>14.9898648757143</v>
      </c>
      <c r="U152" s="35" t="n">
        <v>6.05048921428572</v>
      </c>
      <c r="V152" s="70" t="n">
        <v>21.04035409</v>
      </c>
      <c r="W152" s="35" t="n">
        <v>19.7300565227496</v>
      </c>
      <c r="X152" s="35" t="n">
        <v>3.71125964127197</v>
      </c>
      <c r="Y152" s="35" t="n">
        <v>6.45774158748514</v>
      </c>
      <c r="Z152" s="35"/>
      <c r="AA152" s="35" t="n">
        <v>1.26743997060462</v>
      </c>
      <c r="AB152" s="35" t="n">
        <v>0.20421480355084</v>
      </c>
      <c r="AC152" s="71" t="n">
        <v>3.1196543492181</v>
      </c>
      <c r="AD152" s="38" t="n">
        <v>4.681678072101</v>
      </c>
      <c r="AE152" s="38" t="n">
        <v>4.05562703844173</v>
      </c>
      <c r="AF152" s="38" t="n">
        <v>0.913189881040075</v>
      </c>
      <c r="AG152" s="72"/>
      <c r="AH152" s="72"/>
      <c r="AI152" s="73" t="n">
        <v>43.6200012913734</v>
      </c>
      <c r="AJ152" s="42" t="s">
        <v>16</v>
      </c>
      <c r="AK152" s="43" t="n">
        <v>777.490528340201</v>
      </c>
      <c r="AL152" s="43" t="n">
        <v>794.444226058582</v>
      </c>
      <c r="AM152" s="43" t="n">
        <v>753.940718432976</v>
      </c>
      <c r="AN152" s="74"/>
      <c r="AO152" s="75" t="n">
        <v>38.2</v>
      </c>
      <c r="AP152" s="76" t="n">
        <v>1.40219305993691</v>
      </c>
      <c r="AQ152" s="76" t="n">
        <v>1.05439230283912</v>
      </c>
      <c r="AR152" s="76" t="n">
        <v>1.79995507886435</v>
      </c>
      <c r="AS152" s="77" t="n">
        <v>36.3128958990536</v>
      </c>
      <c r="AT152" s="78" t="n">
        <v>34.9625111237919</v>
      </c>
      <c r="AU152" s="78" t="n">
        <v>36.7066246056782</v>
      </c>
      <c r="AV152" s="78" t="n">
        <v>27.6018927444795</v>
      </c>
      <c r="AW152" s="78" t="n">
        <v>47.1192429022082</v>
      </c>
      <c r="AX152" s="78" t="n">
        <v>33.9432176656151</v>
      </c>
      <c r="AY152" s="48" t="n">
        <v>1.66168834299271</v>
      </c>
      <c r="AZ152" s="48" t="n">
        <v>25.3616276419767</v>
      </c>
      <c r="BA152" s="48" t="n">
        <v>-4.32127355197673</v>
      </c>
      <c r="BB152" s="49" t="n">
        <f aca="false">AT152/V152</f>
        <v>1.66168834299271</v>
      </c>
      <c r="BC152" s="49" t="n">
        <f aca="false">AS152/V152</f>
        <v>1.72586904876816</v>
      </c>
      <c r="BD152" s="49" t="n">
        <f aca="false">SUM(AP152:AR152)/V152</f>
        <v>0.202303650567526</v>
      </c>
      <c r="BE152" s="50" t="n">
        <v>6.86</v>
      </c>
      <c r="BF152" s="51" t="n">
        <v>121.997802532193</v>
      </c>
      <c r="BG152" s="51" t="n">
        <v>588.10067251541</v>
      </c>
      <c r="BH152" s="51" t="n">
        <v>200.487949885225</v>
      </c>
      <c r="BI152" s="51" t="n">
        <v>165.741311093075</v>
      </c>
      <c r="BJ152" s="51" t="n">
        <v>10.8105731855657</v>
      </c>
      <c r="BK152" s="51" t="n">
        <v>14.6732314801571</v>
      </c>
      <c r="BL152" s="51" t="n">
        <v>15.2111374624577</v>
      </c>
      <c r="BM152" s="51"/>
      <c r="BN152" s="52" t="n">
        <f aca="false">(BG152*0.5-BH152*0.25+BI152*0.5)/SUM(BG152:BI152)*1000</f>
        <v>342.43817872982</v>
      </c>
      <c r="BO152" s="53" t="n">
        <v>10.18424604</v>
      </c>
      <c r="BP152" s="54" t="s">
        <v>77</v>
      </c>
      <c r="BQ152" s="55" t="n">
        <v>609.244503465711</v>
      </c>
      <c r="BR152" s="56" t="n">
        <v>28.9560004959836</v>
      </c>
      <c r="BS152" s="56" t="n">
        <v>38.8686876339354</v>
      </c>
      <c r="BT152" s="56" t="n">
        <v>17.4256506149846</v>
      </c>
      <c r="BU152" s="55"/>
      <c r="BV152" s="55"/>
      <c r="BW152" s="55"/>
      <c r="BX152" s="55"/>
      <c r="BY152" s="79" t="n">
        <v>0.215217391304348</v>
      </c>
      <c r="BZ152" s="80" t="n">
        <v>0.7877429</v>
      </c>
      <c r="CA152" s="81" t="n">
        <v>3.53</v>
      </c>
      <c r="CB152" s="81" t="n">
        <v>0.715</v>
      </c>
      <c r="CC152" s="82" t="n">
        <v>5.016992</v>
      </c>
      <c r="CD152" s="82" t="n">
        <v>5.485464</v>
      </c>
      <c r="CE152" s="83" t="n">
        <v>75.8752</v>
      </c>
      <c r="CF152" s="84" t="n">
        <v>38.32982</v>
      </c>
      <c r="CG152" s="80" t="n">
        <v>0.092</v>
      </c>
      <c r="CH152" s="63" t="n">
        <v>140956.934750025</v>
      </c>
      <c r="CI152" s="63" t="n">
        <v>4803.40184813642</v>
      </c>
      <c r="CJ152" s="64" t="n">
        <v>531939.045973953</v>
      </c>
      <c r="CK152" s="65" t="n">
        <v>0.902998545508468</v>
      </c>
    </row>
    <row r="153" customFormat="false" ht="15" hidden="false" customHeight="false" outlineLevel="0" collapsed="false">
      <c r="A153" s="7" t="s">
        <v>73</v>
      </c>
      <c r="B153" s="66" t="n">
        <v>151</v>
      </c>
      <c r="C153" s="8" t="s">
        <v>229</v>
      </c>
      <c r="D153" s="67" t="n">
        <v>41757</v>
      </c>
      <c r="E153" s="4" t="s">
        <v>75</v>
      </c>
      <c r="F153" s="7" t="n">
        <v>106</v>
      </c>
      <c r="G153" s="68" t="n">
        <v>1</v>
      </c>
      <c r="H153" s="68" t="n">
        <v>122</v>
      </c>
      <c r="I153" s="66" t="n">
        <v>6</v>
      </c>
      <c r="J153" s="69" t="n">
        <v>596.744047619048</v>
      </c>
      <c r="K153" s="31" t="n">
        <v>562.320765481806</v>
      </c>
      <c r="L153" s="31" t="n">
        <v>937.72660758843</v>
      </c>
      <c r="M153" s="31" t="n">
        <v>171.588403155321</v>
      </c>
      <c r="N153" s="31" t="n">
        <v>347.814594767761</v>
      </c>
      <c r="O153" s="32"/>
      <c r="P153" s="33" t="n">
        <v>71.050293535186</v>
      </c>
      <c r="Q153" s="33" t="n">
        <v>10.7701479954284</v>
      </c>
      <c r="R153" s="31" t="n">
        <v>123.566485977534</v>
      </c>
      <c r="S153" s="34" t="s">
        <v>76</v>
      </c>
      <c r="T153" s="35" t="n">
        <v>16.81243914</v>
      </c>
      <c r="U153" s="35" t="n">
        <v>7.9358715</v>
      </c>
      <c r="V153" s="70" t="n">
        <v>24.74831064</v>
      </c>
      <c r="W153" s="35" t="n">
        <v>23.2070925342016</v>
      </c>
      <c r="X153" s="35" t="n">
        <v>4.37896783592862</v>
      </c>
      <c r="Y153" s="35" t="n">
        <v>7.47931506328674</v>
      </c>
      <c r="Z153" s="35"/>
      <c r="AA153" s="35" t="n">
        <v>1.46000568170195</v>
      </c>
      <c r="AB153" s="35" t="n">
        <v>0.237172224793032</v>
      </c>
      <c r="AC153" s="71" t="n">
        <v>3.73979866361596</v>
      </c>
      <c r="AD153" s="38" t="n">
        <v>5.97568709314885</v>
      </c>
      <c r="AE153" s="38" t="n">
        <v>5.27990327559048</v>
      </c>
      <c r="AF153" s="38" t="n">
        <v>1.1756714687277</v>
      </c>
      <c r="AG153" s="72"/>
      <c r="AH153" s="72"/>
      <c r="AI153" s="73" t="n">
        <v>39.6895321150517</v>
      </c>
      <c r="AJ153" s="42" t="s">
        <v>16</v>
      </c>
      <c r="AK153" s="43" t="n">
        <v>758.541616028913</v>
      </c>
      <c r="AL153" s="43" t="n">
        <v>772.487515710588</v>
      </c>
      <c r="AM153" s="43" t="n">
        <v>731.518587763642</v>
      </c>
      <c r="AN153" s="74"/>
      <c r="AO153" s="75" t="n">
        <v>47.25</v>
      </c>
      <c r="AP153" s="76" t="n">
        <v>1.8333</v>
      </c>
      <c r="AQ153" s="76" t="n">
        <v>1.2663</v>
      </c>
      <c r="AR153" s="76" t="n">
        <v>2.187675</v>
      </c>
      <c r="AS153" s="77" t="n">
        <v>46.3995</v>
      </c>
      <c r="AT153" s="78" t="n">
        <v>43.956073089172</v>
      </c>
      <c r="AU153" s="78" t="n">
        <v>38.8</v>
      </c>
      <c r="AV153" s="78" t="n">
        <v>26.8</v>
      </c>
      <c r="AW153" s="78" t="n">
        <v>46.3</v>
      </c>
      <c r="AX153" s="78" t="n">
        <v>47</v>
      </c>
      <c r="AY153" s="48" t="n">
        <v>1.7761241859526</v>
      </c>
      <c r="AZ153" s="48" t="n">
        <v>28.4440984109431</v>
      </c>
      <c r="BA153" s="48" t="n">
        <v>-3.69578777094315</v>
      </c>
      <c r="BB153" s="49" t="n">
        <f aca="false">AT153/V153</f>
        <v>1.7761241859526</v>
      </c>
      <c r="BC153" s="49" t="n">
        <f aca="false">AS153/V153</f>
        <v>1.87485524466489</v>
      </c>
      <c r="BD153" s="49" t="n">
        <f aca="false">SUM(AP153:AR153)/V153</f>
        <v>0.213641855272914</v>
      </c>
      <c r="BE153" s="50" t="n">
        <v>6.68</v>
      </c>
      <c r="BF153" s="51" t="n">
        <v>124.120861472308</v>
      </c>
      <c r="BG153" s="51" t="n">
        <v>552.968627867854</v>
      </c>
      <c r="BH153" s="51" t="n">
        <v>248.507904752175</v>
      </c>
      <c r="BI153" s="51" t="n">
        <v>155.751644027457</v>
      </c>
      <c r="BJ153" s="51" t="n">
        <v>10.0724644610429</v>
      </c>
      <c r="BK153" s="51" t="n">
        <v>16.1991138649572</v>
      </c>
      <c r="BL153" s="51" t="n">
        <v>11.5251206484048</v>
      </c>
      <c r="BM153" s="51"/>
      <c r="BN153" s="52" t="n">
        <f aca="false">(BG153*0.5-BH153*0.25+BI153*0.5)/SUM(BG153:BI153)*1000</f>
        <v>305.29101304049</v>
      </c>
      <c r="BO153" s="53" t="n">
        <v>10.7952976</v>
      </c>
      <c r="BP153" s="54" t="s">
        <v>77</v>
      </c>
      <c r="BQ153" s="55" t="n">
        <v>449.385964008829</v>
      </c>
      <c r="BR153" s="56" t="n">
        <v>18.1582480738099</v>
      </c>
      <c r="BS153" s="56" t="n">
        <v>25.0672850900467</v>
      </c>
      <c r="BT153" s="56" t="n">
        <v>10.2235239052674</v>
      </c>
      <c r="BU153" s="55"/>
      <c r="BV153" s="55"/>
      <c r="BW153" s="55"/>
      <c r="BX153" s="55"/>
      <c r="BY153" s="79" t="n">
        <v>0.0782608695652174</v>
      </c>
      <c r="BZ153" s="80" t="n">
        <v>0.8265248</v>
      </c>
      <c r="CA153" s="81" t="n">
        <v>3.09</v>
      </c>
      <c r="CB153" s="81" t="n">
        <v>0.301</v>
      </c>
      <c r="CC153" s="82" t="n">
        <v>7.532856</v>
      </c>
      <c r="CD153" s="82" t="n">
        <v>6.603308</v>
      </c>
      <c r="CE153" s="83" t="n">
        <v>88.370928</v>
      </c>
      <c r="CF153" s="84" t="n">
        <v>37.47974</v>
      </c>
      <c r="CG153" s="80" t="n">
        <v>0.1655</v>
      </c>
      <c r="CH153" s="63" t="n">
        <v>70188.0318177543</v>
      </c>
      <c r="CI153" s="63" t="n">
        <v>3873.42129649252</v>
      </c>
      <c r="CJ153" s="64" t="n">
        <v>548707.441378666</v>
      </c>
      <c r="CK153" s="65" t="n">
        <v>0.705917398670642</v>
      </c>
    </row>
    <row r="154" customFormat="false" ht="15" hidden="false" customHeight="false" outlineLevel="0" collapsed="false">
      <c r="A154" s="7" t="s">
        <v>73</v>
      </c>
      <c r="B154" s="66" t="n">
        <v>152</v>
      </c>
      <c r="C154" s="8" t="s">
        <v>230</v>
      </c>
      <c r="D154" s="67" t="n">
        <v>41757</v>
      </c>
      <c r="E154" s="4" t="s">
        <v>75</v>
      </c>
      <c r="F154" s="7" t="n">
        <v>132</v>
      </c>
      <c r="G154" s="68" t="n">
        <v>1</v>
      </c>
      <c r="H154" s="68" t="n">
        <v>110</v>
      </c>
      <c r="I154" s="66" t="n">
        <v>3</v>
      </c>
      <c r="J154" s="69" t="n">
        <v>674.511904761905</v>
      </c>
      <c r="K154" s="31" t="n">
        <v>562.320765481806</v>
      </c>
      <c r="L154" s="31" t="n">
        <v>937.72660758843</v>
      </c>
      <c r="M154" s="31" t="n">
        <v>171.588403155321</v>
      </c>
      <c r="N154" s="31" t="n">
        <v>347.814594767761</v>
      </c>
      <c r="O154" s="32"/>
      <c r="P154" s="33" t="n">
        <v>71.050293535186</v>
      </c>
      <c r="Q154" s="33" t="n">
        <v>10.7701479954284</v>
      </c>
      <c r="R154" s="31" t="n">
        <v>123.566485977534</v>
      </c>
      <c r="S154" s="34" t="s">
        <v>76</v>
      </c>
      <c r="T154" s="35" t="n">
        <v>17.35297562</v>
      </c>
      <c r="U154" s="35" t="n">
        <v>6.509502</v>
      </c>
      <c r="V154" s="70" t="n">
        <v>23.86247762</v>
      </c>
      <c r="W154" s="35" t="n">
        <v>22.3764335587573</v>
      </c>
      <c r="X154" s="35" t="n">
        <v>4.20316394762901</v>
      </c>
      <c r="Y154" s="35" t="n">
        <v>7.37404412228514</v>
      </c>
      <c r="Z154" s="35"/>
      <c r="AA154" s="35" t="n">
        <v>1.45069493535993</v>
      </c>
      <c r="AB154" s="35" t="n">
        <v>0.232910680508778</v>
      </c>
      <c r="AC154" s="71" t="n">
        <v>3.50780606811722</v>
      </c>
      <c r="AD154" s="38" t="n">
        <v>5.42482533504985</v>
      </c>
      <c r="AE154" s="38" t="n">
        <v>4.73612292824852</v>
      </c>
      <c r="AF154" s="38" t="n">
        <v>1.11966426314762</v>
      </c>
      <c r="AG154" s="72"/>
      <c r="AH154" s="72"/>
      <c r="AI154" s="73" t="n">
        <v>42.9342266568362</v>
      </c>
      <c r="AJ154" s="42" t="s">
        <v>16</v>
      </c>
      <c r="AK154" s="43" t="n">
        <v>772.662947182689</v>
      </c>
      <c r="AL154" s="43" t="n">
        <v>788.3432623071</v>
      </c>
      <c r="AM154" s="43" t="n">
        <v>733.613944852372</v>
      </c>
      <c r="AN154" s="74"/>
      <c r="AO154" s="75" t="n">
        <v>47.2928571428571</v>
      </c>
      <c r="AP154" s="76" t="n">
        <v>1.58273428571429</v>
      </c>
      <c r="AQ154" s="76" t="n">
        <v>1.36266485714286</v>
      </c>
      <c r="AR154" s="76" t="n">
        <v>2.06638257142857</v>
      </c>
      <c r="AS154" s="77" t="n">
        <v>42.6581571428572</v>
      </c>
      <c r="AT154" s="78" t="n">
        <v>41.0038670573248</v>
      </c>
      <c r="AU154" s="78" t="n">
        <v>33.4666666666667</v>
      </c>
      <c r="AV154" s="78" t="n">
        <v>28.8133333333333</v>
      </c>
      <c r="AW154" s="78" t="n">
        <v>43.6933333333333</v>
      </c>
      <c r="AX154" s="78" t="n">
        <v>35.5333333333333</v>
      </c>
      <c r="AY154" s="48" t="n">
        <v>1.71834072346947</v>
      </c>
      <c r="AZ154" s="48" t="n">
        <v>27.9870405804545</v>
      </c>
      <c r="BA154" s="48" t="n">
        <v>-4.12456296045446</v>
      </c>
      <c r="BB154" s="49" t="n">
        <f aca="false">AT154/V154</f>
        <v>1.71834072346947</v>
      </c>
      <c r="BC154" s="49" t="n">
        <f aca="false">AS154/V154</f>
        <v>1.78766672187903</v>
      </c>
      <c r="BD154" s="49" t="n">
        <f aca="false">SUM(AP154:AR154)/V154</f>
        <v>0.210027717745669</v>
      </c>
      <c r="BE154" s="50" t="n">
        <v>6.93</v>
      </c>
      <c r="BF154" s="51" t="n">
        <v>126.567735692634</v>
      </c>
      <c r="BG154" s="51" t="n">
        <v>624.090448078375</v>
      </c>
      <c r="BH154" s="51" t="n">
        <v>196.694770458502</v>
      </c>
      <c r="BI154" s="51" t="n">
        <v>134.010522885459</v>
      </c>
      <c r="BJ154" s="51" t="n">
        <v>9.67503932789619</v>
      </c>
      <c r="BK154" s="51" t="n">
        <v>13.6467586937665</v>
      </c>
      <c r="BL154" s="51" t="n">
        <v>16.9073361778922</v>
      </c>
      <c r="BM154" s="51"/>
      <c r="BN154" s="52" t="n">
        <f aca="false">(BG154*0.5-BH154*0.25+BI154*0.5)/SUM(BG154:BI154)*1000</f>
        <v>345.494621054637</v>
      </c>
      <c r="BO154" s="53" t="n">
        <v>8.44405006</v>
      </c>
      <c r="BP154" s="54" t="s">
        <v>77</v>
      </c>
      <c r="BQ154" s="55" t="n">
        <v>503.588524075478</v>
      </c>
      <c r="BR154" s="56" t="n">
        <v>21.1037819330799</v>
      </c>
      <c r="BS154" s="56" t="n">
        <v>28.5475995646315</v>
      </c>
      <c r="BT154" s="56" t="n">
        <v>12.2814885574437</v>
      </c>
      <c r="BU154" s="55"/>
      <c r="BV154" s="55"/>
      <c r="BW154" s="55"/>
      <c r="BX154" s="55"/>
      <c r="BY154" s="79" t="n">
        <v>0.117391304347826</v>
      </c>
      <c r="BZ154" s="80" t="n">
        <v>0.730043</v>
      </c>
      <c r="CA154" s="81" t="n">
        <v>3.17</v>
      </c>
      <c r="CB154" s="81" t="n">
        <v>0.03</v>
      </c>
      <c r="CC154" s="82" t="n">
        <v>6.929504</v>
      </c>
      <c r="CD154" s="82" t="n">
        <v>7.328064</v>
      </c>
      <c r="CE154" s="83" t="n">
        <v>90.73846</v>
      </c>
      <c r="CF154" s="84" t="n">
        <v>36.73086</v>
      </c>
      <c r="CG154" s="80" t="n">
        <v>0.0815</v>
      </c>
      <c r="CH154" s="63" t="n">
        <v>76513.2144789955</v>
      </c>
      <c r="CI154" s="63" t="n">
        <v>8833.07863399821</v>
      </c>
      <c r="CJ154" s="64" t="n">
        <v>465017.27259029</v>
      </c>
      <c r="CK154" s="65" t="n">
        <v>1.89951624480425</v>
      </c>
    </row>
    <row r="155" customFormat="false" ht="15" hidden="false" customHeight="false" outlineLevel="0" collapsed="false">
      <c r="A155" s="7" t="s">
        <v>73</v>
      </c>
      <c r="B155" s="66" t="n">
        <v>153</v>
      </c>
      <c r="C155" s="8" t="s">
        <v>231</v>
      </c>
      <c r="D155" s="67" t="n">
        <v>41757</v>
      </c>
      <c r="E155" s="4" t="s">
        <v>75</v>
      </c>
      <c r="F155" s="7" t="n">
        <v>235</v>
      </c>
      <c r="G155" s="68" t="n">
        <v>1</v>
      </c>
      <c r="H155" s="68" t="n">
        <v>103</v>
      </c>
      <c r="I155" s="66" t="n">
        <v>2</v>
      </c>
      <c r="J155" s="69" t="n">
        <v>692.378571428571</v>
      </c>
      <c r="K155" s="31" t="n">
        <v>562.320765481806</v>
      </c>
      <c r="L155" s="31" t="n">
        <v>937.72660758843</v>
      </c>
      <c r="M155" s="31" t="n">
        <v>171.588403155321</v>
      </c>
      <c r="N155" s="31" t="n">
        <v>347.814594767761</v>
      </c>
      <c r="O155" s="32"/>
      <c r="P155" s="33" t="n">
        <v>71.050293535186</v>
      </c>
      <c r="Q155" s="33" t="n">
        <v>10.7701479954284</v>
      </c>
      <c r="R155" s="31" t="n">
        <v>123.566485977534</v>
      </c>
      <c r="S155" s="34" t="s">
        <v>76</v>
      </c>
      <c r="T155" s="35" t="n">
        <v>15.07979969</v>
      </c>
      <c r="U155" s="35" t="n">
        <v>7.7039415</v>
      </c>
      <c r="V155" s="70" t="n">
        <v>22.78374119</v>
      </c>
      <c r="W155" s="35" t="n">
        <v>21.3648651498293</v>
      </c>
      <c r="X155" s="35" t="n">
        <v>4.0379997344592</v>
      </c>
      <c r="Y155" s="35" t="n">
        <v>6.82899039010636</v>
      </c>
      <c r="Z155" s="35"/>
      <c r="AA155" s="35" t="n">
        <v>1.32914243743881</v>
      </c>
      <c r="AB155" s="35" t="n">
        <v>0.216871896425394</v>
      </c>
      <c r="AC155" s="71" t="n">
        <v>3.47711960281341</v>
      </c>
      <c r="AD155" s="38" t="n">
        <v>5.24950748307765</v>
      </c>
      <c r="AE155" s="38" t="n">
        <v>4.58322858876808</v>
      </c>
      <c r="AF155" s="38" t="n">
        <v>0.854665770071546</v>
      </c>
      <c r="AG155" s="72"/>
      <c r="AH155" s="72"/>
      <c r="AI155" s="73" t="n">
        <v>41.3128083204956</v>
      </c>
      <c r="AJ155" s="42" t="s">
        <v>16</v>
      </c>
      <c r="AK155" s="43" t="n">
        <v>769.594139992176</v>
      </c>
      <c r="AL155" s="43" t="n">
        <v>785.478234633056</v>
      </c>
      <c r="AM155" s="43" t="n">
        <v>788.344272839332</v>
      </c>
      <c r="AN155" s="74"/>
      <c r="AO155" s="75" t="n">
        <v>44.0428571428571</v>
      </c>
      <c r="AP155" s="76" t="n">
        <v>1.19916976361768</v>
      </c>
      <c r="AQ155" s="76" t="n">
        <v>1.26352303186023</v>
      </c>
      <c r="AR155" s="76" t="n">
        <v>2.04541048818088</v>
      </c>
      <c r="AS155" s="77" t="n">
        <v>35.604689311408</v>
      </c>
      <c r="AT155" s="78" t="n">
        <v>35.4293745015743</v>
      </c>
      <c r="AU155" s="78" t="n">
        <v>27.2273381294964</v>
      </c>
      <c r="AV155" s="78" t="n">
        <v>28.6884892086331</v>
      </c>
      <c r="AW155" s="78" t="n">
        <v>46.4413669064748</v>
      </c>
      <c r="AX155" s="78" t="n">
        <v>37.1258992805755</v>
      </c>
      <c r="AY155" s="48" t="n">
        <v>1.55502883420764</v>
      </c>
      <c r="AZ155" s="48" t="n">
        <v>25.5394571169564</v>
      </c>
      <c r="BA155" s="48" t="n">
        <v>-2.7557159269564</v>
      </c>
      <c r="BB155" s="49" t="n">
        <f aca="false">AT155/V155</f>
        <v>1.55502883420764</v>
      </c>
      <c r="BC155" s="49" t="n">
        <f aca="false">AS155/V155</f>
        <v>1.5627235674111</v>
      </c>
      <c r="BD155" s="49" t="n">
        <f aca="false">SUM(AP155:AR155)/V155</f>
        <v>0.197864926838154</v>
      </c>
      <c r="BE155" s="50" t="n">
        <v>6.85</v>
      </c>
      <c r="BF155" s="51" t="n">
        <v>121.697830176308</v>
      </c>
      <c r="BG155" s="51" t="n">
        <v>563.684790404475</v>
      </c>
      <c r="BH155" s="51" t="n">
        <v>247.814989225517</v>
      </c>
      <c r="BI155" s="51" t="n">
        <v>148.788767124213</v>
      </c>
      <c r="BJ155" s="51" t="n">
        <v>8.72552681662806</v>
      </c>
      <c r="BK155" s="51" t="n">
        <v>13.9246829448455</v>
      </c>
      <c r="BL155" s="51" t="n">
        <v>12.0861191062114</v>
      </c>
      <c r="BM155" s="51"/>
      <c r="BN155" s="52" t="n">
        <f aca="false">(BG155*0.5-BH155*0.25+BI155*0.5)/SUM(BG155:BI155)*1000</f>
        <v>306.452714085415</v>
      </c>
      <c r="BO155" s="53" t="n">
        <v>7.0461481</v>
      </c>
      <c r="BP155" s="54" t="s">
        <v>77</v>
      </c>
      <c r="BQ155" s="55" t="n">
        <v>426.070327777047</v>
      </c>
      <c r="BR155" s="56" t="n">
        <v>18.7006306042509</v>
      </c>
      <c r="BS155" s="56" t="n">
        <v>25.3890808698401</v>
      </c>
      <c r="BT155" s="56" t="n">
        <v>12.025906010791</v>
      </c>
      <c r="BU155" s="55"/>
      <c r="BV155" s="55"/>
      <c r="BW155" s="55"/>
      <c r="BX155" s="55"/>
      <c r="BY155" s="79" t="n">
        <v>0.225</v>
      </c>
      <c r="BZ155" s="80" t="n">
        <v>0.5947793</v>
      </c>
      <c r="CA155" s="81" t="n">
        <v>3.36</v>
      </c>
      <c r="CB155" s="81" t="n">
        <v>0.465</v>
      </c>
      <c r="CC155" s="82" t="n">
        <v>6.542448</v>
      </c>
      <c r="CD155" s="82" t="n">
        <v>8.151092</v>
      </c>
      <c r="CE155" s="83" t="n">
        <v>101.411264</v>
      </c>
      <c r="CF155" s="84" t="n">
        <v>37.33806</v>
      </c>
      <c r="CG155" s="80" t="n">
        <v>0.1865</v>
      </c>
      <c r="CH155" s="63" t="n">
        <v>64013.6047817788</v>
      </c>
      <c r="CI155" s="63" t="n">
        <v>1098.60157987416</v>
      </c>
      <c r="CJ155" s="64" t="n">
        <v>231375.158481559</v>
      </c>
      <c r="CK155" s="65" t="n">
        <v>0.474813971855893</v>
      </c>
    </row>
    <row r="156" customFormat="false" ht="15" hidden="false" customHeight="false" outlineLevel="0" collapsed="false">
      <c r="A156" s="7" t="s">
        <v>73</v>
      </c>
      <c r="B156" s="66" t="n">
        <v>154</v>
      </c>
      <c r="C156" s="8" t="s">
        <v>232</v>
      </c>
      <c r="D156" s="67" t="n">
        <v>41757</v>
      </c>
      <c r="E156" s="4" t="s">
        <v>75</v>
      </c>
      <c r="F156" s="7" t="n">
        <v>300</v>
      </c>
      <c r="G156" s="68" t="n">
        <v>1</v>
      </c>
      <c r="H156" s="68" t="n">
        <v>91</v>
      </c>
      <c r="I156" s="66" t="n">
        <v>2</v>
      </c>
      <c r="J156" s="69" t="n">
        <v>585.767857142857</v>
      </c>
      <c r="K156" s="31" t="n">
        <v>562.320765481806</v>
      </c>
      <c r="L156" s="31" t="n">
        <v>937.72660758843</v>
      </c>
      <c r="M156" s="31" t="n">
        <v>171.588403155321</v>
      </c>
      <c r="N156" s="31" t="n">
        <v>347.814594767761</v>
      </c>
      <c r="O156" s="32"/>
      <c r="P156" s="33" t="n">
        <v>71.050293535186</v>
      </c>
      <c r="Q156" s="33" t="n">
        <v>10.7701479954284</v>
      </c>
      <c r="R156" s="31" t="n">
        <v>123.566485977534</v>
      </c>
      <c r="S156" s="34" t="s">
        <v>76</v>
      </c>
      <c r="T156" s="35" t="n">
        <v>17.11161832</v>
      </c>
      <c r="U156" s="35" t="n">
        <v>6.7221045</v>
      </c>
      <c r="V156" s="70" t="n">
        <v>23.83372282</v>
      </c>
      <c r="W156" s="35" t="n">
        <v>22.3494678947991</v>
      </c>
      <c r="X156" s="35" t="n">
        <v>4.20177816018214</v>
      </c>
      <c r="Y156" s="35" t="n">
        <v>7.3338099670414</v>
      </c>
      <c r="Z156" s="35"/>
      <c r="AA156" s="35" t="n">
        <v>1.44065857253557</v>
      </c>
      <c r="AB156" s="35" t="n">
        <v>0.231814142980719</v>
      </c>
      <c r="AC156" s="71" t="n">
        <v>3.5225167128162</v>
      </c>
      <c r="AD156" s="38" t="n">
        <v>6.42945993007613</v>
      </c>
      <c r="AE156" s="38" t="n">
        <v>5.65200275555891</v>
      </c>
      <c r="AF156" s="38" t="n">
        <v>1.28063424471878</v>
      </c>
      <c r="AG156" s="72"/>
      <c r="AH156" s="72"/>
      <c r="AI156" s="73" t="n">
        <v>36.0549945876984</v>
      </c>
      <c r="AJ156" s="42" t="s">
        <v>16</v>
      </c>
      <c r="AK156" s="43" t="n">
        <v>730.236858981977</v>
      </c>
      <c r="AL156" s="43" t="n">
        <v>747.1079498553</v>
      </c>
      <c r="AM156" s="43" t="n">
        <v>695.216121390077</v>
      </c>
      <c r="AN156" s="74"/>
      <c r="AO156" s="75" t="n">
        <v>40.4071428571429</v>
      </c>
      <c r="AP156" s="76" t="n">
        <v>1.47762022648084</v>
      </c>
      <c r="AQ156" s="76" t="n">
        <v>1.35408277874564</v>
      </c>
      <c r="AR156" s="76" t="n">
        <v>1.82822610627178</v>
      </c>
      <c r="AS156" s="77" t="n">
        <v>38.3271605400697</v>
      </c>
      <c r="AT156" s="78" t="n">
        <v>38.3557151511907</v>
      </c>
      <c r="AU156" s="78" t="n">
        <v>36.5682926829268</v>
      </c>
      <c r="AV156" s="78" t="n">
        <v>33.5109756097561</v>
      </c>
      <c r="AW156" s="78" t="n">
        <v>45.2451219512195</v>
      </c>
      <c r="AX156" s="78" t="n">
        <v>32.3536585365854</v>
      </c>
      <c r="AY156" s="48" t="n">
        <v>1.6093044062342</v>
      </c>
      <c r="AZ156" s="48" t="n">
        <v>24.7331437529023</v>
      </c>
      <c r="BA156" s="48" t="n">
        <v>-0.899420932902263</v>
      </c>
      <c r="BB156" s="49" t="n">
        <f aca="false">AT156/V156</f>
        <v>1.6093044062342</v>
      </c>
      <c r="BC156" s="49" t="n">
        <f aca="false">AS156/V156</f>
        <v>1.60810633024177</v>
      </c>
      <c r="BD156" s="49" t="n">
        <f aca="false">SUM(AP156:AR156)/V156</f>
        <v>0.195518306002447</v>
      </c>
      <c r="BE156" s="50" t="n">
        <v>7.12</v>
      </c>
      <c r="BF156" s="51" t="n">
        <v>99.5819929466046</v>
      </c>
      <c r="BG156" s="51" t="n">
        <v>568.422422146392</v>
      </c>
      <c r="BH156" s="51" t="n">
        <v>239.827393900041</v>
      </c>
      <c r="BI156" s="51" t="n">
        <v>146.047202607963</v>
      </c>
      <c r="BJ156" s="51" t="n">
        <v>10.9056145920327</v>
      </c>
      <c r="BK156" s="51" t="n">
        <v>15.4313226656408</v>
      </c>
      <c r="BL156" s="51" t="n">
        <v>14.3909197098205</v>
      </c>
      <c r="BM156" s="51"/>
      <c r="BN156" s="52" t="n">
        <f aca="false">(BG156*0.5-BH156*0.25+BI156*0.5)/SUM(BG156:BI156)*1000</f>
        <v>311.515134272706</v>
      </c>
      <c r="BO156" s="53" t="n">
        <v>6.82380024</v>
      </c>
      <c r="BP156" s="54" t="s">
        <v>77</v>
      </c>
      <c r="BQ156" s="55" t="n">
        <v>410.557448283192</v>
      </c>
      <c r="BR156" s="56" t="n">
        <v>17.2259051338247</v>
      </c>
      <c r="BS156" s="56" t="n">
        <v>24.5880105069573</v>
      </c>
      <c r="BT156" s="56" t="n">
        <v>10.7039445533698</v>
      </c>
      <c r="BU156" s="55"/>
      <c r="BV156" s="55"/>
      <c r="BW156" s="55"/>
      <c r="BX156" s="55"/>
      <c r="BY156" s="79" t="n">
        <v>0.293478260869565</v>
      </c>
      <c r="BZ156" s="80" t="n">
        <v>0.4727582</v>
      </c>
      <c r="CA156" s="81" t="n">
        <v>3.44</v>
      </c>
      <c r="CB156" s="81" t="n">
        <v>0.03</v>
      </c>
      <c r="CC156" s="82" t="n">
        <v>6.303384</v>
      </c>
      <c r="CD156" s="82" t="n">
        <v>5.62673</v>
      </c>
      <c r="CE156" s="83" t="n">
        <v>88.370928</v>
      </c>
      <c r="CF156" s="84" t="n">
        <v>37.5101</v>
      </c>
      <c r="CG156" s="80" t="n">
        <v>0.1025</v>
      </c>
      <c r="CH156" s="63" t="n">
        <v>97610.9190694231</v>
      </c>
      <c r="CI156" s="63" t="n">
        <v>1550.86704351081</v>
      </c>
      <c r="CJ156" s="64" t="n">
        <v>321407.413480817</v>
      </c>
      <c r="CK156" s="65" t="n">
        <v>0.482523731084808</v>
      </c>
    </row>
    <row r="157" customFormat="false" ht="15" hidden="false" customHeight="false" outlineLevel="0" collapsed="false">
      <c r="A157" s="7" t="s">
        <v>73</v>
      </c>
      <c r="B157" s="66" t="n">
        <v>155</v>
      </c>
      <c r="C157" s="8" t="s">
        <v>233</v>
      </c>
      <c r="D157" s="67" t="n">
        <v>41757</v>
      </c>
      <c r="E157" s="4" t="s">
        <v>75</v>
      </c>
      <c r="F157" s="7" t="n">
        <v>425</v>
      </c>
      <c r="G157" s="68" t="n">
        <v>1</v>
      </c>
      <c r="H157" s="68" t="n">
        <v>109</v>
      </c>
      <c r="I157" s="66" t="n">
        <v>4</v>
      </c>
      <c r="J157" s="69" t="n">
        <v>841.791666666667</v>
      </c>
      <c r="K157" s="31" t="n">
        <v>562.320765481806</v>
      </c>
      <c r="L157" s="31" t="n">
        <v>937.72660758843</v>
      </c>
      <c r="M157" s="31" t="n">
        <v>171.588403155321</v>
      </c>
      <c r="N157" s="31" t="n">
        <v>347.814594767761</v>
      </c>
      <c r="O157" s="32"/>
      <c r="P157" s="33" t="n">
        <v>71.050293535186</v>
      </c>
      <c r="Q157" s="33" t="n">
        <v>10.7701479954284</v>
      </c>
      <c r="R157" s="31" t="n">
        <v>123.566485977534</v>
      </c>
      <c r="S157" s="34" t="s">
        <v>76</v>
      </c>
      <c r="T157" s="35" t="n">
        <v>14.97420766</v>
      </c>
      <c r="U157" s="35" t="n">
        <v>6.7221045</v>
      </c>
      <c r="V157" s="70" t="n">
        <v>21.69631216</v>
      </c>
      <c r="W157" s="35" t="n">
        <v>20.345161047574</v>
      </c>
      <c r="X157" s="35" t="n">
        <v>3.83502327814557</v>
      </c>
      <c r="Y157" s="35" t="n">
        <v>6.5903873444812</v>
      </c>
      <c r="Z157" s="35"/>
      <c r="AA157" s="35" t="n">
        <v>1.28879491773733</v>
      </c>
      <c r="AB157" s="35" t="n">
        <v>0.208793913845513</v>
      </c>
      <c r="AC157" s="71" t="n">
        <v>3.25840438846908</v>
      </c>
      <c r="AD157" s="38" t="n">
        <v>5.15270767454039</v>
      </c>
      <c r="AE157" s="38" t="n">
        <v>4.47057236458127</v>
      </c>
      <c r="AF157" s="38" t="n">
        <v>0.950346563184893</v>
      </c>
      <c r="AG157" s="72"/>
      <c r="AH157" s="72"/>
      <c r="AI157" s="73" t="n">
        <v>40.5212030321779</v>
      </c>
      <c r="AJ157" s="42" t="s">
        <v>16</v>
      </c>
      <c r="AK157" s="43" t="n">
        <v>762.507672431074</v>
      </c>
      <c r="AL157" s="43" t="n">
        <v>780.263604002567</v>
      </c>
      <c r="AM157" s="43" t="n">
        <v>752.192752362006</v>
      </c>
      <c r="AN157" s="74"/>
      <c r="AO157" s="75" t="n">
        <v>40.05</v>
      </c>
      <c r="AP157" s="76" t="n">
        <v>1.50957593247588</v>
      </c>
      <c r="AQ157" s="76" t="n">
        <v>1.29653826366559</v>
      </c>
      <c r="AR157" s="76" t="n">
        <v>1.870335</v>
      </c>
      <c r="AS157" s="77" t="n">
        <v>38.6636389871383</v>
      </c>
      <c r="AT157" s="78" t="n">
        <v>38.5214522594057</v>
      </c>
      <c r="AU157" s="78" t="n">
        <v>37.6922829581994</v>
      </c>
      <c r="AV157" s="78" t="n">
        <v>32.3729903536977</v>
      </c>
      <c r="AW157" s="78" t="n">
        <v>46.7</v>
      </c>
      <c r="AX157" s="78" t="n">
        <v>39.4790996784566</v>
      </c>
      <c r="AY157" s="48" t="n">
        <v>1.77548386911694</v>
      </c>
      <c r="AZ157" s="48" t="n">
        <v>28.7770385627045</v>
      </c>
      <c r="BA157" s="48" t="n">
        <v>-7.08072640270447</v>
      </c>
      <c r="BB157" s="49" t="n">
        <f aca="false">AT157/V157</f>
        <v>1.77548386911694</v>
      </c>
      <c r="BC157" s="49" t="n">
        <f aca="false">AS157/V157</f>
        <v>1.78203736662767</v>
      </c>
      <c r="BD157" s="49" t="n">
        <f aca="false">SUM(AP157:AR157)/V157</f>
        <v>0.215541201733036</v>
      </c>
      <c r="BE157" s="50" t="n">
        <v>6.83</v>
      </c>
      <c r="BF157" s="51" t="n">
        <v>124.224533745545</v>
      </c>
      <c r="BG157" s="51" t="n">
        <v>591.163632286406</v>
      </c>
      <c r="BH157" s="51" t="n">
        <v>226.283115197122</v>
      </c>
      <c r="BI157" s="51" t="n">
        <v>140.729824053573</v>
      </c>
      <c r="BJ157" s="51" t="n">
        <v>9.44131430492148</v>
      </c>
      <c r="BK157" s="51" t="n">
        <v>14.1010912377413</v>
      </c>
      <c r="BL157" s="51" t="n">
        <v>13.3058985421267</v>
      </c>
      <c r="BM157" s="51"/>
      <c r="BN157" s="52" t="n">
        <f aca="false">(BG157*0.5-BH157*0.25+BI157*0.5)/SUM(BG157:BI157)*1000</f>
        <v>322.879893498554</v>
      </c>
      <c r="BO157" s="53" t="n">
        <v>11.32247544</v>
      </c>
      <c r="BP157" s="54" t="s">
        <v>77</v>
      </c>
      <c r="BQ157" s="55" t="n">
        <v>594.589297379638</v>
      </c>
      <c r="BR157" s="56" t="n">
        <v>27.4050858502968</v>
      </c>
      <c r="BS157" s="56" t="n">
        <v>37.4554143892026</v>
      </c>
      <c r="BT157" s="56" t="n">
        <v>15.4352772936918</v>
      </c>
      <c r="BU157" s="55"/>
      <c r="BV157" s="55"/>
      <c r="BW157" s="55"/>
      <c r="BX157" s="55"/>
      <c r="BY157" s="79" t="n">
        <v>0.107608695652174</v>
      </c>
      <c r="BZ157" s="80" t="n">
        <v>0.6695054</v>
      </c>
      <c r="CA157" s="81" t="n">
        <v>3.31</v>
      </c>
      <c r="CB157" s="81" t="n">
        <v>0.047</v>
      </c>
      <c r="CC157" s="82" t="n">
        <v>7.350712</v>
      </c>
      <c r="CD157" s="82" t="n">
        <v>6.584882</v>
      </c>
      <c r="CE157" s="83" t="n">
        <v>105.07224</v>
      </c>
      <c r="CF157" s="84" t="n">
        <v>39.6859</v>
      </c>
      <c r="CG157" s="80" t="n">
        <v>0.0395</v>
      </c>
      <c r="CH157" s="63" t="n">
        <v>72153.9731789276</v>
      </c>
      <c r="CI157" s="63" t="n">
        <v>4195.69290628234</v>
      </c>
      <c r="CJ157" s="64" t="n">
        <v>385758.922295808</v>
      </c>
      <c r="CK157" s="65" t="n">
        <v>1.08764636766198</v>
      </c>
    </row>
    <row r="158" customFormat="false" ht="15" hidden="false" customHeight="false" outlineLevel="0" collapsed="false">
      <c r="A158" s="7" t="s">
        <v>73</v>
      </c>
      <c r="B158" s="66" t="n">
        <v>156</v>
      </c>
      <c r="C158" s="8" t="s">
        <v>234</v>
      </c>
      <c r="D158" s="67" t="n">
        <v>41757</v>
      </c>
      <c r="E158" s="4" t="s">
        <v>75</v>
      </c>
      <c r="F158" s="7" t="n">
        <v>518</v>
      </c>
      <c r="G158" s="68" t="n">
        <v>1</v>
      </c>
      <c r="H158" s="68" t="n">
        <v>97</v>
      </c>
      <c r="I158" s="66" t="n">
        <v>3</v>
      </c>
      <c r="J158" s="69" t="n">
        <v>769.353231292517</v>
      </c>
      <c r="K158" s="31" t="n">
        <v>562.320765481806</v>
      </c>
      <c r="L158" s="31" t="n">
        <v>937.72660758843</v>
      </c>
      <c r="M158" s="31" t="n">
        <v>171.588403155321</v>
      </c>
      <c r="N158" s="31" t="n">
        <v>347.814594767761</v>
      </c>
      <c r="O158" s="32"/>
      <c r="P158" s="33" t="n">
        <v>71.050293535186</v>
      </c>
      <c r="Q158" s="33" t="n">
        <v>10.7701479954284</v>
      </c>
      <c r="R158" s="31" t="n">
        <v>123.566485977534</v>
      </c>
      <c r="S158" s="34" t="s">
        <v>76</v>
      </c>
      <c r="T158" s="35" t="n">
        <v>16.70628172</v>
      </c>
      <c r="U158" s="35" t="n">
        <v>7.406298</v>
      </c>
      <c r="V158" s="70" t="n">
        <v>24.11257972</v>
      </c>
      <c r="W158" s="35" t="n">
        <v>22.6109545286622</v>
      </c>
      <c r="X158" s="35" t="n">
        <v>4.26104553199773</v>
      </c>
      <c r="Y158" s="35" t="n">
        <v>7.33350576751785</v>
      </c>
      <c r="Z158" s="35"/>
      <c r="AA158" s="35" t="n">
        <v>1.43474746123751</v>
      </c>
      <c r="AB158" s="35" t="n">
        <v>0.232285265762594</v>
      </c>
      <c r="AC158" s="71" t="n">
        <v>3.61575022639112</v>
      </c>
      <c r="AD158" s="38" t="n">
        <v>5.43215476817785</v>
      </c>
      <c r="AE158" s="38" t="n">
        <v>4.7508575706802</v>
      </c>
      <c r="AF158" s="38" t="n">
        <v>0.921511407614263</v>
      </c>
      <c r="AG158" s="72"/>
      <c r="AH158" s="72"/>
      <c r="AI158" s="73" t="n">
        <v>42.7611648923086</v>
      </c>
      <c r="AJ158" s="42" t="s">
        <v>16</v>
      </c>
      <c r="AK158" s="43" t="n">
        <v>774.716980461772</v>
      </c>
      <c r="AL158" s="43" t="n">
        <v>789.88690792961</v>
      </c>
      <c r="AM158" s="43" t="n">
        <v>783.735845887048</v>
      </c>
      <c r="AN158" s="74"/>
      <c r="AO158" s="75" t="n">
        <v>43.2642857142857</v>
      </c>
      <c r="AP158" s="76" t="n">
        <v>1.77522017142857</v>
      </c>
      <c r="AQ158" s="76" t="n">
        <v>1.6258224122449</v>
      </c>
      <c r="AR158" s="76" t="n">
        <v>1.99203604897959</v>
      </c>
      <c r="AS158" s="77" t="n">
        <v>43.9340168571429</v>
      </c>
      <c r="AT158" s="78" t="n">
        <v>44.9616821358118</v>
      </c>
      <c r="AU158" s="78" t="n">
        <v>41.032</v>
      </c>
      <c r="AV158" s="78" t="n">
        <v>37.5788571428571</v>
      </c>
      <c r="AW158" s="78" t="n">
        <v>46.0434285714286</v>
      </c>
      <c r="AX158" s="78" t="n">
        <v>27.7371428571429</v>
      </c>
      <c r="AY158" s="48" t="n">
        <v>1.86465665050839</v>
      </c>
      <c r="AZ158" s="48" t="n">
        <v>29.4307449910984</v>
      </c>
      <c r="BA158" s="48" t="n">
        <v>-5.31816527109844</v>
      </c>
      <c r="BB158" s="49" t="n">
        <f aca="false">AT158/V158</f>
        <v>1.86465665050839</v>
      </c>
      <c r="BC158" s="49" t="n">
        <f aca="false">AS158/V158</f>
        <v>1.82203718421311</v>
      </c>
      <c r="BD158" s="49" t="n">
        <f aca="false">SUM(AP158:AR158)/V158</f>
        <v>0.223662449031939</v>
      </c>
      <c r="BE158" s="50" t="n">
        <v>6.72</v>
      </c>
      <c r="BF158" s="51" t="n">
        <v>181.655547917965</v>
      </c>
      <c r="BG158" s="51" t="n">
        <v>610.048532881981</v>
      </c>
      <c r="BH158" s="51" t="n">
        <v>227.310457893868</v>
      </c>
      <c r="BI158" s="51" t="n">
        <v>129.152019325143</v>
      </c>
      <c r="BJ158" s="51" t="n">
        <v>7.62276198055887</v>
      </c>
      <c r="BK158" s="51" t="n">
        <v>11.0619799540442</v>
      </c>
      <c r="BL158" s="51" t="n">
        <v>9.82912358629602</v>
      </c>
      <c r="BM158" s="51"/>
      <c r="BN158" s="52" t="n">
        <f aca="false">(BG158*0.5-BH158*0.25+BI158*0.5)/SUM(BG158:BI158)*1000</f>
        <v>323.61003481731</v>
      </c>
      <c r="BO158" s="53" t="n">
        <v>9.13863738</v>
      </c>
      <c r="BP158" s="54" t="s">
        <v>77</v>
      </c>
      <c r="BQ158" s="55" t="n">
        <v>417.76155356093</v>
      </c>
      <c r="BR158" s="56" t="n">
        <v>17.325460751693</v>
      </c>
      <c r="BS158" s="56" t="n">
        <v>23.3907774713521</v>
      </c>
      <c r="BT158" s="56" t="n">
        <v>9.2915018681693</v>
      </c>
      <c r="BU158" s="55"/>
      <c r="BV158" s="55"/>
      <c r="BW158" s="55"/>
      <c r="BX158" s="55"/>
      <c r="BY158" s="79" t="n">
        <v>0.146739130434783</v>
      </c>
      <c r="BZ158" s="80" t="n">
        <v>0.5418089</v>
      </c>
      <c r="CA158" s="81" t="n">
        <v>3.7</v>
      </c>
      <c r="CB158" s="81" t="n">
        <v>0.371</v>
      </c>
      <c r="CC158" s="82" t="n">
        <v>5.460968</v>
      </c>
      <c r="CD158" s="82" t="n">
        <v>5.35034</v>
      </c>
      <c r="CE158" s="83" t="n">
        <v>82.009604</v>
      </c>
      <c r="CF158" s="84" t="n">
        <v>38.9775</v>
      </c>
      <c r="CG158" s="80" t="n">
        <v>0.071</v>
      </c>
      <c r="CH158" s="63" t="n">
        <v>79225.4370512544</v>
      </c>
      <c r="CI158" s="63" t="n">
        <v>3277.66436513457</v>
      </c>
      <c r="CJ158" s="64" t="n">
        <v>446005.249952176</v>
      </c>
      <c r="CK158" s="65" t="n">
        <v>0.734893673445778</v>
      </c>
    </row>
    <row r="159" customFormat="false" ht="15" hidden="false" customHeight="false" outlineLevel="0" collapsed="false">
      <c r="A159" s="7" t="s">
        <v>73</v>
      </c>
      <c r="B159" s="66" t="n">
        <v>157</v>
      </c>
      <c r="C159" s="8" t="s">
        <v>235</v>
      </c>
      <c r="D159" s="67" t="n">
        <v>41757</v>
      </c>
      <c r="E159" s="4" t="s">
        <v>75</v>
      </c>
      <c r="F159" s="7" t="n">
        <v>605</v>
      </c>
      <c r="G159" s="68" t="n">
        <v>1</v>
      </c>
      <c r="H159" s="68" t="n">
        <v>107</v>
      </c>
      <c r="I159" s="66" t="n">
        <v>3</v>
      </c>
      <c r="J159" s="69" t="n">
        <v>798.326190476191</v>
      </c>
      <c r="K159" s="31" t="n">
        <v>562.320765481806</v>
      </c>
      <c r="L159" s="31" t="n">
        <v>937.72660758843</v>
      </c>
      <c r="M159" s="31" t="n">
        <v>171.588403155321</v>
      </c>
      <c r="N159" s="31" t="n">
        <v>347.814594767761</v>
      </c>
      <c r="O159" s="32"/>
      <c r="P159" s="33" t="n">
        <v>71.050293535186</v>
      </c>
      <c r="Q159" s="33" t="n">
        <v>10.7701479954284</v>
      </c>
      <c r="R159" s="31" t="n">
        <v>123.566485977534</v>
      </c>
      <c r="S159" s="34" t="s">
        <v>76</v>
      </c>
      <c r="T159" s="35" t="n">
        <v>18.28562129</v>
      </c>
      <c r="U159" s="35" t="n">
        <v>8.1136845</v>
      </c>
      <c r="V159" s="70" t="n">
        <v>26.39930579</v>
      </c>
      <c r="W159" s="35" t="n">
        <v>24.755273341656</v>
      </c>
      <c r="X159" s="35" t="n">
        <v>4.66522704510404</v>
      </c>
      <c r="Y159" s="35" t="n">
        <v>8.0282696443081</v>
      </c>
      <c r="Z159" s="35"/>
      <c r="AA159" s="35" t="n">
        <v>1.57062404466525</v>
      </c>
      <c r="AB159" s="35" t="n">
        <v>0.25429559912521</v>
      </c>
      <c r="AC159" s="71" t="n">
        <v>3.95908148934629</v>
      </c>
      <c r="AD159" s="38" t="n">
        <v>6.31684456259408</v>
      </c>
      <c r="AE159" s="38" t="n">
        <v>5.53080228749171</v>
      </c>
      <c r="AF159" s="38" t="n">
        <v>1.19917313535808</v>
      </c>
      <c r="AG159" s="72"/>
      <c r="AH159" s="72"/>
      <c r="AI159" s="73" t="n">
        <v>40.2567447410454</v>
      </c>
      <c r="AJ159" s="42" t="s">
        <v>16</v>
      </c>
      <c r="AK159" s="43" t="n">
        <v>760.719292664624</v>
      </c>
      <c r="AL159" s="43" t="n">
        <v>776.580843557685</v>
      </c>
      <c r="AM159" s="43" t="n">
        <v>742.955032249381</v>
      </c>
      <c r="AN159" s="74"/>
      <c r="AO159" s="75" t="n">
        <v>45.0357142857143</v>
      </c>
      <c r="AP159" s="76" t="n">
        <v>1.72522945776851</v>
      </c>
      <c r="AQ159" s="76" t="n">
        <v>1.47082698123045</v>
      </c>
      <c r="AR159" s="76" t="n">
        <v>2.04284629822732</v>
      </c>
      <c r="AS159" s="77" t="n">
        <v>43.8927275808133</v>
      </c>
      <c r="AT159" s="78" t="n">
        <v>43.436693705957</v>
      </c>
      <c r="AU159" s="78" t="n">
        <v>38.3080291970803</v>
      </c>
      <c r="AV159" s="78" t="n">
        <v>32.6591240875912</v>
      </c>
      <c r="AW159" s="78" t="n">
        <v>45.3605839416058</v>
      </c>
      <c r="AX159" s="78" t="n">
        <v>30.8102189781022</v>
      </c>
      <c r="AY159" s="48" t="n">
        <v>1.64537257348679</v>
      </c>
      <c r="AZ159" s="48" t="n">
        <v>30.0555745403546</v>
      </c>
      <c r="BA159" s="48" t="n">
        <v>-3.65626875035465</v>
      </c>
      <c r="BB159" s="49" t="n">
        <f aca="false">AT159/V159</f>
        <v>1.64537257348679</v>
      </c>
      <c r="BC159" s="49" t="n">
        <f aca="false">AS159/V159</f>
        <v>1.66264703814446</v>
      </c>
      <c r="BD159" s="49" t="n">
        <f aca="false">SUM(AP159:AR159)/V159</f>
        <v>0.198448503869778</v>
      </c>
      <c r="BE159" s="50" t="n">
        <v>6.63</v>
      </c>
      <c r="BF159" s="51" t="n">
        <v>200.887361035349</v>
      </c>
      <c r="BG159" s="51" t="n">
        <v>602.48968695929</v>
      </c>
      <c r="BH159" s="51" t="n">
        <v>243.766503891459</v>
      </c>
      <c r="BI159" s="51" t="n">
        <v>121.747127309719</v>
      </c>
      <c r="BJ159" s="51" t="n">
        <v>7.77789901343282</v>
      </c>
      <c r="BK159" s="51" t="n">
        <v>9.66755561937717</v>
      </c>
      <c r="BL159" s="51" t="n">
        <v>9.57610282861247</v>
      </c>
      <c r="BM159" s="51"/>
      <c r="BN159" s="52" t="n">
        <f aca="false">(BG159*0.5-BH159*0.25+BI159*0.5)/SUM(BG159:BI159)*1000</f>
        <v>311.131971875858</v>
      </c>
      <c r="BO159" s="53" t="n">
        <v>7.77611188</v>
      </c>
      <c r="BP159" s="54" t="s">
        <v>77</v>
      </c>
      <c r="BQ159" s="55" t="n">
        <v>476.657279293771</v>
      </c>
      <c r="BR159" s="56" t="n">
        <v>18.0556747622632</v>
      </c>
      <c r="BS159" s="56" t="n">
        <v>24.7942987846482</v>
      </c>
      <c r="BT159" s="56" t="n">
        <v>10.973608684871</v>
      </c>
      <c r="BU159" s="55"/>
      <c r="BV159" s="55"/>
      <c r="BW159" s="55"/>
      <c r="BX159" s="55"/>
      <c r="BY159" s="79" t="n">
        <v>0.0978260869565218</v>
      </c>
      <c r="BZ159" s="80" t="n">
        <v>0.6089678</v>
      </c>
      <c r="CA159" s="81" t="n">
        <v>3.84</v>
      </c>
      <c r="CB159" s="81" t="n">
        <v>0.358</v>
      </c>
      <c r="CC159" s="82" t="n">
        <v>6.656288</v>
      </c>
      <c r="CD159" s="82" t="n">
        <v>7.50004</v>
      </c>
      <c r="CE159" s="83" t="n">
        <v>95.04994</v>
      </c>
      <c r="CF159" s="84" t="n">
        <v>38.59294</v>
      </c>
      <c r="CG159" s="80" t="n">
        <v>0.05</v>
      </c>
      <c r="CH159" s="63" t="n">
        <v>69713.1171879457</v>
      </c>
      <c r="CI159" s="63" t="n">
        <v>3993.83322036757</v>
      </c>
      <c r="CJ159" s="64" t="n">
        <v>527787.519754355</v>
      </c>
      <c r="CK159" s="65" t="n">
        <v>0.756712326624623</v>
      </c>
    </row>
    <row r="160" customFormat="false" ht="15" hidden="false" customHeight="false" outlineLevel="0" collapsed="false">
      <c r="A160" s="7" t="s">
        <v>73</v>
      </c>
      <c r="B160" s="66" t="n">
        <v>158</v>
      </c>
      <c r="C160" s="8" t="s">
        <v>236</v>
      </c>
      <c r="D160" s="67" t="n">
        <v>41771</v>
      </c>
      <c r="E160" s="4" t="s">
        <v>75</v>
      </c>
      <c r="F160" s="7" t="n">
        <v>123</v>
      </c>
      <c r="G160" s="68" t="n">
        <v>1</v>
      </c>
      <c r="H160" s="68" t="n">
        <v>90</v>
      </c>
      <c r="I160" s="66" t="n">
        <v>3</v>
      </c>
      <c r="J160" s="69" t="n">
        <v>614.660714285714</v>
      </c>
      <c r="K160" s="31" t="n">
        <v>564.919149410913</v>
      </c>
      <c r="L160" s="31" t="n">
        <v>941.924477602293</v>
      </c>
      <c r="M160" s="31" t="n">
        <v>167.049184532907</v>
      </c>
      <c r="N160" s="31" t="n">
        <v>336.825031012098</v>
      </c>
      <c r="O160" s="32"/>
      <c r="P160" s="33" t="n">
        <v>68.866654376677</v>
      </c>
      <c r="Q160" s="33" t="n">
        <v>11.7842938330576</v>
      </c>
      <c r="R160" s="31" t="n">
        <v>158.055532014097</v>
      </c>
      <c r="S160" s="34" t="s">
        <v>76</v>
      </c>
      <c r="T160" s="35" t="n">
        <v>16.2528427485714</v>
      </c>
      <c r="U160" s="35" t="n">
        <v>6.76953357142857</v>
      </c>
      <c r="V160" s="70" t="n">
        <v>23.02237632</v>
      </c>
      <c r="W160" s="35" t="n">
        <v>21.6568736752484</v>
      </c>
      <c r="X160" s="35" t="n">
        <v>3.98957686491107</v>
      </c>
      <c r="Y160" s="35" t="n">
        <v>6.86625558214773</v>
      </c>
      <c r="Z160" s="35"/>
      <c r="AA160" s="35" t="n">
        <v>1.34573860642856</v>
      </c>
      <c r="AB160" s="35" t="n">
        <v>0.239383038433752</v>
      </c>
      <c r="AC160" s="71" t="n">
        <v>3.98688094798199</v>
      </c>
      <c r="AD160" s="38" t="n">
        <v>6.10783574649516</v>
      </c>
      <c r="AE160" s="38" t="n">
        <v>5.35816439132161</v>
      </c>
      <c r="AF160" s="38" t="n">
        <v>1.09439024537919</v>
      </c>
      <c r="AG160" s="72"/>
      <c r="AH160" s="72"/>
      <c r="AI160" s="73" t="n">
        <v>39.1927760289095</v>
      </c>
      <c r="AJ160" s="42" t="s">
        <v>16</v>
      </c>
      <c r="AK160" s="43" t="n">
        <v>734.700030023002</v>
      </c>
      <c r="AL160" s="43" t="n">
        <v>752.588278822282</v>
      </c>
      <c r="AM160" s="43" t="n">
        <v>725.687639958884</v>
      </c>
      <c r="AN160" s="74"/>
      <c r="AO160" s="75" t="n">
        <v>51.7214285714286</v>
      </c>
      <c r="AP160" s="76" t="n">
        <v>1.52591969984802</v>
      </c>
      <c r="AQ160" s="76" t="n">
        <v>1.47652298442249</v>
      </c>
      <c r="AR160" s="76" t="n">
        <v>2.33453471504559</v>
      </c>
      <c r="AS160" s="77" t="n">
        <v>43.5773669262918</v>
      </c>
      <c r="AT160" s="78" t="n">
        <v>42.6300695813651</v>
      </c>
      <c r="AU160" s="78" t="n">
        <v>29.5026595744681</v>
      </c>
      <c r="AV160" s="78" t="n">
        <v>28.5476063829787</v>
      </c>
      <c r="AW160" s="78" t="n">
        <v>45.1367021276596</v>
      </c>
      <c r="AX160" s="78" t="n">
        <v>31.8776595744681</v>
      </c>
      <c r="AY160" s="48" t="n">
        <v>1.85167981744489</v>
      </c>
      <c r="AZ160" s="48" t="n">
        <v>26.9812983075101</v>
      </c>
      <c r="BA160" s="48" t="n">
        <v>-3.95892198751014</v>
      </c>
      <c r="BB160" s="49" t="n">
        <f aca="false">AT160/V160</f>
        <v>1.85167981744489</v>
      </c>
      <c r="BC160" s="49" t="n">
        <f aca="false">AS160/V160</f>
        <v>1.89282662747699</v>
      </c>
      <c r="BD160" s="49" t="n">
        <f aca="false">SUM(AP160:AR160)/V160</f>
        <v>0.231816964727476</v>
      </c>
      <c r="BE160" s="50" t="n">
        <v>6.76</v>
      </c>
      <c r="BF160" s="51" t="n">
        <v>167.940250697844</v>
      </c>
      <c r="BG160" s="51" t="n">
        <v>615.317907379944</v>
      </c>
      <c r="BH160" s="51" t="n">
        <v>198.95881762541</v>
      </c>
      <c r="BI160" s="51" t="n">
        <v>152.54723593149</v>
      </c>
      <c r="BJ160" s="51" t="n">
        <v>6.54606219803898</v>
      </c>
      <c r="BK160" s="51" t="n">
        <v>14.6840886452701</v>
      </c>
      <c r="BL160" s="51" t="n">
        <v>6.97076384173748</v>
      </c>
      <c r="BM160" s="51"/>
      <c r="BN160" s="52" t="n">
        <f aca="false">(BG160*0.5-BH160*0.25+BI160*0.5)/SUM(BG160:BI160)*1000</f>
        <v>345.660513963198</v>
      </c>
      <c r="BO160" s="53" t="n">
        <v>8.79738724</v>
      </c>
      <c r="BP160" s="54" t="s">
        <v>77</v>
      </c>
      <c r="BQ160" s="55" t="n">
        <v>448.132784523669</v>
      </c>
      <c r="BR160" s="56" t="n">
        <v>19.4650968386077</v>
      </c>
      <c r="BS160" s="56" t="n">
        <v>27.4949860579207</v>
      </c>
      <c r="BT160" s="56" t="n">
        <v>10.512128854689</v>
      </c>
      <c r="BU160" s="55"/>
      <c r="BV160" s="55"/>
      <c r="BW160" s="55"/>
      <c r="BX160" s="55"/>
      <c r="BY160" s="79" t="n">
        <v>0.0880434782608696</v>
      </c>
      <c r="BZ160" s="80" t="n">
        <v>1.0942145</v>
      </c>
      <c r="CA160" s="81" t="n">
        <v>2.92</v>
      </c>
      <c r="CB160" s="81" t="n">
        <v>0.268</v>
      </c>
      <c r="CC160" s="82" t="n">
        <v>5.32436</v>
      </c>
      <c r="CD160" s="82" t="n">
        <v>7.893128</v>
      </c>
      <c r="CE160" s="83" t="n">
        <v>81.041412</v>
      </c>
      <c r="CF160" s="84" t="n">
        <v>35.17238</v>
      </c>
      <c r="CG160" s="80" t="n">
        <v>0.155</v>
      </c>
      <c r="CH160" s="63" t="n">
        <v>90387.9968778984</v>
      </c>
      <c r="CI160" s="63" t="n">
        <v>2567.81484370261</v>
      </c>
      <c r="CJ160" s="64" t="n">
        <v>781284.347832073</v>
      </c>
      <c r="CK160" s="65" t="n">
        <v>0.328665850125865</v>
      </c>
    </row>
    <row r="161" customFormat="false" ht="15" hidden="false" customHeight="false" outlineLevel="0" collapsed="false">
      <c r="A161" s="7" t="s">
        <v>73</v>
      </c>
      <c r="B161" s="66" t="n">
        <v>159</v>
      </c>
      <c r="C161" s="8" t="s">
        <v>237</v>
      </c>
      <c r="D161" s="67" t="n">
        <v>41771</v>
      </c>
      <c r="E161" s="4" t="s">
        <v>75</v>
      </c>
      <c r="F161" s="7" t="n">
        <v>356</v>
      </c>
      <c r="G161" s="68" t="n">
        <v>1</v>
      </c>
      <c r="H161" s="68" t="n">
        <v>107</v>
      </c>
      <c r="I161" s="66" t="n">
        <v>1</v>
      </c>
      <c r="J161" s="69" t="n">
        <v>676.255952380952</v>
      </c>
      <c r="K161" s="31" t="n">
        <v>564.919149410913</v>
      </c>
      <c r="L161" s="31" t="n">
        <v>941.924477602293</v>
      </c>
      <c r="M161" s="31" t="n">
        <v>167.049184532907</v>
      </c>
      <c r="N161" s="31" t="n">
        <v>336.825031012098</v>
      </c>
      <c r="O161" s="32"/>
      <c r="P161" s="33" t="n">
        <v>68.866654376677</v>
      </c>
      <c r="Q161" s="33" t="n">
        <v>11.7842938330576</v>
      </c>
      <c r="R161" s="31" t="n">
        <v>158.055532014097</v>
      </c>
      <c r="S161" s="34" t="s">
        <v>76</v>
      </c>
      <c r="T161" s="35" t="n">
        <v>10.0976320257143</v>
      </c>
      <c r="U161" s="35" t="n">
        <v>4.87623621428572</v>
      </c>
      <c r="V161" s="70" t="n">
        <v>14.97386824</v>
      </c>
      <c r="W161" s="35" t="n">
        <v>14.083748284681</v>
      </c>
      <c r="X161" s="35" t="n">
        <v>2.60488811395418</v>
      </c>
      <c r="Y161" s="35" t="n">
        <v>4.4037435662695</v>
      </c>
      <c r="Z161" s="35"/>
      <c r="AA161" s="35" t="n">
        <v>0.858513781206183</v>
      </c>
      <c r="AB161" s="35" t="n">
        <v>0.153464247259515</v>
      </c>
      <c r="AC161" s="71" t="n">
        <v>2.61742263779376</v>
      </c>
      <c r="AD161" s="38" t="n">
        <v>4.22651846471565</v>
      </c>
      <c r="AE161" s="38" t="n">
        <v>3.69811948396276</v>
      </c>
      <c r="AF161" s="38" t="n">
        <v>0.82779194993245</v>
      </c>
      <c r="AG161" s="72"/>
      <c r="AH161" s="72"/>
      <c r="AI161" s="73" t="n">
        <v>36.3098490023607</v>
      </c>
      <c r="AJ161" s="42" t="s">
        <v>16</v>
      </c>
      <c r="AK161" s="43" t="n">
        <v>717.74037296353</v>
      </c>
      <c r="AL161" s="43" t="n">
        <v>737.419370950755</v>
      </c>
      <c r="AM161" s="43" t="n">
        <v>682.215928777119</v>
      </c>
      <c r="AN161" s="74"/>
      <c r="AO161" s="75" t="n">
        <v>35.2714285714286</v>
      </c>
      <c r="AP161" s="76" t="n">
        <v>1.33839374719521</v>
      </c>
      <c r="AQ161" s="76" t="n">
        <v>1.20550725504862</v>
      </c>
      <c r="AR161" s="76" t="n">
        <v>1.57768545998504</v>
      </c>
      <c r="AS161" s="77" t="n">
        <v>34.1844776364996</v>
      </c>
      <c r="AT161" s="78" t="n">
        <v>34.1588510093421</v>
      </c>
      <c r="AU161" s="78" t="n">
        <v>37.9455497382199</v>
      </c>
      <c r="AV161" s="78" t="n">
        <v>34.1780104712042</v>
      </c>
      <c r="AW161" s="78" t="n">
        <v>44.7298429319372</v>
      </c>
      <c r="AX161" s="78" t="n">
        <v>29.1204188481675</v>
      </c>
      <c r="AY161" s="48" t="n">
        <v>2.28123090585857</v>
      </c>
      <c r="AZ161" s="48" t="n">
        <v>24.8823058562276</v>
      </c>
      <c r="BA161" s="48" t="n">
        <v>-9.90843761622761</v>
      </c>
      <c r="BB161" s="49" t="n">
        <f aca="false">AT161/V161</f>
        <v>2.28123090585857</v>
      </c>
      <c r="BC161" s="49" t="n">
        <f aca="false">AS161/V161</f>
        <v>2.28294232916929</v>
      </c>
      <c r="BD161" s="49" t="n">
        <f aca="false">SUM(AP161:AR161)/V161</f>
        <v>0.275251952011892</v>
      </c>
      <c r="BE161" s="50" t="n">
        <v>6.94</v>
      </c>
      <c r="BF161" s="51" t="n">
        <v>162.677563440692</v>
      </c>
      <c r="BG161" s="51" t="n">
        <v>614.534356841528</v>
      </c>
      <c r="BH161" s="51" t="n">
        <v>227.172797966998</v>
      </c>
      <c r="BI161" s="51" t="n">
        <v>123.1373455813</v>
      </c>
      <c r="BJ161" s="51" t="n">
        <v>8.7403203773817</v>
      </c>
      <c r="BK161" s="51" t="n">
        <v>11.7180532484327</v>
      </c>
      <c r="BL161" s="51" t="n">
        <v>9.7220016062498</v>
      </c>
      <c r="BM161" s="51"/>
      <c r="BN161" s="52" t="n">
        <f aca="false">(BG161*0.5-BH161*0.25+BI161*0.5)/SUM(BG161:BI161)*1000</f>
        <v>323.412375355397</v>
      </c>
      <c r="BO161" s="53" t="n">
        <v>9.80887188</v>
      </c>
      <c r="BP161" s="54" t="s">
        <v>77</v>
      </c>
      <c r="BQ161" s="55" t="n">
        <v>407.346006404207</v>
      </c>
      <c r="BR161" s="56" t="n">
        <v>27.2037926256126</v>
      </c>
      <c r="BS161" s="56" t="n">
        <v>39.2220841145445</v>
      </c>
      <c r="BT161" s="56" t="n">
        <v>11.9250500051305</v>
      </c>
      <c r="BU161" s="55"/>
      <c r="BV161" s="55"/>
      <c r="BW161" s="55"/>
      <c r="BX161" s="55"/>
      <c r="BY161" s="79" t="n">
        <v>0.117391304347826</v>
      </c>
      <c r="BZ161" s="80" t="n">
        <v>0.4434353</v>
      </c>
      <c r="CA161" s="81" t="n">
        <v>3.63</v>
      </c>
      <c r="CB161" s="81" t="n">
        <v>0.148</v>
      </c>
      <c r="CC161" s="82" t="n">
        <v>5.677264</v>
      </c>
      <c r="CD161" s="82" t="n">
        <v>7.125378</v>
      </c>
      <c r="CE161" s="83" t="n">
        <v>91.388964</v>
      </c>
      <c r="CF161" s="84" t="n">
        <v>37.48986</v>
      </c>
      <c r="CG161" s="80" t="n">
        <v>0.0395</v>
      </c>
      <c r="CH161" s="63" t="n">
        <v>62070.3974736611</v>
      </c>
      <c r="CI161" s="63" t="n">
        <v>1878.65143903248</v>
      </c>
      <c r="CJ161" s="64" t="n">
        <v>466767.744702792</v>
      </c>
      <c r="CK161" s="65" t="n">
        <v>0.402480989818328</v>
      </c>
    </row>
    <row r="162" customFormat="false" ht="15" hidden="false" customHeight="false" outlineLevel="0" collapsed="false">
      <c r="A162" s="7" t="s">
        <v>73</v>
      </c>
      <c r="B162" s="66" t="n">
        <v>160</v>
      </c>
      <c r="C162" s="8" t="s">
        <v>238</v>
      </c>
      <c r="D162" s="67" t="n">
        <v>41869</v>
      </c>
      <c r="E162" s="4" t="s">
        <v>75</v>
      </c>
      <c r="F162" s="7" t="n">
        <v>138</v>
      </c>
      <c r="G162" s="68" t="n">
        <v>1</v>
      </c>
      <c r="H162" s="68" t="n">
        <v>116</v>
      </c>
      <c r="I162" s="66" t="n">
        <v>3</v>
      </c>
      <c r="J162" s="69" t="n">
        <v>703.876190476191</v>
      </c>
      <c r="K162" s="31" t="n">
        <v>509.548257242949</v>
      </c>
      <c r="L162" s="31" t="n">
        <v>932.058820804346</v>
      </c>
      <c r="M162" s="31" t="n">
        <v>171.842783211698</v>
      </c>
      <c r="N162" s="31" t="n">
        <v>341.305287834149</v>
      </c>
      <c r="O162" s="32"/>
      <c r="P162" s="33" t="n">
        <v>68.4873143636603</v>
      </c>
      <c r="Q162" s="33" t="n">
        <v>11.6388274426046</v>
      </c>
      <c r="R162" s="31" t="n">
        <v>157.716324112242</v>
      </c>
      <c r="S162" s="34" t="s">
        <v>76</v>
      </c>
      <c r="T162" s="35" t="n">
        <v>22.4147547769777</v>
      </c>
      <c r="U162" s="35" t="n">
        <v>8.35006570302234</v>
      </c>
      <c r="V162" s="70" t="n">
        <v>30.76482048</v>
      </c>
      <c r="W162" s="35" t="n">
        <v>28.7218888781611</v>
      </c>
      <c r="X162" s="35" t="n">
        <v>5.42394566074703</v>
      </c>
      <c r="Y162" s="35" t="n">
        <v>9.36714061793744</v>
      </c>
      <c r="Z162" s="35"/>
      <c r="AA162" s="35" t="n">
        <v>1.81445924918828</v>
      </c>
      <c r="AB162" s="35" t="n">
        <v>0.319909225895874</v>
      </c>
      <c r="AC162" s="71" t="n">
        <v>5.28427954781587</v>
      </c>
      <c r="AD162" s="38" t="n">
        <v>8.04041621235595</v>
      </c>
      <c r="AE162" s="38" t="n">
        <v>7.0413992687457</v>
      </c>
      <c r="AF162" s="38" t="n">
        <v>1.71545285549952</v>
      </c>
      <c r="AG162" s="72"/>
      <c r="AH162" s="72"/>
      <c r="AI162" s="73" t="n">
        <v>39.7876449983099</v>
      </c>
      <c r="AJ162" s="42" t="s">
        <v>16</v>
      </c>
      <c r="AK162" s="43" t="n">
        <v>738.649012511451</v>
      </c>
      <c r="AL162" s="43" t="n">
        <v>754.842054482716</v>
      </c>
      <c r="AM162" s="43" t="n">
        <v>683.726024780408</v>
      </c>
      <c r="AN162" s="74"/>
      <c r="AO162" s="75" t="n">
        <v>54.3642857142857</v>
      </c>
      <c r="AP162" s="76" t="n">
        <v>2.13108</v>
      </c>
      <c r="AQ162" s="76" t="n">
        <v>1.67985642857143</v>
      </c>
      <c r="AR162" s="76" t="n">
        <v>2.44639285714286</v>
      </c>
      <c r="AS162" s="77" t="n">
        <v>53.7119142857143</v>
      </c>
      <c r="AT162" s="78" t="n">
        <v>52.1852127843494</v>
      </c>
      <c r="AU162" s="78" t="n">
        <v>39.2</v>
      </c>
      <c r="AV162" s="78" t="n">
        <v>30.9</v>
      </c>
      <c r="AW162" s="78" t="n">
        <v>45</v>
      </c>
      <c r="AX162" s="78" t="n">
        <v>29.5</v>
      </c>
      <c r="AY162" s="48" t="n">
        <v>1.69626254826595</v>
      </c>
      <c r="AZ162" s="48" t="n">
        <v>32.527486971412</v>
      </c>
      <c r="BA162" s="48" t="n">
        <v>-1.76266649141201</v>
      </c>
      <c r="BB162" s="49" t="n">
        <f aca="false">AT162/V162</f>
        <v>1.69626254826595</v>
      </c>
      <c r="BC162" s="49" t="n">
        <f aca="false">AS162/V162</f>
        <v>1.74588746001726</v>
      </c>
      <c r="BD162" s="49" t="n">
        <f aca="false">SUM(AP162:AR162)/V162</f>
        <v>0.203392354906869</v>
      </c>
      <c r="BE162" s="50" t="n">
        <v>7.06</v>
      </c>
      <c r="BF162" s="51" t="n">
        <v>120.692389164997</v>
      </c>
      <c r="BG162" s="51" t="n">
        <v>642.313412269569</v>
      </c>
      <c r="BH162" s="51" t="n">
        <v>196.767367529087</v>
      </c>
      <c r="BI162" s="51" t="n">
        <v>129.544138806651</v>
      </c>
      <c r="BJ162" s="51" t="n">
        <v>7.53350187489378</v>
      </c>
      <c r="BK162" s="51" t="n">
        <v>10.6824660492073</v>
      </c>
      <c r="BL162" s="51" t="n">
        <v>8.18398909248255</v>
      </c>
      <c r="BM162" s="51"/>
      <c r="BN162" s="52" t="n">
        <f aca="false">(BG162*0.5-BH162*0.25+BI162*0.5)/SUM(BG162:BI162)*1000</f>
        <v>347.644301925141</v>
      </c>
      <c r="BO162" s="53" t="n">
        <v>3.72799718</v>
      </c>
      <c r="BP162" s="54" t="s">
        <v>77</v>
      </c>
      <c r="BQ162" s="55" t="n">
        <v>542.729685121018</v>
      </c>
      <c r="BR162" s="56" t="n">
        <v>17.6412433634659</v>
      </c>
      <c r="BS162" s="56" t="n">
        <v>25.0330917289488</v>
      </c>
      <c r="BT162" s="56" t="n">
        <v>10.4000665353957</v>
      </c>
      <c r="BU162" s="55"/>
      <c r="BV162" s="55"/>
      <c r="BW162" s="55"/>
      <c r="BX162" s="55"/>
      <c r="BY162" s="79" t="n">
        <v>0.0880434782608696</v>
      </c>
      <c r="BZ162" s="80" t="n">
        <v>0.8085527</v>
      </c>
      <c r="CA162" s="81" t="n">
        <v>3.5</v>
      </c>
      <c r="CB162" s="81" t="n">
        <v>0.381</v>
      </c>
      <c r="CC162" s="82" t="n">
        <v>4.800696</v>
      </c>
      <c r="CD162" s="82" t="n">
        <v>8.08353</v>
      </c>
      <c r="CE162" s="83" t="n">
        <v>86.321084</v>
      </c>
      <c r="CF162" s="84" t="n">
        <v>38.15778</v>
      </c>
      <c r="CG162" s="80" t="n">
        <v>0.1445</v>
      </c>
      <c r="CH162" s="63" t="n">
        <v>30396.8950176578</v>
      </c>
      <c r="CI162" s="63" t="n">
        <v>6243.01859879374</v>
      </c>
      <c r="CJ162" s="64" t="n">
        <v>680352.197244959</v>
      </c>
      <c r="CK162" s="65" t="n">
        <v>0.917615703171744</v>
      </c>
    </row>
    <row r="163" customFormat="false" ht="15" hidden="false" customHeight="false" outlineLevel="0" collapsed="false">
      <c r="A163" s="7" t="s">
        <v>73</v>
      </c>
      <c r="B163" s="66" t="n">
        <v>161</v>
      </c>
      <c r="C163" s="8" t="s">
        <v>239</v>
      </c>
      <c r="D163" s="67" t="n">
        <v>41771</v>
      </c>
      <c r="E163" s="4" t="s">
        <v>75</v>
      </c>
      <c r="F163" s="7" t="n">
        <v>152</v>
      </c>
      <c r="G163" s="68" t="n">
        <v>1</v>
      </c>
      <c r="H163" s="68" t="n">
        <v>97</v>
      </c>
      <c r="I163" s="66" t="n">
        <v>1</v>
      </c>
      <c r="J163" s="69" t="n">
        <v>588.821428571429</v>
      </c>
      <c r="K163" s="31" t="n">
        <v>564.919149410913</v>
      </c>
      <c r="L163" s="31" t="n">
        <v>941.924477602293</v>
      </c>
      <c r="M163" s="31" t="n">
        <v>167.049184532907</v>
      </c>
      <c r="N163" s="31" t="n">
        <v>336.825031012098</v>
      </c>
      <c r="O163" s="32"/>
      <c r="P163" s="33" t="n">
        <v>68.866654376677</v>
      </c>
      <c r="Q163" s="33" t="n">
        <v>11.7842938330576</v>
      </c>
      <c r="R163" s="31" t="n">
        <v>158.055532014097</v>
      </c>
      <c r="S163" s="34" t="s">
        <v>76</v>
      </c>
      <c r="T163" s="35" t="n">
        <v>13.70003311</v>
      </c>
      <c r="U163" s="35" t="n">
        <v>5.219284</v>
      </c>
      <c r="V163" s="70" t="n">
        <v>18.91931711</v>
      </c>
      <c r="W163" s="35" t="n">
        <v>17.7986206231486</v>
      </c>
      <c r="X163" s="35" t="n">
        <v>3.27125455221044</v>
      </c>
      <c r="Y163" s="35" t="n">
        <v>5.68765685958697</v>
      </c>
      <c r="Z163" s="35"/>
      <c r="AA163" s="35" t="n">
        <v>1.11807499294651</v>
      </c>
      <c r="AB163" s="35" t="n">
        <v>0.198341052119447</v>
      </c>
      <c r="AC163" s="71" t="n">
        <v>3.25866103970068</v>
      </c>
      <c r="AD163" s="38" t="n">
        <v>5.49308906597939</v>
      </c>
      <c r="AE163" s="38" t="n">
        <v>4.81704620018845</v>
      </c>
      <c r="AF163" s="38" t="n">
        <v>1.02572986838697</v>
      </c>
      <c r="AG163" s="72"/>
      <c r="AH163" s="72"/>
      <c r="AI163" s="73" t="n">
        <v>36.1073796068304</v>
      </c>
      <c r="AJ163" s="42" t="s">
        <v>16</v>
      </c>
      <c r="AK163" s="43" t="n">
        <v>709.65711742968</v>
      </c>
      <c r="AL163" s="43" t="n">
        <v>729.358454108322</v>
      </c>
      <c r="AM163" s="43" t="n">
        <v>686.441439510151</v>
      </c>
      <c r="AN163" s="74"/>
      <c r="AO163" s="75" t="n">
        <v>38.35</v>
      </c>
      <c r="AP163" s="76" t="n">
        <v>1.18782604534005</v>
      </c>
      <c r="AQ163" s="76" t="n">
        <v>1.17234114609572</v>
      </c>
      <c r="AR163" s="76" t="n">
        <v>1.75909614609572</v>
      </c>
      <c r="AS163" s="77" t="n">
        <v>33.1573906801008</v>
      </c>
      <c r="AT163" s="78" t="n">
        <v>33.0425759644788</v>
      </c>
      <c r="AU163" s="78" t="n">
        <v>30.9732997481108</v>
      </c>
      <c r="AV163" s="78" t="n">
        <v>30.5695214105793</v>
      </c>
      <c r="AW163" s="78" t="n">
        <v>45.8695214105793</v>
      </c>
      <c r="AX163" s="78" t="n">
        <v>35.0201511335013</v>
      </c>
      <c r="AY163" s="48" t="n">
        <v>1.74649939912545</v>
      </c>
      <c r="AZ163" s="48" t="n">
        <v>23.0792985804561</v>
      </c>
      <c r="BA163" s="48" t="n">
        <v>-4.15998147045607</v>
      </c>
      <c r="BB163" s="49" t="n">
        <f aca="false">AT163/V163</f>
        <v>1.74649939912545</v>
      </c>
      <c r="BC163" s="49" t="n">
        <f aca="false">AS163/V163</f>
        <v>1.75256804922283</v>
      </c>
      <c r="BD163" s="49" t="n">
        <f aca="false">SUM(AP163:AR163)/V163</f>
        <v>0.217727908125934</v>
      </c>
      <c r="BE163" s="50" t="n">
        <v>6.82</v>
      </c>
      <c r="BF163" s="51" t="n">
        <v>192.826521241655</v>
      </c>
      <c r="BG163" s="51" t="n">
        <v>607.697005884092</v>
      </c>
      <c r="BH163" s="51" t="n">
        <v>250.736187989792</v>
      </c>
      <c r="BI163" s="51" t="n">
        <v>113.691194040455</v>
      </c>
      <c r="BJ163" s="51" t="n">
        <v>6.14286335634477</v>
      </c>
      <c r="BK163" s="51" t="n">
        <v>9.42695555228393</v>
      </c>
      <c r="BL163" s="51" t="n">
        <v>7.33066879892288</v>
      </c>
      <c r="BM163" s="51"/>
      <c r="BN163" s="52" t="n">
        <f aca="false">(BG163*0.5-BH163*0.25+BI163*0.5)/SUM(BG163:BI163)*1000</f>
        <v>306.555474453425</v>
      </c>
      <c r="BO163" s="53" t="n">
        <v>17.05765664</v>
      </c>
      <c r="BP163" s="54" t="s">
        <v>77</v>
      </c>
      <c r="BQ163" s="55" t="n">
        <v>384.331821672207</v>
      </c>
      <c r="BR163" s="56" t="n">
        <v>20.3142544436271</v>
      </c>
      <c r="BS163" s="56" t="n">
        <v>29.6059483349299</v>
      </c>
      <c r="BT163" s="56" t="n">
        <v>11.6314122145128</v>
      </c>
      <c r="BU163" s="55"/>
      <c r="BV163" s="55"/>
      <c r="BW163" s="55"/>
      <c r="BX163" s="55"/>
      <c r="BY163" s="79" t="n">
        <v>0.107608695652174</v>
      </c>
      <c r="BZ163" s="80" t="n">
        <v>0.3346568</v>
      </c>
      <c r="CA163" s="81" t="n">
        <v>3.53</v>
      </c>
      <c r="CB163" s="81" t="n">
        <v>0.222</v>
      </c>
      <c r="CC163" s="82" t="n">
        <v>7.271024</v>
      </c>
      <c r="CD163" s="82" t="n">
        <v>7.420194</v>
      </c>
      <c r="CE163" s="83" t="n">
        <v>46.239448</v>
      </c>
      <c r="CF163" s="84" t="n">
        <v>38.00598</v>
      </c>
      <c r="CG163" s="80" t="n">
        <v>0.1025</v>
      </c>
      <c r="CH163" s="63" t="n">
        <v>37954.9900471935</v>
      </c>
      <c r="CI163" s="63" t="n">
        <v>3532.53227119365</v>
      </c>
      <c r="CJ163" s="64" t="n">
        <v>788064.867999872</v>
      </c>
      <c r="CK163" s="65" t="n">
        <v>0.448253997181641</v>
      </c>
    </row>
    <row r="164" customFormat="false" ht="15" hidden="false" customHeight="false" outlineLevel="0" collapsed="false">
      <c r="A164" s="7" t="s">
        <v>73</v>
      </c>
      <c r="B164" s="66" t="n">
        <v>162</v>
      </c>
      <c r="C164" s="8" t="s">
        <v>240</v>
      </c>
      <c r="D164" s="67" t="n">
        <v>41771</v>
      </c>
      <c r="E164" s="4" t="s">
        <v>75</v>
      </c>
      <c r="F164" s="7" t="n">
        <v>163</v>
      </c>
      <c r="G164" s="68" t="n">
        <v>1</v>
      </c>
      <c r="H164" s="68" t="n">
        <v>88</v>
      </c>
      <c r="I164" s="66" t="n">
        <v>1</v>
      </c>
      <c r="J164" s="69" t="n">
        <v>551.77380952381</v>
      </c>
      <c r="K164" s="31" t="n">
        <v>564.919149410913</v>
      </c>
      <c r="L164" s="31" t="n">
        <v>941.924477602293</v>
      </c>
      <c r="M164" s="31" t="n">
        <v>167.049184532907</v>
      </c>
      <c r="N164" s="31" t="n">
        <v>336.825031012098</v>
      </c>
      <c r="O164" s="32"/>
      <c r="P164" s="33" t="n">
        <v>68.866654376677</v>
      </c>
      <c r="Q164" s="33" t="n">
        <v>11.7842938330576</v>
      </c>
      <c r="R164" s="31" t="n">
        <v>158.055532014097</v>
      </c>
      <c r="S164" s="34" t="s">
        <v>76</v>
      </c>
      <c r="T164" s="35" t="n">
        <v>18.6446437657143</v>
      </c>
      <c r="U164" s="35" t="n">
        <v>8.32726871428572</v>
      </c>
      <c r="V164" s="70" t="n">
        <v>26.97191248</v>
      </c>
      <c r="W164" s="35" t="n">
        <v>25.3704881316009</v>
      </c>
      <c r="X164" s="35" t="n">
        <v>4.68241218545326</v>
      </c>
      <c r="Y164" s="35" t="n">
        <v>7.99216168746132</v>
      </c>
      <c r="Z164" s="35"/>
      <c r="AA164" s="35" t="n">
        <v>1.56256450798455</v>
      </c>
      <c r="AB164" s="35" t="n">
        <v>0.278580568377441</v>
      </c>
      <c r="AC164" s="71" t="n">
        <v>4.6912205722263</v>
      </c>
      <c r="AD164" s="38" t="n">
        <v>6.57285602611397</v>
      </c>
      <c r="AE164" s="38" t="n">
        <v>5.7245580878079</v>
      </c>
      <c r="AF164" s="38" t="n">
        <v>1.34870677616938</v>
      </c>
      <c r="AG164" s="72"/>
      <c r="AH164" s="72"/>
      <c r="AI164" s="73" t="n">
        <v>42.3834885886196</v>
      </c>
      <c r="AJ164" s="42" t="s">
        <v>16</v>
      </c>
      <c r="AK164" s="43" t="n">
        <v>756.30737972371</v>
      </c>
      <c r="AL164" s="43" t="n">
        <v>774.361531472565</v>
      </c>
      <c r="AM164" s="43" t="n">
        <v>711.963252539071</v>
      </c>
      <c r="AN164" s="74"/>
      <c r="AO164" s="75" t="n">
        <v>42.1214285714286</v>
      </c>
      <c r="AP164" s="76" t="n">
        <v>0.513881428571429</v>
      </c>
      <c r="AQ164" s="76" t="n">
        <v>1.15412714285714</v>
      </c>
      <c r="AR164" s="76" t="n">
        <v>1.93758571428571</v>
      </c>
      <c r="AS164" s="77" t="n">
        <v>24.5567928571429</v>
      </c>
      <c r="AT164" s="78" t="n">
        <v>25.6468525022748</v>
      </c>
      <c r="AU164" s="78" t="n">
        <v>12.2</v>
      </c>
      <c r="AV164" s="78" t="n">
        <v>27.4</v>
      </c>
      <c r="AW164" s="78" t="n">
        <v>46</v>
      </c>
      <c r="AX164" s="78" t="n">
        <v>40</v>
      </c>
      <c r="AY164" s="48" t="n">
        <v>0.950872598348087</v>
      </c>
      <c r="AZ164" s="48" t="n">
        <v>19.2640211992928</v>
      </c>
      <c r="BA164" s="48" t="n">
        <v>7.70789128070722</v>
      </c>
      <c r="BB164" s="49" t="n">
        <f aca="false">AT164/V164</f>
        <v>0.950872598348087</v>
      </c>
      <c r="BC164" s="49" t="n">
        <f aca="false">AS164/V164</f>
        <v>0.910457976435747</v>
      </c>
      <c r="BD164" s="49" t="n">
        <f aca="false">SUM(AP164:AR164)/V164</f>
        <v>0.133679593109605</v>
      </c>
      <c r="BE164" s="50" t="n">
        <v>6.92</v>
      </c>
      <c r="BF164" s="51" t="n">
        <v>169.819481672</v>
      </c>
      <c r="BG164" s="51" t="n">
        <v>621.541136477274</v>
      </c>
      <c r="BH164" s="51" t="n">
        <v>211.805640885283</v>
      </c>
      <c r="BI164" s="51" t="n">
        <v>132.510381842808</v>
      </c>
      <c r="BJ164" s="51" t="n">
        <v>8.21430923946584</v>
      </c>
      <c r="BK164" s="51" t="n">
        <v>11.0217000012152</v>
      </c>
      <c r="BL164" s="51" t="n">
        <v>9.9317071758437</v>
      </c>
      <c r="BM164" s="51"/>
      <c r="BN164" s="52" t="n">
        <f aca="false">(BG164*0.5-BH164*0.25+BI164*0.5)/SUM(BG164:BI164)*1000</f>
        <v>335.530306785057</v>
      </c>
      <c r="BO164" s="53" t="n">
        <v>13.79868848</v>
      </c>
      <c r="BP164" s="54" t="s">
        <v>77</v>
      </c>
      <c r="BQ164" s="55" t="n">
        <v>383.508795316398</v>
      </c>
      <c r="BR164" s="56" t="n">
        <v>14.2188209901976</v>
      </c>
      <c r="BS164" s="56" t="n">
        <v>19.5210302826852</v>
      </c>
      <c r="BT164" s="56" t="n">
        <v>14.9534448830468</v>
      </c>
      <c r="BU164" s="55"/>
      <c r="BV164" s="55"/>
      <c r="BW164" s="55"/>
      <c r="BX164" s="55"/>
      <c r="BY164" s="79" t="n">
        <v>0.185869565217391</v>
      </c>
      <c r="BZ164" s="80" t="n">
        <v>0.6267394</v>
      </c>
      <c r="CA164" s="81" t="n">
        <v>3.73</v>
      </c>
      <c r="CB164" s="81" t="n">
        <v>0.292</v>
      </c>
      <c r="CC164" s="82" t="n">
        <v>6.725242</v>
      </c>
      <c r="CD164" s="82" t="n">
        <v>7.268787</v>
      </c>
      <c r="CE164" s="83" t="n">
        <v>89.088847</v>
      </c>
      <c r="CF164" s="84" t="n">
        <v>37.953844</v>
      </c>
      <c r="CG164" s="80" t="n">
        <v>0.1025</v>
      </c>
      <c r="CH164" s="63" t="n">
        <v>81307.6736802059</v>
      </c>
      <c r="CI164" s="63" t="n">
        <v>2439.92487835582</v>
      </c>
      <c r="CJ164" s="64" t="n">
        <v>456037.190901124</v>
      </c>
      <c r="CK164" s="65" t="n">
        <v>0.535027608940085</v>
      </c>
    </row>
    <row r="165" customFormat="false" ht="15" hidden="false" customHeight="false" outlineLevel="0" collapsed="false">
      <c r="A165" s="7" t="s">
        <v>73</v>
      </c>
      <c r="B165" s="66" t="n">
        <v>163</v>
      </c>
      <c r="C165" s="8" t="s">
        <v>241</v>
      </c>
      <c r="D165" s="67" t="n">
        <v>41771</v>
      </c>
      <c r="E165" s="4" t="s">
        <v>75</v>
      </c>
      <c r="F165" s="7" t="n">
        <v>169</v>
      </c>
      <c r="G165" s="68" t="n">
        <v>1</v>
      </c>
      <c r="H165" s="68" t="n">
        <v>97</v>
      </c>
      <c r="I165" s="66" t="n">
        <v>1</v>
      </c>
      <c r="J165" s="69" t="n">
        <v>614.821428571429</v>
      </c>
      <c r="K165" s="31" t="n">
        <v>564.919149410913</v>
      </c>
      <c r="L165" s="31" t="n">
        <v>941.924477602293</v>
      </c>
      <c r="M165" s="31" t="n">
        <v>167.049184532907</v>
      </c>
      <c r="N165" s="31" t="n">
        <v>336.825031012098</v>
      </c>
      <c r="O165" s="32"/>
      <c r="P165" s="33" t="n">
        <v>68.866654376677</v>
      </c>
      <c r="Q165" s="33" t="n">
        <v>11.7842938330576</v>
      </c>
      <c r="R165" s="31" t="n">
        <v>158.055532014097</v>
      </c>
      <c r="S165" s="34" t="s">
        <v>76</v>
      </c>
      <c r="T165" s="35" t="n">
        <v>17.6958886585714</v>
      </c>
      <c r="U165" s="35" t="n">
        <v>8.13706157142857</v>
      </c>
      <c r="V165" s="70" t="n">
        <v>25.83295023</v>
      </c>
      <c r="W165" s="35" t="n">
        <v>24.2984715366035</v>
      </c>
      <c r="X165" s="35" t="n">
        <v>4.48811164030901</v>
      </c>
      <c r="Y165" s="35" t="n">
        <v>7.63348851709092</v>
      </c>
      <c r="Z165" s="35"/>
      <c r="AA165" s="35" t="n">
        <v>1.49086396065109</v>
      </c>
      <c r="AB165" s="35" t="n">
        <v>0.266055558966319</v>
      </c>
      <c r="AC165" s="71" t="n">
        <v>4.50142146611892</v>
      </c>
      <c r="AD165" s="38" t="n">
        <v>6.81919666805923</v>
      </c>
      <c r="AE165" s="38" t="n">
        <v>5.96157601126768</v>
      </c>
      <c r="AF165" s="38" t="n">
        <v>1.46264509960991</v>
      </c>
      <c r="AG165" s="72"/>
      <c r="AH165" s="72"/>
      <c r="AI165" s="73" t="n">
        <v>39.0156747073316</v>
      </c>
      <c r="AJ165" s="42" t="s">
        <v>16</v>
      </c>
      <c r="AK165" s="43" t="n">
        <v>736.027182054489</v>
      </c>
      <c r="AL165" s="43" t="n">
        <v>754.652221548705</v>
      </c>
      <c r="AM165" s="43" t="n">
        <v>674.10679215876</v>
      </c>
      <c r="AN165" s="74"/>
      <c r="AO165" s="75" t="n">
        <v>43.2714285714286</v>
      </c>
      <c r="AP165" s="76" t="n">
        <v>1.04584593530997</v>
      </c>
      <c r="AQ165" s="76" t="n">
        <v>1.32446494878706</v>
      </c>
      <c r="AR165" s="76" t="n">
        <v>2.05521323989218</v>
      </c>
      <c r="AS165" s="77" t="n">
        <v>32.996260458221</v>
      </c>
      <c r="AT165" s="78" t="n">
        <v>34.07544479053</v>
      </c>
      <c r="AU165" s="78" t="n">
        <v>24.1694339622642</v>
      </c>
      <c r="AV165" s="78" t="n">
        <v>30.6083018867925</v>
      </c>
      <c r="AW165" s="78" t="n">
        <v>47.4958490566038</v>
      </c>
      <c r="AX165" s="78" t="n">
        <v>35.3962264150943</v>
      </c>
      <c r="AY165" s="48" t="n">
        <v>1.31906903730097</v>
      </c>
      <c r="AZ165" s="48" t="n">
        <v>23.3893729863077</v>
      </c>
      <c r="BA165" s="48" t="n">
        <v>2.44357724369231</v>
      </c>
      <c r="BB165" s="49" t="n">
        <f aca="false">AT165/V165</f>
        <v>1.31906903730097</v>
      </c>
      <c r="BC165" s="49" t="n">
        <f aca="false">AS165/V165</f>
        <v>1.27729354039874</v>
      </c>
      <c r="BD165" s="49" t="n">
        <f aca="false">SUM(AP165:AR165)/V165</f>
        <v>0.171313151792079</v>
      </c>
      <c r="BE165" s="50" t="n">
        <v>7.17</v>
      </c>
      <c r="BF165" s="51" t="n">
        <v>120.635471218617</v>
      </c>
      <c r="BG165" s="51" t="n">
        <v>630.561648155056</v>
      </c>
      <c r="BH165" s="51" t="n">
        <v>214.944752355749</v>
      </c>
      <c r="BI165" s="51" t="n">
        <v>120.725906261317</v>
      </c>
      <c r="BJ165" s="51" t="n">
        <v>7.41594730129919</v>
      </c>
      <c r="BK165" s="51" t="n">
        <v>11.8342748684108</v>
      </c>
      <c r="BL165" s="51" t="n">
        <v>9.54234668005792</v>
      </c>
      <c r="BM165" s="51"/>
      <c r="BN165" s="52" t="n">
        <f aca="false">(BG165*0.5-BH165*0.25+BI165*0.5)/SUM(BG165:BI165)*1000</f>
        <v>333.157551101392</v>
      </c>
      <c r="BO165" s="53" t="n">
        <v>5.858169</v>
      </c>
      <c r="BP165" s="54" t="s">
        <v>77</v>
      </c>
      <c r="BQ165" s="55" t="n">
        <v>436.70622855769</v>
      </c>
      <c r="BR165" s="56" t="n">
        <v>16.9050079324869</v>
      </c>
      <c r="BS165" s="56" t="n">
        <v>23.8157123136956</v>
      </c>
      <c r="BT165" s="56" t="n">
        <v>12.8158628960599</v>
      </c>
      <c r="BU165" s="55"/>
      <c r="BV165" s="55"/>
      <c r="BW165" s="55"/>
      <c r="BX165" s="55"/>
      <c r="BY165" s="79" t="n">
        <v>0.195652173913044</v>
      </c>
      <c r="BZ165" s="80" t="n">
        <v>0.720584</v>
      </c>
      <c r="CA165" s="81" t="n">
        <v>3.73</v>
      </c>
      <c r="CB165" s="81" t="n">
        <v>0.233</v>
      </c>
      <c r="CC165" s="82" t="n">
        <v>5.449584</v>
      </c>
      <c r="CD165" s="82" t="n">
        <v>7.751862</v>
      </c>
      <c r="CE165" s="83" t="n">
        <v>81.58602</v>
      </c>
      <c r="CF165" s="84" t="n">
        <v>37.99586</v>
      </c>
      <c r="CG165" s="80" t="n">
        <v>0.1445</v>
      </c>
      <c r="CH165" s="63" t="n">
        <v>107984.623546849</v>
      </c>
      <c r="CI165" s="63" t="n">
        <v>1528.46269817001</v>
      </c>
      <c r="CJ165" s="64" t="n">
        <v>315679.129127284</v>
      </c>
      <c r="CK165" s="65" t="n">
        <v>0.484182372903635</v>
      </c>
    </row>
    <row r="166" customFormat="false" ht="15" hidden="false" customHeight="false" outlineLevel="0" collapsed="false">
      <c r="A166" s="7" t="s">
        <v>73</v>
      </c>
      <c r="B166" s="66" t="n">
        <v>164</v>
      </c>
      <c r="C166" s="8" t="s">
        <v>242</v>
      </c>
      <c r="D166" s="67" t="n">
        <v>41771</v>
      </c>
      <c r="E166" s="4" t="s">
        <v>75</v>
      </c>
      <c r="F166" s="7" t="n">
        <v>170</v>
      </c>
      <c r="G166" s="68" t="n">
        <v>1</v>
      </c>
      <c r="H166" s="68" t="n">
        <v>90</v>
      </c>
      <c r="I166" s="66" t="n">
        <v>1</v>
      </c>
      <c r="J166" s="69" t="n">
        <v>638.113095238095</v>
      </c>
      <c r="K166" s="31" t="n">
        <v>564.919149410913</v>
      </c>
      <c r="L166" s="31" t="n">
        <v>941.924477602293</v>
      </c>
      <c r="M166" s="31" t="n">
        <v>167.049184532907</v>
      </c>
      <c r="N166" s="31" t="n">
        <v>336.825031012098</v>
      </c>
      <c r="O166" s="32"/>
      <c r="P166" s="33" t="n">
        <v>68.866654376677</v>
      </c>
      <c r="Q166" s="33" t="n">
        <v>11.7842938330576</v>
      </c>
      <c r="R166" s="31" t="n">
        <v>158.055532014097</v>
      </c>
      <c r="S166" s="34" t="s">
        <v>76</v>
      </c>
      <c r="T166" s="35" t="n">
        <v>14.66737222</v>
      </c>
      <c r="U166" s="35" t="n">
        <v>5.3258</v>
      </c>
      <c r="V166" s="70" t="n">
        <v>19.99317222</v>
      </c>
      <c r="W166" s="35" t="n">
        <v>18.8096631333441</v>
      </c>
      <c r="X166" s="35" t="n">
        <v>3.45290235748051</v>
      </c>
      <c r="Y166" s="35" t="n">
        <v>6.03538175842305</v>
      </c>
      <c r="Z166" s="35"/>
      <c r="AA166" s="35" t="n">
        <v>1.1882556571777</v>
      </c>
      <c r="AB166" s="35" t="n">
        <v>0.21049343668154</v>
      </c>
      <c r="AC166" s="71" t="n">
        <v>3.43386648059199</v>
      </c>
      <c r="AD166" s="38" t="n">
        <v>5.66069534607865</v>
      </c>
      <c r="AE166" s="38" t="n">
        <v>5.01480550270228</v>
      </c>
      <c r="AF166" s="38" t="n">
        <v>1.12793414985946</v>
      </c>
      <c r="AG166" s="72"/>
      <c r="AH166" s="72"/>
      <c r="AI166" s="73" t="n">
        <v>37.185084837211</v>
      </c>
      <c r="AJ166" s="42" t="s">
        <v>16</v>
      </c>
      <c r="AK166" s="43" t="n">
        <v>716.86857474193</v>
      </c>
      <c r="AL166" s="43" t="n">
        <v>733.39206198688</v>
      </c>
      <c r="AM166" s="43" t="n">
        <v>673.337374450841</v>
      </c>
      <c r="AN166" s="74"/>
      <c r="AO166" s="75" t="n">
        <v>32.6357142857143</v>
      </c>
      <c r="AP166" s="76" t="n">
        <v>0.690283305647841</v>
      </c>
      <c r="AQ166" s="76" t="n">
        <v>1.03164908222591</v>
      </c>
      <c r="AR166" s="76" t="n">
        <v>1.51103357142857</v>
      </c>
      <c r="AS166" s="77" t="n">
        <v>23.4085352990033</v>
      </c>
      <c r="AT166" s="78" t="n">
        <v>24.5451633609307</v>
      </c>
      <c r="AU166" s="78" t="n">
        <v>21.1511627906977</v>
      </c>
      <c r="AV166" s="78" t="n">
        <v>31.6110465116279</v>
      </c>
      <c r="AW166" s="78" t="n">
        <v>46.3</v>
      </c>
      <c r="AX166" s="78" t="n">
        <v>27.5116279069767</v>
      </c>
      <c r="AY166" s="48" t="n">
        <v>1.22767728356669</v>
      </c>
      <c r="AZ166" s="48" t="n">
        <v>20.1187235278175</v>
      </c>
      <c r="BA166" s="48" t="n">
        <v>-0.125551307817524</v>
      </c>
      <c r="BB166" s="49" t="n">
        <f aca="false">AT166/V166</f>
        <v>1.22767728356669</v>
      </c>
      <c r="BC166" s="49" t="n">
        <f aca="false">AS166/V166</f>
        <v>1.17082647222869</v>
      </c>
      <c r="BD166" s="49" t="n">
        <f aca="false">SUM(AP166:AR166)/V166</f>
        <v>0.161703501761879</v>
      </c>
      <c r="BE166" s="50" t="n">
        <v>6.57</v>
      </c>
      <c r="BF166" s="51" t="n">
        <v>163.979120385482</v>
      </c>
      <c r="BG166" s="51" t="n">
        <v>591.078268083861</v>
      </c>
      <c r="BH166" s="51" t="n">
        <v>259.689766514588</v>
      </c>
      <c r="BI166" s="51" t="n">
        <v>116.49424038855</v>
      </c>
      <c r="BJ166" s="51" t="n">
        <v>7.0909632935828</v>
      </c>
      <c r="BK166" s="51" t="n">
        <v>11.5977294294354</v>
      </c>
      <c r="BL166" s="51" t="n">
        <v>9.07390791187315</v>
      </c>
      <c r="BM166" s="51"/>
      <c r="BN166" s="52" t="n">
        <f aca="false">(BG166*0.5-BH166*0.25+BI166*0.5)/SUM(BG166:BI166)*1000</f>
        <v>298.640627343231</v>
      </c>
      <c r="BO166" s="53" t="n">
        <v>12.41197896</v>
      </c>
      <c r="BP166" s="54" t="s">
        <v>77</v>
      </c>
      <c r="BQ166" s="55" t="n">
        <v>380.899517299831</v>
      </c>
      <c r="BR166" s="56" t="n">
        <v>19.0514798306394</v>
      </c>
      <c r="BS166" s="56" t="n">
        <v>27.6117033969062</v>
      </c>
      <c r="BT166" s="56" t="n">
        <v>15.5183125774637</v>
      </c>
      <c r="BU166" s="55"/>
      <c r="BV166" s="55"/>
      <c r="BW166" s="55"/>
      <c r="BX166" s="55"/>
      <c r="BY166" s="79" t="n">
        <v>0.107608695652174</v>
      </c>
      <c r="BZ166" s="80" t="n">
        <v>0.4500566</v>
      </c>
      <c r="CA166" s="81" t="n">
        <v>3.77</v>
      </c>
      <c r="CB166" s="81" t="n">
        <v>0.419</v>
      </c>
      <c r="CC166" s="82" t="n">
        <v>5.016992</v>
      </c>
      <c r="CD166" s="82" t="n">
        <v>8.003684</v>
      </c>
      <c r="CE166" s="83" t="n">
        <v>89.33912</v>
      </c>
      <c r="CF166" s="84" t="n">
        <v>36.50822</v>
      </c>
      <c r="CG166" s="80" t="n">
        <v>0.1235</v>
      </c>
      <c r="CH166" s="63" t="n">
        <v>36787.7790883941</v>
      </c>
      <c r="CI166" s="63" t="n">
        <v>3135.84045538845</v>
      </c>
      <c r="CJ166" s="64" t="n">
        <v>792089.748974242</v>
      </c>
      <c r="CK166" s="65" t="n">
        <v>0.395894588895939</v>
      </c>
    </row>
    <row r="167" customFormat="false" ht="15" hidden="false" customHeight="false" outlineLevel="0" collapsed="false">
      <c r="A167" s="7" t="s">
        <v>73</v>
      </c>
      <c r="B167" s="66" t="n">
        <v>165</v>
      </c>
      <c r="C167" s="8" t="s">
        <v>243</v>
      </c>
      <c r="D167" s="67" t="n">
        <v>41771</v>
      </c>
      <c r="E167" s="4" t="s">
        <v>75</v>
      </c>
      <c r="F167" s="7" t="n">
        <v>172</v>
      </c>
      <c r="G167" s="68" t="n">
        <v>1</v>
      </c>
      <c r="H167" s="68" t="n">
        <v>90</v>
      </c>
      <c r="I167" s="66" t="n">
        <v>1</v>
      </c>
      <c r="J167" s="69" t="n">
        <v>545.428571428571</v>
      </c>
      <c r="K167" s="31" t="n">
        <v>564.919149410913</v>
      </c>
      <c r="L167" s="31" t="n">
        <v>941.924477602293</v>
      </c>
      <c r="M167" s="31" t="n">
        <v>167.049184532907</v>
      </c>
      <c r="N167" s="31" t="n">
        <v>336.825031012098</v>
      </c>
      <c r="O167" s="32"/>
      <c r="P167" s="33" t="n">
        <v>68.866654376677</v>
      </c>
      <c r="Q167" s="33" t="n">
        <v>11.7842938330576</v>
      </c>
      <c r="R167" s="31" t="n">
        <v>158.055532014097</v>
      </c>
      <c r="S167" s="34" t="s">
        <v>76</v>
      </c>
      <c r="T167" s="35" t="n">
        <v>12.01370708</v>
      </c>
      <c r="U167" s="35" t="n">
        <v>4.287269</v>
      </c>
      <c r="V167" s="70" t="n">
        <v>16.30097608</v>
      </c>
      <c r="W167" s="35" t="n">
        <v>15.3362602702599</v>
      </c>
      <c r="X167" s="35" t="n">
        <v>2.81407745098677</v>
      </c>
      <c r="Y167" s="35" t="n">
        <v>4.92802740251349</v>
      </c>
      <c r="Z167" s="35"/>
      <c r="AA167" s="35" t="n">
        <v>0.970764870391554</v>
      </c>
      <c r="AB167" s="35" t="n">
        <v>0.171880348464203</v>
      </c>
      <c r="AC167" s="71" t="n">
        <v>2.79689662868536</v>
      </c>
      <c r="AD167" s="38" t="n">
        <v>4.90342401005592</v>
      </c>
      <c r="AE167" s="38" t="n">
        <v>4.31815190899829</v>
      </c>
      <c r="AF167" s="38" t="n">
        <v>1.05154754391218</v>
      </c>
      <c r="AG167" s="72"/>
      <c r="AH167" s="72"/>
      <c r="AI167" s="73" t="n">
        <v>35.0531277963544</v>
      </c>
      <c r="AJ167" s="42" t="s">
        <v>16</v>
      </c>
      <c r="AK167" s="43" t="n">
        <v>699.194454001314</v>
      </c>
      <c r="AL167" s="43" t="n">
        <v>718.43514436358</v>
      </c>
      <c r="AM167" s="43" t="n">
        <v>626.326011907223</v>
      </c>
      <c r="AN167" s="74"/>
      <c r="AO167" s="75" t="n">
        <v>28.9642857142857</v>
      </c>
      <c r="AP167" s="76" t="n">
        <v>1.37001071428571</v>
      </c>
      <c r="AQ167" s="76" t="n">
        <v>0.900789285714286</v>
      </c>
      <c r="AR167" s="76" t="n">
        <v>1.33235714285714</v>
      </c>
      <c r="AS167" s="77" t="n">
        <v>32.135875</v>
      </c>
      <c r="AT167" s="78" t="n">
        <v>30.8621843721565</v>
      </c>
      <c r="AU167" s="78" t="n">
        <v>47.3</v>
      </c>
      <c r="AV167" s="78" t="n">
        <v>31.1</v>
      </c>
      <c r="AW167" s="78" t="n">
        <v>46</v>
      </c>
      <c r="AX167" s="78" t="n">
        <v>31</v>
      </c>
      <c r="AY167" s="48" t="n">
        <v>1.89327217098502</v>
      </c>
      <c r="AZ167" s="48" t="n">
        <v>21.9217801227356</v>
      </c>
      <c r="BA167" s="48" t="n">
        <v>-5.62080404273558</v>
      </c>
      <c r="BB167" s="49" t="n">
        <f aca="false">AT167/V167</f>
        <v>1.89327217098502</v>
      </c>
      <c r="BC167" s="49" t="n">
        <f aca="false">AS167/V167</f>
        <v>1.97140802135328</v>
      </c>
      <c r="BD167" s="49" t="n">
        <f aca="false">SUM(AP167:AR167)/V167</f>
        <v>0.221039349126948</v>
      </c>
      <c r="BE167" s="50" t="n">
        <v>7.36</v>
      </c>
      <c r="BF167" s="51" t="n">
        <v>108.026784620713</v>
      </c>
      <c r="BG167" s="51" t="n">
        <v>645.550954778981</v>
      </c>
      <c r="BH167" s="51" t="n">
        <v>210.841143741908</v>
      </c>
      <c r="BI167" s="51" t="n">
        <v>106.464431264087</v>
      </c>
      <c r="BJ167" s="51" t="n">
        <v>9.71467596632022</v>
      </c>
      <c r="BK167" s="51" t="n">
        <v>10.9215685541026</v>
      </c>
      <c r="BL167" s="51" t="n">
        <v>11.5321013164921</v>
      </c>
      <c r="BM167" s="51"/>
      <c r="BN167" s="52" t="n">
        <f aca="false">(BG167*0.5-BH167*0.25+BI167*0.5)/SUM(BG167:BI167)*1000</f>
        <v>335.769034207262</v>
      </c>
      <c r="BO167" s="53" t="n">
        <v>6.41358638</v>
      </c>
      <c r="BP167" s="54" t="s">
        <v>77</v>
      </c>
      <c r="BQ167" s="55" t="n">
        <v>362.163960988553</v>
      </c>
      <c r="BR167" s="56" t="n">
        <v>22.2173174913679</v>
      </c>
      <c r="BS167" s="56" t="n">
        <v>32.8698855660088</v>
      </c>
      <c r="BT167" s="56" t="n">
        <v>11.7348777591807</v>
      </c>
      <c r="BU167" s="55"/>
      <c r="BV167" s="55"/>
      <c r="BW167" s="55"/>
      <c r="BX167" s="55"/>
      <c r="BY167" s="79" t="n">
        <v>0.225</v>
      </c>
      <c r="BZ167" s="80" t="n">
        <v>0.3715469</v>
      </c>
      <c r="CA167" s="81" t="n">
        <v>3.68</v>
      </c>
      <c r="CB167" s="81" t="n">
        <v>0.03</v>
      </c>
      <c r="CC167" s="82" t="n">
        <v>6.0074</v>
      </c>
      <c r="CD167" s="82" t="n">
        <v>7.89927</v>
      </c>
      <c r="CE167" s="83" t="n">
        <v>89.664372</v>
      </c>
      <c r="CF167" s="84" t="n">
        <v>36.51834</v>
      </c>
      <c r="CG167" s="80" t="n">
        <v>0.05</v>
      </c>
      <c r="CH167" s="63"/>
      <c r="CI167" s="63"/>
      <c r="CJ167" s="64"/>
      <c r="CK167" s="65"/>
    </row>
    <row r="168" customFormat="false" ht="15" hidden="false" customHeight="false" outlineLevel="0" collapsed="false">
      <c r="A168" s="7" t="s">
        <v>73</v>
      </c>
      <c r="B168" s="66" t="n">
        <v>166</v>
      </c>
      <c r="C168" s="8" t="s">
        <v>244</v>
      </c>
      <c r="D168" s="67" t="n">
        <v>41771</v>
      </c>
      <c r="E168" s="4" t="s">
        <v>75</v>
      </c>
      <c r="F168" s="7" t="n">
        <v>542</v>
      </c>
      <c r="G168" s="68" t="n">
        <v>1</v>
      </c>
      <c r="H168" s="68" t="n">
        <v>111</v>
      </c>
      <c r="I168" s="66" t="n">
        <v>3</v>
      </c>
      <c r="J168" s="69" t="n">
        <v>654.93962585034</v>
      </c>
      <c r="K168" s="31" t="n">
        <v>564.919149410913</v>
      </c>
      <c r="L168" s="31" t="n">
        <v>941.924477602293</v>
      </c>
      <c r="M168" s="31" t="n">
        <v>167.049184532907</v>
      </c>
      <c r="N168" s="31" t="n">
        <v>336.825031012098</v>
      </c>
      <c r="O168" s="32"/>
      <c r="P168" s="33" t="n">
        <v>68.866654376677</v>
      </c>
      <c r="Q168" s="33" t="n">
        <v>11.7842938330576</v>
      </c>
      <c r="R168" s="31" t="n">
        <v>158.055532014097</v>
      </c>
      <c r="S168" s="34" t="s">
        <v>76</v>
      </c>
      <c r="T168" s="35" t="n">
        <v>22.23971873</v>
      </c>
      <c r="U168" s="35" t="n">
        <v>8.894086</v>
      </c>
      <c r="V168" s="70" t="n">
        <v>31.13380473</v>
      </c>
      <c r="W168" s="35" t="n">
        <v>29.2882928295383</v>
      </c>
      <c r="X168" s="35" t="n">
        <v>5.38968562553217</v>
      </c>
      <c r="Y168" s="35" t="n">
        <v>9.31961685571038</v>
      </c>
      <c r="Z168" s="35"/>
      <c r="AA168" s="35" t="n">
        <v>1.82910690570787</v>
      </c>
      <c r="AB168" s="35" t="n">
        <v>0.324952897458205</v>
      </c>
      <c r="AC168" s="71" t="n">
        <v>5.37817453476957</v>
      </c>
      <c r="AD168" s="38" t="n">
        <v>8.97912446701802</v>
      </c>
      <c r="AE168" s="38" t="n">
        <v>7.8987462389805</v>
      </c>
      <c r="AF168" s="38" t="n">
        <v>1.76538649756739</v>
      </c>
      <c r="AG168" s="72"/>
      <c r="AH168" s="72"/>
      <c r="AI168" s="73" t="n">
        <v>36.1898199152731</v>
      </c>
      <c r="AJ168" s="42" t="s">
        <v>16</v>
      </c>
      <c r="AK168" s="43" t="n">
        <v>711.595658003023</v>
      </c>
      <c r="AL168" s="43" t="n">
        <v>730.310459371864</v>
      </c>
      <c r="AM168" s="43" t="n">
        <v>672.450933092581</v>
      </c>
      <c r="AN168" s="74"/>
      <c r="AO168" s="75" t="n">
        <v>55.0142857142857</v>
      </c>
      <c r="AP168" s="76" t="n">
        <v>1.60202890657729</v>
      </c>
      <c r="AQ168" s="76" t="n">
        <v>1.58350796816087</v>
      </c>
      <c r="AR168" s="76" t="n">
        <v>2.54075653958944</v>
      </c>
      <c r="AS168" s="77" t="n">
        <v>46.0361478843737</v>
      </c>
      <c r="AT168" s="78" t="n">
        <v>45.4909263791397</v>
      </c>
      <c r="AU168" s="78" t="n">
        <v>29.1202346041056</v>
      </c>
      <c r="AV168" s="78" t="n">
        <v>28.78357771261</v>
      </c>
      <c r="AW168" s="78" t="n">
        <v>46.18357771261</v>
      </c>
      <c r="AX168" s="78" t="n">
        <v>34.1964809384164</v>
      </c>
      <c r="AY168" s="48" t="n">
        <v>1.46114253537748</v>
      </c>
      <c r="AZ168" s="48" t="n">
        <v>28.9595873383661</v>
      </c>
      <c r="BA168" s="48" t="n">
        <v>2.17421739163387</v>
      </c>
      <c r="BB168" s="49" t="n">
        <f aca="false">AT168/V168</f>
        <v>1.46114253537748</v>
      </c>
      <c r="BC168" s="49" t="n">
        <f aca="false">AS168/V168</f>
        <v>1.47865473826956</v>
      </c>
      <c r="BD168" s="49" t="n">
        <f aca="false">SUM(AP168:AR168)/V168</f>
        <v>0.183925269140326</v>
      </c>
      <c r="BE168" s="50" t="n">
        <v>7.16</v>
      </c>
      <c r="BF168" s="51" t="n">
        <v>124.421180210834</v>
      </c>
      <c r="BG168" s="51" t="n">
        <v>609.174173604453</v>
      </c>
      <c r="BH168" s="51" t="n">
        <v>258.68030331073</v>
      </c>
      <c r="BI168" s="51" t="n">
        <v>102.144000682448</v>
      </c>
      <c r="BJ168" s="51" t="n">
        <v>7.10125510865873</v>
      </c>
      <c r="BK168" s="51" t="n">
        <v>9.35580821080619</v>
      </c>
      <c r="BL168" s="51" t="n">
        <v>8.56933470479483</v>
      </c>
      <c r="BM168" s="51"/>
      <c r="BN168" s="52" t="n">
        <f aca="false">(BG168*0.5-BH168*0.25+BI168*0.5)/SUM(BG168:BI168)*1000</f>
        <v>299.989142288607</v>
      </c>
      <c r="BO168" s="53" t="n">
        <v>6.2913045</v>
      </c>
      <c r="BP168" s="54" t="s">
        <v>77</v>
      </c>
      <c r="BQ168" s="55" t="n">
        <v>556.144216000513</v>
      </c>
      <c r="BR168" s="56" t="n">
        <v>17.8630341143182</v>
      </c>
      <c r="BS168" s="56" t="n">
        <v>26.0007482461558</v>
      </c>
      <c r="BT168" s="56" t="n">
        <v>12.2253877919606</v>
      </c>
      <c r="BU168" s="55"/>
      <c r="BV168" s="55"/>
      <c r="BW168" s="55"/>
      <c r="BX168" s="55"/>
      <c r="BY168" s="79" t="n">
        <v>0.0978260869565218</v>
      </c>
      <c r="BZ168" s="80" t="n">
        <v>0.455732</v>
      </c>
      <c r="CA168" s="81" t="n">
        <v>3.45</v>
      </c>
      <c r="CB168" s="81" t="n">
        <v>0.062</v>
      </c>
      <c r="CC168" s="82" t="n">
        <v>5.517888</v>
      </c>
      <c r="CD168" s="82" t="n">
        <v>6.953402</v>
      </c>
      <c r="CE168" s="83" t="n">
        <v>78.454524</v>
      </c>
      <c r="CF168" s="84" t="n">
        <v>33.78594</v>
      </c>
      <c r="CG168" s="80" t="n">
        <v>0.1865</v>
      </c>
      <c r="CH168" s="63" t="n">
        <v>32089.8010978472</v>
      </c>
      <c r="CI168" s="63" t="n">
        <v>6327.33429715125</v>
      </c>
      <c r="CJ168" s="64" t="n">
        <v>326660.3379271</v>
      </c>
      <c r="CK168" s="65" t="n">
        <v>1.93697659694557</v>
      </c>
    </row>
    <row r="169" customFormat="false" ht="15" hidden="false" customHeight="false" outlineLevel="0" collapsed="false">
      <c r="A169" s="7" t="s">
        <v>73</v>
      </c>
      <c r="B169" s="66" t="n">
        <v>167</v>
      </c>
      <c r="C169" s="8" t="s">
        <v>245</v>
      </c>
      <c r="D169" s="67" t="n">
        <v>41771</v>
      </c>
      <c r="E169" s="4" t="s">
        <v>75</v>
      </c>
      <c r="F169" s="7" t="n">
        <v>154</v>
      </c>
      <c r="G169" s="68" t="n">
        <v>1</v>
      </c>
      <c r="H169" s="68" t="n">
        <v>86</v>
      </c>
      <c r="I169" s="66" t="n">
        <v>1</v>
      </c>
      <c r="J169" s="69" t="n">
        <v>678.363095238095</v>
      </c>
      <c r="K169" s="31" t="n">
        <v>564.919149410913</v>
      </c>
      <c r="L169" s="31" t="n">
        <v>941.924477602293</v>
      </c>
      <c r="M169" s="31" t="n">
        <v>167.049184532907</v>
      </c>
      <c r="N169" s="31" t="n">
        <v>336.825031012098</v>
      </c>
      <c r="O169" s="32"/>
      <c r="P169" s="33" t="n">
        <v>68.866654376677</v>
      </c>
      <c r="Q169" s="33" t="n">
        <v>11.7842938330576</v>
      </c>
      <c r="R169" s="31" t="n">
        <v>158.055532014097</v>
      </c>
      <c r="S169" s="34" t="s">
        <v>76</v>
      </c>
      <c r="T169" s="35" t="n">
        <v>23.31208189</v>
      </c>
      <c r="U169" s="35" t="n">
        <v>6.8535315</v>
      </c>
      <c r="V169" s="70" t="n">
        <v>30.16561339</v>
      </c>
      <c r="W169" s="35" t="n">
        <v>28.3849103067226</v>
      </c>
      <c r="X169" s="35" t="n">
        <v>5.18463195023886</v>
      </c>
      <c r="Y169" s="35" t="n">
        <v>9.26125493230583</v>
      </c>
      <c r="Z169" s="35"/>
      <c r="AA169" s="35" t="n">
        <v>1.83469475258192</v>
      </c>
      <c r="AB169" s="35" t="n">
        <v>0.319773855217384</v>
      </c>
      <c r="AC169" s="71" t="n">
        <v>5.12022797885514</v>
      </c>
      <c r="AD169" s="38" t="n">
        <v>8.76427939498128</v>
      </c>
      <c r="AE169" s="38" t="n">
        <v>7.76311677627067</v>
      </c>
      <c r="AF169" s="38" t="n">
        <v>1.62734658323796</v>
      </c>
      <c r="AG169" s="72"/>
      <c r="AH169" s="72"/>
      <c r="AI169" s="73" t="n">
        <v>36.4860407577259</v>
      </c>
      <c r="AJ169" s="42" t="s">
        <v>16</v>
      </c>
      <c r="AK169" s="43" t="n">
        <v>709.461257038895</v>
      </c>
      <c r="AL169" s="43" t="n">
        <v>726.505502663784</v>
      </c>
      <c r="AM169" s="43" t="n">
        <v>686.121098111316</v>
      </c>
      <c r="AN169" s="74"/>
      <c r="AO169" s="75" t="n">
        <v>40.4285714285714</v>
      </c>
      <c r="AP169" s="76" t="n">
        <v>1.44598189533239</v>
      </c>
      <c r="AQ169" s="76" t="n">
        <v>1.11159891560585</v>
      </c>
      <c r="AR169" s="76" t="n">
        <v>1.78499481376709</v>
      </c>
      <c r="AS169" s="77" t="n">
        <v>37.8611570014144</v>
      </c>
      <c r="AT169" s="78" t="n">
        <v>35.8734031838125</v>
      </c>
      <c r="AU169" s="78" t="n">
        <v>35.7663366336634</v>
      </c>
      <c r="AV169" s="78" t="n">
        <v>27.4953795379538</v>
      </c>
      <c r="AW169" s="78" t="n">
        <v>44.1518151815181</v>
      </c>
      <c r="AX169" s="78" t="n">
        <v>31.5049504950495</v>
      </c>
      <c r="AY169" s="48" t="n">
        <v>1.18921510794488</v>
      </c>
      <c r="AZ169" s="48" t="n">
        <v>25.6919260452945</v>
      </c>
      <c r="BA169" s="48" t="n">
        <v>4.4736873447055</v>
      </c>
      <c r="BB169" s="49" t="n">
        <f aca="false">AT169/V169</f>
        <v>1.18921510794488</v>
      </c>
      <c r="BC169" s="49" t="n">
        <f aca="false">AS169/V169</f>
        <v>1.25510980041817</v>
      </c>
      <c r="BD169" s="49" t="n">
        <f aca="false">SUM(AP169:AR169)/V169</f>
        <v>0.143957809462111</v>
      </c>
      <c r="BE169" s="50" t="n">
        <v>6.97</v>
      </c>
      <c r="BF169" s="51" t="n">
        <v>180.22727698479</v>
      </c>
      <c r="BG169" s="51" t="n">
        <v>593.970986635485</v>
      </c>
      <c r="BH169" s="51" t="n">
        <v>243.561370428482</v>
      </c>
      <c r="BI169" s="51" t="n">
        <v>123.692209276651</v>
      </c>
      <c r="BJ169" s="51" t="n">
        <v>9.60897899322255</v>
      </c>
      <c r="BK169" s="51" t="n">
        <v>13.0892431426947</v>
      </c>
      <c r="BL169" s="51" t="n">
        <v>11.1020871453551</v>
      </c>
      <c r="BM169" s="51"/>
      <c r="BN169" s="52" t="n">
        <f aca="false">(BG169*0.5-BH169*0.25+BI169*0.5)/SUM(BG169:BI169)*1000</f>
        <v>309.960092346797</v>
      </c>
      <c r="BO169" s="53" t="n">
        <v>8.18916858</v>
      </c>
      <c r="BP169" s="54" t="s">
        <v>77</v>
      </c>
      <c r="BQ169" s="55" t="n">
        <v>396.911240425357</v>
      </c>
      <c r="BR169" s="56" t="n">
        <v>13.1577380938302</v>
      </c>
      <c r="BS169" s="56" t="n">
        <v>19.2471736194644</v>
      </c>
      <c r="BT169" s="56" t="n">
        <v>11.0642204307078</v>
      </c>
      <c r="BU169" s="55"/>
      <c r="BV169" s="55"/>
      <c r="BW169" s="55"/>
      <c r="BX169" s="55"/>
      <c r="BY169" s="79" t="n">
        <v>0.31304347826087</v>
      </c>
      <c r="BZ169" s="80" t="n">
        <v>0.4708664</v>
      </c>
      <c r="CA169" s="81" t="n">
        <v>3.73</v>
      </c>
      <c r="CB169" s="81" t="n">
        <v>0.097</v>
      </c>
      <c r="CC169" s="82" t="n">
        <v>5.529272</v>
      </c>
      <c r="CD169" s="82" t="n">
        <v>6.627876</v>
      </c>
      <c r="CE169" s="83" t="n">
        <v>88.370928</v>
      </c>
      <c r="CF169" s="84" t="n">
        <v>38.66378</v>
      </c>
      <c r="CG169" s="80" t="n">
        <v>0.1655</v>
      </c>
      <c r="CH169" s="63" t="n">
        <v>31232.97480856</v>
      </c>
      <c r="CI169" s="63" t="n">
        <v>3875.30858812759</v>
      </c>
      <c r="CJ169" s="64" t="n">
        <v>817964.505746039</v>
      </c>
      <c r="CK169" s="65" t="n">
        <v>0.473774663925429</v>
      </c>
    </row>
    <row r="170" customFormat="false" ht="15" hidden="false" customHeight="false" outlineLevel="0" collapsed="false">
      <c r="A170" s="7" t="s">
        <v>73</v>
      </c>
      <c r="B170" s="66" t="n">
        <v>168</v>
      </c>
      <c r="C170" s="8" t="s">
        <v>246</v>
      </c>
      <c r="D170" s="67" t="n">
        <v>41771</v>
      </c>
      <c r="E170" s="4" t="s">
        <v>75</v>
      </c>
      <c r="F170" s="7" t="n">
        <v>166</v>
      </c>
      <c r="G170" s="68" t="n">
        <v>1</v>
      </c>
      <c r="H170" s="68" t="n">
        <v>99</v>
      </c>
      <c r="I170" s="66" t="n">
        <v>1</v>
      </c>
      <c r="J170" s="69" t="n">
        <v>587.285714285714</v>
      </c>
      <c r="K170" s="31" t="n">
        <v>564.919149410913</v>
      </c>
      <c r="L170" s="31" t="n">
        <v>941.924477602293</v>
      </c>
      <c r="M170" s="31" t="n">
        <v>167.049184532907</v>
      </c>
      <c r="N170" s="31" t="n">
        <v>336.825031012098</v>
      </c>
      <c r="O170" s="32"/>
      <c r="P170" s="33" t="n">
        <v>68.866654376677</v>
      </c>
      <c r="Q170" s="33" t="n">
        <v>11.7842938330576</v>
      </c>
      <c r="R170" s="31" t="n">
        <v>158.055532014097</v>
      </c>
      <c r="S170" s="34" t="s">
        <v>76</v>
      </c>
      <c r="T170" s="35" t="n">
        <v>11.52082886</v>
      </c>
      <c r="U170" s="35" t="n">
        <v>1.530738</v>
      </c>
      <c r="V170" s="70" t="n">
        <v>13.05156686</v>
      </c>
      <c r="W170" s="35" t="n">
        <v>12.2871534924509</v>
      </c>
      <c r="X170" s="35" t="n">
        <v>2.21274901520619</v>
      </c>
      <c r="Y170" s="35" t="n">
        <v>4.19524027905458</v>
      </c>
      <c r="Z170" s="35"/>
      <c r="AA170" s="35" t="n">
        <v>0.844608377384466</v>
      </c>
      <c r="AB170" s="35" t="n">
        <v>0.146585829938181</v>
      </c>
      <c r="AC170" s="71" t="n">
        <v>2.14157782521066</v>
      </c>
      <c r="AD170" s="38" t="n">
        <v>3.9699508604082</v>
      </c>
      <c r="AE170" s="38" t="n">
        <v>3.45796458717747</v>
      </c>
      <c r="AF170" s="38" t="n">
        <v>0.661385635355255</v>
      </c>
      <c r="AG170" s="72"/>
      <c r="AH170" s="72"/>
      <c r="AI170" s="73" t="n">
        <v>36.9238398893202</v>
      </c>
      <c r="AJ170" s="42" t="s">
        <v>16</v>
      </c>
      <c r="AK170" s="43" t="n">
        <v>695.825727056943</v>
      </c>
      <c r="AL170" s="43" t="n">
        <v>718.570734116571</v>
      </c>
      <c r="AM170" s="43" t="n">
        <v>701.102280100381</v>
      </c>
      <c r="AN170" s="74"/>
      <c r="AO170" s="75" t="n">
        <v>18.3285714285714</v>
      </c>
      <c r="AP170" s="76" t="n">
        <v>0.863240802721088</v>
      </c>
      <c r="AQ170" s="76" t="n">
        <v>0.583564258503401</v>
      </c>
      <c r="AR170" s="76" t="n">
        <v>0.836280346938776</v>
      </c>
      <c r="AS170" s="77" t="n">
        <v>20.2800406122449</v>
      </c>
      <c r="AT170" s="78" t="n">
        <v>19.5528204353308</v>
      </c>
      <c r="AU170" s="78" t="n">
        <v>47.0980952380952</v>
      </c>
      <c r="AV170" s="78" t="n">
        <v>31.8390476190476</v>
      </c>
      <c r="AW170" s="78" t="n">
        <v>45.6271428571429</v>
      </c>
      <c r="AX170" s="78" t="n">
        <v>28.8809523809524</v>
      </c>
      <c r="AY170" s="48" t="n">
        <v>1.49812054330853</v>
      </c>
      <c r="AZ170" s="48" t="n">
        <v>18.4678119671109</v>
      </c>
      <c r="BA170" s="48" t="n">
        <v>-5.41624510711089</v>
      </c>
      <c r="BB170" s="49" t="n">
        <f aca="false">AT170/V170</f>
        <v>1.49812054330853</v>
      </c>
      <c r="BC170" s="49" t="n">
        <f aca="false">AS170/V170</f>
        <v>1.55383953741205</v>
      </c>
      <c r="BD170" s="49" t="n">
        <f aca="false">SUM(AP170:AR170)/V170</f>
        <v>0.174928070526182</v>
      </c>
      <c r="BE170" s="50" t="n">
        <v>6.77</v>
      </c>
      <c r="BF170" s="51" t="n">
        <v>141.493075300551</v>
      </c>
      <c r="BG170" s="51" t="n">
        <v>650.604101220226</v>
      </c>
      <c r="BH170" s="51" t="n">
        <v>193.112875565416</v>
      </c>
      <c r="BI170" s="51" t="n">
        <v>121.982989328758</v>
      </c>
      <c r="BJ170" s="51" t="n">
        <v>9.5072059040066</v>
      </c>
      <c r="BK170" s="51" t="n">
        <v>10.4127016983985</v>
      </c>
      <c r="BL170" s="51" t="n">
        <v>9.40500190508551</v>
      </c>
      <c r="BM170" s="51"/>
      <c r="BN170" s="52" t="n">
        <f aca="false">(BG170*0.5-BH170*0.25+BI170*0.5)/SUM(BG170:BI170)*1000</f>
        <v>350.021060623187</v>
      </c>
      <c r="BO170" s="53" t="n">
        <v>8.0899972</v>
      </c>
      <c r="BP170" s="54" t="s">
        <v>77</v>
      </c>
      <c r="BQ170" s="55" t="n">
        <v>421.407477058833</v>
      </c>
      <c r="BR170" s="56" t="n">
        <v>32.2878840202971</v>
      </c>
      <c r="BS170" s="56" t="n">
        <v>47.7289003078343</v>
      </c>
      <c r="BT170" s="56" t="n">
        <v>21.5522603735149</v>
      </c>
      <c r="BU170" s="55"/>
      <c r="BV170" s="55"/>
      <c r="BW170" s="55"/>
      <c r="BX170" s="55"/>
      <c r="BY170" s="79" t="n">
        <v>0.176086956521739</v>
      </c>
      <c r="BZ170" s="80" t="n">
        <v>0.3308732</v>
      </c>
      <c r="CA170" s="81" t="n">
        <v>3.7</v>
      </c>
      <c r="CB170" s="81" t="n">
        <v>0.158</v>
      </c>
      <c r="CC170" s="82" t="n">
        <v>6.314768</v>
      </c>
      <c r="CD170" s="82" t="n">
        <v>5.35034</v>
      </c>
      <c r="CE170" s="83" t="n">
        <v>93.113556</v>
      </c>
      <c r="CF170" s="84" t="n">
        <v>39.01798</v>
      </c>
      <c r="CG170" s="80" t="n">
        <v>0.155</v>
      </c>
      <c r="CH170" s="63" t="n">
        <v>58816.4555699929</v>
      </c>
      <c r="CI170" s="63" t="n">
        <v>2336.47976424212</v>
      </c>
      <c r="CJ170" s="64" t="n">
        <v>497574.216131401</v>
      </c>
      <c r="CK170" s="65" t="n">
        <v>0.469574123516298</v>
      </c>
    </row>
    <row r="171" customFormat="false" ht="15" hidden="false" customHeight="false" outlineLevel="0" collapsed="false">
      <c r="A171" s="7" t="s">
        <v>73</v>
      </c>
      <c r="B171" s="66" t="n">
        <v>169</v>
      </c>
      <c r="C171" s="8" t="s">
        <v>247</v>
      </c>
      <c r="D171" s="67" t="n">
        <v>41771</v>
      </c>
      <c r="E171" s="4" t="s">
        <v>75</v>
      </c>
      <c r="F171" s="7" t="n">
        <v>298</v>
      </c>
      <c r="G171" s="68" t="n">
        <v>1</v>
      </c>
      <c r="H171" s="68" t="n">
        <v>97</v>
      </c>
      <c r="I171" s="66" t="n">
        <v>2</v>
      </c>
      <c r="J171" s="69" t="n">
        <v>601.726190476191</v>
      </c>
      <c r="K171" s="31" t="n">
        <v>564.919149410913</v>
      </c>
      <c r="L171" s="31" t="n">
        <v>941.924477602293</v>
      </c>
      <c r="M171" s="31" t="n">
        <v>167.049184532907</v>
      </c>
      <c r="N171" s="31" t="n">
        <v>336.825031012098</v>
      </c>
      <c r="O171" s="32"/>
      <c r="P171" s="33" t="n">
        <v>68.866654376677</v>
      </c>
      <c r="Q171" s="33" t="n">
        <v>11.7842938330576</v>
      </c>
      <c r="R171" s="31" t="n">
        <v>158.055532014097</v>
      </c>
      <c r="S171" s="34" t="s">
        <v>76</v>
      </c>
      <c r="T171" s="35" t="n">
        <v>20.04248469</v>
      </c>
      <c r="U171" s="35" t="n">
        <v>6.7916835</v>
      </c>
      <c r="V171" s="70" t="n">
        <v>26.83416819</v>
      </c>
      <c r="W171" s="35" t="n">
        <v>25.2472005999427</v>
      </c>
      <c r="X171" s="35" t="n">
        <v>4.62680380022778</v>
      </c>
      <c r="Y171" s="35" t="n">
        <v>8.14725611801876</v>
      </c>
      <c r="Z171" s="35"/>
      <c r="AA171" s="35" t="n">
        <v>1.60745954485857</v>
      </c>
      <c r="AB171" s="35" t="n">
        <v>0.28419787348508</v>
      </c>
      <c r="AC171" s="71" t="n">
        <v>4.59049461593734</v>
      </c>
      <c r="AD171" s="38" t="n">
        <v>7.89281524268043</v>
      </c>
      <c r="AE171" s="38" t="n">
        <v>6.96509531974532</v>
      </c>
      <c r="AF171" s="38" t="n">
        <v>1.50718216414361</v>
      </c>
      <c r="AG171" s="72"/>
      <c r="AH171" s="72"/>
      <c r="AI171" s="73" t="n">
        <v>36.0071615446259</v>
      </c>
      <c r="AJ171" s="42" t="s">
        <v>16</v>
      </c>
      <c r="AK171" s="43" t="n">
        <v>705.866968307154</v>
      </c>
      <c r="AL171" s="43" t="n">
        <v>724.124055173026</v>
      </c>
      <c r="AM171" s="43" t="n">
        <v>674.24982142761</v>
      </c>
      <c r="AN171" s="74"/>
      <c r="AO171" s="75" t="n">
        <v>52.8214285714286</v>
      </c>
      <c r="AP171" s="76" t="n">
        <v>1.61203227909692</v>
      </c>
      <c r="AQ171" s="76" t="n">
        <v>1.46886749708058</v>
      </c>
      <c r="AR171" s="76" t="n">
        <v>2.42185530362009</v>
      </c>
      <c r="AS171" s="77" t="n">
        <v>45.3090556150253</v>
      </c>
      <c r="AT171" s="78" t="n">
        <v>44.0886369465181</v>
      </c>
      <c r="AU171" s="78" t="n">
        <v>30.5185286103542</v>
      </c>
      <c r="AV171" s="78" t="n">
        <v>27.808174386921</v>
      </c>
      <c r="AW171" s="78" t="n">
        <v>45.849863760218</v>
      </c>
      <c r="AX171" s="78" t="n">
        <v>39.3324250681199</v>
      </c>
      <c r="AY171" s="48" t="n">
        <v>1.64300367480547</v>
      </c>
      <c r="AZ171" s="48" t="n">
        <v>27.6266369890486</v>
      </c>
      <c r="BA171" s="48" t="n">
        <v>-0.792468799048635</v>
      </c>
      <c r="BB171" s="49" t="n">
        <f aca="false">AT171/V171</f>
        <v>1.64300367480547</v>
      </c>
      <c r="BC171" s="49" t="n">
        <f aca="false">AS171/V171</f>
        <v>1.68848370086277</v>
      </c>
      <c r="BD171" s="49" t="n">
        <f aca="false">SUM(AP171:AR171)/V171</f>
        <v>0.205065237753419</v>
      </c>
      <c r="BE171" s="50" t="n">
        <v>7.42</v>
      </c>
      <c r="BF171" s="51" t="n">
        <v>95.8375884712894</v>
      </c>
      <c r="BG171" s="51" t="n">
        <v>633.351933747938</v>
      </c>
      <c r="BH171" s="51" t="n">
        <v>203.072098668853</v>
      </c>
      <c r="BI171" s="51" t="n">
        <v>128.638591580135</v>
      </c>
      <c r="BJ171" s="51" t="n">
        <v>7.94062137933467</v>
      </c>
      <c r="BK171" s="51" t="n">
        <v>13.6893902332037</v>
      </c>
      <c r="BL171" s="51" t="n">
        <v>8.33224001242674</v>
      </c>
      <c r="BM171" s="51"/>
      <c r="BN171" s="52" t="n">
        <f aca="false">(BG171*0.5-BH171*0.25+BI171*0.5)/SUM(BG171:BI171)*1000</f>
        <v>342.18218567946</v>
      </c>
      <c r="BO171" s="53" t="n">
        <v>5.4161372</v>
      </c>
      <c r="BP171" s="54" t="s">
        <v>77</v>
      </c>
      <c r="BQ171" s="55" t="n">
        <v>573.8451556497</v>
      </c>
      <c r="BR171" s="56" t="n">
        <v>21.3848684105494</v>
      </c>
      <c r="BS171" s="56" t="n">
        <v>31.3883519898155</v>
      </c>
      <c r="BT171" s="56" t="n">
        <v>13.0157155084156</v>
      </c>
      <c r="BU171" s="55"/>
      <c r="BV171" s="55"/>
      <c r="BW171" s="55"/>
      <c r="BX171" s="55"/>
      <c r="BY171" s="79" t="n">
        <v>0.117391304347826</v>
      </c>
      <c r="BZ171" s="80" t="n">
        <v>0.6950447</v>
      </c>
      <c r="CA171" s="81" t="n">
        <v>3.42</v>
      </c>
      <c r="CB171" s="81" t="n">
        <v>0.201</v>
      </c>
      <c r="CC171" s="82" t="n">
        <v>5.643112</v>
      </c>
      <c r="CD171" s="82" t="n">
        <v>10.4482</v>
      </c>
      <c r="CE171" s="83" t="n">
        <v>83.953552</v>
      </c>
      <c r="CF171" s="84" t="n">
        <v>38.53222</v>
      </c>
      <c r="CG171" s="80" t="n">
        <v>0.281</v>
      </c>
      <c r="CH171" s="63" t="n">
        <v>121275.088367703</v>
      </c>
      <c r="CI171" s="63" t="n">
        <v>2700.91449063218</v>
      </c>
      <c r="CJ171" s="64" t="n">
        <v>350558.977239739</v>
      </c>
      <c r="CK171" s="65" t="n">
        <v>0.770459370887853</v>
      </c>
    </row>
    <row r="172" customFormat="false" ht="15" hidden="false" customHeight="false" outlineLevel="0" collapsed="false">
      <c r="A172" s="7" t="s">
        <v>73</v>
      </c>
      <c r="B172" s="66" t="n">
        <v>170</v>
      </c>
      <c r="C172" s="8" t="s">
        <v>248</v>
      </c>
      <c r="D172" s="67" t="n">
        <v>41771</v>
      </c>
      <c r="E172" s="4" t="s">
        <v>75</v>
      </c>
      <c r="F172" s="7" t="n">
        <v>534</v>
      </c>
      <c r="G172" s="68" t="n">
        <v>1</v>
      </c>
      <c r="H172" s="68" t="n">
        <v>88</v>
      </c>
      <c r="I172" s="66" t="n">
        <v>3</v>
      </c>
      <c r="J172" s="69" t="n">
        <v>721.401190476191</v>
      </c>
      <c r="K172" s="31" t="n">
        <v>564.919149410913</v>
      </c>
      <c r="L172" s="31" t="n">
        <v>941.924477602293</v>
      </c>
      <c r="M172" s="31" t="n">
        <v>167.049184532907</v>
      </c>
      <c r="N172" s="31" t="n">
        <v>336.825031012098</v>
      </c>
      <c r="O172" s="32"/>
      <c r="P172" s="33" t="n">
        <v>68.866654376677</v>
      </c>
      <c r="Q172" s="33" t="n">
        <v>11.7842938330576</v>
      </c>
      <c r="R172" s="31" t="n">
        <v>158.055532014097</v>
      </c>
      <c r="S172" s="34" t="s">
        <v>76</v>
      </c>
      <c r="T172" s="35" t="n">
        <v>19.20505225</v>
      </c>
      <c r="U172" s="35" t="n">
        <v>9.9072765</v>
      </c>
      <c r="V172" s="70" t="n">
        <v>29.11232875</v>
      </c>
      <c r="W172" s="35" t="n">
        <v>27.3799546234435</v>
      </c>
      <c r="X172" s="35" t="n">
        <v>5.07350832052438</v>
      </c>
      <c r="Y172" s="35" t="n">
        <v>8.50578844894522</v>
      </c>
      <c r="Z172" s="35"/>
      <c r="AA172" s="35" t="n">
        <v>1.65401361472427</v>
      </c>
      <c r="AB172" s="35" t="n">
        <v>0.296353878965892</v>
      </c>
      <c r="AC172" s="71" t="n">
        <v>5.11076397535727</v>
      </c>
      <c r="AD172" s="38" t="n">
        <v>8.43282892274317</v>
      </c>
      <c r="AE172" s="38" t="n">
        <v>7.43537669342947</v>
      </c>
      <c r="AF172" s="38" t="n">
        <v>1.53201643048643</v>
      </c>
      <c r="AG172" s="72"/>
      <c r="AH172" s="72"/>
      <c r="AI172" s="73" t="n">
        <v>35.1428781113573</v>
      </c>
      <c r="AJ172" s="42" t="s">
        <v>16</v>
      </c>
      <c r="AK172" s="43" t="n">
        <v>710.334786503702</v>
      </c>
      <c r="AL172" s="43" t="n">
        <v>728.437216361816</v>
      </c>
      <c r="AM172" s="43" t="n">
        <v>698.036085939033</v>
      </c>
      <c r="AN172" s="74"/>
      <c r="AO172" s="75" t="n">
        <v>61.9571428571429</v>
      </c>
      <c r="AP172" s="76" t="n">
        <v>2.0436022675737</v>
      </c>
      <c r="AQ172" s="76" t="n">
        <v>1.75915014058957</v>
      </c>
      <c r="AR172" s="76" t="n">
        <v>2.8003841814059</v>
      </c>
      <c r="AS172" s="77" t="n">
        <v>55.4368911564626</v>
      </c>
      <c r="AT172" s="78" t="n">
        <v>53.6440342254575</v>
      </c>
      <c r="AU172" s="78" t="n">
        <v>32.984126984127</v>
      </c>
      <c r="AV172" s="78" t="n">
        <v>28.3930158730159</v>
      </c>
      <c r="AW172" s="78" t="n">
        <v>45.1987301587302</v>
      </c>
      <c r="AX172" s="78" t="n">
        <v>30.0190476190476</v>
      </c>
      <c r="AY172" s="48" t="n">
        <v>1.84265692676535</v>
      </c>
      <c r="AZ172" s="48" t="n">
        <v>32.5887774278059</v>
      </c>
      <c r="BA172" s="48" t="n">
        <v>-3.47644867780588</v>
      </c>
      <c r="BB172" s="49" t="n">
        <f aca="false">AT172/V172</f>
        <v>1.84265692676535</v>
      </c>
      <c r="BC172" s="49" t="n">
        <f aca="false">AS172/V172</f>
        <v>1.90424103933845</v>
      </c>
      <c r="BD172" s="49" t="n">
        <f aca="false">SUM(AP172:AR172)/V172</f>
        <v>0.226815815604211</v>
      </c>
      <c r="BE172" s="50" t="n">
        <v>7</v>
      </c>
      <c r="BF172" s="51" t="n">
        <v>162.93132892234</v>
      </c>
      <c r="BG172" s="51" t="n">
        <v>629.693362401886</v>
      </c>
      <c r="BH172" s="51" t="n">
        <v>216.229463756998</v>
      </c>
      <c r="BI172" s="51" t="n">
        <v>122.520468897191</v>
      </c>
      <c r="BJ172" s="51" t="n">
        <v>7.89054952423092</v>
      </c>
      <c r="BK172" s="51" t="n">
        <v>10.4793762262212</v>
      </c>
      <c r="BL172" s="51" t="n">
        <v>8.21165481536405</v>
      </c>
      <c r="BM172" s="51"/>
      <c r="BN172" s="52" t="n">
        <f aca="false">(BG172*0.5-BH172*0.25+BI172*0.5)/SUM(BG172:BI172)*1000</f>
        <v>332.543527694764</v>
      </c>
      <c r="BO172" s="53" t="n">
        <v>9.22199422</v>
      </c>
      <c r="BP172" s="54" t="s">
        <v>77</v>
      </c>
      <c r="BQ172" s="55" t="n">
        <v>459.827023843271</v>
      </c>
      <c r="BR172" s="56" t="n">
        <v>15.794924129636</v>
      </c>
      <c r="BS172" s="56" t="n">
        <v>23.0552396474277</v>
      </c>
      <c r="BT172" s="56" t="n">
        <v>8.5718203427932</v>
      </c>
      <c r="BU172" s="55"/>
      <c r="BV172" s="55"/>
      <c r="BW172" s="55"/>
      <c r="BX172" s="55"/>
      <c r="BY172" s="79" t="n">
        <v>0.107608695652174</v>
      </c>
      <c r="BZ172" s="80" t="n">
        <v>0.6363989</v>
      </c>
      <c r="CA172" s="81" t="n">
        <v>3.46</v>
      </c>
      <c r="CB172" s="81" t="n">
        <v>0.783</v>
      </c>
      <c r="CC172" s="82" t="n">
        <v>6.63352</v>
      </c>
      <c r="CD172" s="82" t="n">
        <v>8.464334</v>
      </c>
      <c r="CE172" s="83" t="n">
        <v>87.93978</v>
      </c>
      <c r="CF172" s="84" t="n">
        <v>40.86994</v>
      </c>
      <c r="CG172" s="80" t="n">
        <v>0.1025</v>
      </c>
      <c r="CH172" s="63" t="n">
        <v>85446.5204852011</v>
      </c>
      <c r="CI172" s="63" t="n">
        <v>1800.75802716533</v>
      </c>
      <c r="CJ172" s="64" t="n">
        <v>457294.832997374</v>
      </c>
      <c r="CK172" s="65" t="n">
        <v>0.393784905760279</v>
      </c>
    </row>
    <row r="173" customFormat="false" ht="15" hidden="false" customHeight="false" outlineLevel="0" collapsed="false">
      <c r="A173" s="7" t="s">
        <v>73</v>
      </c>
      <c r="B173" s="66" t="n">
        <v>171</v>
      </c>
      <c r="C173" s="8" t="s">
        <v>249</v>
      </c>
      <c r="D173" s="67" t="n">
        <v>41869</v>
      </c>
      <c r="E173" s="4" t="s">
        <v>75</v>
      </c>
      <c r="F173" s="7" t="n">
        <v>29</v>
      </c>
      <c r="G173" s="68" t="n">
        <v>1</v>
      </c>
      <c r="H173" s="68" t="n">
        <v>139</v>
      </c>
      <c r="I173" s="66" t="n">
        <v>1</v>
      </c>
      <c r="J173" s="69" t="n">
        <v>555.726190476191</v>
      </c>
      <c r="K173" s="31" t="n">
        <v>509.548257242949</v>
      </c>
      <c r="L173" s="31" t="n">
        <v>932.058820804346</v>
      </c>
      <c r="M173" s="31" t="n">
        <v>171.842783211698</v>
      </c>
      <c r="N173" s="31" t="n">
        <v>341.305287834149</v>
      </c>
      <c r="O173" s="32"/>
      <c r="P173" s="33" t="n">
        <v>68.4873143636603</v>
      </c>
      <c r="Q173" s="33" t="n">
        <v>11.6388274426046</v>
      </c>
      <c r="R173" s="31" t="n">
        <v>157.716324112242</v>
      </c>
      <c r="S173" s="34" t="s">
        <v>76</v>
      </c>
      <c r="T173" s="35" t="n">
        <v>17.8684670198892</v>
      </c>
      <c r="U173" s="35" t="n">
        <v>4.97501483011076</v>
      </c>
      <c r="V173" s="70" t="n">
        <v>22.84348185</v>
      </c>
      <c r="W173" s="35" t="n">
        <v>21.3196304427337</v>
      </c>
      <c r="X173" s="35" t="n">
        <v>4.00725184104894</v>
      </c>
      <c r="Y173" s="35" t="n">
        <v>7.12152060639163</v>
      </c>
      <c r="Z173" s="35"/>
      <c r="AA173" s="35" t="n">
        <v>1.3901913835407</v>
      </c>
      <c r="AB173" s="35" t="n">
        <v>0.24313706837952</v>
      </c>
      <c r="AC173" s="71" t="n">
        <v>3.86027634794956</v>
      </c>
      <c r="AD173" s="38" t="n">
        <v>5.80987435156559</v>
      </c>
      <c r="AE173" s="38" t="n">
        <v>5.0658329705207</v>
      </c>
      <c r="AF173" s="38" t="n">
        <v>1.01943217245767</v>
      </c>
      <c r="AG173" s="72"/>
      <c r="AH173" s="72"/>
      <c r="AI173" s="73" t="n">
        <v>41.8489374583466</v>
      </c>
      <c r="AJ173" s="42" t="s">
        <v>16</v>
      </c>
      <c r="AK173" s="43" t="n">
        <v>745.665989549418</v>
      </c>
      <c r="AL173" s="43" t="n">
        <v>762.386454862435</v>
      </c>
      <c r="AM173" s="43" t="n">
        <v>745.603168232415</v>
      </c>
      <c r="AN173" s="74"/>
      <c r="AO173" s="75" t="n">
        <v>35.3428571428571</v>
      </c>
      <c r="AP173" s="76" t="n">
        <v>1.30415142857143</v>
      </c>
      <c r="AQ173" s="76" t="n">
        <v>1.14286458049887</v>
      </c>
      <c r="AR173" s="76" t="n">
        <v>1.63306439909297</v>
      </c>
      <c r="AS173" s="77" t="n">
        <v>33.6994142857143</v>
      </c>
      <c r="AT173" s="78" t="n">
        <v>33.550574798157</v>
      </c>
      <c r="AU173" s="78" t="n">
        <v>36.9</v>
      </c>
      <c r="AV173" s="78" t="n">
        <v>32.3365079365079</v>
      </c>
      <c r="AW173" s="78" t="n">
        <v>46.2063492063492</v>
      </c>
      <c r="AX173" s="78" t="n">
        <v>30.5238095238095</v>
      </c>
      <c r="AY173" s="48" t="n">
        <v>1.46871545320737</v>
      </c>
      <c r="AZ173" s="48" t="n">
        <v>23.3578336060493</v>
      </c>
      <c r="BA173" s="48" t="n">
        <v>-0.51435175604934</v>
      </c>
      <c r="BB173" s="49" t="n">
        <f aca="false">AT173/V173</f>
        <v>1.46871545320737</v>
      </c>
      <c r="BC173" s="49" t="n">
        <f aca="false">AS173/V173</f>
        <v>1.47523107497355</v>
      </c>
      <c r="BD173" s="49" t="n">
        <f aca="false">SUM(AP173:AR173)/V173</f>
        <v>0.178610267688385</v>
      </c>
      <c r="BE173" s="50" t="n">
        <v>6.82</v>
      </c>
      <c r="BF173" s="51" t="n">
        <v>128.48428739208</v>
      </c>
      <c r="BG173" s="51" t="n">
        <v>606.124661255661</v>
      </c>
      <c r="BH173" s="51" t="n">
        <v>248.012729008681</v>
      </c>
      <c r="BI173" s="51" t="n">
        <v>111.737842701552</v>
      </c>
      <c r="BJ173" s="51" t="n">
        <v>7.72593433098438</v>
      </c>
      <c r="BK173" s="51" t="n">
        <v>13.0001394740715</v>
      </c>
      <c r="BL173" s="51" t="n">
        <v>8.42356885094039</v>
      </c>
      <c r="BM173" s="51"/>
      <c r="BN173" s="52" t="n">
        <f aca="false">(BG173*0.5-BH173*0.25+BI173*0.5)/SUM(BG173:BI173)*1000</f>
        <v>307.418659876664</v>
      </c>
      <c r="BO173" s="53" t="n">
        <v>3.90075438</v>
      </c>
      <c r="BP173" s="54" t="s">
        <v>77</v>
      </c>
      <c r="BQ173" s="55" t="n">
        <v>437.085031755689</v>
      </c>
      <c r="BR173" s="56" t="n">
        <v>19.1339058829024</v>
      </c>
      <c r="BS173" s="56" t="n">
        <v>26.8912561820041</v>
      </c>
      <c r="BT173" s="56" t="n">
        <v>13.0276466017416</v>
      </c>
      <c r="BU173" s="55"/>
      <c r="BV173" s="55"/>
      <c r="BW173" s="55"/>
      <c r="BX173" s="55"/>
      <c r="BY173" s="79" t="n">
        <v>0.0880434782608696</v>
      </c>
      <c r="BZ173" s="80" t="n">
        <v>0.4396517</v>
      </c>
      <c r="CA173" s="81" t="n">
        <v>3.71</v>
      </c>
      <c r="CB173" s="81" t="n">
        <v>0.03</v>
      </c>
      <c r="CC173" s="82" t="n">
        <v>5.95048</v>
      </c>
      <c r="CD173" s="82" t="n">
        <v>8.015968</v>
      </c>
      <c r="CE173" s="83" t="n">
        <v>93.219452</v>
      </c>
      <c r="CF173" s="84" t="n">
        <v>36.37666</v>
      </c>
      <c r="CG173" s="80" t="n">
        <v>0.071</v>
      </c>
      <c r="CH173" s="63" t="n">
        <v>44905.2850622411</v>
      </c>
      <c r="CI173" s="63" t="n">
        <v>7073.13829382464</v>
      </c>
      <c r="CJ173" s="64" t="n">
        <v>635179.855105326</v>
      </c>
      <c r="CK173" s="65" t="n">
        <v>1.1135646442458</v>
      </c>
    </row>
    <row r="174" customFormat="false" ht="15" hidden="false" customHeight="false" outlineLevel="0" collapsed="false">
      <c r="A174" s="7" t="s">
        <v>73</v>
      </c>
      <c r="B174" s="66" t="n">
        <v>172</v>
      </c>
      <c r="C174" s="8" t="s">
        <v>250</v>
      </c>
      <c r="D174" s="67" t="n">
        <v>41869</v>
      </c>
      <c r="E174" s="4" t="s">
        <v>75</v>
      </c>
      <c r="F174" s="7" t="n">
        <v>125</v>
      </c>
      <c r="G174" s="68" t="n">
        <v>1</v>
      </c>
      <c r="H174" s="68" t="n">
        <v>137</v>
      </c>
      <c r="I174" s="66" t="n">
        <v>3</v>
      </c>
      <c r="J174" s="69" t="n">
        <v>700.205952380953</v>
      </c>
      <c r="K174" s="31" t="n">
        <v>509.548257242949</v>
      </c>
      <c r="L174" s="31" t="n">
        <v>932.058820804346</v>
      </c>
      <c r="M174" s="31" t="n">
        <v>171.842783211698</v>
      </c>
      <c r="N174" s="31" t="n">
        <v>341.305287834149</v>
      </c>
      <c r="O174" s="32"/>
      <c r="P174" s="33" t="n">
        <v>68.4873143636603</v>
      </c>
      <c r="Q174" s="33" t="n">
        <v>11.6388274426046</v>
      </c>
      <c r="R174" s="31" t="n">
        <v>157.716324112242</v>
      </c>
      <c r="S174" s="34" t="s">
        <v>76</v>
      </c>
      <c r="T174" s="35" t="n">
        <v>18.8724681603998</v>
      </c>
      <c r="U174" s="35" t="n">
        <v>8.12837018960015</v>
      </c>
      <c r="V174" s="70" t="n">
        <v>27.00083835</v>
      </c>
      <c r="W174" s="35" t="n">
        <v>25.2123811976805</v>
      </c>
      <c r="X174" s="35" t="n">
        <v>4.77348893101031</v>
      </c>
      <c r="Y174" s="35" t="n">
        <v>8.11255640383221</v>
      </c>
      <c r="Z174" s="35"/>
      <c r="AA174" s="35" t="n">
        <v>1.56444122136768</v>
      </c>
      <c r="AB174" s="35" t="n">
        <v>0.277113967138072</v>
      </c>
      <c r="AC174" s="71" t="n">
        <v>4.67916407184399</v>
      </c>
      <c r="AD174" s="38" t="n">
        <v>7.71574644837664</v>
      </c>
      <c r="AE174" s="38" t="n">
        <v>6.84687104229256</v>
      </c>
      <c r="AF174" s="38" t="n">
        <v>1.32626113638113</v>
      </c>
      <c r="AG174" s="72"/>
      <c r="AH174" s="72"/>
      <c r="AI174" s="73" t="n">
        <v>35.9153801893498</v>
      </c>
      <c r="AJ174" s="42" t="s">
        <v>16</v>
      </c>
      <c r="AK174" s="43" t="n">
        <v>714.240485856001</v>
      </c>
      <c r="AL174" s="43" t="n">
        <v>728.432194142675</v>
      </c>
      <c r="AM174" s="43" t="n">
        <v>722.161053361775</v>
      </c>
      <c r="AN174" s="74"/>
      <c r="AO174" s="75" t="n">
        <v>51.1571428571429</v>
      </c>
      <c r="AP174" s="76" t="n">
        <v>1.23800285714286</v>
      </c>
      <c r="AQ174" s="76" t="n">
        <v>1.57564</v>
      </c>
      <c r="AR174" s="76" t="n">
        <v>2.39927</v>
      </c>
      <c r="AS174" s="77" t="n">
        <v>39.0329</v>
      </c>
      <c r="AT174" s="78" t="n">
        <v>40.219387288444</v>
      </c>
      <c r="AU174" s="78" t="n">
        <v>24.2</v>
      </c>
      <c r="AV174" s="78" t="n">
        <v>30.8</v>
      </c>
      <c r="AW174" s="78" t="n">
        <v>46.9</v>
      </c>
      <c r="AX174" s="78" t="n">
        <v>40</v>
      </c>
      <c r="AY174" s="48" t="n">
        <v>1.48956068574975</v>
      </c>
      <c r="AZ174" s="48" t="n">
        <v>27.3770913386214</v>
      </c>
      <c r="BA174" s="48" t="n">
        <v>-0.376252988621417</v>
      </c>
      <c r="BB174" s="49" t="n">
        <f aca="false">AT174/V174</f>
        <v>1.48956068574975</v>
      </c>
      <c r="BC174" s="49" t="n">
        <f aca="false">AS174/V174</f>
        <v>1.44561807652169</v>
      </c>
      <c r="BD174" s="49" t="n">
        <f aca="false">SUM(AP174:AR174)/V174</f>
        <v>0.193064851897195</v>
      </c>
      <c r="BE174" s="50" t="n">
        <v>6.9</v>
      </c>
      <c r="BF174" s="51" t="n">
        <v>129.530409124515</v>
      </c>
      <c r="BG174" s="51" t="n">
        <v>571.725084534117</v>
      </c>
      <c r="BH174" s="51" t="n">
        <v>284.724612581906</v>
      </c>
      <c r="BI174" s="51" t="n">
        <v>106.255042288117</v>
      </c>
      <c r="BJ174" s="51" t="n">
        <v>6.23494941844695</v>
      </c>
      <c r="BK174" s="51" t="n">
        <v>17.5469613941334</v>
      </c>
      <c r="BL174" s="51" t="n">
        <v>8.53822540517107</v>
      </c>
      <c r="BM174" s="51"/>
      <c r="BN174" s="52" t="n">
        <f aca="false">(BG174*0.5-BH174*0.25+BI174*0.5)/SUM(BG174:BI174)*1000</f>
        <v>278.183849423448</v>
      </c>
      <c r="BO174" s="53" t="n">
        <v>5.46163258</v>
      </c>
      <c r="BP174" s="54" t="s">
        <v>77</v>
      </c>
      <c r="BQ174" s="55" t="n">
        <v>523.987300468067</v>
      </c>
      <c r="BR174" s="56" t="n">
        <v>19.406334487687</v>
      </c>
      <c r="BS174" s="56" t="n">
        <v>28.5310506506319</v>
      </c>
      <c r="BT174" s="56" t="n">
        <v>13.0282268277772</v>
      </c>
      <c r="BU174" s="55"/>
      <c r="BV174" s="55"/>
      <c r="BW174" s="55"/>
      <c r="BX174" s="55"/>
      <c r="BY174" s="79" t="n">
        <v>0.0880434782608696</v>
      </c>
      <c r="BZ174" s="80" t="n">
        <v>0.493568</v>
      </c>
      <c r="CA174" s="81" t="n">
        <v>3.37</v>
      </c>
      <c r="CB174" s="81" t="n">
        <v>0.374</v>
      </c>
      <c r="CC174" s="82" t="n">
        <v>5.55204</v>
      </c>
      <c r="CD174" s="82" t="n">
        <v>9.12767</v>
      </c>
      <c r="CE174" s="83" t="n">
        <v>83.091256</v>
      </c>
      <c r="CF174" s="84" t="n">
        <v>36.22486</v>
      </c>
      <c r="CG174" s="80" t="n">
        <v>0.113</v>
      </c>
      <c r="CH174" s="63" t="n">
        <v>4590.84007038173</v>
      </c>
      <c r="CI174" s="63" t="n">
        <v>1192.1779283814</v>
      </c>
      <c r="CJ174" s="64" t="n">
        <v>360049.899621509</v>
      </c>
      <c r="CK174" s="65" t="n">
        <v>0.331114639841488</v>
      </c>
    </row>
    <row r="175" customFormat="false" ht="15" hidden="false" customHeight="false" outlineLevel="0" collapsed="false">
      <c r="A175" s="7" t="s">
        <v>73</v>
      </c>
      <c r="B175" s="66" t="n">
        <v>173</v>
      </c>
      <c r="C175" s="8" t="s">
        <v>251</v>
      </c>
      <c r="D175" s="67" t="n">
        <v>41869</v>
      </c>
      <c r="E175" s="4" t="s">
        <v>75</v>
      </c>
      <c r="F175" s="7" t="n">
        <v>131</v>
      </c>
      <c r="G175" s="68" t="n">
        <v>1</v>
      </c>
      <c r="H175" s="68" t="n">
        <v>146</v>
      </c>
      <c r="I175" s="66" t="n">
        <v>3</v>
      </c>
      <c r="J175" s="69" t="n">
        <v>638.119047619048</v>
      </c>
      <c r="K175" s="31" t="n">
        <v>509.548257242949</v>
      </c>
      <c r="L175" s="31" t="n">
        <v>932.058820804346</v>
      </c>
      <c r="M175" s="31" t="n">
        <v>171.842783211698</v>
      </c>
      <c r="N175" s="31" t="n">
        <v>341.305287834149</v>
      </c>
      <c r="O175" s="32"/>
      <c r="P175" s="33" t="n">
        <v>68.4873143636603</v>
      </c>
      <c r="Q175" s="33" t="n">
        <v>11.6388274426046</v>
      </c>
      <c r="R175" s="31" t="n">
        <v>157.716324112242</v>
      </c>
      <c r="S175" s="34" t="s">
        <v>76</v>
      </c>
      <c r="T175" s="35" t="n">
        <v>19.6644666344584</v>
      </c>
      <c r="U175" s="35" t="n">
        <v>5.79999624554158</v>
      </c>
      <c r="V175" s="70" t="n">
        <v>25.46446288</v>
      </c>
      <c r="W175" s="35" t="n">
        <v>23.7672088402088</v>
      </c>
      <c r="X175" s="35" t="n">
        <v>4.47120708106893</v>
      </c>
      <c r="Y175" s="35" t="n">
        <v>7.90413011726494</v>
      </c>
      <c r="Z175" s="35"/>
      <c r="AA175" s="35" t="n">
        <v>1.54079249370191</v>
      </c>
      <c r="AB175" s="35" t="n">
        <v>0.269872305069716</v>
      </c>
      <c r="AC175" s="71" t="n">
        <v>4.31634549564874</v>
      </c>
      <c r="AD175" s="38" t="n">
        <v>6.6689960482746</v>
      </c>
      <c r="AE175" s="38" t="n">
        <v>5.8165751322865</v>
      </c>
      <c r="AF175" s="38" t="n">
        <v>1.21832034375387</v>
      </c>
      <c r="AG175" s="72"/>
      <c r="AH175" s="72"/>
      <c r="AI175" s="73" t="n">
        <v>40.4667064002141</v>
      </c>
      <c r="AJ175" s="42" t="s">
        <v>16</v>
      </c>
      <c r="AK175" s="43" t="n">
        <v>738.105764111267</v>
      </c>
      <c r="AL175" s="43" t="n">
        <v>755.268901308843</v>
      </c>
      <c r="AM175" s="43" t="n">
        <v>727.518694244284</v>
      </c>
      <c r="AN175" s="74"/>
      <c r="AO175" s="75" t="n">
        <v>38.3785714285714</v>
      </c>
      <c r="AP175" s="76" t="n">
        <v>1.64910769975787</v>
      </c>
      <c r="AQ175" s="76" t="n">
        <v>1.17163598970944</v>
      </c>
      <c r="AR175" s="76" t="n">
        <v>1.7621293401937</v>
      </c>
      <c r="AS175" s="77" t="n">
        <v>40.0880440677966</v>
      </c>
      <c r="AT175" s="78" t="n">
        <v>38.6797680149905</v>
      </c>
      <c r="AU175" s="78" t="n">
        <v>42.9694915254237</v>
      </c>
      <c r="AV175" s="78" t="n">
        <v>30.5283898305085</v>
      </c>
      <c r="AW175" s="78" t="n">
        <v>45.914406779661</v>
      </c>
      <c r="AX175" s="78" t="n">
        <v>31.7118644067797</v>
      </c>
      <c r="AY175" s="48" t="n">
        <v>1.51897050400266</v>
      </c>
      <c r="AZ175" s="48" t="n">
        <v>26.9575975662079</v>
      </c>
      <c r="BA175" s="48" t="n">
        <v>-1.49313468620791</v>
      </c>
      <c r="BB175" s="49" t="n">
        <f aca="false">AT175/V175</f>
        <v>1.51897050400266</v>
      </c>
      <c r="BC175" s="49" t="n">
        <f aca="false">AS175/V175</f>
        <v>1.57427408764558</v>
      </c>
      <c r="BD175" s="49" t="n">
        <f aca="false">SUM(AP175:AR175)/V175</f>
        <v>0.179971321258869</v>
      </c>
      <c r="BE175" s="50" t="n">
        <v>7.89</v>
      </c>
      <c r="BF175" s="51" t="n">
        <v>77.4433150608882</v>
      </c>
      <c r="BG175" s="51" t="n">
        <v>649.645707864552</v>
      </c>
      <c r="BH175" s="51" t="n">
        <v>210.492649083517</v>
      </c>
      <c r="BI175" s="51" t="n">
        <v>106.547964347858</v>
      </c>
      <c r="BJ175" s="51" t="n">
        <v>7.56377563093824</v>
      </c>
      <c r="BK175" s="51" t="n">
        <v>12.5121373116464</v>
      </c>
      <c r="BL175" s="51" t="n">
        <v>8.26264138337896</v>
      </c>
      <c r="BM175" s="51"/>
      <c r="BN175" s="52" t="n">
        <f aca="false">(BG175*0.5-BH175*0.25+BI175*0.5)/SUM(BG175:BI175)*1000</f>
        <v>336.690058259023</v>
      </c>
      <c r="BO175" s="53" t="n">
        <v>7.20415434</v>
      </c>
      <c r="BP175" s="54" t="s">
        <v>77</v>
      </c>
      <c r="BQ175" s="55" t="n">
        <v>472.262516444895</v>
      </c>
      <c r="BR175" s="56" t="n">
        <v>18.5459445451651</v>
      </c>
      <c r="BS175" s="56" t="n">
        <v>26.3089606823444</v>
      </c>
      <c r="BT175" s="56" t="n">
        <v>12.2095488334332</v>
      </c>
      <c r="BU175" s="55"/>
      <c r="BV175" s="55"/>
      <c r="BW175" s="55"/>
      <c r="BX175" s="55"/>
      <c r="BY175" s="79" t="n">
        <v>0.117391304347826</v>
      </c>
      <c r="BZ175" s="80" t="n">
        <v>0.7177463</v>
      </c>
      <c r="CA175" s="81" t="n">
        <v>3.26</v>
      </c>
      <c r="CB175" s="81" t="n">
        <v>0.602</v>
      </c>
      <c r="CC175" s="82" t="n">
        <v>5.119448</v>
      </c>
      <c r="CD175" s="82" t="n">
        <v>6.253214</v>
      </c>
      <c r="CE175" s="83" t="n">
        <v>83.197152</v>
      </c>
      <c r="CF175" s="84" t="n">
        <v>37.36842</v>
      </c>
      <c r="CG175" s="80" t="n">
        <v>0.932</v>
      </c>
      <c r="CH175" s="63" t="n">
        <v>75280.3877922205</v>
      </c>
      <c r="CI175" s="63" t="n">
        <v>2871.68287524057</v>
      </c>
      <c r="CJ175" s="64" t="n">
        <v>353733.886315559</v>
      </c>
      <c r="CK175" s="65" t="n">
        <v>0.811820124204554</v>
      </c>
    </row>
    <row r="176" customFormat="false" ht="15" hidden="false" customHeight="false" outlineLevel="0" collapsed="false">
      <c r="A176" s="7" t="s">
        <v>73</v>
      </c>
      <c r="B176" s="66" t="n">
        <v>174</v>
      </c>
      <c r="C176" s="8" t="s">
        <v>252</v>
      </c>
      <c r="D176" s="67" t="n">
        <v>41869</v>
      </c>
      <c r="E176" s="4" t="s">
        <v>75</v>
      </c>
      <c r="F176" s="7" t="n">
        <v>154</v>
      </c>
      <c r="G176" s="68" t="n">
        <v>1</v>
      </c>
      <c r="H176" s="68" t="n">
        <v>184</v>
      </c>
      <c r="I176" s="66" t="n">
        <v>1</v>
      </c>
      <c r="J176" s="69" t="n">
        <v>731.577380952381</v>
      </c>
      <c r="K176" s="31" t="n">
        <v>509.548257242949</v>
      </c>
      <c r="L176" s="31" t="n">
        <v>932.058820804346</v>
      </c>
      <c r="M176" s="31" t="n">
        <v>171.842783211698</v>
      </c>
      <c r="N176" s="31" t="n">
        <v>341.305287834149</v>
      </c>
      <c r="O176" s="32"/>
      <c r="P176" s="33" t="n">
        <v>68.4873143636603</v>
      </c>
      <c r="Q176" s="33" t="n">
        <v>11.6388274426046</v>
      </c>
      <c r="R176" s="31" t="n">
        <v>157.716324112242</v>
      </c>
      <c r="S176" s="34" t="s">
        <v>76</v>
      </c>
      <c r="T176" s="35" t="n">
        <v>19.3909047099887</v>
      </c>
      <c r="U176" s="35" t="n">
        <v>7.31176422001126</v>
      </c>
      <c r="V176" s="70" t="n">
        <v>26.70266893</v>
      </c>
      <c r="W176" s="35" t="n">
        <v>24.9298472606193</v>
      </c>
      <c r="X176" s="35" t="n">
        <v>4.70882975333608</v>
      </c>
      <c r="Y176" s="35" t="n">
        <v>8.12159827886625</v>
      </c>
      <c r="Z176" s="35"/>
      <c r="AA176" s="35" t="n">
        <v>1.57262981028432</v>
      </c>
      <c r="AB176" s="35" t="n">
        <v>0.277375260768007</v>
      </c>
      <c r="AC176" s="71" t="n">
        <v>4.58987371160087</v>
      </c>
      <c r="AD176" s="38" t="n">
        <v>6.8348720938168</v>
      </c>
      <c r="AE176" s="38" t="n">
        <v>5.94725309362754</v>
      </c>
      <c r="AF176" s="38" t="n">
        <v>1.25694549617366</v>
      </c>
      <c r="AG176" s="72"/>
      <c r="AH176" s="72"/>
      <c r="AI176" s="73" t="n">
        <v>40.5823630582547</v>
      </c>
      <c r="AJ176" s="42" t="s">
        <v>16</v>
      </c>
      <c r="AK176" s="43" t="n">
        <v>744.03786708609</v>
      </c>
      <c r="AL176" s="43" t="n">
        <v>761.440452023058</v>
      </c>
      <c r="AM176" s="43" t="n">
        <v>733.066268687427</v>
      </c>
      <c r="AN176" s="74"/>
      <c r="AO176" s="75" t="n">
        <v>47.0285714285714</v>
      </c>
      <c r="AP176" s="76" t="n">
        <v>1.68266431301183</v>
      </c>
      <c r="AQ176" s="76" t="n">
        <v>1.49167439490446</v>
      </c>
      <c r="AR176" s="76" t="n">
        <v>2.16304469517743</v>
      </c>
      <c r="AS176" s="77" t="n">
        <v>44.051393266606</v>
      </c>
      <c r="AT176" s="78" t="n">
        <v>43.7244631311615</v>
      </c>
      <c r="AU176" s="78" t="n">
        <v>35.7796178343949</v>
      </c>
      <c r="AV176" s="78" t="n">
        <v>31.7184713375796</v>
      </c>
      <c r="AW176" s="78" t="n">
        <v>45.9942675159236</v>
      </c>
      <c r="AX176" s="78" t="n">
        <v>23.8152866242038</v>
      </c>
      <c r="AY176" s="48" t="n">
        <v>1.6374566619458</v>
      </c>
      <c r="AZ176" s="48" t="n">
        <v>29.9084246417872</v>
      </c>
      <c r="BA176" s="48" t="n">
        <v>-3.20575571178716</v>
      </c>
      <c r="BB176" s="49" t="n">
        <f aca="false">AT176/V176</f>
        <v>1.6374566619458</v>
      </c>
      <c r="BC176" s="49" t="n">
        <f aca="false">AS176/V176</f>
        <v>1.64970001246261</v>
      </c>
      <c r="BD176" s="49" t="n">
        <f aca="false">SUM(AP176:AR176)/V176</f>
        <v>0.199882019924131</v>
      </c>
      <c r="BE176" s="50" t="n">
        <v>7.04</v>
      </c>
      <c r="BF176" s="51" t="n">
        <v>110.481025524903</v>
      </c>
      <c r="BG176" s="51" t="n">
        <v>604.232398396228</v>
      </c>
      <c r="BH176" s="51" t="n">
        <v>264.53523836697</v>
      </c>
      <c r="BI176" s="51" t="n">
        <v>97.0269855928904</v>
      </c>
      <c r="BJ176" s="51" t="n">
        <v>7.31744032237144</v>
      </c>
      <c r="BK176" s="51" t="n">
        <v>11.5318534190283</v>
      </c>
      <c r="BL176" s="51" t="n">
        <v>10.3809595244023</v>
      </c>
      <c r="BM176" s="51"/>
      <c r="BN176" s="52" t="n">
        <f aca="false">(BG176*0.5-BH176*0.25+BI176*0.5)/SUM(BG176:BI176)*1000</f>
        <v>294.571822846538</v>
      </c>
      <c r="BO176" s="53" t="n">
        <v>3.24207034</v>
      </c>
      <c r="BP176" s="54" t="s">
        <v>77</v>
      </c>
      <c r="BQ176" s="55" t="n">
        <v>391.053193362566</v>
      </c>
      <c r="BR176" s="56" t="n">
        <v>14.6447231318973</v>
      </c>
      <c r="BS176" s="56" t="n">
        <v>20.6006191736721</v>
      </c>
      <c r="BT176" s="56" t="n">
        <v>8.94357907127442</v>
      </c>
      <c r="BU176" s="55"/>
      <c r="BV176" s="55"/>
      <c r="BW176" s="55"/>
      <c r="BX176" s="55"/>
      <c r="BY176" s="79" t="n">
        <v>0.0880434782608696</v>
      </c>
      <c r="BZ176" s="80" t="n">
        <v>0.4311386</v>
      </c>
      <c r="CA176" s="81" t="n">
        <v>3.47</v>
      </c>
      <c r="CB176" s="81" t="n">
        <v>0.054</v>
      </c>
      <c r="CC176" s="82" t="n">
        <v>5.1536</v>
      </c>
      <c r="CD176" s="82" t="n">
        <v>6.91655</v>
      </c>
      <c r="CE176" s="83" t="n">
        <v>89.127328</v>
      </c>
      <c r="CF176" s="84" t="n">
        <v>37.01422</v>
      </c>
      <c r="CG176" s="80" t="n">
        <v>0.3125</v>
      </c>
      <c r="CH176" s="63" t="n">
        <v>15847.6528003657</v>
      </c>
      <c r="CI176" s="63" t="n">
        <v>2964.70490083144</v>
      </c>
      <c r="CJ176" s="64" t="n">
        <v>691900.595761402</v>
      </c>
      <c r="CK176" s="65" t="n">
        <v>0.428487114911201</v>
      </c>
    </row>
    <row r="177" customFormat="false" ht="15" hidden="false" customHeight="false" outlineLevel="0" collapsed="false">
      <c r="A177" s="7" t="s">
        <v>73</v>
      </c>
      <c r="B177" s="66" t="n">
        <v>175</v>
      </c>
      <c r="C177" s="8" t="s">
        <v>253</v>
      </c>
      <c r="D177" s="67" t="n">
        <v>41869</v>
      </c>
      <c r="E177" s="4" t="s">
        <v>75</v>
      </c>
      <c r="F177" s="7" t="n">
        <v>155</v>
      </c>
      <c r="G177" s="68" t="n">
        <v>1</v>
      </c>
      <c r="H177" s="68" t="n">
        <v>167</v>
      </c>
      <c r="I177" s="66" t="n">
        <v>1</v>
      </c>
      <c r="J177" s="69" t="n">
        <v>653.428571428572</v>
      </c>
      <c r="K177" s="31" t="n">
        <v>509.548257242949</v>
      </c>
      <c r="L177" s="31" t="n">
        <v>932.058820804346</v>
      </c>
      <c r="M177" s="31" t="n">
        <v>171.842783211698</v>
      </c>
      <c r="N177" s="31" t="n">
        <v>341.305287834149</v>
      </c>
      <c r="O177" s="32"/>
      <c r="P177" s="33" t="n">
        <v>68.4873143636603</v>
      </c>
      <c r="Q177" s="33" t="n">
        <v>11.6388274426046</v>
      </c>
      <c r="R177" s="31" t="n">
        <v>157.716324112242</v>
      </c>
      <c r="S177" s="34" t="s">
        <v>76</v>
      </c>
      <c r="T177" s="35" t="n">
        <v>18.9416511423616</v>
      </c>
      <c r="U177" s="35" t="n">
        <v>6.21876853763845</v>
      </c>
      <c r="V177" s="70" t="n">
        <v>25.16041968</v>
      </c>
      <c r="W177" s="35" t="n">
        <v>23.4861932060797</v>
      </c>
      <c r="X177" s="35" t="n">
        <v>4.42584197170938</v>
      </c>
      <c r="Y177" s="35" t="n">
        <v>7.74353360396442</v>
      </c>
      <c r="Z177" s="35"/>
      <c r="AA177" s="35" t="n">
        <v>1.50529789829476</v>
      </c>
      <c r="AB177" s="35" t="n">
        <v>0.264419939212908</v>
      </c>
      <c r="AC177" s="71" t="n">
        <v>4.29006685585447</v>
      </c>
      <c r="AD177" s="38" t="n">
        <v>6.96586594222535</v>
      </c>
      <c r="AE177" s="38" t="n">
        <v>6.11539798401267</v>
      </c>
      <c r="AF177" s="38" t="n">
        <v>1.41849883187949</v>
      </c>
      <c r="AG177" s="72"/>
      <c r="AH177" s="72"/>
      <c r="AI177" s="73" t="n">
        <v>37.9593781169488</v>
      </c>
      <c r="AJ177" s="42" t="s">
        <v>16</v>
      </c>
      <c r="AK177" s="43" t="n">
        <v>723.141901811658</v>
      </c>
      <c r="AL177" s="43" t="n">
        <v>739.617317700102</v>
      </c>
      <c r="AM177" s="43" t="n">
        <v>679.496276426782</v>
      </c>
      <c r="AN177" s="74"/>
      <c r="AO177" s="75" t="n">
        <v>37.6285714285714</v>
      </c>
      <c r="AP177" s="76" t="n">
        <v>1.03244664092664</v>
      </c>
      <c r="AQ177" s="76" t="n">
        <v>1.25086185328185</v>
      </c>
      <c r="AR177" s="76" t="n">
        <v>1.74962687258687</v>
      </c>
      <c r="AS177" s="77" t="n">
        <v>30.5381281853282</v>
      </c>
      <c r="AT177" s="78" t="n">
        <v>31.6978672286845</v>
      </c>
      <c r="AU177" s="78" t="n">
        <v>27.4378378378378</v>
      </c>
      <c r="AV177" s="78" t="n">
        <v>33.2423423423423</v>
      </c>
      <c r="AW177" s="78" t="n">
        <v>46.4972972972973</v>
      </c>
      <c r="AX177" s="78" t="n">
        <v>27.8378378378378</v>
      </c>
      <c r="AY177" s="48" t="n">
        <v>1.25983062412433</v>
      </c>
      <c r="AZ177" s="48" t="n">
        <v>23.7497351045867</v>
      </c>
      <c r="BA177" s="48" t="n">
        <v>1.4106845754133</v>
      </c>
      <c r="BB177" s="49" t="n">
        <f aca="false">AT177/V177</f>
        <v>1.25983062412433</v>
      </c>
      <c r="BC177" s="49" t="n">
        <f aca="false">AS177/V177</f>
        <v>1.21373683641704</v>
      </c>
      <c r="BD177" s="49" t="n">
        <f aca="false">SUM(AP177:AR177)/V177</f>
        <v>0.160288875069963</v>
      </c>
      <c r="BE177" s="50" t="n">
        <v>7.49</v>
      </c>
      <c r="BF177" s="51" t="n">
        <v>87.4027422835551</v>
      </c>
      <c r="BG177" s="51" t="n">
        <v>620.511081372871</v>
      </c>
      <c r="BH177" s="51" t="n">
        <v>233.770013823163</v>
      </c>
      <c r="BI177" s="51" t="n">
        <v>94.5220243182748</v>
      </c>
      <c r="BJ177" s="51" t="n">
        <v>10.3318983880795</v>
      </c>
      <c r="BK177" s="51" t="n">
        <v>19.5095299857723</v>
      </c>
      <c r="BL177" s="51" t="n">
        <v>16.3803277337299</v>
      </c>
      <c r="BM177" s="51"/>
      <c r="BN177" s="52" t="n">
        <f aca="false">(BG177*0.5-BH177*0.25+BI177*0.5)/SUM(BG177:BI177)*1000</f>
        <v>315.211916190661</v>
      </c>
      <c r="BO177" s="53" t="n">
        <v>4.46808982</v>
      </c>
      <c r="BP177" s="54" t="s">
        <v>77</v>
      </c>
      <c r="BQ177" s="55" t="n">
        <v>406.840529168516</v>
      </c>
      <c r="BR177" s="56" t="n">
        <v>16.1698625993871</v>
      </c>
      <c r="BS177" s="56" t="n">
        <v>23.420950161895</v>
      </c>
      <c r="BT177" s="56" t="n">
        <v>12.8349496271582</v>
      </c>
      <c r="BU177" s="55"/>
      <c r="BV177" s="55"/>
      <c r="BW177" s="55"/>
      <c r="BX177" s="55"/>
      <c r="BY177" s="79" t="n">
        <v>0.146739130434783</v>
      </c>
      <c r="BZ177" s="80" t="n">
        <v>0.3081716</v>
      </c>
      <c r="CA177" s="81" t="n">
        <v>3.61</v>
      </c>
      <c r="CB177" s="81" t="n">
        <v>0.165</v>
      </c>
      <c r="CC177" s="82" t="n">
        <v>6.189544</v>
      </c>
      <c r="CD177" s="82" t="n">
        <v>7.635164</v>
      </c>
      <c r="CE177" s="83" t="n">
        <v>89.770268</v>
      </c>
      <c r="CF177" s="84" t="n">
        <v>37.06482</v>
      </c>
      <c r="CG177" s="80" t="n">
        <v>0.1025</v>
      </c>
      <c r="CH177" s="63" t="n">
        <v>14606.3365642632</v>
      </c>
      <c r="CI177" s="63" t="n">
        <v>4690.85936772825</v>
      </c>
      <c r="CJ177" s="64" t="n">
        <v>806949.801740974</v>
      </c>
      <c r="CK177" s="65" t="n">
        <v>0.581307456499505</v>
      </c>
    </row>
    <row r="178" customFormat="false" ht="15" hidden="false" customHeight="false" outlineLevel="0" collapsed="false">
      <c r="A178" s="7" t="s">
        <v>73</v>
      </c>
      <c r="B178" s="66" t="n">
        <v>176</v>
      </c>
      <c r="C178" s="8" t="s">
        <v>254</v>
      </c>
      <c r="D178" s="67" t="n">
        <v>41869</v>
      </c>
      <c r="E178" s="4" t="s">
        <v>75</v>
      </c>
      <c r="F178" s="7" t="n">
        <v>158</v>
      </c>
      <c r="G178" s="68" t="n">
        <v>1</v>
      </c>
      <c r="H178" s="68" t="n">
        <v>179</v>
      </c>
      <c r="I178" s="66" t="n">
        <v>1</v>
      </c>
      <c r="J178" s="69" t="n">
        <v>653.315476190476</v>
      </c>
      <c r="K178" s="31" t="n">
        <v>509.548257242949</v>
      </c>
      <c r="L178" s="31" t="n">
        <v>932.058820804346</v>
      </c>
      <c r="M178" s="31" t="n">
        <v>171.842783211698</v>
      </c>
      <c r="N178" s="31" t="n">
        <v>341.305287834149</v>
      </c>
      <c r="O178" s="32"/>
      <c r="P178" s="33" t="n">
        <v>68.4873143636603</v>
      </c>
      <c r="Q178" s="33" t="n">
        <v>11.6388274426046</v>
      </c>
      <c r="R178" s="31" t="n">
        <v>157.716324112242</v>
      </c>
      <c r="S178" s="34" t="s">
        <v>76</v>
      </c>
      <c r="T178" s="35" t="n">
        <v>25.6400871345936</v>
      </c>
      <c r="U178" s="35" t="n">
        <v>7.29082560540642</v>
      </c>
      <c r="V178" s="70" t="n">
        <v>32.93091274</v>
      </c>
      <c r="W178" s="35" t="n">
        <v>30.734818316233</v>
      </c>
      <c r="X178" s="35" t="n">
        <v>5.77876437815025</v>
      </c>
      <c r="Y178" s="35" t="n">
        <v>10.2501720732101</v>
      </c>
      <c r="Z178" s="35"/>
      <c r="AA178" s="35" t="n">
        <v>1.99991907669275</v>
      </c>
      <c r="AB178" s="35" t="n">
        <v>0.349960398718913</v>
      </c>
      <c r="AC178" s="71" t="n">
        <v>5.57108573418484</v>
      </c>
      <c r="AD178" s="38" t="n">
        <v>7.99361287574587</v>
      </c>
      <c r="AE178" s="38" t="n">
        <v>6.9315758029184</v>
      </c>
      <c r="AF178" s="38" t="n">
        <v>1.72981804433788</v>
      </c>
      <c r="AG178" s="72"/>
      <c r="AH178" s="72"/>
      <c r="AI178" s="73" t="n">
        <v>43.7800033800434</v>
      </c>
      <c r="AJ178" s="42" t="s">
        <v>16</v>
      </c>
      <c r="AK178" s="43" t="n">
        <v>757.261120004235</v>
      </c>
      <c r="AL178" s="43" t="n">
        <v>774.471554326469</v>
      </c>
      <c r="AM178" s="43" t="n">
        <v>700.65953011021</v>
      </c>
      <c r="AN178" s="74"/>
      <c r="AO178" s="75" t="n">
        <v>41.1571428571429</v>
      </c>
      <c r="AP178" s="76" t="n">
        <v>1.09800397619048</v>
      </c>
      <c r="AQ178" s="76" t="n">
        <v>1.41659455952381</v>
      </c>
      <c r="AR178" s="76" t="n">
        <v>1.91696252380952</v>
      </c>
      <c r="AS178" s="77" t="n">
        <v>32.9329167857143</v>
      </c>
      <c r="AT178" s="78" t="n">
        <v>34.6795075253261</v>
      </c>
      <c r="AU178" s="78" t="n">
        <v>26.6783333333333</v>
      </c>
      <c r="AV178" s="78" t="n">
        <v>34.4191666666667</v>
      </c>
      <c r="AW178" s="78" t="n">
        <v>46.5766666666667</v>
      </c>
      <c r="AX178" s="78" t="n">
        <v>28.2333333333333</v>
      </c>
      <c r="AY178" s="48" t="n">
        <v>1.05309888611748</v>
      </c>
      <c r="AZ178" s="48" t="n">
        <v>24.6696464289637</v>
      </c>
      <c r="BA178" s="48" t="n">
        <v>8.26126631103627</v>
      </c>
      <c r="BB178" s="49" t="n">
        <f aca="false">AT178/V178</f>
        <v>1.05309888611748</v>
      </c>
      <c r="BC178" s="49" t="n">
        <f aca="false">AS178/V178</f>
        <v>1.00006085606342</v>
      </c>
      <c r="BD178" s="49" t="n">
        <f aca="false">SUM(AP178:AR178)/V178</f>
        <v>0.134571461608501</v>
      </c>
      <c r="BE178" s="50" t="n">
        <v>7.23</v>
      </c>
      <c r="BF178" s="51" t="n">
        <v>116.241887059281</v>
      </c>
      <c r="BG178" s="51" t="n">
        <v>598.774618519333</v>
      </c>
      <c r="BH178" s="51" t="n">
        <v>278.426685868905</v>
      </c>
      <c r="BI178" s="51" t="n">
        <v>86.9102624139004</v>
      </c>
      <c r="BJ178" s="51" t="n">
        <v>7.35626364789212</v>
      </c>
      <c r="BK178" s="51" t="n">
        <v>13.6745570759451</v>
      </c>
      <c r="BL178" s="51" t="n">
        <v>9.88248809591518</v>
      </c>
      <c r="BM178" s="51"/>
      <c r="BN178" s="52" t="n">
        <f aca="false">(BG178*0.5-BH178*0.25+BI178*0.5)/SUM(BG178:BI178)*1000</f>
        <v>283.406794823224</v>
      </c>
      <c r="BO178" s="53" t="n">
        <v>2.69979364</v>
      </c>
      <c r="BP178" s="54" t="s">
        <v>77</v>
      </c>
      <c r="BQ178" s="55" t="n">
        <v>402.406105109717</v>
      </c>
      <c r="BR178" s="56" t="n">
        <v>12.2197070055981</v>
      </c>
      <c r="BS178" s="56" t="n">
        <v>16.9055163339459</v>
      </c>
      <c r="BT178" s="56" t="n">
        <v>11.6035703452779</v>
      </c>
      <c r="BU178" s="55"/>
      <c r="BV178" s="55"/>
      <c r="BW178" s="55"/>
      <c r="BX178" s="55"/>
      <c r="BY178" s="79" t="n">
        <v>0.107608695652174</v>
      </c>
      <c r="BZ178" s="80" t="n">
        <v>0.2173652</v>
      </c>
      <c r="CA178" s="81" t="n">
        <v>3.67</v>
      </c>
      <c r="CB178" s="81" t="n">
        <v>0.218</v>
      </c>
      <c r="CC178" s="82" t="n">
        <v>5.426816</v>
      </c>
      <c r="CD178" s="82" t="n">
        <v>7.708868</v>
      </c>
      <c r="CE178" s="83" t="n">
        <v>90.420772</v>
      </c>
      <c r="CF178" s="84" t="n">
        <v>38.02622</v>
      </c>
      <c r="CG178" s="80" t="n">
        <v>1.2995</v>
      </c>
      <c r="CH178" s="63" t="n">
        <v>7988.60581477166</v>
      </c>
      <c r="CI178" s="63" t="n">
        <v>6134.93169556365</v>
      </c>
      <c r="CJ178" s="64" t="n">
        <v>781911.068505061</v>
      </c>
      <c r="CK178" s="65" t="n">
        <v>0.784607347647994</v>
      </c>
    </row>
    <row r="179" customFormat="false" ht="15" hidden="false" customHeight="false" outlineLevel="0" collapsed="false">
      <c r="A179" s="7" t="s">
        <v>73</v>
      </c>
      <c r="B179" s="66" t="n">
        <v>177</v>
      </c>
      <c r="C179" s="8" t="s">
        <v>255</v>
      </c>
      <c r="D179" s="67" t="n">
        <v>41869</v>
      </c>
      <c r="E179" s="4" t="s">
        <v>75</v>
      </c>
      <c r="F179" s="7" t="n">
        <v>159</v>
      </c>
      <c r="G179" s="68" t="n">
        <v>1</v>
      </c>
      <c r="H179" s="68" t="n">
        <v>143</v>
      </c>
      <c r="I179" s="66" t="n">
        <v>1</v>
      </c>
      <c r="J179" s="69" t="n">
        <v>599.321428571429</v>
      </c>
      <c r="K179" s="31" t="n">
        <v>509.548257242949</v>
      </c>
      <c r="L179" s="31" t="n">
        <v>932.058820804346</v>
      </c>
      <c r="M179" s="31" t="n">
        <v>171.842783211698</v>
      </c>
      <c r="N179" s="31" t="n">
        <v>341.305287834149</v>
      </c>
      <c r="O179" s="32"/>
      <c r="P179" s="33" t="n">
        <v>68.4873143636603</v>
      </c>
      <c r="Q179" s="33" t="n">
        <v>11.6388274426046</v>
      </c>
      <c r="R179" s="31" t="n">
        <v>157.716324112242</v>
      </c>
      <c r="S179" s="34" t="s">
        <v>76</v>
      </c>
      <c r="T179" s="35" t="n">
        <v>18.2283780650103</v>
      </c>
      <c r="U179" s="35" t="n">
        <v>4.45154946498968</v>
      </c>
      <c r="V179" s="70" t="n">
        <v>22.67992753</v>
      </c>
      <c r="W179" s="35" t="n">
        <v>21.1642250556764</v>
      </c>
      <c r="X179" s="35" t="n">
        <v>3.97054306106255</v>
      </c>
      <c r="Y179" s="35" t="n">
        <v>7.13672985389065</v>
      </c>
      <c r="Z179" s="35"/>
      <c r="AA179" s="35" t="n">
        <v>1.3973293538971</v>
      </c>
      <c r="AB179" s="35" t="n">
        <v>0.243625562267686</v>
      </c>
      <c r="AC179" s="71" t="n">
        <v>3.80738874170517</v>
      </c>
      <c r="AD179" s="38" t="n">
        <v>5.0645879373613</v>
      </c>
      <c r="AE179" s="38" t="n">
        <v>4.36997183489199</v>
      </c>
      <c r="AF179" s="38" t="n">
        <v>1.08945877578658</v>
      </c>
      <c r="AG179" s="72"/>
      <c r="AH179" s="72"/>
      <c r="AI179" s="73" t="n">
        <v>48.1037283350277</v>
      </c>
      <c r="AJ179" s="42" t="s">
        <v>16</v>
      </c>
      <c r="AK179" s="43" t="n">
        <v>776.692940016581</v>
      </c>
      <c r="AL179" s="43" t="n">
        <v>793.520819997143</v>
      </c>
      <c r="AM179" s="43" t="n">
        <v>725.614668061292</v>
      </c>
      <c r="AN179" s="74"/>
      <c r="AO179" s="75" t="n">
        <v>32.8571428571429</v>
      </c>
      <c r="AP179" s="76" t="n">
        <v>1.357</v>
      </c>
      <c r="AQ179" s="76" t="n">
        <v>1.09742857142857</v>
      </c>
      <c r="AR179" s="76" t="n">
        <v>1.55414285714286</v>
      </c>
      <c r="AS179" s="77" t="n">
        <v>33.4978571428571</v>
      </c>
      <c r="AT179" s="78" t="n">
        <v>33.4129099181074</v>
      </c>
      <c r="AU179" s="78" t="n">
        <v>41.3</v>
      </c>
      <c r="AV179" s="78" t="n">
        <v>33.4</v>
      </c>
      <c r="AW179" s="78" t="n">
        <v>47.3</v>
      </c>
      <c r="AX179" s="78" t="n">
        <v>25</v>
      </c>
      <c r="AY179" s="48" t="n">
        <v>1.47323706717803</v>
      </c>
      <c r="AZ179" s="48" t="n">
        <v>23.9497426141862</v>
      </c>
      <c r="BA179" s="48" t="n">
        <v>-1.26981508418624</v>
      </c>
      <c r="BB179" s="49" t="n">
        <f aca="false">AT179/V179</f>
        <v>1.47323706717803</v>
      </c>
      <c r="BC179" s="49" t="n">
        <f aca="false">AS179/V179</f>
        <v>1.47698254760945</v>
      </c>
      <c r="BD179" s="49" t="n">
        <f aca="false">SUM(AP179:AR179)/V179</f>
        <v>0.176745336741886</v>
      </c>
      <c r="BE179" s="50" t="n">
        <v>6.79</v>
      </c>
      <c r="BF179" s="51" t="n">
        <v>119.058835475711</v>
      </c>
      <c r="BG179" s="51" t="n">
        <v>635.568298516435</v>
      </c>
      <c r="BH179" s="51" t="n">
        <v>210.225434298555</v>
      </c>
      <c r="BI179" s="51" t="n">
        <v>118.364444649097</v>
      </c>
      <c r="BJ179" s="51" t="n">
        <v>9.19493248714506</v>
      </c>
      <c r="BK179" s="51" t="n">
        <v>12.1390648840402</v>
      </c>
      <c r="BL179" s="51" t="n">
        <v>9.53270078661774</v>
      </c>
      <c r="BM179" s="51"/>
      <c r="BN179" s="52" t="n">
        <f aca="false">(BG179*0.5-BH179*0.25+BI179*0.5)/SUM(BG179:BI179)*1000</f>
        <v>336.469700294806</v>
      </c>
      <c r="BO179" s="53" t="n">
        <v>5.08661626</v>
      </c>
      <c r="BP179" s="54" t="s">
        <v>77</v>
      </c>
      <c r="BQ179" s="55" t="n">
        <v>478.688201796914</v>
      </c>
      <c r="BR179" s="56" t="n">
        <v>21.10624917843</v>
      </c>
      <c r="BS179" s="56" t="n">
        <v>28.5030954043549</v>
      </c>
      <c r="BT179" s="56" t="n">
        <v>14.3264445679872</v>
      </c>
      <c r="BU179" s="55"/>
      <c r="BV179" s="55"/>
      <c r="BW179" s="55"/>
      <c r="BX179" s="55"/>
      <c r="BY179" s="79" t="n">
        <v>0.0684782608695652</v>
      </c>
      <c r="BZ179" s="80" t="n">
        <v>0.6382907</v>
      </c>
      <c r="CA179" s="81" t="n">
        <v>3.6</v>
      </c>
      <c r="CB179" s="81" t="n">
        <v>0.15</v>
      </c>
      <c r="CC179" s="82" t="n">
        <v>4.971456</v>
      </c>
      <c r="CD179" s="82" t="n">
        <v>4.88969</v>
      </c>
      <c r="CE179" s="83" t="n">
        <v>77.592228</v>
      </c>
      <c r="CF179" s="84" t="n">
        <v>35.98198</v>
      </c>
      <c r="CG179" s="80" t="n">
        <v>0.155</v>
      </c>
      <c r="CH179" s="63" t="n">
        <v>49541.9540879328</v>
      </c>
      <c r="CI179" s="63" t="n">
        <v>2071.92838115819</v>
      </c>
      <c r="CJ179" s="64" t="n">
        <v>313619.870984672</v>
      </c>
      <c r="CK179" s="65" t="n">
        <v>0.660649586600799</v>
      </c>
    </row>
    <row r="180" customFormat="false" ht="15" hidden="false" customHeight="false" outlineLevel="0" collapsed="false">
      <c r="A180" s="7" t="s">
        <v>73</v>
      </c>
      <c r="B180" s="66" t="n">
        <v>178</v>
      </c>
      <c r="C180" s="8" t="s">
        <v>256</v>
      </c>
      <c r="D180" s="67" t="n">
        <v>41869</v>
      </c>
      <c r="E180" s="4" t="s">
        <v>75</v>
      </c>
      <c r="F180" s="7" t="n">
        <v>620</v>
      </c>
      <c r="G180" s="68" t="n">
        <v>1</v>
      </c>
      <c r="H180" s="68" t="n">
        <v>118</v>
      </c>
      <c r="I180" s="66" t="n">
        <v>4</v>
      </c>
      <c r="J180" s="69" t="n">
        <v>652.142857142857</v>
      </c>
      <c r="K180" s="31" t="n">
        <v>509.548257242949</v>
      </c>
      <c r="L180" s="31" t="n">
        <v>932.058820804346</v>
      </c>
      <c r="M180" s="31" t="n">
        <v>171.842783211698</v>
      </c>
      <c r="N180" s="31" t="n">
        <v>341.305287834149</v>
      </c>
      <c r="O180" s="32"/>
      <c r="P180" s="33" t="n">
        <v>68.4873143636603</v>
      </c>
      <c r="Q180" s="33" t="n">
        <v>11.6388274426046</v>
      </c>
      <c r="R180" s="31" t="n">
        <v>157.716324112242</v>
      </c>
      <c r="S180" s="34" t="s">
        <v>76</v>
      </c>
      <c r="T180" s="35" t="n">
        <v>22.5724476968969</v>
      </c>
      <c r="U180" s="35" t="n">
        <v>6.67104261310306</v>
      </c>
      <c r="V180" s="70" t="n">
        <v>29.24349031</v>
      </c>
      <c r="W180" s="35" t="n">
        <v>27.2944153560618</v>
      </c>
      <c r="X180" s="35" t="n">
        <v>5.13492131479116</v>
      </c>
      <c r="Y180" s="35" t="n">
        <v>9.07573624226038</v>
      </c>
      <c r="Z180" s="35"/>
      <c r="AA180" s="35" t="n">
        <v>1.76909122745688</v>
      </c>
      <c r="AB180" s="35" t="n">
        <v>0.309875341433181</v>
      </c>
      <c r="AC180" s="71" t="n">
        <v>4.95744159767625</v>
      </c>
      <c r="AD180" s="38" t="n">
        <v>7.09725950697908</v>
      </c>
      <c r="AE180" s="38" t="n">
        <v>6.21529321176656</v>
      </c>
      <c r="AF180" s="38" t="n">
        <v>1.46040060923904</v>
      </c>
      <c r="AG180" s="72"/>
      <c r="AH180" s="72"/>
      <c r="AI180" s="73" t="n">
        <v>43.6612668775132</v>
      </c>
      <c r="AJ180" s="42" t="s">
        <v>16</v>
      </c>
      <c r="AK180" s="43" t="n">
        <v>757.30463663046</v>
      </c>
      <c r="AL180" s="43" t="n">
        <v>772.286999714533</v>
      </c>
      <c r="AM180" s="43" t="n">
        <v>715.594354867259</v>
      </c>
      <c r="AN180" s="74"/>
      <c r="AO180" s="75" t="n">
        <v>54.9857142857143</v>
      </c>
      <c r="AP180" s="76" t="n">
        <v>1.88657778726708</v>
      </c>
      <c r="AQ180" s="76" t="n">
        <v>1.51948837732919</v>
      </c>
      <c r="AR180" s="76" t="n">
        <v>2.48739632763975</v>
      </c>
      <c r="AS180" s="77" t="n">
        <v>50.2929525232919</v>
      </c>
      <c r="AT180" s="78" t="n">
        <v>48.187034244768</v>
      </c>
      <c r="AU180" s="78" t="n">
        <v>34.3103260869565</v>
      </c>
      <c r="AV180" s="78" t="n">
        <v>27.6342391304348</v>
      </c>
      <c r="AW180" s="78" t="n">
        <v>45.2371376811594</v>
      </c>
      <c r="AX180" s="78" t="n">
        <v>36.286231884058</v>
      </c>
      <c r="AY180" s="48" t="n">
        <v>1.64778669488334</v>
      </c>
      <c r="AZ180" s="48" t="n">
        <v>30.5949220233565</v>
      </c>
      <c r="BA180" s="48" t="n">
        <v>-1.35143171335653</v>
      </c>
      <c r="BB180" s="49" t="n">
        <f aca="false">AT180/V180</f>
        <v>1.64778669488334</v>
      </c>
      <c r="BC180" s="49" t="n">
        <f aca="false">AS180/V180</f>
        <v>1.71979992778406</v>
      </c>
      <c r="BD180" s="49" t="n">
        <f aca="false">SUM(AP180:AR180)/V180</f>
        <v>0.20153074854477</v>
      </c>
      <c r="BE180" s="50" t="n">
        <v>7.43</v>
      </c>
      <c r="BF180" s="51" t="n">
        <v>65.5048744929948</v>
      </c>
      <c r="BG180" s="51" t="n">
        <v>597.434955622394</v>
      </c>
      <c r="BH180" s="51" t="n">
        <v>253.403559506028</v>
      </c>
      <c r="BI180" s="51" t="n">
        <v>108.741073568568</v>
      </c>
      <c r="BJ180" s="51" t="n">
        <v>8.74973789837708</v>
      </c>
      <c r="BK180" s="51" t="n">
        <v>17.0656322624406</v>
      </c>
      <c r="BL180" s="51" t="n">
        <v>9.62991676408184</v>
      </c>
      <c r="BM180" s="51"/>
      <c r="BN180" s="52" t="n">
        <f aca="false">(BG180*0.5-BH180*0.25+BI180*0.5)/SUM(BG180:BI180)*1000</f>
        <v>301.941733788239</v>
      </c>
      <c r="BO180" s="53" t="n">
        <v>2.81745342</v>
      </c>
      <c r="BP180" s="54" t="s">
        <v>77</v>
      </c>
      <c r="BQ180" s="55" t="n">
        <v>353.603089279895</v>
      </c>
      <c r="BR180" s="56" t="n">
        <v>12.0916855522878</v>
      </c>
      <c r="BS180" s="56" t="n">
        <v>16.7750386785245</v>
      </c>
      <c r="BT180" s="56" t="n">
        <v>7.33813763021301</v>
      </c>
      <c r="BU180" s="55"/>
      <c r="BV180" s="55"/>
      <c r="BW180" s="55"/>
      <c r="BX180" s="55"/>
      <c r="BY180" s="79" t="n">
        <v>0.107608695652174</v>
      </c>
      <c r="BZ180" s="80" t="n">
        <v>0.548946</v>
      </c>
      <c r="CA180" s="81" t="n">
        <v>3.55</v>
      </c>
      <c r="CB180" s="81" t="n">
        <v>0.24</v>
      </c>
      <c r="CC180" s="82" t="n">
        <v>5.14049</v>
      </c>
      <c r="CD180" s="82" t="n">
        <v>8.117901</v>
      </c>
      <c r="CE180" s="83" t="n">
        <v>74.825133</v>
      </c>
      <c r="CF180" s="84" t="n">
        <v>38.563924</v>
      </c>
      <c r="CG180" s="80" t="n">
        <v>0.3335</v>
      </c>
      <c r="CH180" s="63" t="n">
        <v>34498.9855286328</v>
      </c>
      <c r="CI180" s="63" t="n">
        <v>6718.94767568637</v>
      </c>
      <c r="CJ180" s="64" t="n">
        <v>898352.021360629</v>
      </c>
      <c r="CK180" s="65" t="n">
        <v>0.747919247235617</v>
      </c>
    </row>
    <row r="181" customFormat="false" ht="15" hidden="false" customHeight="false" outlineLevel="0" collapsed="false">
      <c r="A181" s="7" t="s">
        <v>73</v>
      </c>
      <c r="B181" s="66" t="n">
        <v>179</v>
      </c>
      <c r="C181" s="8" t="s">
        <v>257</v>
      </c>
      <c r="D181" s="67" t="n">
        <v>41869</v>
      </c>
      <c r="E181" s="4" t="s">
        <v>75</v>
      </c>
      <c r="F181" s="7" t="n">
        <v>275</v>
      </c>
      <c r="G181" s="68" t="n">
        <v>1</v>
      </c>
      <c r="H181" s="68" t="n">
        <v>168</v>
      </c>
      <c r="I181" s="66" t="n">
        <v>2</v>
      </c>
      <c r="J181" s="69" t="n">
        <v>710.601700680272</v>
      </c>
      <c r="K181" s="31" t="n">
        <v>509.548257242949</v>
      </c>
      <c r="L181" s="31" t="n">
        <v>932.058820804346</v>
      </c>
      <c r="M181" s="31" t="n">
        <v>171.842783211698</v>
      </c>
      <c r="N181" s="31" t="n">
        <v>341.305287834149</v>
      </c>
      <c r="O181" s="32"/>
      <c r="P181" s="33" t="n">
        <v>68.4873143636603</v>
      </c>
      <c r="Q181" s="33" t="n">
        <v>11.6388274426046</v>
      </c>
      <c r="R181" s="31" t="n">
        <v>157.716324112242</v>
      </c>
      <c r="S181" s="34" t="s">
        <v>76</v>
      </c>
      <c r="T181" s="35" t="n">
        <v>23.2634272497466</v>
      </c>
      <c r="U181" s="35" t="n">
        <v>8.35869495025343</v>
      </c>
      <c r="V181" s="70" t="n">
        <v>31.6221222</v>
      </c>
      <c r="W181" s="35" t="n">
        <v>29.5209933552987</v>
      </c>
      <c r="X181" s="35" t="n">
        <v>5.57140859599536</v>
      </c>
      <c r="Y181" s="35" t="n">
        <v>9.65857128964399</v>
      </c>
      <c r="Z181" s="35"/>
      <c r="AA181" s="35" t="n">
        <v>1.8728712199126</v>
      </c>
      <c r="AB181" s="35" t="n">
        <v>0.329847779697217</v>
      </c>
      <c r="AC181" s="71" t="n">
        <v>5.41993663818983</v>
      </c>
      <c r="AD181" s="38" t="n">
        <v>8.28033264729004</v>
      </c>
      <c r="AE181" s="38" t="n">
        <v>7.23916972003164</v>
      </c>
      <c r="AF181" s="38" t="n">
        <v>1.43167807952128</v>
      </c>
      <c r="AG181" s="72"/>
      <c r="AH181" s="72"/>
      <c r="AI181" s="73" t="n">
        <v>39.8350880027952</v>
      </c>
      <c r="AJ181" s="42" t="s">
        <v>16</v>
      </c>
      <c r="AK181" s="43" t="n">
        <v>738.147471731355</v>
      </c>
      <c r="AL181" s="43" t="n">
        <v>754.77892519046</v>
      </c>
      <c r="AM181" s="43" t="n">
        <v>743.031218254151</v>
      </c>
      <c r="AN181" s="74"/>
      <c r="AO181" s="75" t="n">
        <v>50.7428571428571</v>
      </c>
      <c r="AP181" s="76" t="n">
        <v>1.31424</v>
      </c>
      <c r="AQ181" s="76" t="n">
        <v>1.31424</v>
      </c>
      <c r="AR181" s="76" t="n">
        <v>2.33924571428571</v>
      </c>
      <c r="AS181" s="77" t="n">
        <v>40.0107428571429</v>
      </c>
      <c r="AT181" s="78" t="n">
        <v>38.8157647315742</v>
      </c>
      <c r="AU181" s="78" t="n">
        <v>25.9</v>
      </c>
      <c r="AV181" s="78" t="n">
        <v>25.9</v>
      </c>
      <c r="AW181" s="78" t="n">
        <v>46.1</v>
      </c>
      <c r="AX181" s="78" t="n">
        <v>47</v>
      </c>
      <c r="AY181" s="48" t="n">
        <v>1.22748765835755</v>
      </c>
      <c r="AZ181" s="48" t="n">
        <v>28.0677536210503</v>
      </c>
      <c r="BA181" s="48" t="n">
        <v>3.55436857894972</v>
      </c>
      <c r="BB181" s="49" t="n">
        <f aca="false">AT181/V181</f>
        <v>1.22748765835755</v>
      </c>
      <c r="BC181" s="49" t="n">
        <f aca="false">AS181/V181</f>
        <v>1.26527696667818</v>
      </c>
      <c r="BD181" s="49" t="n">
        <f aca="false">SUM(AP181:AR181)/V181</f>
        <v>0.157096531436645</v>
      </c>
      <c r="BE181" s="50" t="n">
        <v>7.13</v>
      </c>
      <c r="BF181" s="51" t="n">
        <v>111.962772234211</v>
      </c>
      <c r="BG181" s="51" t="n">
        <v>574.561694195827</v>
      </c>
      <c r="BH181" s="51" t="n">
        <v>259.809865837733</v>
      </c>
      <c r="BI181" s="51" t="n">
        <v>121.380463819581</v>
      </c>
      <c r="BJ181" s="51" t="n">
        <v>9.97624102851789</v>
      </c>
      <c r="BK181" s="51" t="n">
        <v>16.8394386675436</v>
      </c>
      <c r="BL181" s="51" t="n">
        <v>12.4571720726879</v>
      </c>
      <c r="BM181" s="51"/>
      <c r="BN181" s="52" t="n">
        <f aca="false">(BG181*0.5-BH181*0.25+BI181*0.5)/SUM(BG181:BI181)*1000</f>
        <v>296.121384506489</v>
      </c>
      <c r="BO181" s="53" t="n">
        <v>2.66744888</v>
      </c>
      <c r="BP181" s="54" t="s">
        <v>77</v>
      </c>
      <c r="BQ181" s="55" t="n">
        <v>502.389713722051</v>
      </c>
      <c r="BR181" s="56" t="n">
        <v>15.8872864554945</v>
      </c>
      <c r="BS181" s="56" t="n">
        <v>22.5470644569183</v>
      </c>
      <c r="BT181" s="56" t="n">
        <v>12.9429296883951</v>
      </c>
      <c r="BU181" s="55"/>
      <c r="BV181" s="55"/>
      <c r="BW181" s="55"/>
      <c r="BX181" s="55"/>
      <c r="BY181" s="79" t="n">
        <v>0.0978260869565218</v>
      </c>
      <c r="BZ181" s="80" t="n">
        <v>0.5280746</v>
      </c>
      <c r="CA181" s="81" t="n">
        <v>3.54</v>
      </c>
      <c r="CB181" s="81" t="n">
        <v>0.131</v>
      </c>
      <c r="CC181" s="82" t="n">
        <v>5.849458</v>
      </c>
      <c r="CD181" s="82" t="n">
        <v>7.453377</v>
      </c>
      <c r="CE181" s="83" t="n">
        <v>75.789101</v>
      </c>
      <c r="CF181" s="84" t="n">
        <v>34.77126</v>
      </c>
      <c r="CG181" s="80" t="n">
        <v>0.2495</v>
      </c>
      <c r="CH181" s="63" t="n">
        <v>16034.333089133</v>
      </c>
      <c r="CI181" s="63" t="n">
        <v>2788.04259072694</v>
      </c>
      <c r="CJ181" s="64" t="n">
        <v>910999.900748324</v>
      </c>
      <c r="CK181" s="65" t="n">
        <v>0.306042030129395</v>
      </c>
    </row>
    <row r="182" customFormat="false" ht="15" hidden="false" customHeight="false" outlineLevel="0" collapsed="false">
      <c r="A182" s="7" t="s">
        <v>73</v>
      </c>
      <c r="B182" s="66" t="n">
        <v>180</v>
      </c>
      <c r="C182" s="8" t="s">
        <v>258</v>
      </c>
      <c r="D182" s="67" t="n">
        <v>41869</v>
      </c>
      <c r="E182" s="4" t="s">
        <v>75</v>
      </c>
      <c r="F182" s="7" t="n">
        <v>514</v>
      </c>
      <c r="G182" s="68" t="n">
        <v>1</v>
      </c>
      <c r="H182" s="68" t="n">
        <v>162</v>
      </c>
      <c r="I182" s="66" t="n">
        <v>3</v>
      </c>
      <c r="J182" s="69" t="n">
        <v>751.744047619048</v>
      </c>
      <c r="K182" s="31" t="n">
        <v>509.548257242949</v>
      </c>
      <c r="L182" s="31" t="n">
        <v>932.058820804346</v>
      </c>
      <c r="M182" s="31" t="n">
        <v>171.842783211698</v>
      </c>
      <c r="N182" s="31" t="n">
        <v>341.305287834149</v>
      </c>
      <c r="O182" s="32"/>
      <c r="P182" s="33" t="n">
        <v>68.4873143636603</v>
      </c>
      <c r="Q182" s="33" t="n">
        <v>11.6388274426046</v>
      </c>
      <c r="R182" s="31" t="n">
        <v>157.716324112242</v>
      </c>
      <c r="S182" s="34" t="s">
        <v>76</v>
      </c>
      <c r="T182" s="35" t="n">
        <v>22.2614014196471</v>
      </c>
      <c r="U182" s="35" t="n">
        <v>6.02194556035292</v>
      </c>
      <c r="V182" s="70" t="n">
        <v>28.28334698</v>
      </c>
      <c r="W182" s="35" t="n">
        <v>26.3958310019773</v>
      </c>
      <c r="X182" s="35" t="n">
        <v>4.959259706147</v>
      </c>
      <c r="Y182" s="35" t="n">
        <v>8.83611293683898</v>
      </c>
      <c r="Z182" s="35"/>
      <c r="AA182" s="35" t="n">
        <v>1.72607440382337</v>
      </c>
      <c r="AB182" s="35" t="n">
        <v>0.301666571146355</v>
      </c>
      <c r="AC182" s="71" t="n">
        <v>4.77241672012214</v>
      </c>
      <c r="AD182" s="38" t="n">
        <v>7.64330565397853</v>
      </c>
      <c r="AE182" s="38" t="n">
        <v>6.66827117800586</v>
      </c>
      <c r="AF182" s="38" t="n">
        <v>1.58626692507499</v>
      </c>
      <c r="AG182" s="72"/>
      <c r="AH182" s="72"/>
      <c r="AI182" s="73" t="n">
        <v>39.4680763537607</v>
      </c>
      <c r="AJ182" s="42" t="s">
        <v>16</v>
      </c>
      <c r="AK182" s="43" t="n">
        <v>729.759506207545</v>
      </c>
      <c r="AL182" s="43" t="n">
        <v>747.374076705282</v>
      </c>
      <c r="AM182" s="43" t="n">
        <v>680.140380002925</v>
      </c>
      <c r="AN182" s="74"/>
      <c r="AO182" s="75" t="n">
        <v>38.1785714285714</v>
      </c>
      <c r="AP182" s="76" t="n">
        <v>1.95096765762171</v>
      </c>
      <c r="AQ182" s="76" t="n">
        <v>1.33947065043895</v>
      </c>
      <c r="AR182" s="76" t="n">
        <v>1.70429996009577</v>
      </c>
      <c r="AS182" s="77" t="n">
        <v>44.5359434357542</v>
      </c>
      <c r="AT182" s="78" t="n">
        <v>43.3492575783724</v>
      </c>
      <c r="AU182" s="78" t="n">
        <v>51.1011173184358</v>
      </c>
      <c r="AV182" s="78" t="n">
        <v>35.0843575418995</v>
      </c>
      <c r="AW182" s="78" t="n">
        <v>44.6402234636872</v>
      </c>
      <c r="AX182" s="78" t="n">
        <v>30.4413407821229</v>
      </c>
      <c r="AY182" s="48" t="n">
        <v>1.53267778417547</v>
      </c>
      <c r="AZ182" s="48" t="n">
        <v>30.2875704522815</v>
      </c>
      <c r="BA182" s="48" t="n">
        <v>-2.00422347228147</v>
      </c>
      <c r="BB182" s="49" t="n">
        <f aca="false">AT182/V182</f>
        <v>1.53267778417547</v>
      </c>
      <c r="BC182" s="49" t="n">
        <f aca="false">AS182/V182</f>
        <v>1.57463483608382</v>
      </c>
      <c r="BD182" s="49" t="n">
        <f aca="false">SUM(AP182:AR182)/V182</f>
        <v>0.176596435764422</v>
      </c>
      <c r="BE182" s="50" t="n">
        <v>7.37</v>
      </c>
      <c r="BF182" s="51" t="n">
        <v>195.913026952134</v>
      </c>
      <c r="BG182" s="51" t="n">
        <v>570.437209039534</v>
      </c>
      <c r="BH182" s="51" t="n">
        <v>207.62150519404</v>
      </c>
      <c r="BI182" s="51" t="n">
        <v>171.53890475048</v>
      </c>
      <c r="BJ182" s="51" t="n">
        <v>13.2549254520186</v>
      </c>
      <c r="BK182" s="51" t="n">
        <v>15.5554363829425</v>
      </c>
      <c r="BL182" s="51" t="n">
        <v>16.6168948028751</v>
      </c>
      <c r="BM182" s="51"/>
      <c r="BN182" s="52" t="n">
        <f aca="false">(BG182*0.5-BH182*0.25+BI182*0.5)/SUM(BG182:BI182)*1000</f>
        <v>336.018829678484</v>
      </c>
      <c r="BO182" s="53" t="n">
        <v>3.43189452</v>
      </c>
      <c r="BP182" s="54" t="s">
        <v>77</v>
      </c>
      <c r="BQ182" s="55" t="n">
        <v>567.063211775372</v>
      </c>
      <c r="BR182" s="56" t="n">
        <v>20.0493672893933</v>
      </c>
      <c r="BS182" s="56" t="n">
        <v>28.7447214371805</v>
      </c>
      <c r="BT182" s="56" t="n">
        <v>13.0812669801821</v>
      </c>
      <c r="BU182" s="55"/>
      <c r="BV182" s="55"/>
      <c r="BW182" s="55"/>
      <c r="BX182" s="55"/>
      <c r="BY182" s="79" t="n">
        <v>0.0978260869565218</v>
      </c>
      <c r="BZ182" s="80" t="n">
        <v>0.5555869</v>
      </c>
      <c r="CA182" s="81" t="n">
        <v>3.92</v>
      </c>
      <c r="CB182" s="81" t="n">
        <v>0.108</v>
      </c>
      <c r="CC182" s="82" t="n">
        <v>5.08836</v>
      </c>
      <c r="CD182" s="82" t="n">
        <v>5.98281</v>
      </c>
      <c r="CE182" s="83" t="n">
        <v>82.762807</v>
      </c>
      <c r="CF182" s="84" t="n">
        <v>36.611668</v>
      </c>
      <c r="CG182" s="80" t="n">
        <v>0.3335</v>
      </c>
      <c r="CH182" s="63" t="n">
        <v>68799.0155635816</v>
      </c>
      <c r="CI182" s="63" t="n">
        <v>4688.68404511515</v>
      </c>
      <c r="CJ182" s="64" t="n">
        <v>426347.657629481</v>
      </c>
      <c r="CK182" s="65" t="n">
        <v>1.09973256829521</v>
      </c>
    </row>
    <row r="183" customFormat="false" ht="15" hidden="false" customHeight="false" outlineLevel="0" collapsed="false">
      <c r="A183" s="7" t="s">
        <v>73</v>
      </c>
      <c r="B183" s="66" t="n">
        <v>181</v>
      </c>
      <c r="C183" s="8" t="s">
        <v>259</v>
      </c>
      <c r="D183" s="67" t="n">
        <v>41869</v>
      </c>
      <c r="E183" s="4" t="s">
        <v>75</v>
      </c>
      <c r="F183" s="7" t="n">
        <v>520</v>
      </c>
      <c r="G183" s="68" t="n">
        <v>1</v>
      </c>
      <c r="H183" s="68" t="n">
        <v>203</v>
      </c>
      <c r="I183" s="66" t="n">
        <v>3</v>
      </c>
      <c r="J183" s="69" t="n">
        <v>728.470238095238</v>
      </c>
      <c r="K183" s="31" t="n">
        <v>509.548257242949</v>
      </c>
      <c r="L183" s="31" t="n">
        <v>932.058820804346</v>
      </c>
      <c r="M183" s="31" t="n">
        <v>171.842783211698</v>
      </c>
      <c r="N183" s="31" t="n">
        <v>341.305287834149</v>
      </c>
      <c r="O183" s="32"/>
      <c r="P183" s="33" t="n">
        <v>68.4873143636603</v>
      </c>
      <c r="Q183" s="33" t="n">
        <v>11.6388274426046</v>
      </c>
      <c r="R183" s="31" t="n">
        <v>157.716324112242</v>
      </c>
      <c r="S183" s="34" t="s">
        <v>76</v>
      </c>
      <c r="T183" s="35" t="n">
        <v>21.2064997689919</v>
      </c>
      <c r="U183" s="35" t="n">
        <v>7.47089769100807</v>
      </c>
      <c r="V183" s="70" t="n">
        <v>28.67739746</v>
      </c>
      <c r="W183" s="35" t="n">
        <v>26.7713112003876</v>
      </c>
      <c r="X183" s="35" t="n">
        <v>5.05078795774994</v>
      </c>
      <c r="Y183" s="35" t="n">
        <v>8.77399008285622</v>
      </c>
      <c r="Z183" s="35"/>
      <c r="AA183" s="35" t="n">
        <v>1.70229849648965</v>
      </c>
      <c r="AB183" s="35" t="n">
        <v>0.299631594758239</v>
      </c>
      <c r="AC183" s="71" t="n">
        <v>4.90955673218284</v>
      </c>
      <c r="AD183" s="38" t="n">
        <v>7.17348987728761</v>
      </c>
      <c r="AE183" s="38" t="n">
        <v>6.25325527246229</v>
      </c>
      <c r="AF183" s="38" t="n">
        <v>1.23919581691774</v>
      </c>
      <c r="AG183" s="72"/>
      <c r="AH183" s="72"/>
      <c r="AI183" s="73" t="n">
        <v>41.7692921972219</v>
      </c>
      <c r="AJ183" s="42" t="s">
        <v>16</v>
      </c>
      <c r="AK183" s="43" t="n">
        <v>749.855617571525</v>
      </c>
      <c r="AL183" s="43" t="n">
        <v>766.4195367326</v>
      </c>
      <c r="AM183" s="43" t="n">
        <v>754.652971519757</v>
      </c>
      <c r="AN183" s="74"/>
      <c r="AO183" s="75" t="n">
        <v>47.0857142857143</v>
      </c>
      <c r="AP183" s="76" t="n">
        <v>1.41308046332046</v>
      </c>
      <c r="AQ183" s="76" t="n">
        <v>1.44155459459459</v>
      </c>
      <c r="AR183" s="76" t="n">
        <v>2.10508138996139</v>
      </c>
      <c r="AS183" s="77" t="n">
        <v>40.0304926640927</v>
      </c>
      <c r="AT183" s="78" t="n">
        <v>39.7450074554263</v>
      </c>
      <c r="AU183" s="78" t="n">
        <v>30.0108108108108</v>
      </c>
      <c r="AV183" s="78" t="n">
        <v>30.6155405405405</v>
      </c>
      <c r="AW183" s="78" t="n">
        <v>44.7074324324324</v>
      </c>
      <c r="AX183" s="78" t="n">
        <v>34.6891891891892</v>
      </c>
      <c r="AY183" s="48" t="n">
        <v>1.38593495141474</v>
      </c>
      <c r="AZ183" s="48" t="n">
        <v>28.4108852706681</v>
      </c>
      <c r="BA183" s="48" t="n">
        <v>0.266512189331884</v>
      </c>
      <c r="BB183" s="49" t="n">
        <f aca="false">AT183/V183</f>
        <v>1.38593495141474</v>
      </c>
      <c r="BC183" s="49" t="n">
        <f aca="false">AS183/V183</f>
        <v>1.39589001128601</v>
      </c>
      <c r="BD183" s="49" t="n">
        <f aca="false">SUM(AP183:AR183)/V183</f>
        <v>0.172948624602159</v>
      </c>
      <c r="BE183" s="50" t="n">
        <v>6.49</v>
      </c>
      <c r="BF183" s="51" t="n">
        <v>235.474923698774</v>
      </c>
      <c r="BG183" s="51" t="n">
        <v>472.389926241013</v>
      </c>
      <c r="BH183" s="51" t="n">
        <v>306.619881840317</v>
      </c>
      <c r="BI183" s="51" t="n">
        <v>164.115257529089</v>
      </c>
      <c r="BJ183" s="51" t="n">
        <v>9.41436418259862</v>
      </c>
      <c r="BK183" s="51" t="n">
        <v>24.0938065667921</v>
      </c>
      <c r="BL183" s="51" t="n">
        <v>18.3916392620802</v>
      </c>
      <c r="BM183" s="51"/>
      <c r="BN183" s="52" t="n">
        <f aca="false">(BG183*0.5-BH183*0.25+BI183*0.5)/SUM(BG183:BI183)*1000</f>
        <v>256.167108938625</v>
      </c>
      <c r="BO183" s="53" t="n">
        <v>6.14058428</v>
      </c>
      <c r="BP183" s="54" t="s">
        <v>77</v>
      </c>
      <c r="BQ183" s="55" t="n">
        <v>496.683974626972</v>
      </c>
      <c r="BR183" s="56" t="n">
        <v>17.3197018774023</v>
      </c>
      <c r="BS183" s="56" t="n">
        <v>24.2071654532815</v>
      </c>
      <c r="BT183" s="56" t="n">
        <v>12.4967639063598</v>
      </c>
      <c r="BU183" s="55"/>
      <c r="BV183" s="55"/>
      <c r="BW183" s="55"/>
      <c r="BX183" s="55"/>
      <c r="BY183" s="79" t="n">
        <v>0.0978260869565218</v>
      </c>
      <c r="BZ183" s="80" t="n">
        <v>0.4294098</v>
      </c>
      <c r="CA183" s="81" t="n">
        <v>3.37</v>
      </c>
      <c r="CB183" s="81" t="n">
        <v>0.203</v>
      </c>
      <c r="CC183" s="82" t="n">
        <v>4.754728</v>
      </c>
      <c r="CD183" s="82" t="n">
        <v>6.585804</v>
      </c>
      <c r="CE183" s="83" t="n">
        <v>82.544408</v>
      </c>
      <c r="CF183" s="84" t="n">
        <v>33.825636</v>
      </c>
      <c r="CG183" s="80" t="n">
        <v>0.1865</v>
      </c>
      <c r="CH183" s="63" t="n">
        <v>19684.1471046611</v>
      </c>
      <c r="CI183" s="63" t="n">
        <v>4118.03612178798</v>
      </c>
      <c r="CJ183" s="64" t="n">
        <v>888728.631324937</v>
      </c>
      <c r="CK183" s="65" t="n">
        <v>0.46336260323342</v>
      </c>
    </row>
    <row r="184" customFormat="false" ht="15" hidden="false" customHeight="false" outlineLevel="0" collapsed="false">
      <c r="A184" s="7" t="s">
        <v>73</v>
      </c>
      <c r="B184" s="66" t="n">
        <v>182</v>
      </c>
      <c r="C184" s="8" t="s">
        <v>260</v>
      </c>
      <c r="D184" s="67" t="n">
        <v>41869</v>
      </c>
      <c r="E184" s="4" t="s">
        <v>75</v>
      </c>
      <c r="F184" s="7" t="n">
        <v>310</v>
      </c>
      <c r="G184" s="68" t="n">
        <v>1</v>
      </c>
      <c r="H184" s="68" t="n">
        <v>125</v>
      </c>
      <c r="I184" s="66" t="n">
        <v>2</v>
      </c>
      <c r="J184" s="69" t="n">
        <v>639.916666666667</v>
      </c>
      <c r="K184" s="31" t="n">
        <v>509.548257242949</v>
      </c>
      <c r="L184" s="31" t="n">
        <v>932.058820804346</v>
      </c>
      <c r="M184" s="31" t="n">
        <v>171.842783211698</v>
      </c>
      <c r="N184" s="31" t="n">
        <v>341.305287834149</v>
      </c>
      <c r="O184" s="32"/>
      <c r="P184" s="33" t="n">
        <v>68.4873143636603</v>
      </c>
      <c r="Q184" s="33" t="n">
        <v>11.6388274426046</v>
      </c>
      <c r="R184" s="31" t="n">
        <v>157.716324112242</v>
      </c>
      <c r="S184" s="34" t="s">
        <v>76</v>
      </c>
      <c r="T184" s="35" t="n">
        <v>22.2542749284081</v>
      </c>
      <c r="U184" s="35" t="n">
        <v>7.22800976159189</v>
      </c>
      <c r="V184" s="70" t="n">
        <v>29.48228469</v>
      </c>
      <c r="W184" s="35" t="n">
        <v>27.5201385457068</v>
      </c>
      <c r="X184" s="35" t="n">
        <v>5.18511015772457</v>
      </c>
      <c r="Y184" s="35" t="n">
        <v>9.08166082818349</v>
      </c>
      <c r="Z184" s="35"/>
      <c r="AA184" s="35" t="n">
        <v>1.76593252728735</v>
      </c>
      <c r="AB184" s="35" t="n">
        <v>0.310109460858773</v>
      </c>
      <c r="AC184" s="71" t="n">
        <v>5.02392970449631</v>
      </c>
      <c r="AD184" s="38" t="n">
        <v>7.23058325016733</v>
      </c>
      <c r="AE184" s="38" t="n">
        <v>6.24661773944217</v>
      </c>
      <c r="AF184" s="38" t="n">
        <v>1.48554782880401</v>
      </c>
      <c r="AG184" s="72"/>
      <c r="AH184" s="72"/>
      <c r="AI184" s="73" t="n">
        <v>42.8885817546734</v>
      </c>
      <c r="AJ184" s="42" t="s">
        <v>16</v>
      </c>
      <c r="AK184" s="43" t="n">
        <v>754.748204686462</v>
      </c>
      <c r="AL184" s="43" t="n">
        <v>773.016486487977</v>
      </c>
      <c r="AM184" s="43" t="n">
        <v>713.49734458565</v>
      </c>
      <c r="AN184" s="74"/>
      <c r="AO184" s="75" t="n">
        <v>39.9071428571429</v>
      </c>
      <c r="AP184" s="76" t="n">
        <v>1.36777238095238</v>
      </c>
      <c r="AQ184" s="76" t="n">
        <v>1.17889055555556</v>
      </c>
      <c r="AR184" s="76" t="n">
        <v>1.84901896825397</v>
      </c>
      <c r="AS184" s="77" t="n">
        <v>36.4794428571429</v>
      </c>
      <c r="AT184" s="78" t="n">
        <v>35.7718742761096</v>
      </c>
      <c r="AU184" s="78" t="n">
        <v>34.2738738738739</v>
      </c>
      <c r="AV184" s="78" t="n">
        <v>29.5408408408408</v>
      </c>
      <c r="AW184" s="78" t="n">
        <v>46.333033033033</v>
      </c>
      <c r="AX184" s="78" t="n">
        <v>30.0870870870871</v>
      </c>
      <c r="AY184" s="48" t="n">
        <v>1.21333453808765</v>
      </c>
      <c r="AZ184" s="48" t="n">
        <v>25.4713115079041</v>
      </c>
      <c r="BA184" s="48" t="n">
        <v>4.01097318209591</v>
      </c>
      <c r="BB184" s="49" t="n">
        <f aca="false">AT184/V184</f>
        <v>1.21333453808765</v>
      </c>
      <c r="BC184" s="49" t="n">
        <f aca="false">AS184/V184</f>
        <v>1.23733432604415</v>
      </c>
      <c r="BD184" s="49" t="n">
        <f aca="false">SUM(AP184:AR184)/V184</f>
        <v>0.149095701061894</v>
      </c>
      <c r="BE184" s="50" t="n">
        <v>6.91</v>
      </c>
      <c r="BF184" s="51" t="n">
        <v>203.483743705669</v>
      </c>
      <c r="BG184" s="51" t="n">
        <v>544.024077235462</v>
      </c>
      <c r="BH184" s="51" t="n">
        <v>215.857467622732</v>
      </c>
      <c r="BI184" s="51" t="n">
        <v>181.145650730785</v>
      </c>
      <c r="BJ184" s="51" t="n">
        <v>13.2830066973432</v>
      </c>
      <c r="BK184" s="51" t="n">
        <v>22.2199286451737</v>
      </c>
      <c r="BL184" s="51" t="n">
        <v>18.4947446903938</v>
      </c>
      <c r="BM184" s="51"/>
      <c r="BN184" s="52" t="n">
        <f aca="false">(BG184*0.5-BH184*0.25+BI184*0.5)/SUM(BG184:BI184)*1000</f>
        <v>327.961294343123</v>
      </c>
      <c r="BO184" s="53" t="n">
        <v>7.8509402</v>
      </c>
      <c r="BP184" s="54" t="s">
        <v>77</v>
      </c>
      <c r="BQ184" s="55" t="n">
        <v>564.389007056625</v>
      </c>
      <c r="BR184" s="56" t="n">
        <v>19.1433266787515</v>
      </c>
      <c r="BS184" s="56" t="n">
        <v>26.5301175201062</v>
      </c>
      <c r="BT184" s="56" t="n">
        <v>15.7774513770321</v>
      </c>
      <c r="BU184" s="55"/>
      <c r="BV184" s="55"/>
      <c r="BW184" s="55"/>
      <c r="BX184" s="55"/>
      <c r="BY184" s="79" t="n">
        <v>0.156521739130435</v>
      </c>
      <c r="BZ184" s="80" t="n">
        <v>1.1618062</v>
      </c>
      <c r="CA184" s="81" t="n">
        <v>3.58</v>
      </c>
      <c r="CB184" s="81" t="n">
        <v>0.079</v>
      </c>
      <c r="CC184" s="82" t="n">
        <v>4.848562</v>
      </c>
      <c r="CD184" s="82" t="n">
        <v>5.767455</v>
      </c>
      <c r="CE184" s="83" t="n">
        <v>69.026263</v>
      </c>
      <c r="CF184" s="84" t="n">
        <v>37.6183</v>
      </c>
      <c r="CG184" s="80" t="n">
        <v>0.26</v>
      </c>
      <c r="CH184" s="63" t="n">
        <v>59783.8276551831</v>
      </c>
      <c r="CI184" s="63" t="n">
        <v>2921.36194992298</v>
      </c>
      <c r="CJ184" s="64" t="n">
        <v>209618.820777057</v>
      </c>
      <c r="CK184" s="65" t="n">
        <v>1.39365441475794</v>
      </c>
    </row>
    <row r="185" customFormat="false" ht="15" hidden="false" customHeight="false" outlineLevel="0" collapsed="false">
      <c r="A185" s="7" t="s">
        <v>73</v>
      </c>
      <c r="B185" s="66" t="n">
        <v>183</v>
      </c>
      <c r="C185" s="8" t="s">
        <v>261</v>
      </c>
      <c r="D185" s="67" t="n">
        <v>41869</v>
      </c>
      <c r="E185" s="4" t="s">
        <v>75</v>
      </c>
      <c r="F185" s="7" t="n">
        <v>623</v>
      </c>
      <c r="G185" s="68" t="n">
        <v>1</v>
      </c>
      <c r="H185" s="68" t="n">
        <v>175</v>
      </c>
      <c r="I185" s="66" t="n">
        <v>4</v>
      </c>
      <c r="J185" s="69" t="n">
        <v>635.857142857143</v>
      </c>
      <c r="K185" s="31" t="n">
        <v>509.548257242949</v>
      </c>
      <c r="L185" s="31" t="n">
        <v>932.058820804346</v>
      </c>
      <c r="M185" s="31" t="n">
        <v>171.842783211698</v>
      </c>
      <c r="N185" s="31" t="n">
        <v>341.305287834149</v>
      </c>
      <c r="O185" s="32"/>
      <c r="P185" s="33" t="n">
        <v>68.4873143636603</v>
      </c>
      <c r="Q185" s="33" t="n">
        <v>11.6388274426046</v>
      </c>
      <c r="R185" s="31" t="n">
        <v>157.716324112242</v>
      </c>
      <c r="S185" s="34" t="s">
        <v>76</v>
      </c>
      <c r="T185" s="35" t="n">
        <v>17.5773979316745</v>
      </c>
      <c r="U185" s="35" t="n">
        <v>6.07638595832551</v>
      </c>
      <c r="V185" s="70" t="n">
        <v>23.65378389</v>
      </c>
      <c r="W185" s="35" t="n">
        <v>22.0811140540763</v>
      </c>
      <c r="X185" s="35" t="n">
        <v>4.16459742735211</v>
      </c>
      <c r="Y185" s="35" t="n">
        <v>7.24863132887681</v>
      </c>
      <c r="Z185" s="35"/>
      <c r="AA185" s="35" t="n">
        <v>1.40710076699762</v>
      </c>
      <c r="AB185" s="35" t="n">
        <v>0.247535109469995</v>
      </c>
      <c r="AC185" s="71" t="n">
        <v>4.04507665901217</v>
      </c>
      <c r="AD185" s="38" t="n">
        <v>5.67168777994394</v>
      </c>
      <c r="AE185" s="38" t="n">
        <v>4.91796362825886</v>
      </c>
      <c r="AF185" s="38" t="n">
        <v>0.983971493867615</v>
      </c>
      <c r="AG185" s="72"/>
      <c r="AH185" s="72"/>
      <c r="AI185" s="73" t="n">
        <v>43.6439943583146</v>
      </c>
      <c r="AJ185" s="42" t="s">
        <v>16</v>
      </c>
      <c r="AK185" s="43" t="n">
        <v>760.220698459086</v>
      </c>
      <c r="AL185" s="43" t="n">
        <v>777.277377571854</v>
      </c>
      <c r="AM185" s="43" t="n">
        <v>763.729505424673</v>
      </c>
      <c r="AN185" s="74"/>
      <c r="AO185" s="75" t="n">
        <v>37.1142857142857</v>
      </c>
      <c r="AP185" s="76" t="n">
        <v>1.23422246415295</v>
      </c>
      <c r="AQ185" s="76" t="n">
        <v>1.08954573552841</v>
      </c>
      <c r="AR185" s="76" t="n">
        <v>1.77189670738184</v>
      </c>
      <c r="AS185" s="77" t="n">
        <v>33.3590512480085</v>
      </c>
      <c r="AT185" s="78" t="n">
        <v>33.0296702010276</v>
      </c>
      <c r="AU185" s="78" t="n">
        <v>33.2546468401487</v>
      </c>
      <c r="AV185" s="78" t="n">
        <v>29.3565055762082</v>
      </c>
      <c r="AW185" s="78" t="n">
        <v>47.7416356877323</v>
      </c>
      <c r="AX185" s="78" t="n">
        <v>24.6022304832714</v>
      </c>
      <c r="AY185" s="48" t="n">
        <v>1.39637997686245</v>
      </c>
      <c r="AZ185" s="48" t="n">
        <v>24.5665317092303</v>
      </c>
      <c r="BA185" s="48" t="n">
        <v>-0.912747819230315</v>
      </c>
      <c r="BB185" s="49" t="n">
        <f aca="false">AT185/V185</f>
        <v>1.39637997686245</v>
      </c>
      <c r="BC185" s="49" t="n">
        <f aca="false">AS185/V185</f>
        <v>1.41030506591005</v>
      </c>
      <c r="BD185" s="49" t="n">
        <f aca="false">SUM(AP185:AR185)/V185</f>
        <v>0.173150516894453</v>
      </c>
      <c r="BE185" s="50" t="n">
        <v>7.24</v>
      </c>
      <c r="BF185" s="51" t="n">
        <v>175.114997566061</v>
      </c>
      <c r="BG185" s="51" t="n">
        <v>495.625405772634</v>
      </c>
      <c r="BH185" s="51" t="n">
        <v>288.935786432004</v>
      </c>
      <c r="BI185" s="51" t="n">
        <v>152.226215084924</v>
      </c>
      <c r="BJ185" s="51" t="n">
        <v>13.8334478699671</v>
      </c>
      <c r="BK185" s="51" t="n">
        <v>20.9113824544764</v>
      </c>
      <c r="BL185" s="51" t="n">
        <v>23.4926380078849</v>
      </c>
      <c r="BM185" s="51"/>
      <c r="BN185" s="52" t="n">
        <f aca="false">(BG185*0.5-BH185*0.25+BI185*0.5)/SUM(BG185:BI185)*1000</f>
        <v>268.675541389915</v>
      </c>
      <c r="BO185" s="53" t="n">
        <v>3.94572294</v>
      </c>
      <c r="BP185" s="54" t="s">
        <v>77</v>
      </c>
      <c r="BQ185" s="55" t="n">
        <v>416.914917301615</v>
      </c>
      <c r="BR185" s="56" t="n">
        <v>17.6257176966038</v>
      </c>
      <c r="BS185" s="56" t="n">
        <v>24.2912814348161</v>
      </c>
      <c r="BT185" s="56" t="n">
        <v>12.6224365779058</v>
      </c>
      <c r="BU185" s="55"/>
      <c r="BV185" s="55"/>
      <c r="BW185" s="55"/>
      <c r="BX185" s="55"/>
      <c r="BY185" s="79" t="n">
        <v>0.176086956521739</v>
      </c>
      <c r="BZ185" s="80" t="n">
        <v>0.4379481</v>
      </c>
      <c r="CA185" s="81" t="n">
        <v>3.88</v>
      </c>
      <c r="CB185" s="81" t="n">
        <v>0.641</v>
      </c>
      <c r="CC185" s="82" t="n">
        <v>5.067508</v>
      </c>
      <c r="CD185" s="82" t="n">
        <v>7.201104</v>
      </c>
      <c r="CE185" s="83" t="n">
        <v>77.393204</v>
      </c>
      <c r="CF185" s="84" t="n">
        <v>32.38178</v>
      </c>
      <c r="CG185" s="80" t="n">
        <v>0.911</v>
      </c>
      <c r="CH185" s="63" t="n">
        <v>14371.7153308198</v>
      </c>
      <c r="CI185" s="63" t="n">
        <v>2382.06754127298</v>
      </c>
      <c r="CJ185" s="64" t="n">
        <v>336677.069147883</v>
      </c>
      <c r="CK185" s="65" t="n">
        <v>0.707522952870508</v>
      </c>
    </row>
    <row r="186" customFormat="false" ht="15" hidden="false" customHeight="false" outlineLevel="0" collapsed="false">
      <c r="A186" s="7" t="s">
        <v>73</v>
      </c>
      <c r="B186" s="66" t="n">
        <v>184</v>
      </c>
      <c r="C186" s="8" t="s">
        <v>262</v>
      </c>
      <c r="D186" s="67" t="n">
        <v>41869</v>
      </c>
      <c r="E186" s="4" t="s">
        <v>75</v>
      </c>
      <c r="F186" s="7" t="n">
        <v>628</v>
      </c>
      <c r="G186" s="68" t="n">
        <v>1</v>
      </c>
      <c r="H186" s="68" t="n">
        <v>178</v>
      </c>
      <c r="I186" s="66" t="n">
        <v>4</v>
      </c>
      <c r="J186" s="69" t="n">
        <v>836.66037414966</v>
      </c>
      <c r="K186" s="31" t="n">
        <v>509.548257242949</v>
      </c>
      <c r="L186" s="31" t="n">
        <v>932.058820804346</v>
      </c>
      <c r="M186" s="31" t="n">
        <v>171.842783211698</v>
      </c>
      <c r="N186" s="31" t="n">
        <v>341.305287834149</v>
      </c>
      <c r="O186" s="32"/>
      <c r="P186" s="33" t="n">
        <v>68.4873143636603</v>
      </c>
      <c r="Q186" s="33" t="n">
        <v>11.6388274426046</v>
      </c>
      <c r="R186" s="31" t="n">
        <v>157.716324112242</v>
      </c>
      <c r="S186" s="34" t="s">
        <v>76</v>
      </c>
      <c r="T186" s="35" t="n">
        <v>19.3721929085827</v>
      </c>
      <c r="U186" s="35" t="n">
        <v>5.43566435141731</v>
      </c>
      <c r="V186" s="70" t="n">
        <v>24.80785726</v>
      </c>
      <c r="W186" s="35" t="n">
        <v>23.1531514345654</v>
      </c>
      <c r="X186" s="35" t="n">
        <v>4.35238635115551</v>
      </c>
      <c r="Y186" s="35" t="n">
        <v>7.72946486356445</v>
      </c>
      <c r="Z186" s="35"/>
      <c r="AA186" s="35" t="n">
        <v>1.50858753726613</v>
      </c>
      <c r="AB186" s="35" t="n">
        <v>0.263895069340404</v>
      </c>
      <c r="AC186" s="71" t="n">
        <v>4.19393174648039</v>
      </c>
      <c r="AD186" s="38" t="n">
        <v>6.51478151876691</v>
      </c>
      <c r="AE186" s="38" t="n">
        <v>5.66599367751598</v>
      </c>
      <c r="AF186" s="38" t="n">
        <v>1.30860013578298</v>
      </c>
      <c r="AG186" s="72"/>
      <c r="AH186" s="72"/>
      <c r="AI186" s="73" t="n">
        <v>40.5071250018455</v>
      </c>
      <c r="AJ186" s="42" t="s">
        <v>16</v>
      </c>
      <c r="AK186" s="43" t="n">
        <v>737.390398111033</v>
      </c>
      <c r="AL186" s="43" t="n">
        <v>755.281966969853</v>
      </c>
      <c r="AM186" s="43" t="n">
        <v>699.337322056541</v>
      </c>
      <c r="AN186" s="74"/>
      <c r="AO186" s="75" t="n">
        <v>34.55</v>
      </c>
      <c r="AP186" s="76" t="n">
        <v>1.12208277070064</v>
      </c>
      <c r="AQ186" s="76" t="n">
        <v>1.15557646496815</v>
      </c>
      <c r="AR186" s="76" t="n">
        <v>1.54964452229299</v>
      </c>
      <c r="AS186" s="77" t="n">
        <v>30.6512415605096</v>
      </c>
      <c r="AT186" s="78" t="n">
        <v>30.9831292894235</v>
      </c>
      <c r="AU186" s="78" t="n">
        <v>32.4770700636943</v>
      </c>
      <c r="AV186" s="78" t="n">
        <v>33.4464968152866</v>
      </c>
      <c r="AW186" s="78" t="n">
        <v>44.8522292993631</v>
      </c>
      <c r="AX186" s="78" t="n">
        <v>27.8407643312102</v>
      </c>
      <c r="AY186" s="48" t="n">
        <v>1.24892403905356</v>
      </c>
      <c r="AZ186" s="48" t="n">
        <v>26.3618173963893</v>
      </c>
      <c r="BA186" s="48" t="n">
        <v>-1.55396013638931</v>
      </c>
      <c r="BB186" s="49" t="n">
        <f aca="false">AT186/V186</f>
        <v>1.24892403905356</v>
      </c>
      <c r="BC186" s="49" t="n">
        <f aca="false">AS186/V186</f>
        <v>1.23554570792905</v>
      </c>
      <c r="BD186" s="49" t="n">
        <f aca="false">SUM(AP186:AR186)/V186</f>
        <v>0.154277885342919</v>
      </c>
      <c r="BE186" s="50" t="n">
        <v>7.03</v>
      </c>
      <c r="BF186" s="51" t="n">
        <v>173.364563999749</v>
      </c>
      <c r="BG186" s="51" t="n">
        <v>529.882804064736</v>
      </c>
      <c r="BH186" s="51" t="n">
        <v>228.297178940229</v>
      </c>
      <c r="BI186" s="51" t="n">
        <v>186.989348640495</v>
      </c>
      <c r="BJ186" s="51" t="n">
        <v>12.1273138039004</v>
      </c>
      <c r="BK186" s="51" t="n">
        <v>22.5173893543176</v>
      </c>
      <c r="BL186" s="51" t="n">
        <v>15.2108408182126</v>
      </c>
      <c r="BM186" s="51"/>
      <c r="BN186" s="52" t="n">
        <f aca="false">(BG186*0.5-BH186*0.25+BI186*0.5)/SUM(BG186:BI186)*1000</f>
        <v>318.844223492645</v>
      </c>
      <c r="BO186" s="53" t="n">
        <v>2.90774838</v>
      </c>
      <c r="BP186" s="54" t="s">
        <v>77</v>
      </c>
      <c r="BQ186" s="55" t="n">
        <v>544.914450695534</v>
      </c>
      <c r="BR186" s="56" t="n">
        <v>21.9653976957595</v>
      </c>
      <c r="BS186" s="56" t="n">
        <v>31.1608357553627</v>
      </c>
      <c r="BT186" s="56" t="n">
        <v>17.5874568900162</v>
      </c>
      <c r="BU186" s="55"/>
      <c r="BV186" s="55"/>
      <c r="BW186" s="55"/>
      <c r="BX186" s="55"/>
      <c r="BY186" s="79" t="n">
        <v>0.127173913043478</v>
      </c>
      <c r="BZ186" s="80" t="n">
        <v>0.6305342</v>
      </c>
      <c r="CA186" s="81" t="n">
        <v>4.13</v>
      </c>
      <c r="CB186" s="81" t="n">
        <v>0.569</v>
      </c>
      <c r="CC186" s="82" t="n">
        <v>4.077038</v>
      </c>
      <c r="CD186" s="82" t="n">
        <v>7.398</v>
      </c>
      <c r="CE186" s="83" t="n">
        <v>87.90648</v>
      </c>
      <c r="CF186" s="84" t="n">
        <v>39.55022</v>
      </c>
      <c r="CG186" s="80" t="n">
        <v>0.2075</v>
      </c>
      <c r="CH186" s="63" t="n">
        <v>35190.7751441434</v>
      </c>
      <c r="CI186" s="63" t="n">
        <v>5086.28511793032</v>
      </c>
      <c r="CJ186" s="64" t="n">
        <v>439450.63463767</v>
      </c>
      <c r="CK186" s="65" t="n">
        <v>1.15741899476923</v>
      </c>
    </row>
    <row r="187" customFormat="false" ht="15" hidden="false" customHeight="false" outlineLevel="0" collapsed="false">
      <c r="A187" s="7" t="s">
        <v>73</v>
      </c>
      <c r="B187" s="66" t="n">
        <v>185</v>
      </c>
      <c r="C187" s="8" t="s">
        <v>263</v>
      </c>
      <c r="D187" s="67" t="n">
        <v>41869</v>
      </c>
      <c r="E187" s="4" t="s">
        <v>75</v>
      </c>
      <c r="F187" s="7" t="n">
        <v>13</v>
      </c>
      <c r="G187" s="68" t="n">
        <v>1</v>
      </c>
      <c r="H187" s="68" t="n">
        <v>88</v>
      </c>
      <c r="I187" s="66" t="n">
        <v>1</v>
      </c>
      <c r="J187" s="69" t="n">
        <v>594.708333333333</v>
      </c>
      <c r="K187" s="31" t="n">
        <v>509.548257242949</v>
      </c>
      <c r="L187" s="31" t="n">
        <v>932.058820804346</v>
      </c>
      <c r="M187" s="31" t="n">
        <v>171.842783211698</v>
      </c>
      <c r="N187" s="31" t="n">
        <v>341.305287834149</v>
      </c>
      <c r="O187" s="32"/>
      <c r="P187" s="33" t="n">
        <v>68.4873143636603</v>
      </c>
      <c r="Q187" s="33" t="n">
        <v>11.6388274426046</v>
      </c>
      <c r="R187" s="31" t="n">
        <v>157.716324112242</v>
      </c>
      <c r="S187" s="34" t="s">
        <v>76</v>
      </c>
      <c r="T187" s="35" t="n">
        <v>21.898142363227</v>
      </c>
      <c r="U187" s="35" t="n">
        <v>8.21555096677304</v>
      </c>
      <c r="V187" s="70" t="n">
        <v>30.11369333</v>
      </c>
      <c r="W187" s="35" t="n">
        <v>28.1142386372425</v>
      </c>
      <c r="X187" s="35" t="n">
        <v>5.30984341010701</v>
      </c>
      <c r="Y187" s="35" t="n">
        <v>9.16316034498253</v>
      </c>
      <c r="Z187" s="35"/>
      <c r="AA187" s="35" t="n">
        <v>1.77457796082398</v>
      </c>
      <c r="AB187" s="35" t="n">
        <v>0.312491181084186</v>
      </c>
      <c r="AC187" s="71" t="n">
        <v>5.17462423620458</v>
      </c>
      <c r="AD187" s="38" t="n">
        <v>7.19212830879092</v>
      </c>
      <c r="AE187" s="38" t="n">
        <v>6.24496401633518</v>
      </c>
      <c r="AF187" s="38" t="n">
        <v>1.40853679894643</v>
      </c>
      <c r="AG187" s="72"/>
      <c r="AH187" s="72"/>
      <c r="AI187" s="73" t="n">
        <v>43.4490553654651</v>
      </c>
      <c r="AJ187" s="42" t="s">
        <v>16</v>
      </c>
      <c r="AK187" s="43" t="n">
        <v>761.167511737063</v>
      </c>
      <c r="AL187" s="43" t="n">
        <v>777.871842915121</v>
      </c>
      <c r="AM187" s="43" t="n">
        <v>734.731009907873</v>
      </c>
      <c r="AN187" s="74"/>
      <c r="AO187" s="75" t="n">
        <v>46.8</v>
      </c>
      <c r="AP187" s="76" t="n">
        <v>1.25424</v>
      </c>
      <c r="AQ187" s="76" t="n">
        <v>1.33848</v>
      </c>
      <c r="AR187" s="76" t="n">
        <v>2.1762</v>
      </c>
      <c r="AS187" s="77" t="n">
        <v>37.5336</v>
      </c>
      <c r="AT187" s="78" t="n">
        <v>37.3858968152866</v>
      </c>
      <c r="AU187" s="78" t="n">
        <v>26.8</v>
      </c>
      <c r="AV187" s="78" t="n">
        <v>28.6</v>
      </c>
      <c r="AW187" s="78" t="n">
        <v>46.5</v>
      </c>
      <c r="AX187" s="78" t="n">
        <v>43</v>
      </c>
      <c r="AY187" s="48" t="n">
        <v>1.2414915834333</v>
      </c>
      <c r="AZ187" s="48" t="n">
        <v>24.486776679048</v>
      </c>
      <c r="BA187" s="48" t="n">
        <v>5.62691665095205</v>
      </c>
      <c r="BB187" s="49" t="n">
        <f aca="false">AT187/V187</f>
        <v>1.2414915834333</v>
      </c>
      <c r="BC187" s="49" t="n">
        <f aca="false">AS187/V187</f>
        <v>1.24639643462823</v>
      </c>
      <c r="BD187" s="49" t="n">
        <f aca="false">SUM(AP187:AR187)/V187</f>
        <v>0.158363836270096</v>
      </c>
      <c r="BE187" s="50" t="n">
        <v>6.49</v>
      </c>
      <c r="BF187" s="51" t="n">
        <v>212.515241471984</v>
      </c>
      <c r="BG187" s="51" t="n">
        <v>596.516812819386</v>
      </c>
      <c r="BH187" s="51" t="n">
        <v>305.036726709694</v>
      </c>
      <c r="BI187" s="51" t="n">
        <v>24.988704988943</v>
      </c>
      <c r="BJ187" s="51" t="n">
        <v>10.8970783008296</v>
      </c>
      <c r="BK187" s="51" t="n">
        <v>41.1142489317106</v>
      </c>
      <c r="BL187" s="51" t="n">
        <v>16.4713038713275</v>
      </c>
      <c r="BM187" s="51"/>
      <c r="BN187" s="52" t="n">
        <f aca="false">(BG187*0.5-BH187*0.25+BI187*0.5)/SUM(BG187:BI187)*1000</f>
        <v>253.084604198184</v>
      </c>
      <c r="BO187" s="53" t="n">
        <v>14.54055044</v>
      </c>
      <c r="BP187" s="54" t="s">
        <v>77</v>
      </c>
      <c r="BQ187" s="55" t="n">
        <v>553.548927124576</v>
      </c>
      <c r="BR187" s="56" t="n">
        <v>18.3819673348774</v>
      </c>
      <c r="BS187" s="56" t="n">
        <v>25.3117186884368</v>
      </c>
      <c r="BT187" s="56" t="n">
        <v>14.8063567890188</v>
      </c>
      <c r="BU187" s="55"/>
      <c r="BV187" s="55"/>
      <c r="BW187" s="55"/>
      <c r="BX187" s="55"/>
      <c r="BY187" s="79" t="n">
        <v>0.0880434782608696</v>
      </c>
      <c r="BZ187" s="80" t="n">
        <v>0.6618413</v>
      </c>
      <c r="CA187" s="81" t="n">
        <v>3.47</v>
      </c>
      <c r="CB187" s="81" t="n">
        <v>0.244</v>
      </c>
      <c r="CC187" s="82" t="n">
        <v>6.23522</v>
      </c>
      <c r="CD187" s="82" t="n">
        <v>6.444285</v>
      </c>
      <c r="CE187" s="83" t="n">
        <v>89.736513</v>
      </c>
      <c r="CF187" s="84" t="n">
        <v>37.964012</v>
      </c>
      <c r="CG187" s="80" t="n">
        <v>0.1865</v>
      </c>
      <c r="CH187" s="63" t="n">
        <v>24907.7760690827</v>
      </c>
      <c r="CI187" s="63" t="n">
        <v>3449.12321438944</v>
      </c>
      <c r="CJ187" s="64" t="n">
        <v>457264.241260728</v>
      </c>
      <c r="CK187" s="65" t="n">
        <v>0.754295416776923</v>
      </c>
    </row>
    <row r="188" customFormat="false" ht="15" hidden="false" customHeight="false" outlineLevel="0" collapsed="false">
      <c r="A188" s="7" t="s">
        <v>73</v>
      </c>
      <c r="B188" s="66" t="n">
        <v>186</v>
      </c>
      <c r="C188" s="8" t="s">
        <v>264</v>
      </c>
      <c r="D188" s="67" t="n">
        <v>41869</v>
      </c>
      <c r="E188" s="4" t="s">
        <v>75</v>
      </c>
      <c r="F188" s="7" t="n">
        <v>18</v>
      </c>
      <c r="G188" s="68" t="n">
        <v>1</v>
      </c>
      <c r="H188" s="68" t="n">
        <v>160</v>
      </c>
      <c r="I188" s="66" t="n">
        <v>1</v>
      </c>
      <c r="J188" s="69" t="n">
        <v>547.357142857143</v>
      </c>
      <c r="K188" s="31" t="n">
        <v>509.548257242949</v>
      </c>
      <c r="L188" s="31" t="n">
        <v>932.058820804346</v>
      </c>
      <c r="M188" s="31" t="n">
        <v>171.842783211698</v>
      </c>
      <c r="N188" s="31" t="n">
        <v>341.305287834149</v>
      </c>
      <c r="O188" s="32"/>
      <c r="P188" s="33" t="n">
        <v>68.4873143636603</v>
      </c>
      <c r="Q188" s="33" t="n">
        <v>11.6388274426046</v>
      </c>
      <c r="R188" s="31" t="n">
        <v>157.716324112242</v>
      </c>
      <c r="S188" s="34" t="s">
        <v>76</v>
      </c>
      <c r="T188" s="35" t="n">
        <v>19.9097115624047</v>
      </c>
      <c r="U188" s="35" t="n">
        <v>6.58233902759527</v>
      </c>
      <c r="V188" s="70" t="n">
        <v>26.49205059</v>
      </c>
      <c r="W188" s="35" t="n">
        <v>24.7294095775112</v>
      </c>
      <c r="X188" s="35" t="n">
        <v>4.66064841252133</v>
      </c>
      <c r="Y188" s="35" t="n">
        <v>8.14869187667533</v>
      </c>
      <c r="Z188" s="35"/>
      <c r="AA188" s="35" t="n">
        <v>1.58376019941235</v>
      </c>
      <c r="AB188" s="35" t="n">
        <v>0.277844037543912</v>
      </c>
      <c r="AC188" s="71" t="n">
        <v>4.51890370528791</v>
      </c>
      <c r="AD188" s="38" t="n">
        <v>6.81955079988655</v>
      </c>
      <c r="AE188" s="38" t="n">
        <v>5.98597070370083</v>
      </c>
      <c r="AF188" s="38" t="n">
        <v>1.4454825240919</v>
      </c>
      <c r="AG188" s="72"/>
      <c r="AH188" s="72"/>
      <c r="AI188" s="73" t="n">
        <v>40.7422784428169</v>
      </c>
      <c r="AJ188" s="42" t="s">
        <v>16</v>
      </c>
      <c r="AK188" s="43" t="n">
        <v>742.581240484995</v>
      </c>
      <c r="AL188" s="43" t="n">
        <v>757.941220353905</v>
      </c>
      <c r="AM188" s="43" t="n">
        <v>689.853772232967</v>
      </c>
      <c r="AN188" s="74"/>
      <c r="AO188" s="75" t="n">
        <v>39.1</v>
      </c>
      <c r="AP188" s="76" t="n">
        <v>1.22774</v>
      </c>
      <c r="AQ188" s="76" t="n">
        <v>1.31767</v>
      </c>
      <c r="AR188" s="76" t="n">
        <v>1.82597</v>
      </c>
      <c r="AS188" s="77" t="n">
        <v>34.0561</v>
      </c>
      <c r="AT188" s="78" t="n">
        <v>35.0066782802548</v>
      </c>
      <c r="AU188" s="78" t="n">
        <v>31.4</v>
      </c>
      <c r="AV188" s="78" t="n">
        <v>33.7</v>
      </c>
      <c r="AW188" s="78" t="n">
        <v>46.7</v>
      </c>
      <c r="AX188" s="78" t="n">
        <v>33</v>
      </c>
      <c r="AY188" s="48" t="n">
        <v>1.32140311907259</v>
      </c>
      <c r="AZ188" s="48" t="n">
        <v>23.4780087349702</v>
      </c>
      <c r="BA188" s="48" t="n">
        <v>3.01404185502982</v>
      </c>
      <c r="BB188" s="49" t="n">
        <f aca="false">AT188/V188</f>
        <v>1.32140311907259</v>
      </c>
      <c r="BC188" s="49" t="n">
        <f aca="false">AS188/V188</f>
        <v>1.28552147687862</v>
      </c>
      <c r="BD188" s="49" t="n">
        <f aca="false">SUM(AP188:AR188)/V188</f>
        <v>0.165007234345614</v>
      </c>
      <c r="BE188" s="50" t="n">
        <v>7.03</v>
      </c>
      <c r="BF188" s="51" t="n">
        <v>208.4914419234</v>
      </c>
      <c r="BG188" s="51" t="n">
        <v>499.455187701576</v>
      </c>
      <c r="BH188" s="51" t="n">
        <v>277.642725557051</v>
      </c>
      <c r="BI188" s="51" t="n">
        <v>168.405266111276</v>
      </c>
      <c r="BJ188" s="51" t="n">
        <v>10.4931609411635</v>
      </c>
      <c r="BK188" s="51" t="n">
        <v>20.4106601320666</v>
      </c>
      <c r="BL188" s="51" t="n">
        <v>18.6178751787578</v>
      </c>
      <c r="BM188" s="51"/>
      <c r="BN188" s="52" t="n">
        <f aca="false">(BG188*0.5-BH188*0.25+BI188*0.5)/SUM(BG188:BI188)*1000</f>
        <v>279.765897448851</v>
      </c>
      <c r="BO188" s="53" t="n">
        <v>3.91906386</v>
      </c>
      <c r="BP188" s="54" t="s">
        <v>77</v>
      </c>
      <c r="BQ188" s="55" t="n">
        <v>412.986004141438</v>
      </c>
      <c r="BR188" s="56" t="n">
        <v>15.5890538838593</v>
      </c>
      <c r="BS188" s="56" t="n">
        <v>22.033630377107</v>
      </c>
      <c r="BT188" s="56" t="n">
        <v>11.7973490896558</v>
      </c>
      <c r="BU188" s="55"/>
      <c r="BV188" s="55"/>
      <c r="BW188" s="55"/>
      <c r="BX188" s="55"/>
      <c r="BY188" s="79" t="n">
        <v>0.058695652173913</v>
      </c>
      <c r="BZ188" s="80" t="n">
        <v>0.634329</v>
      </c>
      <c r="CA188" s="81" t="n">
        <v>3.38</v>
      </c>
      <c r="CB188" s="81" t="n">
        <v>0.126</v>
      </c>
      <c r="CC188" s="82" t="n">
        <v>4.963248</v>
      </c>
      <c r="CD188" s="82" t="n">
        <v>6.831924</v>
      </c>
      <c r="CE188" s="83" t="n">
        <v>76.53467</v>
      </c>
      <c r="CF188" s="84" t="n">
        <v>34.51706</v>
      </c>
      <c r="CG188" s="80" t="n">
        <v>0.092</v>
      </c>
      <c r="CH188" s="63" t="n">
        <v>24944.556224931</v>
      </c>
      <c r="CI188" s="63" t="n">
        <v>3983.37044809647</v>
      </c>
      <c r="CJ188" s="64" t="n">
        <v>468133.245800929</v>
      </c>
      <c r="CK188" s="65" t="n">
        <v>0.850905267640483</v>
      </c>
    </row>
    <row r="189" customFormat="false" ht="15" hidden="false" customHeight="false" outlineLevel="0" collapsed="false">
      <c r="A189" s="7" t="s">
        <v>73</v>
      </c>
      <c r="B189" s="66" t="n">
        <v>187</v>
      </c>
      <c r="C189" s="8" t="s">
        <v>265</v>
      </c>
      <c r="D189" s="67" t="n">
        <v>41869</v>
      </c>
      <c r="E189" s="4" t="s">
        <v>75</v>
      </c>
      <c r="F189" s="7" t="n">
        <v>25</v>
      </c>
      <c r="G189" s="68" t="n">
        <v>1</v>
      </c>
      <c r="H189" s="68" t="n">
        <v>94</v>
      </c>
      <c r="I189" s="66" t="n">
        <v>1</v>
      </c>
      <c r="J189" s="69" t="n">
        <v>624.65</v>
      </c>
      <c r="K189" s="31" t="n">
        <v>509.548257242949</v>
      </c>
      <c r="L189" s="31" t="n">
        <v>932.058820804346</v>
      </c>
      <c r="M189" s="31" t="n">
        <v>171.842783211698</v>
      </c>
      <c r="N189" s="31" t="n">
        <v>341.305287834149</v>
      </c>
      <c r="O189" s="32"/>
      <c r="P189" s="33" t="n">
        <v>68.4873143636603</v>
      </c>
      <c r="Q189" s="33" t="n">
        <v>11.6388274426046</v>
      </c>
      <c r="R189" s="31" t="n">
        <v>157.716324112242</v>
      </c>
      <c r="S189" s="34" t="s">
        <v>76</v>
      </c>
      <c r="T189" s="35" t="n">
        <v>24.4147399652694</v>
      </c>
      <c r="U189" s="35" t="n">
        <v>8.66097240473062</v>
      </c>
      <c r="V189" s="70" t="n">
        <v>33.07571237</v>
      </c>
      <c r="W189" s="35" t="n">
        <v>30.8775359739864</v>
      </c>
      <c r="X189" s="35" t="n">
        <v>5.8261655047791</v>
      </c>
      <c r="Y189" s="35" t="n">
        <v>10.1136720106815</v>
      </c>
      <c r="Z189" s="35"/>
      <c r="AA189" s="35" t="n">
        <v>1.96183355630334</v>
      </c>
      <c r="AB189" s="35" t="n">
        <v>0.34487795319027</v>
      </c>
      <c r="AC189" s="71" t="n">
        <v>5.66483617770279</v>
      </c>
      <c r="AD189" s="38" t="n">
        <v>7.71692036015431</v>
      </c>
      <c r="AE189" s="38" t="n">
        <v>6.62835391424963</v>
      </c>
      <c r="AF189" s="38" t="n">
        <v>1.58561266967878</v>
      </c>
      <c r="AG189" s="72"/>
      <c r="AH189" s="72"/>
      <c r="AI189" s="73" t="n">
        <v>44.6911380569662</v>
      </c>
      <c r="AJ189" s="42" t="s">
        <v>16</v>
      </c>
      <c r="AK189" s="43" t="n">
        <v>766.689216733133</v>
      </c>
      <c r="AL189" s="43" t="n">
        <v>785.334104384694</v>
      </c>
      <c r="AM189" s="43" t="n">
        <v>727.846270694142</v>
      </c>
      <c r="AN189" s="74"/>
      <c r="AO189" s="75" t="n">
        <v>46.5071428571429</v>
      </c>
      <c r="AP189" s="76" t="n">
        <v>1.37608740442656</v>
      </c>
      <c r="AQ189" s="76" t="n">
        <v>1.26440475855131</v>
      </c>
      <c r="AR189" s="76" t="n">
        <v>2.12408820254862</v>
      </c>
      <c r="AS189" s="77" t="n">
        <v>39.2441682092555</v>
      </c>
      <c r="AT189" s="78" t="n">
        <v>38.0247960107567</v>
      </c>
      <c r="AU189" s="78" t="n">
        <v>29.5887323943662</v>
      </c>
      <c r="AV189" s="78" t="n">
        <v>27.187323943662</v>
      </c>
      <c r="AW189" s="78" t="n">
        <v>45.6723004694836</v>
      </c>
      <c r="AX189" s="78" t="n">
        <v>38.7699530516432</v>
      </c>
      <c r="AY189" s="48" t="n">
        <v>1.14962893573974</v>
      </c>
      <c r="AZ189" s="48" t="n">
        <v>25.6922434123691</v>
      </c>
      <c r="BA189" s="48" t="n">
        <v>7.3834689576309</v>
      </c>
      <c r="BB189" s="49" t="n">
        <f aca="false">AT189/V189</f>
        <v>1.14962893573974</v>
      </c>
      <c r="BC189" s="49" t="n">
        <f aca="false">AS189/V189</f>
        <v>1.18649502602551</v>
      </c>
      <c r="BD189" s="49" t="n">
        <f aca="false">SUM(AP189:AR189)/V189</f>
        <v>0.144050725566474</v>
      </c>
      <c r="BE189" s="50" t="n">
        <v>6.82</v>
      </c>
      <c r="BF189" s="51" t="n">
        <v>230.188038900168</v>
      </c>
      <c r="BG189" s="51" t="n">
        <v>523.279489094379</v>
      </c>
      <c r="BH189" s="51" t="n">
        <v>245.641495140413</v>
      </c>
      <c r="BI189" s="51" t="n">
        <v>167.824235284393</v>
      </c>
      <c r="BJ189" s="51" t="n">
        <v>10.8105195706089</v>
      </c>
      <c r="BK189" s="51" t="n">
        <v>27.727431482119</v>
      </c>
      <c r="BL189" s="51" t="n">
        <v>19.7417050499778</v>
      </c>
      <c r="BM189" s="51"/>
      <c r="BN189" s="52" t="n">
        <f aca="false">(BG189*0.5-BH189*0.25+BI189*0.5)/SUM(BG189:BI189)*1000</f>
        <v>303.328463795233</v>
      </c>
      <c r="BO189" s="53" t="n">
        <v>4.30635608</v>
      </c>
      <c r="BP189" s="54" t="s">
        <v>77</v>
      </c>
      <c r="BQ189" s="55" t="n">
        <v>502.429285442397</v>
      </c>
      <c r="BR189" s="56" t="n">
        <v>15.1902785893768</v>
      </c>
      <c r="BS189" s="56" t="n">
        <v>20.7194322763005</v>
      </c>
      <c r="BT189" s="56" t="n">
        <v>13.213201335788</v>
      </c>
      <c r="BU189" s="55"/>
      <c r="BV189" s="55"/>
      <c r="BW189" s="55"/>
      <c r="BX189" s="55"/>
      <c r="BY189" s="79" t="n">
        <v>0.146739130434783</v>
      </c>
      <c r="BZ189" s="80" t="n">
        <v>0.5451512</v>
      </c>
      <c r="CA189" s="81" t="n">
        <v>3.53</v>
      </c>
      <c r="CB189" s="81" t="n">
        <v>0.131</v>
      </c>
      <c r="CC189" s="82" t="n">
        <v>6.005848</v>
      </c>
      <c r="CD189" s="82" t="n">
        <v>6.35199</v>
      </c>
      <c r="CE189" s="83" t="n">
        <v>93.810784</v>
      </c>
      <c r="CF189" s="84" t="n">
        <v>38.360564</v>
      </c>
      <c r="CG189" s="80" t="n">
        <v>0.0815</v>
      </c>
      <c r="CH189" s="63" t="n">
        <v>36915.6763677869</v>
      </c>
      <c r="CI189" s="63" t="n">
        <v>4738.40427195474</v>
      </c>
      <c r="CJ189" s="64" t="n">
        <v>420653.341436538</v>
      </c>
      <c r="CK189" s="65" t="n">
        <v>1.12643923278323</v>
      </c>
    </row>
    <row r="190" customFormat="false" ht="15" hidden="false" customHeight="false" outlineLevel="0" collapsed="false">
      <c r="A190" s="7" t="s">
        <v>73</v>
      </c>
      <c r="B190" s="66" t="n">
        <v>188</v>
      </c>
      <c r="C190" s="8" t="s">
        <v>266</v>
      </c>
      <c r="D190" s="67" t="n">
        <v>41869</v>
      </c>
      <c r="E190" s="4" t="s">
        <v>75</v>
      </c>
      <c r="F190" s="7" t="n">
        <v>127</v>
      </c>
      <c r="G190" s="68" t="n">
        <v>1</v>
      </c>
      <c r="H190" s="68" t="n">
        <v>133</v>
      </c>
      <c r="I190" s="66" t="n">
        <v>3</v>
      </c>
      <c r="J190" s="69" t="n">
        <v>753.316666666667</v>
      </c>
      <c r="K190" s="31" t="n">
        <v>509.548257242949</v>
      </c>
      <c r="L190" s="31" t="n">
        <v>932.058820804346</v>
      </c>
      <c r="M190" s="31" t="n">
        <v>171.842783211698</v>
      </c>
      <c r="N190" s="31" t="n">
        <v>341.305287834149</v>
      </c>
      <c r="O190" s="32"/>
      <c r="P190" s="33" t="n">
        <v>68.4873143636603</v>
      </c>
      <c r="Q190" s="33" t="n">
        <v>11.6388274426046</v>
      </c>
      <c r="R190" s="31" t="n">
        <v>157.716324112242</v>
      </c>
      <c r="S190" s="34" t="s">
        <v>76</v>
      </c>
      <c r="T190" s="35" t="n">
        <v>23.0411989885902</v>
      </c>
      <c r="U190" s="35" t="n">
        <v>8.3351548714098</v>
      </c>
      <c r="V190" s="70" t="n">
        <v>31.37635386</v>
      </c>
      <c r="W190" s="35" t="n">
        <v>29.2917895546005</v>
      </c>
      <c r="X190" s="35" t="n">
        <v>5.52878819935656</v>
      </c>
      <c r="Y190" s="35" t="n">
        <v>9.57788350723845</v>
      </c>
      <c r="Z190" s="35"/>
      <c r="AA190" s="35" t="n">
        <v>1.85686392210386</v>
      </c>
      <c r="AB190" s="35" t="n">
        <v>0.32661679832469</v>
      </c>
      <c r="AC190" s="71" t="n">
        <v>5.37995662109973</v>
      </c>
      <c r="AD190" s="38" t="n">
        <v>8.26606837053674</v>
      </c>
      <c r="AE190" s="38" t="n">
        <v>7.24370520498834</v>
      </c>
      <c r="AF190" s="38" t="n">
        <v>1.50034612118009</v>
      </c>
      <c r="AG190" s="72"/>
      <c r="AH190" s="72"/>
      <c r="AI190" s="73" t="n">
        <v>39.5129563032494</v>
      </c>
      <c r="AJ190" s="42" t="s">
        <v>16</v>
      </c>
      <c r="AK190" s="43" t="n">
        <v>736.551021593535</v>
      </c>
      <c r="AL190" s="43" t="n">
        <v>752.705269458326</v>
      </c>
      <c r="AM190" s="43" t="n">
        <v>728.630204833186</v>
      </c>
      <c r="AN190" s="74"/>
      <c r="AO190" s="75" t="n">
        <v>58.6</v>
      </c>
      <c r="AP190" s="76"/>
      <c r="AQ190" s="76"/>
      <c r="AR190" s="76"/>
      <c r="AS190" s="77"/>
      <c r="AT190" s="78"/>
      <c r="AU190" s="78"/>
      <c r="AV190" s="78"/>
      <c r="AW190" s="78"/>
      <c r="AX190" s="78"/>
      <c r="AY190" s="48"/>
      <c r="AZ190" s="48"/>
      <c r="BA190" s="48"/>
      <c r="BB190" s="49"/>
      <c r="BC190" s="49"/>
      <c r="BD190" s="49"/>
      <c r="BE190" s="50" t="n">
        <v>7</v>
      </c>
      <c r="BF190" s="51" t="n">
        <v>205.505585305004</v>
      </c>
      <c r="BG190" s="51" t="n">
        <v>493.14141645292</v>
      </c>
      <c r="BH190" s="51" t="n">
        <v>304.696830083835</v>
      </c>
      <c r="BI190" s="51" t="n">
        <v>150.452496271542</v>
      </c>
      <c r="BJ190" s="51" t="n">
        <v>11.4906216987748</v>
      </c>
      <c r="BK190" s="51" t="n">
        <v>18.7134327288088</v>
      </c>
      <c r="BL190" s="51" t="n">
        <v>16.5300783860101</v>
      </c>
      <c r="BM190" s="51"/>
      <c r="BN190" s="52" t="n">
        <f aca="false">(BG190*0.5-BH190*0.25+BI190*0.5)/SUM(BG190:BI190)*1000</f>
        <v>259.016288732164</v>
      </c>
      <c r="BO190" s="53" t="n">
        <v>4.9191869</v>
      </c>
      <c r="BP190" s="54" t="s">
        <v>77</v>
      </c>
      <c r="BQ190" s="55" t="n">
        <v>473.283725650311</v>
      </c>
      <c r="BR190" s="56" t="n">
        <v>15.0840893674926</v>
      </c>
      <c r="BS190" s="56" t="n">
        <v>21.465979454067</v>
      </c>
      <c r="BT190" s="56"/>
      <c r="BU190" s="55"/>
      <c r="BV190" s="55"/>
      <c r="BW190" s="55"/>
      <c r="BX190" s="55"/>
      <c r="BY190" s="79" t="n">
        <v>0.0880434782608696</v>
      </c>
      <c r="BZ190" s="80" t="n">
        <v>0.5252285</v>
      </c>
      <c r="CA190" s="81" t="n">
        <v>3.44</v>
      </c>
      <c r="CB190" s="81" t="n">
        <v>0.533</v>
      </c>
      <c r="CC190" s="82" t="n">
        <v>4.379392</v>
      </c>
      <c r="CD190" s="82" t="n">
        <v>7.508754</v>
      </c>
      <c r="CE190" s="83" t="n">
        <v>74.606734</v>
      </c>
      <c r="CF190" s="84" t="n">
        <v>39.44854</v>
      </c>
      <c r="CG190" s="80" t="n">
        <v>0.1235</v>
      </c>
      <c r="CH190" s="63" t="n">
        <v>26322.1229923627</v>
      </c>
      <c r="CI190" s="63" t="n">
        <v>8153.35266160389</v>
      </c>
      <c r="CJ190" s="64" t="n">
        <v>879845.59742247</v>
      </c>
      <c r="CK190" s="65" t="n">
        <v>0.92667994083159</v>
      </c>
    </row>
    <row r="191" customFormat="false" ht="15" hidden="false" customHeight="false" outlineLevel="0" collapsed="false">
      <c r="A191" s="7" t="s">
        <v>73</v>
      </c>
      <c r="B191" s="66" t="n">
        <v>189</v>
      </c>
      <c r="C191" s="8" t="s">
        <v>267</v>
      </c>
      <c r="D191" s="67" t="n">
        <v>41869</v>
      </c>
      <c r="E191" s="4" t="s">
        <v>75</v>
      </c>
      <c r="F191" s="7" t="n">
        <v>604</v>
      </c>
      <c r="G191" s="68" t="n">
        <v>1</v>
      </c>
      <c r="H191" s="68" t="n">
        <v>177</v>
      </c>
      <c r="I191" s="66" t="n">
        <v>4</v>
      </c>
      <c r="J191" s="69" t="n">
        <v>737.178571428571</v>
      </c>
      <c r="K191" s="31" t="n">
        <v>509.548257242949</v>
      </c>
      <c r="L191" s="31" t="n">
        <v>932.058820804346</v>
      </c>
      <c r="M191" s="31" t="n">
        <v>171.842783211698</v>
      </c>
      <c r="N191" s="31" t="n">
        <v>341.305287834149</v>
      </c>
      <c r="O191" s="32"/>
      <c r="P191" s="33" t="n">
        <v>68.4873143636603</v>
      </c>
      <c r="Q191" s="33" t="n">
        <v>11.6388274426046</v>
      </c>
      <c r="R191" s="31" t="n">
        <v>157.716324112242</v>
      </c>
      <c r="S191" s="34" t="s">
        <v>76</v>
      </c>
      <c r="T191" s="35" t="n">
        <v>20.8347153213835</v>
      </c>
      <c r="U191" s="35" t="n">
        <v>6.35962830861648</v>
      </c>
      <c r="V191" s="70" t="n">
        <v>27.19434363</v>
      </c>
      <c r="W191" s="35" t="n">
        <v>25.382727318672</v>
      </c>
      <c r="X191" s="35" t="n">
        <v>4.77767215368891</v>
      </c>
      <c r="Y191" s="35" t="n">
        <v>8.41860875249568</v>
      </c>
      <c r="Z191" s="35"/>
      <c r="AA191" s="35" t="n">
        <v>1.63966093045037</v>
      </c>
      <c r="AB191" s="35" t="n">
        <v>0.287016430466511</v>
      </c>
      <c r="AC191" s="71" t="n">
        <v>4.61814018872685</v>
      </c>
      <c r="AD191" s="38" t="n">
        <v>6.89832772592785</v>
      </c>
      <c r="AE191" s="38" t="n">
        <v>6.00098177709888</v>
      </c>
      <c r="AF191" s="38" t="n">
        <v>1.18124169328978</v>
      </c>
      <c r="AG191" s="72"/>
      <c r="AH191" s="72"/>
      <c r="AI191" s="73" t="n">
        <v>41.6066678577388</v>
      </c>
      <c r="AJ191" s="42" t="s">
        <v>16</v>
      </c>
      <c r="AK191" s="43" t="n">
        <v>746.332258656987</v>
      </c>
      <c r="AL191" s="43" t="n">
        <v>763.580103045726</v>
      </c>
      <c r="AM191" s="43" t="n">
        <v>752.757900648807</v>
      </c>
      <c r="AN191" s="74"/>
      <c r="AO191" s="75" t="n">
        <v>48.9857142857143</v>
      </c>
      <c r="AP191" s="76" t="n">
        <v>1.68510857142857</v>
      </c>
      <c r="AQ191" s="76" t="n">
        <v>1.49896285714286</v>
      </c>
      <c r="AR191" s="76" t="n">
        <v>2.21905285714286</v>
      </c>
      <c r="AS191" s="77" t="n">
        <v>44.8709142857143</v>
      </c>
      <c r="AT191" s="78" t="n">
        <v>44.1183751501365</v>
      </c>
      <c r="AU191" s="78" t="n">
        <v>34.4</v>
      </c>
      <c r="AV191" s="78" t="n">
        <v>30.6</v>
      </c>
      <c r="AW191" s="78" t="n">
        <v>45.3</v>
      </c>
      <c r="AX191" s="78" t="n">
        <v>35</v>
      </c>
      <c r="AY191" s="48" t="n">
        <v>1.62233645902254</v>
      </c>
      <c r="AZ191" s="48" t="n">
        <v>30.26974392426</v>
      </c>
      <c r="BA191" s="48" t="n">
        <v>-3.07540029425999</v>
      </c>
      <c r="BB191" s="49" t="n">
        <f aca="false">AT191/V191</f>
        <v>1.62233645902254</v>
      </c>
      <c r="BC191" s="49" t="n">
        <f aca="false">AS191/V191</f>
        <v>1.65000909366366</v>
      </c>
      <c r="BD191" s="49" t="n">
        <f aca="false">SUM(AP191:AR191)/V191</f>
        <v>0.198685592828713</v>
      </c>
      <c r="BE191" s="50" t="n">
        <v>7.22</v>
      </c>
      <c r="BF191" s="51" t="n">
        <v>202.302059274494</v>
      </c>
      <c r="BG191" s="51" t="n">
        <v>550.667041380543</v>
      </c>
      <c r="BH191" s="51" t="n">
        <v>228.658397385648</v>
      </c>
      <c r="BI191" s="51" t="n">
        <v>171.966698819717</v>
      </c>
      <c r="BJ191" s="51" t="n">
        <v>11.7832112301591</v>
      </c>
      <c r="BK191" s="51" t="n">
        <v>17.1006836027969</v>
      </c>
      <c r="BL191" s="51" t="n">
        <v>14.8488432030263</v>
      </c>
      <c r="BM191" s="51"/>
      <c r="BN191" s="52" t="n">
        <f aca="false">(BG191*0.5-BH191*0.25+BI191*0.5)/SUM(BG191:BI191)*1000</f>
        <v>319.725412138446</v>
      </c>
      <c r="BO191" s="53" t="n">
        <v>2.67082848</v>
      </c>
      <c r="BP191" s="54" t="s">
        <v>77</v>
      </c>
      <c r="BQ191" s="55" t="n">
        <v>518.742318125472</v>
      </c>
      <c r="BR191" s="56" t="n">
        <v>19.0753755701318</v>
      </c>
      <c r="BS191" s="56" t="n">
        <v>26.7644788243035</v>
      </c>
      <c r="BT191" s="56" t="n">
        <v>11.7579651644054</v>
      </c>
      <c r="BU191" s="55"/>
      <c r="BV191" s="55"/>
      <c r="BW191" s="55"/>
      <c r="BX191" s="55"/>
      <c r="BY191" s="79" t="n">
        <v>0.13695652173913</v>
      </c>
      <c r="BZ191" s="80" t="n">
        <v>0.6950458</v>
      </c>
      <c r="CA191" s="81" t="n">
        <v>3.44</v>
      </c>
      <c r="CB191" s="81" t="n">
        <v>0.061</v>
      </c>
      <c r="CC191" s="82" t="n">
        <v>5.057082</v>
      </c>
      <c r="CD191" s="82" t="n">
        <v>6.524274</v>
      </c>
      <c r="CE191" s="83" t="n">
        <v>78.364703</v>
      </c>
      <c r="CF191" s="84" t="n">
        <v>35.411844</v>
      </c>
      <c r="CG191" s="80" t="n">
        <v>0.2285</v>
      </c>
      <c r="CH191" s="63" t="n">
        <v>30907.3054159985</v>
      </c>
      <c r="CI191" s="63" t="n">
        <v>6368.80993629482</v>
      </c>
      <c r="CJ191" s="64" t="n">
        <v>464975.796336932</v>
      </c>
      <c r="CK191" s="65" t="n">
        <v>1.36970783994955</v>
      </c>
    </row>
    <row r="192" customFormat="false" ht="15" hidden="false" customHeight="false" outlineLevel="0" collapsed="false">
      <c r="A192" s="7" t="s">
        <v>73</v>
      </c>
      <c r="B192" s="66" t="n">
        <v>190</v>
      </c>
      <c r="C192" s="8" t="s">
        <v>268</v>
      </c>
      <c r="D192" s="67" t="n">
        <v>41869</v>
      </c>
      <c r="E192" s="4" t="s">
        <v>75</v>
      </c>
      <c r="F192" s="7" t="n">
        <v>178</v>
      </c>
      <c r="G192" s="68" t="n">
        <v>1</v>
      </c>
      <c r="H192" s="68" t="n">
        <v>103</v>
      </c>
      <c r="I192" s="66" t="n">
        <v>1</v>
      </c>
      <c r="J192" s="69" t="n">
        <v>584.202380952381</v>
      </c>
      <c r="K192" s="31" t="n">
        <v>509.548257242949</v>
      </c>
      <c r="L192" s="31" t="n">
        <v>932.058820804346</v>
      </c>
      <c r="M192" s="31" t="n">
        <v>171.842783211698</v>
      </c>
      <c r="N192" s="31" t="n">
        <v>341.305287834149</v>
      </c>
      <c r="O192" s="32"/>
      <c r="P192" s="33" t="n">
        <v>68.4873143636603</v>
      </c>
      <c r="Q192" s="33" t="n">
        <v>11.6388274426046</v>
      </c>
      <c r="R192" s="31" t="n">
        <v>157.716324112242</v>
      </c>
      <c r="S192" s="34" t="s">
        <v>76</v>
      </c>
      <c r="T192" s="35" t="n">
        <v>18.1739168949409</v>
      </c>
      <c r="U192" s="35" t="n">
        <v>5.60076215505913</v>
      </c>
      <c r="V192" s="70" t="n">
        <v>23.77467905</v>
      </c>
      <c r="W192" s="35" t="n">
        <v>22.1911031270023</v>
      </c>
      <c r="X192" s="35" t="n">
        <v>4.17755551350115</v>
      </c>
      <c r="Y192" s="35" t="n">
        <v>7.35443286667247</v>
      </c>
      <c r="Z192" s="35"/>
      <c r="AA192" s="35" t="n">
        <v>1.43204381136223</v>
      </c>
      <c r="AB192" s="35" t="n">
        <v>0.250738538161434</v>
      </c>
      <c r="AC192" s="71" t="n">
        <v>4.03952746214979</v>
      </c>
      <c r="AD192" s="38" t="n">
        <v>5.8766081339323</v>
      </c>
      <c r="AE192" s="38" t="n">
        <v>5.05894677658251</v>
      </c>
      <c r="AF192" s="38" t="n">
        <v>1.27398820247513</v>
      </c>
      <c r="AG192" s="72"/>
      <c r="AH192" s="72"/>
      <c r="AI192" s="73" t="n">
        <v>42.6672210307229</v>
      </c>
      <c r="AJ192" s="42" t="s">
        <v>16</v>
      </c>
      <c r="AK192" s="43" t="n">
        <v>752.820716461689</v>
      </c>
      <c r="AL192" s="43" t="n">
        <v>772.02815256053</v>
      </c>
      <c r="AM192" s="43" t="n">
        <v>695.03979100749</v>
      </c>
      <c r="AN192" s="74"/>
      <c r="AO192" s="75" t="n">
        <v>34.4214285714286</v>
      </c>
      <c r="AP192" s="76" t="n">
        <v>1.42313899844721</v>
      </c>
      <c r="AQ192" s="76" t="n">
        <v>1.16041370341615</v>
      </c>
      <c r="AR192" s="76" t="n">
        <v>1.59487199534162</v>
      </c>
      <c r="AS192" s="77" t="n">
        <v>35.1156564052795</v>
      </c>
      <c r="AT192" s="78" t="n">
        <v>34.9299177189738</v>
      </c>
      <c r="AU192" s="78" t="n">
        <v>41.3445652173913</v>
      </c>
      <c r="AV192" s="78" t="n">
        <v>33.7119565217391</v>
      </c>
      <c r="AW192" s="78" t="n">
        <v>46.3336956521739</v>
      </c>
      <c r="AX192" s="78" t="n">
        <v>31.1086956521739</v>
      </c>
      <c r="AY192" s="48" t="n">
        <v>1.46920669866935</v>
      </c>
      <c r="AZ192" s="48" t="n">
        <v>23.845621388416</v>
      </c>
      <c r="BA192" s="48" t="n">
        <v>-0.0709423384159713</v>
      </c>
      <c r="BB192" s="49" t="n">
        <f aca="false">AT192/V192</f>
        <v>1.46920669866935</v>
      </c>
      <c r="BC192" s="49" t="n">
        <f aca="false">AS192/V192</f>
        <v>1.47701915686973</v>
      </c>
      <c r="BD192" s="49" t="n">
        <f aca="false">SUM(AP192:AR192)/V192</f>
        <v>0.175751045404963</v>
      </c>
      <c r="BE192" s="50" t="n">
        <v>6.69</v>
      </c>
      <c r="BF192" s="51" t="n">
        <v>208.899163823101</v>
      </c>
      <c r="BG192" s="51" t="n">
        <v>548.204683830796</v>
      </c>
      <c r="BH192" s="51" t="n">
        <v>221.509217819941</v>
      </c>
      <c r="BI192" s="51" t="n">
        <v>174.121336881209</v>
      </c>
      <c r="BJ192" s="51" t="n">
        <v>11.9076132796612</v>
      </c>
      <c r="BK192" s="51" t="n">
        <v>22.061330904026</v>
      </c>
      <c r="BL192" s="51" t="n">
        <v>17.2206929062564</v>
      </c>
      <c r="BM192" s="51"/>
      <c r="BN192" s="52" t="n">
        <f aca="false">(BG192*0.5-BH192*0.25+BI192*0.5)/SUM(BG192:BI192)*1000</f>
        <v>323.982082271733</v>
      </c>
      <c r="BO192" s="53" t="n">
        <v>4.65809292</v>
      </c>
      <c r="BP192" s="54" t="s">
        <v>77</v>
      </c>
      <c r="BQ192" s="55" t="n">
        <v>431.706298640761</v>
      </c>
      <c r="BR192" s="56" t="n">
        <v>18.1582387603572</v>
      </c>
      <c r="BS192" s="56" t="n">
        <v>25.1985967096421</v>
      </c>
      <c r="BT192" s="56" t="n">
        <v>12.359213156871</v>
      </c>
      <c r="BU192" s="55"/>
      <c r="BV192" s="55"/>
      <c r="BW192" s="55"/>
      <c r="BX192" s="55"/>
      <c r="BY192" s="79" t="n">
        <v>0.13695652173913</v>
      </c>
      <c r="BZ192" s="80" t="n">
        <v>0.6172524</v>
      </c>
      <c r="CA192" s="81" t="n">
        <v>3.87</v>
      </c>
      <c r="CB192" s="81" t="n">
        <v>0.117</v>
      </c>
      <c r="CC192" s="82" t="n">
        <v>4.921544</v>
      </c>
      <c r="CD192" s="82" t="n">
        <v>6.53658</v>
      </c>
      <c r="CE192" s="83" t="n">
        <v>79.757938</v>
      </c>
      <c r="CF192" s="84" t="n">
        <v>36.682844</v>
      </c>
      <c r="CG192" s="80" t="n">
        <v>0.1445</v>
      </c>
      <c r="CH192" s="63" t="n">
        <v>29868.7370973003</v>
      </c>
      <c r="CI192" s="63" t="n">
        <v>5213.99519451168</v>
      </c>
      <c r="CJ192" s="64" t="n">
        <v>415238.720520221</v>
      </c>
      <c r="CK192" s="65" t="n">
        <v>1.25566208950347</v>
      </c>
    </row>
    <row r="193" customFormat="false" ht="15" hidden="false" customHeight="false" outlineLevel="0" collapsed="false">
      <c r="A193" s="7" t="s">
        <v>73</v>
      </c>
      <c r="B193" s="66" t="n">
        <v>191</v>
      </c>
      <c r="C193" s="8" t="s">
        <v>269</v>
      </c>
      <c r="D193" s="67" t="n">
        <v>41869</v>
      </c>
      <c r="E193" s="4" t="s">
        <v>75</v>
      </c>
      <c r="F193" s="7" t="n">
        <v>179</v>
      </c>
      <c r="G193" s="68" t="n">
        <v>1</v>
      </c>
      <c r="H193" s="68" t="n">
        <v>103</v>
      </c>
      <c r="I193" s="66" t="n">
        <v>1</v>
      </c>
      <c r="J193" s="69" t="n">
        <v>637.011904761905</v>
      </c>
      <c r="K193" s="31" t="n">
        <v>509.548257242949</v>
      </c>
      <c r="L193" s="31" t="n">
        <v>932.058820804346</v>
      </c>
      <c r="M193" s="31" t="n">
        <v>171.842783211698</v>
      </c>
      <c r="N193" s="31" t="n">
        <v>341.305287834149</v>
      </c>
      <c r="O193" s="32"/>
      <c r="P193" s="33" t="n">
        <v>68.4873143636603</v>
      </c>
      <c r="Q193" s="33" t="n">
        <v>11.6388274426046</v>
      </c>
      <c r="R193" s="31" t="n">
        <v>157.716324112242</v>
      </c>
      <c r="S193" s="34" t="s">
        <v>76</v>
      </c>
      <c r="T193" s="35" t="n">
        <v>20.5569761987685</v>
      </c>
      <c r="U193" s="35" t="n">
        <v>7.48555472123146</v>
      </c>
      <c r="V193" s="70" t="n">
        <v>28.04253092</v>
      </c>
      <c r="W193" s="35" t="n">
        <v>26.1796612096789</v>
      </c>
      <c r="X193" s="35" t="n">
        <v>4.94193161276043</v>
      </c>
      <c r="Y193" s="35" t="n">
        <v>8.55531790203588</v>
      </c>
      <c r="Z193" s="35"/>
      <c r="AA193" s="35" t="n">
        <v>1.6583046899241</v>
      </c>
      <c r="AB193" s="35" t="n">
        <v>0.291748964400061</v>
      </c>
      <c r="AC193" s="71" t="n">
        <v>4.81018650295502</v>
      </c>
      <c r="AD193" s="38" t="n">
        <v>7.81989261780553</v>
      </c>
      <c r="AE193" s="38" t="n">
        <v>6.88224919182952</v>
      </c>
      <c r="AF193" s="38" t="n">
        <v>1.58640317641948</v>
      </c>
      <c r="AG193" s="72"/>
      <c r="AH193" s="72"/>
      <c r="AI193" s="73" t="n">
        <v>37.3085640250049</v>
      </c>
      <c r="AJ193" s="42" t="s">
        <v>16</v>
      </c>
      <c r="AK193" s="43" t="n">
        <v>721.141695800775</v>
      </c>
      <c r="AL193" s="43" t="n">
        <v>737.114657951147</v>
      </c>
      <c r="AM193" s="43" t="n">
        <v>678.991272901619</v>
      </c>
      <c r="AN193" s="74"/>
      <c r="AO193" s="75" t="n">
        <v>39.7</v>
      </c>
      <c r="AP193" s="76" t="n">
        <v>1.23557619565217</v>
      </c>
      <c r="AQ193" s="76" t="n">
        <v>1.33307134057971</v>
      </c>
      <c r="AR193" s="76" t="n">
        <v>1.92519108695652</v>
      </c>
      <c r="AS193" s="77" t="n">
        <v>34.4136429347826</v>
      </c>
      <c r="AT193" s="78" t="n">
        <v>35.747562201837</v>
      </c>
      <c r="AU193" s="78" t="n">
        <v>31.1228260869565</v>
      </c>
      <c r="AV193" s="78" t="n">
        <v>33.5786231884058</v>
      </c>
      <c r="AW193" s="78" t="n">
        <v>48.4934782608696</v>
      </c>
      <c r="AX193" s="78" t="n">
        <v>26</v>
      </c>
      <c r="AY193" s="48" t="n">
        <v>1.27476233524777</v>
      </c>
      <c r="AZ193" s="48" t="n">
        <v>24.3408664290627</v>
      </c>
      <c r="BA193" s="48" t="n">
        <v>3.70166449093734</v>
      </c>
      <c r="BB193" s="49" t="n">
        <f aca="false">AT193/V193</f>
        <v>1.27476233524777</v>
      </c>
      <c r="BC193" s="49" t="n">
        <f aca="false">AS193/V193</f>
        <v>1.22719461495677</v>
      </c>
      <c r="BD193" s="49" t="n">
        <f aca="false">SUM(AP193:AR193)/V193</f>
        <v>0.160250821725345</v>
      </c>
      <c r="BE193" s="50" t="n">
        <v>6.74</v>
      </c>
      <c r="BF193" s="51" t="n">
        <v>227.223254557458</v>
      </c>
      <c r="BG193" s="51" t="n">
        <v>464.937119170695</v>
      </c>
      <c r="BH193" s="51" t="n">
        <v>318.353324038763</v>
      </c>
      <c r="BI193" s="51" t="n">
        <v>157.26963497015</v>
      </c>
      <c r="BJ193" s="51" t="n">
        <v>10.780596364633</v>
      </c>
      <c r="BK193" s="51" t="n">
        <v>27.1661118529027</v>
      </c>
      <c r="BL193" s="51" t="n">
        <v>16.5180892247471</v>
      </c>
      <c r="BM193" s="51"/>
      <c r="BN193" s="52" t="n">
        <f aca="false">(BG193*0.5-BH193*0.25+BI193*0.5)/SUM(BG193:BI193)*1000</f>
        <v>246.145941584948</v>
      </c>
      <c r="BO193" s="53" t="n">
        <v>6.6444727</v>
      </c>
      <c r="BP193" s="54" t="s">
        <v>77</v>
      </c>
      <c r="BQ193" s="55" t="n">
        <v>429.362466234423</v>
      </c>
      <c r="BR193" s="56" t="n">
        <v>15.3111167982417</v>
      </c>
      <c r="BS193" s="56" t="n">
        <v>22.249743428667</v>
      </c>
      <c r="BT193" s="56" t="n">
        <v>12.0109579447731</v>
      </c>
      <c r="BU193" s="55"/>
      <c r="BV193" s="55"/>
      <c r="BW193" s="55"/>
      <c r="BX193" s="55"/>
      <c r="BY193" s="79" t="n">
        <v>0.107608695652174</v>
      </c>
      <c r="BZ193" s="80" t="n">
        <v>0.5280746</v>
      </c>
      <c r="CA193" s="81" t="n">
        <v>3.62</v>
      </c>
      <c r="CB193" s="81" t="n">
        <v>0.377</v>
      </c>
      <c r="CC193" s="82" t="n">
        <v>4.431522</v>
      </c>
      <c r="CD193" s="82" t="n">
        <v>6.604263</v>
      </c>
      <c r="CE193" s="83" t="n">
        <v>90.271214</v>
      </c>
      <c r="CF193" s="84" t="n">
        <v>36.184612</v>
      </c>
      <c r="CG193" s="80" t="n">
        <v>0.1025</v>
      </c>
      <c r="CH193" s="63" t="n">
        <v>19355.0092130207</v>
      </c>
      <c r="CI193" s="63" t="n">
        <v>3051.47813981269</v>
      </c>
      <c r="CJ193" s="64" t="n">
        <v>603317.547334042</v>
      </c>
      <c r="CK193" s="65" t="n">
        <v>0.505783091059866</v>
      </c>
    </row>
    <row r="194" customFormat="false" ht="15" hidden="false" customHeight="false" outlineLevel="0" collapsed="false">
      <c r="A194" s="7" t="s">
        <v>73</v>
      </c>
      <c r="B194" s="66" t="n">
        <v>192</v>
      </c>
      <c r="C194" s="8" t="s">
        <v>270</v>
      </c>
      <c r="D194" s="67" t="n">
        <v>41869</v>
      </c>
      <c r="E194" s="4" t="s">
        <v>75</v>
      </c>
      <c r="F194" s="7" t="n">
        <v>256</v>
      </c>
      <c r="G194" s="68" t="n">
        <v>1</v>
      </c>
      <c r="H194" s="68" t="n">
        <v>97</v>
      </c>
      <c r="I194" s="66" t="n">
        <v>2</v>
      </c>
      <c r="J194" s="69" t="n">
        <v>664.464285714286</v>
      </c>
      <c r="K194" s="31" t="n">
        <v>509.548257242949</v>
      </c>
      <c r="L194" s="31" t="n">
        <v>932.058820804346</v>
      </c>
      <c r="M194" s="31" t="n">
        <v>171.842783211698</v>
      </c>
      <c r="N194" s="31" t="n">
        <v>341.305287834149</v>
      </c>
      <c r="O194" s="32"/>
      <c r="P194" s="33" t="n">
        <v>68.4873143636603</v>
      </c>
      <c r="Q194" s="33" t="n">
        <v>11.6388274426046</v>
      </c>
      <c r="R194" s="31" t="n">
        <v>157.716324112242</v>
      </c>
      <c r="S194" s="34" t="s">
        <v>76</v>
      </c>
      <c r="T194" s="35" t="n">
        <v>18.8461980566097</v>
      </c>
      <c r="U194" s="35" t="n">
        <v>6.20703022339028</v>
      </c>
      <c r="V194" s="70" t="n">
        <v>25.05322828</v>
      </c>
      <c r="W194" s="35" t="n">
        <v>23.3862180700162</v>
      </c>
      <c r="X194" s="35" t="n">
        <v>4.40722898406613</v>
      </c>
      <c r="Y194" s="35" t="n">
        <v>7.70854143322209</v>
      </c>
      <c r="Z194" s="35"/>
      <c r="AA194" s="35" t="n">
        <v>1.49836789358586</v>
      </c>
      <c r="AB194" s="35" t="n">
        <v>0.262834945350668</v>
      </c>
      <c r="AC194" s="71" t="n">
        <v>4.27255349527381</v>
      </c>
      <c r="AD194" s="38" t="n">
        <v>6.37115829837588</v>
      </c>
      <c r="AE194" s="38" t="n">
        <v>5.48774152769088</v>
      </c>
      <c r="AF194" s="38" t="n">
        <v>1.21109633307814</v>
      </c>
      <c r="AG194" s="72"/>
      <c r="AH194" s="72"/>
      <c r="AI194" s="73" t="n">
        <v>41.2538714377367</v>
      </c>
      <c r="AJ194" s="42" t="s">
        <v>16</v>
      </c>
      <c r="AK194" s="43" t="n">
        <v>745.69511652668</v>
      </c>
      <c r="AL194" s="43" t="n">
        <v>765.342924997061</v>
      </c>
      <c r="AM194" s="43" t="n">
        <v>725.202312505946</v>
      </c>
      <c r="AN194" s="74"/>
      <c r="AO194" s="75" t="n">
        <v>47.9</v>
      </c>
      <c r="AP194" s="76" t="n">
        <v>2.44169130841122</v>
      </c>
      <c r="AQ194" s="76" t="n">
        <v>1.42880775700935</v>
      </c>
      <c r="AR194" s="76" t="n">
        <v>2.18768700934579</v>
      </c>
      <c r="AS194" s="77" t="n">
        <v>55.7853696261682</v>
      </c>
      <c r="AT194" s="78" t="n">
        <v>52.6336936198583</v>
      </c>
      <c r="AU194" s="78" t="n">
        <v>50.9747663551402</v>
      </c>
      <c r="AV194" s="78" t="n">
        <v>29.8289719626168</v>
      </c>
      <c r="AW194" s="78" t="n">
        <v>45.6719626168224</v>
      </c>
      <c r="AX194" s="78" t="n">
        <v>30.5700934579439</v>
      </c>
      <c r="AY194" s="48" t="n">
        <v>2.10087470690856</v>
      </c>
      <c r="AZ194" s="48" t="n">
        <v>32.2659260491627</v>
      </c>
      <c r="BA194" s="48" t="n">
        <v>-7.2126977691627</v>
      </c>
      <c r="BB194" s="49" t="n">
        <f aca="false">AT194/V194</f>
        <v>2.10087470690856</v>
      </c>
      <c r="BC194" s="49" t="n">
        <f aca="false">AS194/V194</f>
        <v>2.22667390416515</v>
      </c>
      <c r="BD194" s="49" t="n">
        <f aca="false">SUM(AP194:AR194)/V194</f>
        <v>0.241812592255929</v>
      </c>
      <c r="BE194" s="50" t="n">
        <v>6.66</v>
      </c>
      <c r="BF194" s="51" t="n">
        <v>176.89652624825</v>
      </c>
      <c r="BG194" s="51" t="n">
        <v>520.522990254844</v>
      </c>
      <c r="BH194" s="51" t="n">
        <v>258.198431459494</v>
      </c>
      <c r="BI194" s="51" t="n">
        <v>162.685144430458</v>
      </c>
      <c r="BJ194" s="51" t="n">
        <v>12.131732618102</v>
      </c>
      <c r="BK194" s="51" t="n">
        <v>19.8985956216322</v>
      </c>
      <c r="BL194" s="51" t="n">
        <v>21.5879812373602</v>
      </c>
      <c r="BM194" s="51"/>
      <c r="BN194" s="52" t="n">
        <f aca="false">(BG194*0.5-BH194*0.25+BI194*0.5)/SUM(BG194:BI194)*1000</f>
        <v>294.298414140405</v>
      </c>
      <c r="BO194" s="53" t="n">
        <v>11.87273396</v>
      </c>
      <c r="BP194" s="54" t="s">
        <v>77</v>
      </c>
      <c r="BQ194" s="55" t="n">
        <v>483.641979086567</v>
      </c>
      <c r="BR194" s="56" t="n">
        <v>19.3045771858734</v>
      </c>
      <c r="BS194" s="56" t="n">
        <v>27.0214047515651</v>
      </c>
      <c r="BT194" s="56" t="n">
        <v>9.1888284067545</v>
      </c>
      <c r="BU194" s="55"/>
      <c r="BV194" s="55"/>
      <c r="BW194" s="55"/>
      <c r="BX194" s="55"/>
      <c r="BY194" s="79" t="n">
        <v>0.0880434782608696</v>
      </c>
      <c r="BZ194" s="80" t="n">
        <v>0.6314829</v>
      </c>
      <c r="CA194" s="81" t="n">
        <v>3.55</v>
      </c>
      <c r="CB194" s="81" t="n">
        <v>0.353</v>
      </c>
      <c r="CC194" s="82" t="n">
        <v>6.39161</v>
      </c>
      <c r="CD194" s="82" t="n">
        <v>6.84423</v>
      </c>
      <c r="CE194" s="83" t="n">
        <v>75.465268</v>
      </c>
      <c r="CF194" s="84" t="n">
        <v>38.48258</v>
      </c>
      <c r="CG194" s="80" t="n">
        <v>0.0815</v>
      </c>
      <c r="CH194" s="63" t="n">
        <v>35559.0875645562</v>
      </c>
      <c r="CI194" s="63" t="n">
        <v>3311.47283887769</v>
      </c>
      <c r="CJ194" s="64" t="n">
        <v>347923.06928082</v>
      </c>
      <c r="CK194" s="65" t="n">
        <v>0.951783061043558</v>
      </c>
    </row>
    <row r="195" customFormat="false" ht="15" hidden="false" customHeight="false" outlineLevel="0" collapsed="false">
      <c r="A195" s="7" t="s">
        <v>73</v>
      </c>
      <c r="B195" s="66" t="n">
        <v>193</v>
      </c>
      <c r="C195" s="8" t="s">
        <v>271</v>
      </c>
      <c r="D195" s="67" t="n">
        <v>41869</v>
      </c>
      <c r="E195" s="4" t="s">
        <v>75</v>
      </c>
      <c r="F195" s="7" t="n">
        <v>348</v>
      </c>
      <c r="G195" s="68" t="n">
        <v>1</v>
      </c>
      <c r="H195" s="68" t="n">
        <v>109</v>
      </c>
      <c r="I195" s="66" t="n">
        <v>2</v>
      </c>
      <c r="J195" s="69" t="n">
        <v>691.914285714286</v>
      </c>
      <c r="K195" s="31" t="n">
        <v>509.548257242949</v>
      </c>
      <c r="L195" s="31" t="n">
        <v>932.058820804346</v>
      </c>
      <c r="M195" s="31" t="n">
        <v>171.842783211698</v>
      </c>
      <c r="N195" s="31" t="n">
        <v>341.305287834149</v>
      </c>
      <c r="O195" s="32"/>
      <c r="P195" s="33" t="n">
        <v>68.4873143636603</v>
      </c>
      <c r="Q195" s="33" t="n">
        <v>11.6388274426046</v>
      </c>
      <c r="R195" s="31" t="n">
        <v>157.716324112242</v>
      </c>
      <c r="S195" s="34" t="s">
        <v>76</v>
      </c>
      <c r="T195" s="35" t="n">
        <v>22.5649366050704</v>
      </c>
      <c r="U195" s="35" t="n">
        <v>10.0714736249296</v>
      </c>
      <c r="V195" s="70" t="n">
        <v>32.63641023</v>
      </c>
      <c r="W195" s="35" t="n">
        <v>30.4760648559526</v>
      </c>
      <c r="X195" s="35" t="n">
        <v>5.77385618226007</v>
      </c>
      <c r="Y195" s="35" t="n">
        <v>9.77233906550091</v>
      </c>
      <c r="Z195" s="35"/>
      <c r="AA195" s="35" t="n">
        <v>1.88233067593704</v>
      </c>
      <c r="AB195" s="35" t="n">
        <v>0.333357820978403</v>
      </c>
      <c r="AC195" s="71" t="n">
        <v>5.66855281644397</v>
      </c>
      <c r="AD195" s="38" t="n">
        <v>7.64319793303209</v>
      </c>
      <c r="AE195" s="38" t="n">
        <v>6.6100302019177</v>
      </c>
      <c r="AF195" s="38" t="n">
        <v>1.28571727592765</v>
      </c>
      <c r="AG195" s="72"/>
      <c r="AH195" s="72"/>
      <c r="AI195" s="73" t="n">
        <v>43.6149663922361</v>
      </c>
      <c r="AJ195" s="42" t="s">
        <v>16</v>
      </c>
      <c r="AK195" s="43" t="n">
        <v>765.807640020215</v>
      </c>
      <c r="AL195" s="43" t="n">
        <v>783.10748998729</v>
      </c>
      <c r="AM195" s="43" t="n">
        <v>777.320869217705</v>
      </c>
      <c r="AN195" s="74"/>
      <c r="AO195" s="75" t="n">
        <v>49.2785714285714</v>
      </c>
      <c r="AP195" s="76" t="n">
        <v>1.27655964539007</v>
      </c>
      <c r="AQ195" s="76" t="n">
        <v>1.33523958966565</v>
      </c>
      <c r="AR195" s="76" t="n">
        <v>2.22781082066869</v>
      </c>
      <c r="AS195" s="77" t="n">
        <v>38.8598232522796</v>
      </c>
      <c r="AT195" s="78" t="n">
        <v>37.9213662072548</v>
      </c>
      <c r="AU195" s="78" t="n">
        <v>25.9049645390071</v>
      </c>
      <c r="AV195" s="78" t="n">
        <v>27.0957446808511</v>
      </c>
      <c r="AW195" s="78" t="n">
        <v>45.2085106382979</v>
      </c>
      <c r="AX195" s="78" t="n">
        <v>36.8723404255319</v>
      </c>
      <c r="AY195" s="48" t="n">
        <v>1.16193435307406</v>
      </c>
      <c r="AZ195" s="48" t="n">
        <v>26.8308751796088</v>
      </c>
      <c r="BA195" s="48" t="n">
        <v>5.8055350503912</v>
      </c>
      <c r="BB195" s="49" t="n">
        <f aca="false">AT195/V195</f>
        <v>1.16193435307406</v>
      </c>
      <c r="BC195" s="49" t="n">
        <f aca="false">AS195/V195</f>
        <v>1.19068926326214</v>
      </c>
      <c r="BD195" s="49" t="n">
        <f aca="false">SUM(AP195:AR195)/V195</f>
        <v>0.14828867579547</v>
      </c>
      <c r="BE195" s="50" t="n">
        <v>6.4</v>
      </c>
      <c r="BF195" s="51" t="n">
        <v>225.102361872859</v>
      </c>
      <c r="BG195" s="51" t="n">
        <v>485.57612945358</v>
      </c>
      <c r="BH195" s="51" t="n">
        <v>291.112990577823</v>
      </c>
      <c r="BI195" s="51" t="n">
        <v>167.688086107981</v>
      </c>
      <c r="BJ195" s="51" t="n">
        <v>11.096592508728</v>
      </c>
      <c r="BK195" s="51" t="n">
        <v>22.6400438477504</v>
      </c>
      <c r="BL195" s="51" t="n">
        <v>16.911033126029</v>
      </c>
      <c r="BM195" s="51"/>
      <c r="BN195" s="52" t="n">
        <f aca="false">(BG195*0.5-BH195*0.25+BI195*0.5)/SUM(BG195:BI195)*1000</f>
        <v>268.805577354074</v>
      </c>
      <c r="BO195" s="53" t="n">
        <v>5.32371508</v>
      </c>
      <c r="BP195" s="54" t="s">
        <v>77</v>
      </c>
      <c r="BQ195" s="55" t="n">
        <v>428.53237873059</v>
      </c>
      <c r="BR195" s="56" t="n">
        <v>13.1304998224552</v>
      </c>
      <c r="BS195" s="56" t="n">
        <v>17.9557427508445</v>
      </c>
      <c r="BT195" s="56" t="n">
        <v>11.3005522108169</v>
      </c>
      <c r="BU195" s="55"/>
      <c r="BV195" s="55"/>
      <c r="BW195" s="55"/>
      <c r="BX195" s="55"/>
      <c r="BY195" s="79" t="n">
        <v>0.0782608695652174</v>
      </c>
      <c r="BZ195" s="80" t="n">
        <v>0.6789179</v>
      </c>
      <c r="CA195" s="81" t="n">
        <v>3.41</v>
      </c>
      <c r="CB195" s="81" t="n">
        <v>0.072</v>
      </c>
      <c r="CC195" s="82" t="n">
        <v>4.848562</v>
      </c>
      <c r="CD195" s="82" t="n">
        <v>7.398</v>
      </c>
      <c r="CE195" s="83" t="n">
        <v>77.717037</v>
      </c>
      <c r="CF195" s="84" t="n">
        <v>35.188148</v>
      </c>
      <c r="CG195" s="80" t="n">
        <v>0.2075</v>
      </c>
      <c r="CH195" s="63" t="n">
        <v>13892.0324006806</v>
      </c>
      <c r="CI195" s="63" t="n">
        <v>2583.7519373596</v>
      </c>
      <c r="CJ195" s="64" t="n">
        <v>366886.309673397</v>
      </c>
      <c r="CK195" s="65" t="n">
        <v>0.704237762281089</v>
      </c>
    </row>
    <row r="196" customFormat="false" ht="15" hidden="false" customHeight="false" outlineLevel="0" collapsed="false">
      <c r="A196" s="7" t="s">
        <v>73</v>
      </c>
      <c r="B196" s="66" t="n">
        <v>194</v>
      </c>
      <c r="C196" s="8" t="s">
        <v>272</v>
      </c>
      <c r="D196" s="67" t="n">
        <v>41869</v>
      </c>
      <c r="E196" s="4" t="s">
        <v>75</v>
      </c>
      <c r="F196" s="7" t="n">
        <v>539</v>
      </c>
      <c r="G196" s="68" t="n">
        <v>1</v>
      </c>
      <c r="H196" s="68" t="n">
        <v>129</v>
      </c>
      <c r="I196" s="66" t="n">
        <v>3</v>
      </c>
      <c r="J196" s="69" t="n">
        <v>801.642857142857</v>
      </c>
      <c r="K196" s="31" t="n">
        <v>509.548257242949</v>
      </c>
      <c r="L196" s="31" t="n">
        <v>932.058820804346</v>
      </c>
      <c r="M196" s="31" t="n">
        <v>171.842783211698</v>
      </c>
      <c r="N196" s="31" t="n">
        <v>341.305287834149</v>
      </c>
      <c r="O196" s="32"/>
      <c r="P196" s="33" t="n">
        <v>68.4873143636603</v>
      </c>
      <c r="Q196" s="33" t="n">
        <v>11.6388274426046</v>
      </c>
      <c r="R196" s="31" t="n">
        <v>157.716324112242</v>
      </c>
      <c r="S196" s="34" t="s">
        <v>76</v>
      </c>
      <c r="T196" s="35" t="n">
        <v>23.3152916948958</v>
      </c>
      <c r="U196" s="35" t="n">
        <v>8.82181903510419</v>
      </c>
      <c r="V196" s="70" t="n">
        <v>32.13711073</v>
      </c>
      <c r="W196" s="35" t="n">
        <v>30.0036145284413</v>
      </c>
      <c r="X196" s="35" t="n">
        <v>5.6675171001306</v>
      </c>
      <c r="Y196" s="35" t="n">
        <v>9.77149635669249</v>
      </c>
      <c r="Z196" s="35"/>
      <c r="AA196" s="35" t="n">
        <v>1.89191606356588</v>
      </c>
      <c r="AB196" s="35" t="n">
        <v>0.333241524613883</v>
      </c>
      <c r="AC196" s="71" t="n">
        <v>5.52512813904922</v>
      </c>
      <c r="AD196" s="38" t="n">
        <v>8.92891914785199</v>
      </c>
      <c r="AE196" s="38" t="n">
        <v>7.80048316332809</v>
      </c>
      <c r="AF196" s="38" t="n">
        <v>1.74613823856472</v>
      </c>
      <c r="AG196" s="72"/>
      <c r="AH196" s="72"/>
      <c r="AI196" s="73" t="n">
        <v>37.3215972835917</v>
      </c>
      <c r="AJ196" s="42" t="s">
        <v>16</v>
      </c>
      <c r="AK196" s="43" t="n">
        <v>722.161733116946</v>
      </c>
      <c r="AL196" s="43" t="n">
        <v>740.015218635282</v>
      </c>
      <c r="AM196" s="43" t="n">
        <v>691.904195838336</v>
      </c>
      <c r="AN196" s="74"/>
      <c r="AO196" s="75" t="n">
        <v>53.9714285714286</v>
      </c>
      <c r="AP196" s="76" t="n">
        <v>2.11496246077622</v>
      </c>
      <c r="AQ196" s="76" t="n">
        <v>1.67230315441784</v>
      </c>
      <c r="AR196" s="76" t="n">
        <v>2.51506857142857</v>
      </c>
      <c r="AS196" s="77" t="n">
        <v>53.3130083402147</v>
      </c>
      <c r="AT196" s="78" t="n">
        <v>52.2895673017509</v>
      </c>
      <c r="AU196" s="78" t="n">
        <v>39.1867052023121</v>
      </c>
      <c r="AV196" s="78" t="n">
        <v>30.9849710982659</v>
      </c>
      <c r="AW196" s="78" t="n">
        <v>46.6</v>
      </c>
      <c r="AX196" s="78" t="n">
        <v>33.8612716763006</v>
      </c>
      <c r="AY196" s="48" t="n">
        <v>1.62707742276715</v>
      </c>
      <c r="AZ196" s="48" t="n">
        <v>33.921513290462</v>
      </c>
      <c r="BA196" s="48" t="n">
        <v>-1.78440256046202</v>
      </c>
      <c r="BB196" s="49" t="n">
        <f aca="false">AT196/V196</f>
        <v>1.62707742276715</v>
      </c>
      <c r="BC196" s="49" t="n">
        <f aca="false">AS196/V196</f>
        <v>1.65892350398653</v>
      </c>
      <c r="BD196" s="49" t="n">
        <f aca="false">SUM(AP196:AR196)/V196</f>
        <v>0.196107678738506</v>
      </c>
      <c r="BE196" s="50" t="n">
        <v>7.17</v>
      </c>
      <c r="BF196" s="51" t="n">
        <v>138.937285040647</v>
      </c>
      <c r="BG196" s="51" t="n">
        <v>538.107476652917</v>
      </c>
      <c r="BH196" s="51" t="n">
        <v>244.758799537895</v>
      </c>
      <c r="BI196" s="51" t="n">
        <v>162.697593988007</v>
      </c>
      <c r="BJ196" s="51" t="n">
        <v>12.2969056764636</v>
      </c>
      <c r="BK196" s="51" t="n">
        <v>19.7661870509212</v>
      </c>
      <c r="BL196" s="51" t="n">
        <v>17.3979127156864</v>
      </c>
      <c r="BM196" s="51"/>
      <c r="BN196" s="52" t="n">
        <f aca="false">(BG196*0.5-BH196*0.25+BI196*0.5)/SUM(BG196:BI196)*1000</f>
        <v>305.86282382098</v>
      </c>
      <c r="BO196" s="53" t="n">
        <v>10.28058452</v>
      </c>
      <c r="BP196" s="54" t="s">
        <v>77</v>
      </c>
      <c r="BQ196" s="55" t="n">
        <v>506.724995263584</v>
      </c>
      <c r="BR196" s="56" t="n">
        <v>15.7675965185805</v>
      </c>
      <c r="BS196" s="56" t="n">
        <v>22.8222311047431</v>
      </c>
      <c r="BT196" s="56" t="n">
        <v>9.69074753170919</v>
      </c>
      <c r="BU196" s="55"/>
      <c r="BV196" s="55"/>
      <c r="BW196" s="55"/>
      <c r="BX196" s="55"/>
      <c r="BY196" s="79" t="n">
        <v>0.0978260869565218</v>
      </c>
      <c r="BZ196" s="80" t="n">
        <v>0.8866832</v>
      </c>
      <c r="CA196" s="81" t="n">
        <v>3.29</v>
      </c>
      <c r="CB196" s="81" t="n">
        <v>0.062</v>
      </c>
      <c r="CC196" s="82" t="n">
        <v>5.745198</v>
      </c>
      <c r="CD196" s="82" t="n">
        <v>6.807312</v>
      </c>
      <c r="CE196" s="83" t="n">
        <v>87.266345</v>
      </c>
      <c r="CF196" s="84" t="n">
        <v>35.849068</v>
      </c>
      <c r="CG196" s="80" t="n">
        <v>0.2075</v>
      </c>
      <c r="CH196" s="63" t="n">
        <v>41336.7639948783</v>
      </c>
      <c r="CI196" s="63" t="n">
        <v>2497.71025716996</v>
      </c>
      <c r="CJ196" s="64" t="n">
        <v>266570.258216238</v>
      </c>
      <c r="CK196" s="65" t="n">
        <v>0.936980094434938</v>
      </c>
    </row>
    <row r="197" customFormat="false" ht="15" hidden="false" customHeight="false" outlineLevel="0" collapsed="false">
      <c r="A197" s="7" t="s">
        <v>73</v>
      </c>
      <c r="B197" s="66" t="n">
        <v>195</v>
      </c>
      <c r="C197" s="8" t="s">
        <v>273</v>
      </c>
      <c r="D197" s="67" t="n">
        <v>41869</v>
      </c>
      <c r="E197" s="4" t="s">
        <v>75</v>
      </c>
      <c r="F197" s="7" t="n">
        <v>35</v>
      </c>
      <c r="G197" s="68" t="n">
        <v>1</v>
      </c>
      <c r="H197" s="68" t="n">
        <v>129</v>
      </c>
      <c r="I197" s="66" t="n">
        <v>3</v>
      </c>
      <c r="J197" s="69" t="n">
        <v>725.369047619048</v>
      </c>
      <c r="K197" s="31" t="n">
        <v>509.548257242949</v>
      </c>
      <c r="L197" s="31" t="n">
        <v>932.058820804346</v>
      </c>
      <c r="M197" s="31" t="n">
        <v>171.842783211698</v>
      </c>
      <c r="N197" s="31" t="n">
        <v>341.305287834149</v>
      </c>
      <c r="O197" s="32"/>
      <c r="P197" s="33" t="n">
        <v>68.4873143636603</v>
      </c>
      <c r="Q197" s="33" t="n">
        <v>11.6388274426046</v>
      </c>
      <c r="R197" s="31" t="n">
        <v>157.716324112242</v>
      </c>
      <c r="S197" s="34" t="s">
        <v>76</v>
      </c>
      <c r="T197" s="35" t="n">
        <v>26.3321246295119</v>
      </c>
      <c r="U197" s="35" t="n">
        <v>5.54511620048808</v>
      </c>
      <c r="V197" s="70" t="n">
        <v>31.87724083</v>
      </c>
      <c r="W197" s="35" t="n">
        <v>29.7428523143575</v>
      </c>
      <c r="X197" s="35" t="n">
        <v>5.56900773996008</v>
      </c>
      <c r="Y197" s="35" t="n">
        <v>10.1274308791828</v>
      </c>
      <c r="Z197" s="35"/>
      <c r="AA197" s="35" t="n">
        <v>1.98891603737135</v>
      </c>
      <c r="AB197" s="35" t="n">
        <v>0.345127861321825</v>
      </c>
      <c r="AC197" s="71" t="n">
        <v>5.31455371562872</v>
      </c>
      <c r="AD197" s="38" t="n">
        <v>8.14801990535191</v>
      </c>
      <c r="AE197" s="38" t="n">
        <v>7.08166597480806</v>
      </c>
      <c r="AF197" s="38" t="n">
        <v>1.45951039104387</v>
      </c>
      <c r="AG197" s="72"/>
      <c r="AH197" s="72"/>
      <c r="AI197" s="73" t="n">
        <v>42.3572678185449</v>
      </c>
      <c r="AJ197" s="42" t="s">
        <v>16</v>
      </c>
      <c r="AK197" s="43" t="n">
        <v>744.39381536172</v>
      </c>
      <c r="AL197" s="43" t="n">
        <v>761.903602924136</v>
      </c>
      <c r="AM197" s="43" t="n">
        <v>737.92272174965</v>
      </c>
      <c r="AN197" s="74"/>
      <c r="AO197" s="75" t="n">
        <v>53.1857142857143</v>
      </c>
      <c r="AP197" s="76" t="n">
        <v>2.46532447905478</v>
      </c>
      <c r="AQ197" s="76" t="n">
        <v>1.47417736842105</v>
      </c>
      <c r="AR197" s="76" t="n">
        <v>2.43403954887218</v>
      </c>
      <c r="AS197" s="77" t="n">
        <v>58.2541529001074</v>
      </c>
      <c r="AT197" s="78" t="n">
        <v>54.6041332126267</v>
      </c>
      <c r="AU197" s="78" t="n">
        <v>46.3531328320802</v>
      </c>
      <c r="AV197" s="78" t="n">
        <v>27.7175438596491</v>
      </c>
      <c r="AW197" s="78" t="n">
        <v>45.7649122807018</v>
      </c>
      <c r="AX197" s="78" t="n">
        <v>38.8245614035088</v>
      </c>
      <c r="AY197" s="48" t="n">
        <v>1.71295042453104</v>
      </c>
      <c r="AZ197" s="48" t="n">
        <v>34.6947739418297</v>
      </c>
      <c r="BA197" s="48" t="n">
        <v>-2.81753311182974</v>
      </c>
      <c r="BB197" s="49" t="n">
        <f aca="false">AT197/V197</f>
        <v>1.71295042453104</v>
      </c>
      <c r="BC197" s="49" t="n">
        <f aca="false">AS197/V197</f>
        <v>1.82745279651945</v>
      </c>
      <c r="BD197" s="49" t="n">
        <f aca="false">SUM(AP197:AR197)/V197</f>
        <v>0.199940183980723</v>
      </c>
      <c r="BE197" s="50" t="n">
        <v>6.61</v>
      </c>
      <c r="BF197" s="51" t="n">
        <v>148.567078031305</v>
      </c>
      <c r="BG197" s="51" t="n">
        <v>524.864391824731</v>
      </c>
      <c r="BH197" s="51" t="n">
        <v>284.386925934408</v>
      </c>
      <c r="BI197" s="51" t="n">
        <v>136.879595493981</v>
      </c>
      <c r="BJ197" s="51" t="n">
        <v>10.9734929324683</v>
      </c>
      <c r="BK197" s="51" t="n">
        <v>18.7038432557794</v>
      </c>
      <c r="BL197" s="51" t="n">
        <v>19.2166261805232</v>
      </c>
      <c r="BM197" s="51"/>
      <c r="BN197" s="52" t="n">
        <f aca="false">(BG197*0.5-BH197*0.25+BI197*0.5)/SUM(BG197:BI197)*1000</f>
        <v>274.565875120345</v>
      </c>
      <c r="BO197" s="53" t="n">
        <v>8.84412512</v>
      </c>
      <c r="BP197" s="54" t="s">
        <v>77</v>
      </c>
      <c r="BQ197" s="55" t="n">
        <v>516.552523645373</v>
      </c>
      <c r="BR197" s="56" t="n">
        <v>16.2044301889278</v>
      </c>
      <c r="BS197" s="56" t="n">
        <v>22.794593182611</v>
      </c>
      <c r="BT197" s="56" t="n">
        <v>9.45995281408341</v>
      </c>
      <c r="BU197" s="55"/>
      <c r="BV197" s="55"/>
      <c r="BW197" s="55"/>
      <c r="BX197" s="55"/>
      <c r="BY197" s="79" t="n">
        <v>0.273913043478261</v>
      </c>
      <c r="BZ197" s="80" t="n">
        <v>0.748173</v>
      </c>
      <c r="CA197" s="81" t="n">
        <v>3.71</v>
      </c>
      <c r="CB197" s="81" t="n">
        <v>0.362</v>
      </c>
      <c r="CC197" s="82" t="n">
        <v>5.5054</v>
      </c>
      <c r="CD197" s="82" t="n">
        <v>7.754874</v>
      </c>
      <c r="CE197" s="83" t="n">
        <v>86.618679</v>
      </c>
      <c r="CF197" s="84" t="n">
        <v>35.808396</v>
      </c>
      <c r="CG197" s="80" t="n">
        <v>0.47</v>
      </c>
      <c r="CH197" s="63" t="n">
        <v>10747.7984244096</v>
      </c>
      <c r="CI197" s="63" t="n">
        <v>1631.50676010773</v>
      </c>
      <c r="CJ197" s="64" t="n">
        <v>571258.816964754</v>
      </c>
      <c r="CK197" s="65" t="n">
        <v>0.285598525861946</v>
      </c>
    </row>
    <row r="198" customFormat="false" ht="15" hidden="false" customHeight="false" outlineLevel="0" collapsed="false">
      <c r="A198" s="7" t="s">
        <v>73</v>
      </c>
      <c r="B198" s="66" t="n">
        <v>196</v>
      </c>
      <c r="C198" s="8" t="s">
        <v>274</v>
      </c>
      <c r="D198" s="67" t="n">
        <v>41869</v>
      </c>
      <c r="E198" s="4" t="s">
        <v>75</v>
      </c>
      <c r="F198" s="7" t="n">
        <v>160</v>
      </c>
      <c r="G198" s="68" t="n">
        <v>1</v>
      </c>
      <c r="H198" s="68" t="n">
        <v>166</v>
      </c>
      <c r="I198" s="66" t="n">
        <v>1</v>
      </c>
      <c r="J198" s="69" t="n">
        <v>669.261904761905</v>
      </c>
      <c r="K198" s="31" t="n">
        <v>509.548257242949</v>
      </c>
      <c r="L198" s="31" t="n">
        <v>932.058820804346</v>
      </c>
      <c r="M198" s="31" t="n">
        <v>171.842783211698</v>
      </c>
      <c r="N198" s="31" t="n">
        <v>341.305287834149</v>
      </c>
      <c r="O198" s="32"/>
      <c r="P198" s="33" t="n">
        <v>68.4873143636603</v>
      </c>
      <c r="Q198" s="33" t="n">
        <v>11.6388274426046</v>
      </c>
      <c r="R198" s="31" t="n">
        <v>157.716324112242</v>
      </c>
      <c r="S198" s="34" t="s">
        <v>76</v>
      </c>
      <c r="T198" s="35" t="n">
        <v>14.18855899844</v>
      </c>
      <c r="U198" s="35" t="n">
        <v>4.76334447155998</v>
      </c>
      <c r="V198" s="70" t="n">
        <v>18.95190347</v>
      </c>
      <c r="W198" s="35" t="n">
        <v>17.6912523005676</v>
      </c>
      <c r="X198" s="35" t="n">
        <v>3.33503337995069</v>
      </c>
      <c r="Y198" s="35" t="n">
        <v>5.8220267623168</v>
      </c>
      <c r="Z198" s="35"/>
      <c r="AA198" s="35" t="n">
        <v>1.13108340457961</v>
      </c>
      <c r="AB198" s="35" t="n">
        <v>0.198516519330386</v>
      </c>
      <c r="AC198" s="71" t="n">
        <v>3.23555572135123</v>
      </c>
      <c r="AD198" s="38" t="n">
        <v>4.4420739241243</v>
      </c>
      <c r="AE198" s="38" t="n">
        <v>3.83980883004929</v>
      </c>
      <c r="AF198" s="38" t="n">
        <v>0.832778121457632</v>
      </c>
      <c r="AG198" s="72"/>
      <c r="AH198" s="72"/>
      <c r="AI198" s="73" t="n">
        <v>44.6900530520821</v>
      </c>
      <c r="AJ198" s="42" t="s">
        <v>16</v>
      </c>
      <c r="AK198" s="43" t="n">
        <v>765.61330996879</v>
      </c>
      <c r="AL198" s="43" t="n">
        <v>782.954379666719</v>
      </c>
      <c r="AM198" s="43" t="n">
        <v>750.293917157152</v>
      </c>
      <c r="AN198" s="74"/>
      <c r="AO198" s="75" t="n">
        <v>30.2714285714286</v>
      </c>
      <c r="AP198" s="76" t="n">
        <v>1.52272853571429</v>
      </c>
      <c r="AQ198" s="76" t="n">
        <v>1.07092746428571</v>
      </c>
      <c r="AR198" s="76" t="n">
        <v>1.37999875</v>
      </c>
      <c r="AS198" s="77" t="n">
        <v>34.9494994642857</v>
      </c>
      <c r="AT198" s="78" t="n">
        <v>34.2957788057325</v>
      </c>
      <c r="AU198" s="78" t="n">
        <v>50.3025</v>
      </c>
      <c r="AV198" s="78" t="n">
        <v>35.3775</v>
      </c>
      <c r="AW198" s="78" t="n">
        <v>45.5875</v>
      </c>
      <c r="AX198" s="78" t="n">
        <v>32.375</v>
      </c>
      <c r="AY198" s="48" t="n">
        <v>1.80962185988448</v>
      </c>
      <c r="AZ198" s="48" t="n">
        <v>25.6043533971729</v>
      </c>
      <c r="BA198" s="48" t="n">
        <v>-6.65244992717285</v>
      </c>
      <c r="BB198" s="49" t="n">
        <f aca="false">AT198/V198</f>
        <v>1.80962185988448</v>
      </c>
      <c r="BC198" s="49" t="n">
        <f aca="false">AS198/V198</f>
        <v>1.84411552747771</v>
      </c>
      <c r="BD198" s="49" t="n">
        <f aca="false">SUM(AP198:AR198)/V198</f>
        <v>0.209670482771829</v>
      </c>
      <c r="BE198" s="50" t="n">
        <v>7.2</v>
      </c>
      <c r="BF198" s="51" t="n">
        <v>172.802862496824</v>
      </c>
      <c r="BG198" s="51" t="n">
        <v>571.707991512123</v>
      </c>
      <c r="BH198" s="51" t="n">
        <v>213.792842759741</v>
      </c>
      <c r="BI198" s="51" t="n">
        <v>164.048673442486</v>
      </c>
      <c r="BJ198" s="51" t="n">
        <v>11.4638452750937</v>
      </c>
      <c r="BK198" s="51" t="n">
        <v>15.8594627763755</v>
      </c>
      <c r="BL198" s="51" t="n">
        <v>18.1520598560717</v>
      </c>
      <c r="BM198" s="51"/>
      <c r="BN198" s="52" t="n">
        <f aca="false">(BG198*0.5-BH198*0.25+BI198*0.5)/SUM(BG198:BI198)*1000</f>
        <v>331.13610110149</v>
      </c>
      <c r="BO198" s="53" t="n">
        <v>6.98590176</v>
      </c>
      <c r="BP198" s="54" t="s">
        <v>77</v>
      </c>
      <c r="BQ198" s="55" t="n">
        <v>518.57469075201</v>
      </c>
      <c r="BR198" s="56" t="n">
        <v>27.3626705398162</v>
      </c>
      <c r="BS198" s="56" t="n">
        <v>37.4383140541094</v>
      </c>
      <c r="BT198" s="56" t="n">
        <v>15.1206565008907</v>
      </c>
      <c r="BU198" s="55"/>
      <c r="BV198" s="55"/>
      <c r="BW198" s="55"/>
      <c r="BX198" s="55"/>
      <c r="BY198" s="79" t="n">
        <v>0.106738544474394</v>
      </c>
      <c r="BZ198" s="80" t="n">
        <v>0.8278638</v>
      </c>
      <c r="CA198" s="81" t="n">
        <v>3.43</v>
      </c>
      <c r="CB198" s="81" t="n">
        <v>0.208</v>
      </c>
      <c r="CC198" s="82" t="n">
        <v>5.724346</v>
      </c>
      <c r="CD198" s="82" t="n">
        <v>7.539519</v>
      </c>
      <c r="CE198" s="83" t="n">
        <v>79.968806</v>
      </c>
      <c r="CF198" s="84" t="n">
        <v>37.557292</v>
      </c>
      <c r="CG198" s="80" t="n">
        <v>0.239</v>
      </c>
      <c r="CH198" s="63" t="n">
        <v>77273.3922643514</v>
      </c>
      <c r="CI198" s="63" t="n">
        <v>4232.081267923</v>
      </c>
      <c r="CJ198" s="64" t="n">
        <v>385707.316828865</v>
      </c>
      <c r="CK198" s="65" t="n">
        <v>1.09722607875773</v>
      </c>
    </row>
    <row r="199" customFormat="false" ht="15" hidden="false" customHeight="false" outlineLevel="0" collapsed="false">
      <c r="A199" s="7" t="s">
        <v>73</v>
      </c>
      <c r="B199" s="66" t="n">
        <v>197</v>
      </c>
      <c r="C199" s="8" t="s">
        <v>275</v>
      </c>
      <c r="D199" s="67" t="n">
        <v>41869</v>
      </c>
      <c r="E199" s="4" t="s">
        <v>75</v>
      </c>
      <c r="F199" s="7" t="n">
        <v>284</v>
      </c>
      <c r="G199" s="68" t="n">
        <v>1</v>
      </c>
      <c r="H199" s="68" t="n">
        <v>107</v>
      </c>
      <c r="I199" s="66" t="n">
        <v>5</v>
      </c>
      <c r="J199" s="69" t="n">
        <v>731.101190476191</v>
      </c>
      <c r="K199" s="31" t="n">
        <v>509.548257242949</v>
      </c>
      <c r="L199" s="31" t="n">
        <v>932.058820804346</v>
      </c>
      <c r="M199" s="31" t="n">
        <v>171.842783211698</v>
      </c>
      <c r="N199" s="31" t="n">
        <v>341.305287834149</v>
      </c>
      <c r="O199" s="32"/>
      <c r="P199" s="33" t="n">
        <v>68.4873143636603</v>
      </c>
      <c r="Q199" s="33" t="n">
        <v>11.6388274426046</v>
      </c>
      <c r="R199" s="31" t="n">
        <v>157.716324112242</v>
      </c>
      <c r="S199" s="34" t="s">
        <v>76</v>
      </c>
      <c r="T199" s="35" t="n">
        <v>17.7487983958401</v>
      </c>
      <c r="U199" s="35" t="n">
        <v>6.28025192415994</v>
      </c>
      <c r="V199" s="70" t="n">
        <v>24.02905032</v>
      </c>
      <c r="W199" s="35" t="n">
        <v>22.4320384488152</v>
      </c>
      <c r="X199" s="35" t="n">
        <v>4.23243479116992</v>
      </c>
      <c r="Y199" s="35" t="n">
        <v>7.3490483213867</v>
      </c>
      <c r="Z199" s="35"/>
      <c r="AA199" s="35" t="n">
        <v>1.42565940732051</v>
      </c>
      <c r="AB199" s="35" t="n">
        <v>0.250602885001178</v>
      </c>
      <c r="AC199" s="71" t="n">
        <v>4.11481356707031</v>
      </c>
      <c r="AD199" s="38" t="n">
        <v>5.73110101509094</v>
      </c>
      <c r="AE199" s="38" t="n">
        <v>4.9908822995392</v>
      </c>
      <c r="AF199" s="38" t="n">
        <v>1.03852203357647</v>
      </c>
      <c r="AG199" s="72"/>
      <c r="AH199" s="72"/>
      <c r="AI199" s="73" t="n">
        <v>43.7268309075864</v>
      </c>
      <c r="AJ199" s="42" t="s">
        <v>16</v>
      </c>
      <c r="AK199" s="43" t="n">
        <v>761.492820616352</v>
      </c>
      <c r="AL199" s="43" t="n">
        <v>777.510977839698</v>
      </c>
      <c r="AM199" s="43" t="n">
        <v>754.627753334055</v>
      </c>
      <c r="AN199" s="74"/>
      <c r="AO199" s="75" t="n">
        <v>40.3571428571429</v>
      </c>
      <c r="AP199" s="76" t="n">
        <v>2.06225</v>
      </c>
      <c r="AQ199" s="76" t="n">
        <v>1.28739285714286</v>
      </c>
      <c r="AR199" s="76" t="n">
        <v>1.79589285714286</v>
      </c>
      <c r="AS199" s="77" t="n">
        <v>47.0766071428571</v>
      </c>
      <c r="AT199" s="78" t="n">
        <v>44.8020837124659</v>
      </c>
      <c r="AU199" s="78" t="n">
        <v>51.1</v>
      </c>
      <c r="AV199" s="78" t="n">
        <v>31.9</v>
      </c>
      <c r="AW199" s="78" t="n">
        <v>44.5</v>
      </c>
      <c r="AX199" s="78" t="n">
        <v>25</v>
      </c>
      <c r="AY199" s="48" t="n">
        <v>1.86449664534499</v>
      </c>
      <c r="AZ199" s="48" t="n">
        <v>30.3050590743196</v>
      </c>
      <c r="BA199" s="48" t="n">
        <v>-6.27600875431957</v>
      </c>
      <c r="BB199" s="49" t="n">
        <f aca="false">AT199/V199</f>
        <v>1.86449664534499</v>
      </c>
      <c r="BC199" s="49" t="n">
        <f aca="false">AS199/V199</f>
        <v>1.9591538789893</v>
      </c>
      <c r="BD199" s="49" t="n">
        <f aca="false">SUM(AP199:AR199)/V199</f>
        <v>0.214138122221291</v>
      </c>
      <c r="BE199" s="50" t="n">
        <v>6.95</v>
      </c>
      <c r="BF199" s="51" t="n">
        <v>169.886759309733</v>
      </c>
      <c r="BG199" s="51" t="n">
        <v>562.702459881542</v>
      </c>
      <c r="BH199" s="51" t="n">
        <v>216.816827704478</v>
      </c>
      <c r="BI199" s="51" t="n">
        <v>174.970073935805</v>
      </c>
      <c r="BJ199" s="51" t="n">
        <v>10.4382187661561</v>
      </c>
      <c r="BK199" s="51" t="n">
        <v>16.0526811986466</v>
      </c>
      <c r="BL199" s="51" t="n">
        <v>14.0446141352629</v>
      </c>
      <c r="BM199" s="51"/>
      <c r="BN199" s="52" t="n">
        <f aca="false">(BG199*0.5-BH199*0.25+BI199*0.5)/SUM(BG199:BI199)*1000</f>
        <v>329.633909675964</v>
      </c>
      <c r="BO199" s="53" t="n">
        <v>2.62976634</v>
      </c>
      <c r="BP199" s="54" t="s">
        <v>77</v>
      </c>
      <c r="BQ199" s="55" t="n">
        <v>452.351132038194</v>
      </c>
      <c r="BR199" s="56" t="n">
        <v>18.8251772755951</v>
      </c>
      <c r="BS199" s="56" t="n">
        <v>25.9358455463958</v>
      </c>
      <c r="BT199" s="56" t="n">
        <v>10.096653873095</v>
      </c>
      <c r="BU199" s="55"/>
      <c r="BV199" s="55"/>
      <c r="BW199" s="55"/>
      <c r="BX199" s="55"/>
      <c r="BY199" s="79" t="n">
        <v>0.0776280323450135</v>
      </c>
      <c r="BZ199" s="80" t="n">
        <v>0.4332046</v>
      </c>
      <c r="CA199" s="81" t="n">
        <v>3.75</v>
      </c>
      <c r="CB199" s="81" t="n">
        <v>0.427</v>
      </c>
      <c r="CC199" s="82" t="n">
        <v>3.878944</v>
      </c>
      <c r="CD199" s="82" t="n">
        <v>4.253817</v>
      </c>
      <c r="CE199" s="83" t="n">
        <v>72.565833</v>
      </c>
      <c r="CF199" s="84" t="n">
        <v>32.961356</v>
      </c>
      <c r="CG199" s="80" t="n">
        <v>1.037</v>
      </c>
      <c r="CH199" s="63"/>
      <c r="CI199" s="63"/>
      <c r="CJ199" s="64"/>
      <c r="CK199" s="65"/>
    </row>
    <row r="200" customFormat="false" ht="15" hidden="false" customHeight="false" outlineLevel="0" collapsed="false">
      <c r="A200" s="7" t="s">
        <v>73</v>
      </c>
      <c r="B200" s="66" t="n">
        <v>198</v>
      </c>
      <c r="C200" s="8" t="s">
        <v>276</v>
      </c>
      <c r="D200" s="67" t="n">
        <v>41869</v>
      </c>
      <c r="E200" s="4" t="s">
        <v>75</v>
      </c>
      <c r="F200" s="7" t="n">
        <v>2101</v>
      </c>
      <c r="G200" s="68" t="n">
        <v>1</v>
      </c>
      <c r="H200" s="68" t="n">
        <v>99</v>
      </c>
      <c r="I200" s="66" t="n">
        <v>3</v>
      </c>
      <c r="J200" s="69" t="n">
        <v>779.433333333333</v>
      </c>
      <c r="K200" s="31" t="n">
        <v>509.548257242949</v>
      </c>
      <c r="L200" s="31" t="n">
        <v>932.058820804346</v>
      </c>
      <c r="M200" s="31" t="n">
        <v>171.842783211698</v>
      </c>
      <c r="N200" s="31" t="n">
        <v>341.305287834149</v>
      </c>
      <c r="O200" s="32"/>
      <c r="P200" s="33" t="n">
        <v>68.4873143636603</v>
      </c>
      <c r="Q200" s="33" t="n">
        <v>11.6388274426046</v>
      </c>
      <c r="R200" s="31" t="n">
        <v>157.716324112242</v>
      </c>
      <c r="S200" s="34" t="s">
        <v>76</v>
      </c>
      <c r="T200" s="35" t="n">
        <v>26.7821237695513</v>
      </c>
      <c r="U200" s="35" t="n">
        <v>9.69794143044866</v>
      </c>
      <c r="V200" s="70" t="n">
        <v>36.4800652</v>
      </c>
      <c r="W200" s="35" t="n">
        <v>34.0564629496991</v>
      </c>
      <c r="X200" s="35" t="n">
        <v>6.42822155042379</v>
      </c>
      <c r="Y200" s="35" t="n">
        <v>11.1348849749816</v>
      </c>
      <c r="Z200" s="35"/>
      <c r="AA200" s="35" t="n">
        <v>2.15865880950642</v>
      </c>
      <c r="AB200" s="35" t="n">
        <v>0.379712879043201</v>
      </c>
      <c r="AC200" s="71" t="n">
        <v>6.25542745526976</v>
      </c>
      <c r="AD200" s="38" t="n">
        <v>11.6796367575618</v>
      </c>
      <c r="AE200" s="38" t="n">
        <v>10.3646425393305</v>
      </c>
      <c r="AF200" s="38" t="n">
        <v>2.46778029098806</v>
      </c>
      <c r="AG200" s="72"/>
      <c r="AH200" s="72"/>
      <c r="AI200" s="73" t="n">
        <v>32.5106753681668</v>
      </c>
      <c r="AJ200" s="42" t="s">
        <v>16</v>
      </c>
      <c r="AK200" s="43" t="n">
        <v>679.83509093175</v>
      </c>
      <c r="AL200" s="43" t="n">
        <v>695.662977255185</v>
      </c>
      <c r="AM200" s="43" t="n">
        <v>616.102172019045</v>
      </c>
      <c r="AN200" s="74"/>
      <c r="AO200" s="75" t="n">
        <v>64.5714285714286</v>
      </c>
      <c r="AP200" s="76" t="n">
        <v>2.64181200338124</v>
      </c>
      <c r="AQ200" s="76" t="n">
        <v>1.98463533389687</v>
      </c>
      <c r="AR200" s="76" t="n">
        <v>3.07898732037194</v>
      </c>
      <c r="AS200" s="77" t="n">
        <v>65.45575147929</v>
      </c>
      <c r="AT200" s="78" t="n">
        <v>64.1632654968745</v>
      </c>
      <c r="AU200" s="78" t="n">
        <v>40.9130177514793</v>
      </c>
      <c r="AV200" s="78" t="n">
        <v>30.7355029585799</v>
      </c>
      <c r="AW200" s="78" t="n">
        <v>47.6834319526627</v>
      </c>
      <c r="AX200" s="78" t="n">
        <v>22.0414201183432</v>
      </c>
      <c r="AY200" s="48" t="n">
        <v>1.75885830096802</v>
      </c>
      <c r="AZ200" s="48" t="n">
        <v>37.3653677302363</v>
      </c>
      <c r="BA200" s="48" t="n">
        <v>-0.885302530236274</v>
      </c>
      <c r="BB200" s="49" t="n">
        <f aca="false">AT200/V200</f>
        <v>1.75885830096802</v>
      </c>
      <c r="BC200" s="49" t="n">
        <f aca="false">AS200/V200</f>
        <v>1.79428822619785</v>
      </c>
      <c r="BD200" s="49" t="n">
        <f aca="false">SUM(AP200:AR200)/V200</f>
        <v>0.211223160249452</v>
      </c>
      <c r="BE200" s="50" t="n">
        <v>7.09</v>
      </c>
      <c r="BF200" s="51" t="n">
        <v>164.318140153459</v>
      </c>
      <c r="BG200" s="51" t="n">
        <v>505.273214935563</v>
      </c>
      <c r="BH200" s="51" t="n">
        <v>262.415094120343</v>
      </c>
      <c r="BI200" s="51" t="n">
        <v>163.511642688977</v>
      </c>
      <c r="BJ200" s="51" t="n">
        <v>15.8242242335012</v>
      </c>
      <c r="BK200" s="51" t="n">
        <v>24.3631767198097</v>
      </c>
      <c r="BL200" s="51" t="n">
        <v>23.6375229236974</v>
      </c>
      <c r="BM200" s="51"/>
      <c r="BN200" s="52" t="n">
        <f aca="false">(BG200*0.5-BH200*0.25+BI200*0.5)/SUM(BG200:BI200)*1000</f>
        <v>288.647625870822</v>
      </c>
      <c r="BO200" s="53" t="n">
        <v>8.16677376</v>
      </c>
      <c r="BP200" s="54" t="s">
        <v>77</v>
      </c>
      <c r="BQ200" s="55" t="n">
        <v>489.872864071916</v>
      </c>
      <c r="BR200" s="56" t="n">
        <v>13.4285084575977</v>
      </c>
      <c r="BS200" s="56" t="n">
        <v>20.6768773182801</v>
      </c>
      <c r="BT200" s="56" t="n">
        <v>7.63478698096777</v>
      </c>
      <c r="BU200" s="55"/>
      <c r="BV200" s="55"/>
      <c r="BW200" s="55"/>
      <c r="BX200" s="55"/>
      <c r="BY200" s="79" t="n">
        <v>0.0970350404312669</v>
      </c>
      <c r="BZ200" s="80" t="n">
        <v>0.6390725</v>
      </c>
      <c r="CA200" s="81" t="n">
        <v>4.34</v>
      </c>
      <c r="CB200" s="81" t="n">
        <v>0.493</v>
      </c>
      <c r="CC200" s="82" t="n">
        <v>5.19262</v>
      </c>
      <c r="CD200" s="82" t="n">
        <v>8.093289</v>
      </c>
      <c r="CE200" s="83" t="n">
        <v>73.537332</v>
      </c>
      <c r="CF200" s="84" t="n">
        <v>37.05906</v>
      </c>
      <c r="CG200" s="80" t="n">
        <v>0.134</v>
      </c>
      <c r="CH200" s="63" t="n">
        <v>32123.5460204098</v>
      </c>
      <c r="CI200" s="63" t="n">
        <v>1544.40237437794</v>
      </c>
      <c r="CJ200" s="64" t="n">
        <v>457345.820741153</v>
      </c>
      <c r="CK200" s="65" t="n">
        <v>0.337688091666643</v>
      </c>
    </row>
    <row r="201" customFormat="false" ht="15" hidden="false" customHeight="false" outlineLevel="0" collapsed="false">
      <c r="A201" s="7" t="s">
        <v>73</v>
      </c>
      <c r="B201" s="66" t="n">
        <v>199</v>
      </c>
      <c r="C201" s="8" t="s">
        <v>277</v>
      </c>
      <c r="D201" s="67" t="n">
        <v>41869</v>
      </c>
      <c r="E201" s="4" t="s">
        <v>75</v>
      </c>
      <c r="F201" s="7" t="n">
        <v>165</v>
      </c>
      <c r="G201" s="68" t="n">
        <v>1</v>
      </c>
      <c r="H201" s="68" t="n">
        <v>122</v>
      </c>
      <c r="I201" s="66" t="n">
        <v>1</v>
      </c>
      <c r="J201" s="69" t="n">
        <v>577.142857142857</v>
      </c>
      <c r="K201" s="31" t="n">
        <v>509.548257242949</v>
      </c>
      <c r="L201" s="31" t="n">
        <v>932.058820804346</v>
      </c>
      <c r="M201" s="31" t="n">
        <v>171.842783211698</v>
      </c>
      <c r="N201" s="31" t="n">
        <v>341.305287834149</v>
      </c>
      <c r="O201" s="32"/>
      <c r="P201" s="33" t="n">
        <v>68.4873143636603</v>
      </c>
      <c r="Q201" s="33" t="n">
        <v>11.6388274426046</v>
      </c>
      <c r="R201" s="31" t="n">
        <v>157.716324112242</v>
      </c>
      <c r="S201" s="34" t="s">
        <v>76</v>
      </c>
      <c r="T201" s="35" t="n">
        <v>18.3264069507471</v>
      </c>
      <c r="U201" s="35" t="n">
        <v>5.76230673925286</v>
      </c>
      <c r="V201" s="70" t="n">
        <v>24.08871369</v>
      </c>
      <c r="W201" s="35" t="n">
        <v>22.4847163263446</v>
      </c>
      <c r="X201" s="35" t="n">
        <v>4.23417508442704</v>
      </c>
      <c r="Y201" s="35" t="n">
        <v>7.43969389051133</v>
      </c>
      <c r="Z201" s="35"/>
      <c r="AA201" s="35" t="n">
        <v>1.44789156082781</v>
      </c>
      <c r="AB201" s="35" t="n">
        <v>0.254032426999525</v>
      </c>
      <c r="AC201" s="71" t="n">
        <v>4.09741673625426</v>
      </c>
      <c r="AD201" s="38" t="n">
        <v>6.83461208873274</v>
      </c>
      <c r="AE201" s="38" t="n">
        <v>5.99536842078089</v>
      </c>
      <c r="AF201" s="38" t="n">
        <v>1.15168778595484</v>
      </c>
      <c r="AG201" s="72"/>
      <c r="AH201" s="72"/>
      <c r="AI201" s="73" t="n">
        <v>37.1685215929536</v>
      </c>
      <c r="AJ201" s="42" t="s">
        <v>16</v>
      </c>
      <c r="AK201" s="43" t="n">
        <v>716.27326487051</v>
      </c>
      <c r="AL201" s="43" t="n">
        <v>733.358058257719</v>
      </c>
      <c r="AM201" s="43" t="n">
        <v>728.001850894013</v>
      </c>
      <c r="AN201" s="74"/>
      <c r="AO201" s="75" t="n">
        <v>36.7785714285714</v>
      </c>
      <c r="AP201" s="76" t="n">
        <v>1.26064787227603</v>
      </c>
      <c r="AQ201" s="76" t="n">
        <v>1.15729385290557</v>
      </c>
      <c r="AR201" s="76" t="n">
        <v>1.77847769067797</v>
      </c>
      <c r="AS201" s="77" t="n">
        <v>33.621146655569</v>
      </c>
      <c r="AT201" s="78" t="n">
        <v>33.9065803123795</v>
      </c>
      <c r="AU201" s="78" t="n">
        <v>34.2766949152542</v>
      </c>
      <c r="AV201" s="78" t="n">
        <v>31.4665254237288</v>
      </c>
      <c r="AW201" s="78" t="n">
        <v>48.3563559322034</v>
      </c>
      <c r="AX201" s="78" t="n">
        <v>35.8474576271186</v>
      </c>
      <c r="AY201" s="48" t="n">
        <v>1.40757122811648</v>
      </c>
      <c r="AZ201" s="48" t="n">
        <v>23.4892061100571</v>
      </c>
      <c r="BA201" s="48" t="n">
        <v>0.599507579942856</v>
      </c>
      <c r="BB201" s="49" t="n">
        <f aca="false">AT201/V201</f>
        <v>1.40757122811648</v>
      </c>
      <c r="BC201" s="49" t="n">
        <f aca="false">AS201/V201</f>
        <v>1.39572195876637</v>
      </c>
      <c r="BD201" s="49" t="n">
        <f aca="false">SUM(AP201:AR201)/V201</f>
        <v>0.174206870066359</v>
      </c>
      <c r="BE201" s="50" t="n">
        <v>6.96</v>
      </c>
      <c r="BF201" s="51" t="n">
        <v>179.894629719993</v>
      </c>
      <c r="BG201" s="51" t="n">
        <v>517.923919332258</v>
      </c>
      <c r="BH201" s="51" t="n">
        <v>275.65811157193</v>
      </c>
      <c r="BI201" s="51" t="n">
        <v>152.861370257334</v>
      </c>
      <c r="BJ201" s="51" t="n">
        <v>12.622664093794</v>
      </c>
      <c r="BK201" s="51" t="n">
        <v>17.5714247477259</v>
      </c>
      <c r="BL201" s="51" t="n">
        <v>18.3873856188484</v>
      </c>
      <c r="BM201" s="51"/>
      <c r="BN201" s="52" t="n">
        <f aca="false">(BG201*0.5-BH201*0.25+BI201*0.5)/SUM(BG201:BI201)*1000</f>
        <v>281.557372131052</v>
      </c>
      <c r="BO201" s="53" t="n">
        <v>7.80953016</v>
      </c>
      <c r="BP201" s="54" t="s">
        <v>77</v>
      </c>
      <c r="BQ201" s="55" t="n">
        <v>419.449855794505</v>
      </c>
      <c r="BR201" s="56" t="n">
        <v>17.4127129074822</v>
      </c>
      <c r="BS201" s="56" t="n">
        <v>25.4376254413904</v>
      </c>
      <c r="BT201" s="56" t="n">
        <v>12.3707508079593</v>
      </c>
      <c r="BU201" s="55"/>
      <c r="BV201" s="55"/>
      <c r="BW201" s="55"/>
      <c r="BX201" s="55"/>
      <c r="BY201" s="79" t="n">
        <v>0.11644204851752</v>
      </c>
      <c r="BZ201" s="80" t="n">
        <v>0.6903023</v>
      </c>
      <c r="CA201" s="81" t="n">
        <v>4.16</v>
      </c>
      <c r="CB201" s="81" t="n">
        <v>0.243</v>
      </c>
      <c r="CC201" s="82" t="n">
        <v>5.223898</v>
      </c>
      <c r="CD201" s="82" t="n">
        <v>6.979596</v>
      </c>
      <c r="CE201" s="83" t="n">
        <v>86.407811</v>
      </c>
      <c r="CF201" s="84" t="n">
        <v>38.350396</v>
      </c>
      <c r="CG201" s="80" t="n">
        <v>0.1235</v>
      </c>
      <c r="CH201" s="63" t="n">
        <v>27325.0421545983</v>
      </c>
      <c r="CI201" s="63" t="n">
        <v>3041.54351675419</v>
      </c>
      <c r="CJ201" s="64" t="n">
        <v>871061.063457796</v>
      </c>
      <c r="CK201" s="65" t="n">
        <v>0.349176842399587</v>
      </c>
    </row>
    <row r="202" customFormat="false" ht="15" hidden="false" customHeight="false" outlineLevel="0" collapsed="false">
      <c r="A202" s="7" t="s">
        <v>73</v>
      </c>
      <c r="B202" s="66" t="n">
        <v>200</v>
      </c>
      <c r="C202" s="8" t="s">
        <v>278</v>
      </c>
      <c r="D202" s="67" t="n">
        <v>41883</v>
      </c>
      <c r="E202" s="4" t="s">
        <v>78</v>
      </c>
      <c r="F202" s="7" t="n">
        <v>991</v>
      </c>
      <c r="G202" s="68" t="n">
        <v>1</v>
      </c>
      <c r="H202" s="68" t="n">
        <v>211</v>
      </c>
      <c r="I202" s="66" t="n">
        <v>2</v>
      </c>
      <c r="J202" s="69" t="n">
        <v>677.408333333333</v>
      </c>
      <c r="K202" s="31" t="n">
        <v>396.622734816217</v>
      </c>
      <c r="L202" s="31" t="n">
        <v>908.09698443913</v>
      </c>
      <c r="M202" s="31" t="n">
        <v>148.078963481839</v>
      </c>
      <c r="N202" s="31" t="n">
        <v>410.837451037105</v>
      </c>
      <c r="O202" s="32"/>
      <c r="P202" s="33" t="n">
        <v>65.5888604036004</v>
      </c>
      <c r="Q202" s="33" t="n">
        <v>13.7092448906003</v>
      </c>
      <c r="R202" s="31" t="n">
        <v>93.703155833179</v>
      </c>
      <c r="S202" s="34" t="s">
        <v>76</v>
      </c>
      <c r="T202" s="35" t="n">
        <v>18.9767217042857</v>
      </c>
      <c r="U202" s="35" t="n">
        <v>6.50107928571429</v>
      </c>
      <c r="V202" s="70" t="n">
        <v>25.47780099</v>
      </c>
      <c r="W202" s="35" t="n">
        <v>23.1679195812307</v>
      </c>
      <c r="X202" s="35" t="n">
        <v>3.89858987644758</v>
      </c>
      <c r="Y202" s="35" t="n">
        <v>9.33807753136016</v>
      </c>
      <c r="Z202" s="35"/>
      <c r="AA202" s="35" t="n">
        <v>1.4484037834044</v>
      </c>
      <c r="AB202" s="35" t="n">
        <v>0.326376337839336</v>
      </c>
      <c r="AC202" s="71" t="n">
        <v>2.87877457037395</v>
      </c>
      <c r="AD202" s="38" t="n">
        <v>7.93722284387814</v>
      </c>
      <c r="AE202" s="38" t="n">
        <v>6.80834621575123</v>
      </c>
      <c r="AF202" s="38" t="n">
        <v>1.62992258186212</v>
      </c>
      <c r="AG202" s="72"/>
      <c r="AH202" s="72"/>
      <c r="AI202" s="73" t="n">
        <v>41.1197145725932</v>
      </c>
      <c r="AJ202" s="42" t="s">
        <v>16</v>
      </c>
      <c r="AK202" s="43" t="n">
        <v>688.465152585442</v>
      </c>
      <c r="AL202" s="43" t="n">
        <v>706.130445080319</v>
      </c>
      <c r="AM202" s="43" t="n">
        <v>581.919967599331</v>
      </c>
      <c r="AN202" s="74"/>
      <c r="AO202" s="75" t="n">
        <v>34.35</v>
      </c>
      <c r="AP202" s="76" t="n">
        <v>1.370565</v>
      </c>
      <c r="AQ202" s="76" t="n">
        <v>1.082025</v>
      </c>
      <c r="AR202" s="76" t="n">
        <v>1.57323</v>
      </c>
      <c r="AS202" s="77" t="n">
        <v>34.298475</v>
      </c>
      <c r="AT202" s="78" t="n">
        <v>33.5700362101911</v>
      </c>
      <c r="AU202" s="78" t="n">
        <v>39.9</v>
      </c>
      <c r="AV202" s="78" t="n">
        <v>31.5</v>
      </c>
      <c r="AW202" s="78" t="n">
        <v>45.8</v>
      </c>
      <c r="AX202" s="78" t="n">
        <v>41</v>
      </c>
      <c r="AY202" s="48" t="n">
        <v>1.31761906074105</v>
      </c>
      <c r="AZ202" s="48" t="n">
        <v>25.5734785394588</v>
      </c>
      <c r="BA202" s="48" t="n">
        <v>-0.0956775494587667</v>
      </c>
      <c r="BB202" s="49" t="n">
        <f aca="false">AT202/V202</f>
        <v>1.31761906074105</v>
      </c>
      <c r="BC202" s="49" t="n">
        <f aca="false">AS202/V202</f>
        <v>1.34621017777249</v>
      </c>
      <c r="BD202" s="49" t="n">
        <f aca="false">SUM(AP202:AR202)/V202</f>
        <v>0.158012852113105</v>
      </c>
      <c r="BE202" s="50" t="n">
        <v>7.23</v>
      </c>
      <c r="BF202" s="51" t="n">
        <v>159.751448237526</v>
      </c>
      <c r="BG202" s="51" t="n">
        <v>501.075943823892</v>
      </c>
      <c r="BH202" s="51" t="n">
        <v>247.293729848294</v>
      </c>
      <c r="BI202" s="51" t="n">
        <v>195.973136618421</v>
      </c>
      <c r="BJ202" s="51" t="n">
        <v>10.6683920088072</v>
      </c>
      <c r="BK202" s="51" t="n">
        <v>20.3717044217979</v>
      </c>
      <c r="BL202" s="51" t="n">
        <v>19.6419689006788</v>
      </c>
      <c r="BM202" s="51"/>
      <c r="BN202" s="52" t="n">
        <f aca="false">(BG202*0.5-BH202*0.25+BI202*0.5)/SUM(BG202:BI202)*1000</f>
        <v>303.598549843203</v>
      </c>
      <c r="BO202" s="53" t="n">
        <v>8.9731662</v>
      </c>
      <c r="BP202" s="54" t="s">
        <v>77</v>
      </c>
      <c r="BQ202" s="55" t="n">
        <v>440.434141142522</v>
      </c>
      <c r="BR202" s="56" t="n">
        <v>17.2869762706519</v>
      </c>
      <c r="BS202" s="56" t="n">
        <v>26.922104342396</v>
      </c>
      <c r="BT202" s="56" t="n">
        <v>13.1198589833161</v>
      </c>
      <c r="BU202" s="55"/>
      <c r="BV202" s="55"/>
      <c r="BW202" s="55"/>
      <c r="BX202" s="55"/>
      <c r="BY202" s="79" t="n">
        <v>0.0582210242587601</v>
      </c>
      <c r="BZ202" s="80" t="n">
        <v>1.0403726</v>
      </c>
      <c r="CA202" s="81" t="n">
        <v>3.02</v>
      </c>
      <c r="CB202" s="81" t="n">
        <v>0.516</v>
      </c>
      <c r="CC202" s="82" t="n">
        <v>4.525356</v>
      </c>
      <c r="CD202" s="82" t="n">
        <v>9.323889</v>
      </c>
      <c r="CE202" s="83" t="n">
        <v>89.41268</v>
      </c>
      <c r="CF202" s="84" t="n">
        <v>37.00822</v>
      </c>
      <c r="CG202" s="80" t="n">
        <v>0.134</v>
      </c>
      <c r="CH202" s="63" t="n">
        <v>19895.7405354744</v>
      </c>
      <c r="CI202" s="63" t="n">
        <v>3178.85536445797</v>
      </c>
      <c r="CJ202" s="64" t="n">
        <v>859503.799074701</v>
      </c>
      <c r="CK202" s="65" t="n">
        <v>0.369847738646433</v>
      </c>
    </row>
    <row r="203" customFormat="false" ht="15" hidden="false" customHeight="false" outlineLevel="0" collapsed="false">
      <c r="A203" s="7" t="s">
        <v>73</v>
      </c>
      <c r="B203" s="66" t="n">
        <v>201</v>
      </c>
      <c r="C203" s="8" t="s">
        <v>279</v>
      </c>
      <c r="D203" s="67" t="n">
        <v>41883</v>
      </c>
      <c r="E203" s="4" t="s">
        <v>78</v>
      </c>
      <c r="F203" s="7" t="n">
        <v>979</v>
      </c>
      <c r="G203" s="68" t="n">
        <v>1</v>
      </c>
      <c r="H203" s="68" t="n">
        <v>207</v>
      </c>
      <c r="I203" s="66" t="n">
        <v>2</v>
      </c>
      <c r="J203" s="69" t="n">
        <v>749.348484848485</v>
      </c>
      <c r="K203" s="31" t="n">
        <v>396.622734816217</v>
      </c>
      <c r="L203" s="31" t="n">
        <v>908.09698443913</v>
      </c>
      <c r="M203" s="31" t="n">
        <v>148.078963481839</v>
      </c>
      <c r="N203" s="31" t="n">
        <v>410.837451037105</v>
      </c>
      <c r="O203" s="32"/>
      <c r="P203" s="33" t="n">
        <v>65.5888604036004</v>
      </c>
      <c r="Q203" s="33" t="n">
        <v>13.7092448906003</v>
      </c>
      <c r="R203" s="31" t="n">
        <v>93.703155833179</v>
      </c>
      <c r="S203" s="34" t="s">
        <v>76</v>
      </c>
      <c r="T203" s="35" t="n">
        <v>11.8230762381818</v>
      </c>
      <c r="U203" s="35" t="n">
        <v>1.24931418181818</v>
      </c>
      <c r="V203" s="70" t="n">
        <v>13.07239042</v>
      </c>
      <c r="W203" s="35" t="n">
        <v>11.8483430378302</v>
      </c>
      <c r="X203" s="35" t="n">
        <v>1.91440169489395</v>
      </c>
      <c r="Y203" s="35" t="n">
        <v>5.19871963769822</v>
      </c>
      <c r="Z203" s="35"/>
      <c r="AA203" s="35" t="n">
        <v>0.797139662247029</v>
      </c>
      <c r="AB203" s="35" t="n">
        <v>0.188785155044706</v>
      </c>
      <c r="AC203" s="71" t="n">
        <v>1.23922874257863</v>
      </c>
      <c r="AD203" s="38" t="n">
        <v>3.33721496766037</v>
      </c>
      <c r="AE203" s="38" t="n">
        <v>2.78468717194259</v>
      </c>
      <c r="AF203" s="38" t="n">
        <v>0.784634515649298</v>
      </c>
      <c r="AG203" s="72"/>
      <c r="AH203" s="72"/>
      <c r="AI203" s="73" t="n">
        <v>56.5696716795736</v>
      </c>
      <c r="AJ203" s="42" t="s">
        <v>16</v>
      </c>
      <c r="AK203" s="43" t="n">
        <v>744.712721970527</v>
      </c>
      <c r="AL203" s="43" t="n">
        <v>764.97243850457</v>
      </c>
      <c r="AM203" s="43" t="n">
        <v>590.141129867333</v>
      </c>
      <c r="AN203" s="74"/>
      <c r="AO203" s="75" t="n">
        <v>11.8363636363636</v>
      </c>
      <c r="AP203" s="76" t="n">
        <v>0.421582984562607</v>
      </c>
      <c r="AQ203" s="76" t="n">
        <v>0.448054751286449</v>
      </c>
      <c r="AR203" s="76" t="n">
        <v>0.459906003430532</v>
      </c>
      <c r="AS203" s="77" t="n">
        <v>11.0582902229846</v>
      </c>
      <c r="AT203" s="78" t="n">
        <v>11.0959908642973</v>
      </c>
      <c r="AU203" s="78" t="n">
        <v>35.6176100628931</v>
      </c>
      <c r="AV203" s="78" t="n">
        <v>37.8540880503145</v>
      </c>
      <c r="AW203" s="78" t="n">
        <v>38.8553459119497</v>
      </c>
      <c r="AX203" s="78" t="n">
        <v>32.5031446540881</v>
      </c>
      <c r="AY203" s="48" t="n">
        <v>0.84881115907624</v>
      </c>
      <c r="AZ203" s="48" t="n">
        <v>17.9472711284913</v>
      </c>
      <c r="BA203" s="48" t="n">
        <v>-4.87488070849134</v>
      </c>
      <c r="BB203" s="49" t="n">
        <f aca="false">AT203/V203</f>
        <v>0.84881115907624</v>
      </c>
      <c r="BC203" s="49" t="n">
        <f aca="false">AS203/V203</f>
        <v>0.845927169224231</v>
      </c>
      <c r="BD203" s="49" t="n">
        <f aca="false">SUM(AP203:AR203)/V203</f>
        <v>0.101706244731297</v>
      </c>
      <c r="BE203" s="50" t="n">
        <v>7.42</v>
      </c>
      <c r="BF203" s="51" t="n">
        <v>134.242719191652</v>
      </c>
      <c r="BG203" s="51" t="n">
        <v>569.109737968144</v>
      </c>
      <c r="BH203" s="51" t="n">
        <v>231.681284453643</v>
      </c>
      <c r="BI203" s="51" t="n">
        <v>149.960265453395</v>
      </c>
      <c r="BJ203" s="51" t="n">
        <v>9.77993921945063</v>
      </c>
      <c r="BK203" s="51" t="n">
        <v>19.3344720206903</v>
      </c>
      <c r="BL203" s="51" t="n">
        <v>15.1591765065671</v>
      </c>
      <c r="BM203" s="51"/>
      <c r="BN203" s="52" t="n">
        <f aca="false">(BG203*0.5-BH203*0.25+BI203*0.5)/SUM(BG203:BI203)*1000</f>
        <v>317.238256149442</v>
      </c>
      <c r="BO203" s="53" t="n">
        <v>6.92902508</v>
      </c>
      <c r="BP203" s="54" t="s">
        <v>77</v>
      </c>
      <c r="BQ203" s="55" t="n">
        <v>414.0577844742</v>
      </c>
      <c r="BR203" s="56" t="n">
        <v>31.6742211004282</v>
      </c>
      <c r="BS203" s="56" t="n">
        <v>45.6833082147974</v>
      </c>
      <c r="BT203" s="56" t="n">
        <v>37.3159810185569</v>
      </c>
      <c r="BU203" s="55"/>
      <c r="BV203" s="55"/>
      <c r="BW203" s="55"/>
      <c r="BX203" s="55"/>
      <c r="BY203" s="79" t="n">
        <v>0.0485175202156334</v>
      </c>
      <c r="BZ203" s="80" t="n">
        <v>0.444589</v>
      </c>
      <c r="CA203" s="81" t="n">
        <v>3.71</v>
      </c>
      <c r="CB203" s="81" t="n">
        <v>0.082</v>
      </c>
      <c r="CC203" s="82" t="n">
        <v>4.04576</v>
      </c>
      <c r="CD203" s="82" t="n">
        <v>8.179431</v>
      </c>
      <c r="CE203" s="83" t="n">
        <v>79.863372</v>
      </c>
      <c r="CF203" s="84" t="n">
        <v>34.61874</v>
      </c>
      <c r="CG203" s="80" t="n">
        <v>0.449</v>
      </c>
      <c r="CH203" s="63" t="n">
        <v>40491.0357220085</v>
      </c>
      <c r="CI203" s="63" t="n">
        <v>4724.34629131367</v>
      </c>
      <c r="CJ203" s="64" t="n">
        <v>552384.203057411</v>
      </c>
      <c r="CK203" s="65" t="n">
        <v>0.855264554120976</v>
      </c>
    </row>
    <row r="204" customFormat="false" ht="15" hidden="false" customHeight="false" outlineLevel="0" collapsed="false">
      <c r="A204" s="7" t="s">
        <v>73</v>
      </c>
      <c r="B204" s="66" t="n">
        <v>202</v>
      </c>
      <c r="C204" s="8" t="s">
        <v>280</v>
      </c>
      <c r="D204" s="67" t="n">
        <v>41883</v>
      </c>
      <c r="E204" s="4" t="s">
        <v>78</v>
      </c>
      <c r="F204" s="7" t="n">
        <v>2040</v>
      </c>
      <c r="G204" s="68" t="n">
        <v>1</v>
      </c>
      <c r="H204" s="68" t="n">
        <v>209</v>
      </c>
      <c r="I204" s="66" t="n">
        <v>1</v>
      </c>
      <c r="J204" s="69" t="n">
        <v>602.684848484848</v>
      </c>
      <c r="K204" s="31" t="n">
        <v>396.622734816217</v>
      </c>
      <c r="L204" s="31" t="n">
        <v>908.09698443913</v>
      </c>
      <c r="M204" s="31" t="n">
        <v>148.078963481839</v>
      </c>
      <c r="N204" s="31" t="n">
        <v>410.837451037105</v>
      </c>
      <c r="O204" s="32"/>
      <c r="P204" s="33" t="n">
        <v>65.5888604036004</v>
      </c>
      <c r="Q204" s="33" t="n">
        <v>13.7092448906003</v>
      </c>
      <c r="R204" s="31" t="n">
        <v>93.703155833179</v>
      </c>
      <c r="S204" s="34" t="s">
        <v>76</v>
      </c>
      <c r="T204" s="35" t="n">
        <v>22.1910346472727</v>
      </c>
      <c r="U204" s="35" t="n">
        <v>6.20474627272727</v>
      </c>
      <c r="V204" s="70" t="n">
        <v>28.39578092</v>
      </c>
      <c r="W204" s="35" t="n">
        <v>25.8384337135168</v>
      </c>
      <c r="X204" s="35" t="n">
        <v>4.36004271951172</v>
      </c>
      <c r="Y204" s="35" t="n">
        <v>10.5536099573554</v>
      </c>
      <c r="Z204" s="35"/>
      <c r="AA204" s="35" t="n">
        <v>1.6634111979868</v>
      </c>
      <c r="AB204" s="35" t="n">
        <v>0.356651505814671</v>
      </c>
      <c r="AC204" s="71" t="n">
        <v>3.19156949578201</v>
      </c>
      <c r="AD204" s="38" t="n">
        <v>9.72152332662306</v>
      </c>
      <c r="AE204" s="38" t="n">
        <v>8.45458505318486</v>
      </c>
      <c r="AF204" s="38" t="n">
        <v>2.03238143374892</v>
      </c>
      <c r="AG204" s="72"/>
      <c r="AH204" s="72"/>
      <c r="AI204" s="73" t="n">
        <v>36.6867921653756</v>
      </c>
      <c r="AJ204" s="42" t="s">
        <v>16</v>
      </c>
      <c r="AK204" s="43" t="n">
        <v>657.641980193758</v>
      </c>
      <c r="AL204" s="43" t="n">
        <v>672.790342211725</v>
      </c>
      <c r="AM204" s="43" t="n">
        <v>533.862036568182</v>
      </c>
      <c r="AN204" s="74"/>
      <c r="AO204" s="75" t="n">
        <v>28.6636363636364</v>
      </c>
      <c r="AP204" s="76" t="n">
        <v>0.988548824524313</v>
      </c>
      <c r="AQ204" s="76" t="n">
        <v>0.854762968287526</v>
      </c>
      <c r="AR204" s="76" t="n">
        <v>1.28155784778013</v>
      </c>
      <c r="AS204" s="77" t="n">
        <v>26.2936869133192</v>
      </c>
      <c r="AT204" s="78" t="n">
        <v>25.5850279894426</v>
      </c>
      <c r="AU204" s="78" t="n">
        <v>34.4879069767442</v>
      </c>
      <c r="AV204" s="78" t="n">
        <v>29.8204651162791</v>
      </c>
      <c r="AW204" s="78" t="n">
        <v>44.7102325581395</v>
      </c>
      <c r="AX204" s="78" t="n">
        <v>35.9116279069767</v>
      </c>
      <c r="AY204" s="48" t="n">
        <v>0.901015121278892</v>
      </c>
      <c r="AZ204" s="48" t="n">
        <v>21.5212596181669</v>
      </c>
      <c r="BA204" s="48" t="n">
        <v>6.87452130183307</v>
      </c>
      <c r="BB204" s="49" t="n">
        <f aca="false">AT204/V204</f>
        <v>0.901015121278892</v>
      </c>
      <c r="BC204" s="49" t="n">
        <f aca="false">AS204/V204</f>
        <v>0.925971607803179</v>
      </c>
      <c r="BD204" s="49" t="n">
        <f aca="false">SUM(AP204:AR204)/V204</f>
        <v>0.110046969632416</v>
      </c>
      <c r="BE204" s="50" t="n">
        <v>6.6</v>
      </c>
      <c r="BF204" s="51" t="n">
        <v>161.337439297185</v>
      </c>
      <c r="BG204" s="51" t="n">
        <v>495.649228041274</v>
      </c>
      <c r="BH204" s="51" t="n">
        <v>236.788220694317</v>
      </c>
      <c r="BI204" s="51" t="n">
        <v>220.048548558034</v>
      </c>
      <c r="BJ204" s="51" t="n">
        <v>8.10002194315664</v>
      </c>
      <c r="BK204" s="51" t="n">
        <v>19.006002570254</v>
      </c>
      <c r="BL204" s="51" t="n">
        <v>15.4328538148555</v>
      </c>
      <c r="BM204" s="51"/>
      <c r="BN204" s="52" t="n">
        <f aca="false">(BG204*0.5-BH204*0.25+BI204*0.5)/SUM(BG204:BI204)*1000</f>
        <v>313.549841125915</v>
      </c>
      <c r="BO204" s="53" t="n">
        <v>9.26572028</v>
      </c>
      <c r="BP204" s="54" t="s">
        <v>77</v>
      </c>
      <c r="BQ204" s="55" t="n">
        <v>411.164253836607</v>
      </c>
      <c r="BR204" s="56" t="n">
        <v>14.4797656734636</v>
      </c>
      <c r="BS204" s="56" t="n">
        <v>23.6520842921763</v>
      </c>
      <c r="BT204" s="56" t="n">
        <v>16.0705024050108</v>
      </c>
      <c r="BU204" s="55"/>
      <c r="BV204" s="55"/>
      <c r="BW204" s="55"/>
      <c r="BX204" s="55"/>
      <c r="BY204" s="79" t="n">
        <v>0.0485175202156334</v>
      </c>
      <c r="BZ204" s="80" t="n">
        <v>0.8326073</v>
      </c>
      <c r="CA204" s="81" t="n">
        <v>3.28</v>
      </c>
      <c r="CB204" s="81" t="n">
        <v>0.64</v>
      </c>
      <c r="CC204" s="82" t="n">
        <v>5.55753</v>
      </c>
      <c r="CD204" s="82" t="n">
        <v>7.619508</v>
      </c>
      <c r="CE204" s="83" t="n">
        <v>81.904273</v>
      </c>
      <c r="CF204" s="84" t="n">
        <v>33.073204</v>
      </c>
      <c r="CG204" s="80" t="n">
        <v>0.2075</v>
      </c>
      <c r="CH204" s="63" t="n">
        <v>17168.7812835813</v>
      </c>
      <c r="CI204" s="63" t="n">
        <v>1891.15337721689</v>
      </c>
      <c r="CJ204" s="64" t="n">
        <v>888728.631324937</v>
      </c>
      <c r="CK204" s="65" t="n">
        <v>0.212793119357201</v>
      </c>
    </row>
    <row r="205" customFormat="false" ht="15" hidden="false" customHeight="false" outlineLevel="0" collapsed="false">
      <c r="A205" s="7" t="s">
        <v>73</v>
      </c>
      <c r="B205" s="66" t="n">
        <v>203</v>
      </c>
      <c r="C205" s="8" t="s">
        <v>281</v>
      </c>
      <c r="D205" s="67" t="n">
        <v>41883</v>
      </c>
      <c r="E205" s="4" t="s">
        <v>78</v>
      </c>
      <c r="F205" s="7" t="n">
        <v>821</v>
      </c>
      <c r="G205" s="68" t="n">
        <v>1</v>
      </c>
      <c r="H205" s="68" t="n">
        <v>202</v>
      </c>
      <c r="I205" s="66" t="n">
        <v>3</v>
      </c>
      <c r="J205" s="69" t="n">
        <v>796.551282051282</v>
      </c>
      <c r="K205" s="31" t="n">
        <v>396.622734816217</v>
      </c>
      <c r="L205" s="31" t="n">
        <v>908.09698443913</v>
      </c>
      <c r="M205" s="31" t="n">
        <v>148.078963481839</v>
      </c>
      <c r="N205" s="31" t="n">
        <v>410.837451037105</v>
      </c>
      <c r="O205" s="32"/>
      <c r="P205" s="33" t="n">
        <v>65.5888604036004</v>
      </c>
      <c r="Q205" s="33" t="n">
        <v>13.7092448906003</v>
      </c>
      <c r="R205" s="31" t="n">
        <v>93.703155833179</v>
      </c>
      <c r="S205" s="34" t="s">
        <v>76</v>
      </c>
      <c r="T205" s="35" t="n">
        <v>19.3029366214286</v>
      </c>
      <c r="U205" s="35" t="n">
        <v>5.42332142857143</v>
      </c>
      <c r="V205" s="70" t="n">
        <v>24.72625805</v>
      </c>
      <c r="W205" s="35" t="n">
        <v>22.4794225560144</v>
      </c>
      <c r="X205" s="35" t="n">
        <v>3.76519449018497</v>
      </c>
      <c r="Y205" s="35" t="n">
        <v>9.21773840560594</v>
      </c>
      <c r="Z205" s="35"/>
      <c r="AA205" s="35" t="n">
        <v>1.43554653772944</v>
      </c>
      <c r="AB205" s="35" t="n">
        <v>0.320251629622399</v>
      </c>
      <c r="AC205" s="71" t="n">
        <v>2.72469804897064</v>
      </c>
      <c r="AD205" s="38" t="n">
        <v>9.4583834131661</v>
      </c>
      <c r="AE205" s="38" t="n">
        <v>8.06293454121652</v>
      </c>
      <c r="AF205" s="38" t="n">
        <v>2.34441551299777</v>
      </c>
      <c r="AG205" s="72"/>
      <c r="AH205" s="72"/>
      <c r="AI205" s="73" t="n">
        <v>33.8590238556631</v>
      </c>
      <c r="AJ205" s="42" t="s">
        <v>16</v>
      </c>
      <c r="AK205" s="43" t="n">
        <v>617.476150493944</v>
      </c>
      <c r="AL205" s="43" t="n">
        <v>641.319321209198</v>
      </c>
      <c r="AM205" s="43" t="n">
        <v>377.345441488044</v>
      </c>
      <c r="AN205" s="74"/>
      <c r="AO205" s="75" t="n">
        <v>31.3357142857143</v>
      </c>
      <c r="AP205" s="76" t="n">
        <v>1.08045357985672</v>
      </c>
      <c r="AQ205" s="76" t="n">
        <v>1.00940747366203</v>
      </c>
      <c r="AR205" s="76" t="n">
        <v>1.38742341340076</v>
      </c>
      <c r="AS205" s="77" t="n">
        <v>28.7410894121365</v>
      </c>
      <c r="AT205" s="78" t="n">
        <v>28.4731418835976</v>
      </c>
      <c r="AU205" s="78" t="n">
        <v>34.4799410029499</v>
      </c>
      <c r="AV205" s="78" t="n">
        <v>32.2126843657817</v>
      </c>
      <c r="AW205" s="78" t="n">
        <v>44.2761061946903</v>
      </c>
      <c r="AX205" s="78" t="n">
        <v>39.6902654867257</v>
      </c>
      <c r="AY205" s="48" t="n">
        <v>1.15153460851298</v>
      </c>
      <c r="AZ205" s="48" t="n">
        <v>25.1567447236337</v>
      </c>
      <c r="BA205" s="48" t="n">
        <v>-0.43048667363367</v>
      </c>
      <c r="BB205" s="49" t="n">
        <f aca="false">AT205/V205</f>
        <v>1.15153460851298</v>
      </c>
      <c r="BC205" s="49" t="n">
        <f aca="false">AS205/V205</f>
        <v>1.16237116647485</v>
      </c>
      <c r="BD205" s="49" t="n">
        <f aca="false">SUM(AP205:AR205)/V205</f>
        <v>0.140631245532096</v>
      </c>
      <c r="BE205" s="50" t="n">
        <v>7.61</v>
      </c>
      <c r="BF205" s="51" t="n">
        <v>108.040144815603</v>
      </c>
      <c r="BG205" s="51" t="n">
        <v>639.075886870298</v>
      </c>
      <c r="BH205" s="51" t="n">
        <v>190.798473353482</v>
      </c>
      <c r="BI205" s="51" t="n">
        <v>134.655785034723</v>
      </c>
      <c r="BJ205" s="51" t="n">
        <v>7.29752794894398</v>
      </c>
      <c r="BK205" s="51" t="n">
        <v>13.2981860953762</v>
      </c>
      <c r="BL205" s="51" t="n">
        <v>9.89901631906804</v>
      </c>
      <c r="BM205" s="51"/>
      <c r="BN205" s="52" t="n">
        <f aca="false">(BG205*0.5-BH205*0.25+BI205*0.5)/SUM(BG205:BI205)*1000</f>
        <v>351.638794579344</v>
      </c>
      <c r="BO205" s="53" t="n">
        <v>6.64127202</v>
      </c>
      <c r="BP205" s="54" t="s">
        <v>77</v>
      </c>
      <c r="BQ205" s="55" t="n">
        <v>569.038949422083</v>
      </c>
      <c r="BR205" s="56" t="n">
        <v>23.0135489272742</v>
      </c>
      <c r="BS205" s="56" t="n">
        <v>39.4713989175442</v>
      </c>
      <c r="BT205" s="56" t="n">
        <v>19.9851126984299</v>
      </c>
      <c r="BU205" s="55"/>
      <c r="BV205" s="55"/>
      <c r="BW205" s="55"/>
      <c r="BX205" s="55"/>
      <c r="BY205" s="79" t="n">
        <v>0.0679245283018868</v>
      </c>
      <c r="BZ205" s="80" t="n">
        <v>0.691251</v>
      </c>
      <c r="CA205" s="81" t="n">
        <v>3.06</v>
      </c>
      <c r="CB205" s="81" t="n">
        <v>0.345</v>
      </c>
      <c r="CC205" s="82" t="n">
        <v>5.067508</v>
      </c>
      <c r="CD205" s="82" t="n">
        <v>8.407092</v>
      </c>
      <c r="CE205" s="83" t="n">
        <v>79.652504</v>
      </c>
      <c r="CF205" s="84" t="n">
        <v>35.015292</v>
      </c>
      <c r="CG205" s="80" t="n">
        <v>0.134</v>
      </c>
      <c r="CH205" s="63" t="n">
        <v>18832.9327504564</v>
      </c>
      <c r="CI205" s="63" t="n">
        <v>2435.08242947617</v>
      </c>
      <c r="CJ205" s="64" t="n">
        <v>458990.659825644</v>
      </c>
      <c r="CK205" s="65" t="n">
        <v>0.530529843548708</v>
      </c>
    </row>
    <row r="206" customFormat="false" ht="15" hidden="false" customHeight="false" outlineLevel="0" collapsed="false">
      <c r="A206" s="7" t="s">
        <v>73</v>
      </c>
      <c r="B206" s="66" t="n">
        <v>204</v>
      </c>
      <c r="C206" s="8" t="s">
        <v>282</v>
      </c>
      <c r="D206" s="67" t="n">
        <v>41883</v>
      </c>
      <c r="E206" s="4" t="s">
        <v>78</v>
      </c>
      <c r="F206" s="7" t="n">
        <v>987</v>
      </c>
      <c r="G206" s="68" t="n">
        <v>1</v>
      </c>
      <c r="H206" s="68" t="n">
        <v>202</v>
      </c>
      <c r="I206" s="66" t="n">
        <v>2</v>
      </c>
      <c r="J206" s="69" t="n">
        <v>704.414666666667</v>
      </c>
      <c r="K206" s="31" t="n">
        <v>396.622734816217</v>
      </c>
      <c r="L206" s="31" t="n">
        <v>908.09698443913</v>
      </c>
      <c r="M206" s="31" t="n">
        <v>148.078963481839</v>
      </c>
      <c r="N206" s="31" t="n">
        <v>410.837451037105</v>
      </c>
      <c r="O206" s="32"/>
      <c r="P206" s="33" t="n">
        <v>65.5888604036004</v>
      </c>
      <c r="Q206" s="33" t="n">
        <v>13.7092448906003</v>
      </c>
      <c r="R206" s="31" t="n">
        <v>93.703155833179</v>
      </c>
      <c r="S206" s="34" t="s">
        <v>76</v>
      </c>
      <c r="T206" s="35" t="n">
        <v>16.51439465</v>
      </c>
      <c r="U206" s="35" t="n">
        <v>4.44270848</v>
      </c>
      <c r="V206" s="70" t="n">
        <v>20.95710313</v>
      </c>
      <c r="W206" s="35" t="n">
        <v>19.0608265203672</v>
      </c>
      <c r="X206" s="35" t="n">
        <v>3.20222894295002</v>
      </c>
      <c r="Y206" s="35" t="n">
        <v>7.82553627285079</v>
      </c>
      <c r="Z206" s="35"/>
      <c r="AA206" s="35" t="n">
        <v>1.22734883590077</v>
      </c>
      <c r="AB206" s="35" t="n">
        <v>0.267690874277737</v>
      </c>
      <c r="AC206" s="71" t="n">
        <v>2.32229738795312</v>
      </c>
      <c r="AD206" s="38" t="n">
        <v>7.62947283542996</v>
      </c>
      <c r="AE206" s="38" t="n">
        <v>6.44967158655176</v>
      </c>
      <c r="AF206" s="38" t="n">
        <v>1.59017947199346</v>
      </c>
      <c r="AG206" s="72"/>
      <c r="AH206" s="72"/>
      <c r="AI206" s="73" t="n">
        <v>35.0864181643883</v>
      </c>
      <c r="AJ206" s="42" t="s">
        <v>16</v>
      </c>
      <c r="AK206" s="43" t="n">
        <v>635.948118015013</v>
      </c>
      <c r="AL206" s="43" t="n">
        <v>661.626867037479</v>
      </c>
      <c r="AM206" s="43" t="n">
        <v>503.414808771129</v>
      </c>
      <c r="AN206" s="74"/>
      <c r="AO206" s="75" t="n">
        <v>21.664</v>
      </c>
      <c r="AP206" s="76" t="n">
        <v>0.900129076635514</v>
      </c>
      <c r="AQ206" s="76" t="n">
        <v>0.700253368224299</v>
      </c>
      <c r="AR206" s="76" t="n">
        <v>1.0080238953271</v>
      </c>
      <c r="AS206" s="77" t="n">
        <v>22.1675361495327</v>
      </c>
      <c r="AT206" s="78" t="n">
        <v>21.8287373168403</v>
      </c>
      <c r="AU206" s="78" t="n">
        <v>41.5495327102804</v>
      </c>
      <c r="AV206" s="78" t="n">
        <v>32.3233644859813</v>
      </c>
      <c r="AW206" s="78" t="n">
        <v>46.5299065420561</v>
      </c>
      <c r="AX206" s="78" t="n">
        <v>39.8504672897196</v>
      </c>
      <c r="AY206" s="48" t="n">
        <v>1.04159134883449</v>
      </c>
      <c r="AZ206" s="48" t="n">
        <v>21.4403462618224</v>
      </c>
      <c r="BA206" s="48" t="n">
        <v>-0.483243131822388</v>
      </c>
      <c r="BB206" s="49" t="n">
        <f aca="false">AT206/V206</f>
        <v>1.04159134883449</v>
      </c>
      <c r="BC206" s="49" t="n">
        <f aca="false">AS206/V206</f>
        <v>1.05775764961523</v>
      </c>
      <c r="BD206" s="49" t="n">
        <f aca="false">SUM(AP206:AR206)/V206</f>
        <v>0.124464069485491</v>
      </c>
      <c r="BE206" s="50" t="n">
        <v>7.07</v>
      </c>
      <c r="BF206" s="51" t="n">
        <v>234.67209625648</v>
      </c>
      <c r="BG206" s="51" t="n">
        <v>586.842417027982</v>
      </c>
      <c r="BH206" s="51" t="n">
        <v>216.526541142056</v>
      </c>
      <c r="BI206" s="51" t="n">
        <v>158.298930441545</v>
      </c>
      <c r="BJ206" s="51" t="n">
        <v>9.03195811091316</v>
      </c>
      <c r="BK206" s="51" t="n">
        <v>14.4064757435754</v>
      </c>
      <c r="BL206" s="51" t="n">
        <v>9.91855315581892</v>
      </c>
      <c r="BM206" s="51"/>
      <c r="BN206" s="52" t="n">
        <f aca="false">(BG206*0.5-BH206*0.25+BI206*0.5)/SUM(BG206:BI206)*1000</f>
        <v>331.132028240018</v>
      </c>
      <c r="BO206" s="53" t="n">
        <v>7.93305454</v>
      </c>
      <c r="BP206" s="54" t="s">
        <v>77</v>
      </c>
      <c r="BQ206" s="55" t="n">
        <v>355.686426985597</v>
      </c>
      <c r="BR206" s="56" t="n">
        <v>16.9721179868812</v>
      </c>
      <c r="BS206" s="56" t="n">
        <v>28.204112062081</v>
      </c>
      <c r="BT206" s="56" t="n">
        <v>16.2944114367621</v>
      </c>
      <c r="BU206" s="55"/>
      <c r="BV206" s="55"/>
      <c r="BW206" s="55"/>
      <c r="BX206" s="55"/>
      <c r="BY206" s="79" t="n">
        <v>0.0679245283018868</v>
      </c>
      <c r="BZ206" s="80" t="n">
        <v>0.8563248</v>
      </c>
      <c r="CA206" s="81" t="n">
        <v>3.43</v>
      </c>
      <c r="CB206" s="81" t="n">
        <v>1.14</v>
      </c>
      <c r="CC206" s="82" t="n">
        <v>5.588808</v>
      </c>
      <c r="CD206" s="82" t="n">
        <v>7.367235</v>
      </c>
      <c r="CE206" s="83" t="n">
        <v>85.978544</v>
      </c>
      <c r="CF206" s="84" t="n">
        <v>37.6183</v>
      </c>
      <c r="CG206" s="80" t="n">
        <v>0.05</v>
      </c>
      <c r="CH206" s="63" t="n">
        <v>34068.7746721382</v>
      </c>
      <c r="CI206" s="63" t="n">
        <v>1408.81750111633</v>
      </c>
      <c r="CJ206" s="64" t="n">
        <v>457074.449528613</v>
      </c>
      <c r="CK206" s="65" t="n">
        <v>0.308224951661434</v>
      </c>
    </row>
    <row r="207" customFormat="false" ht="15" hidden="false" customHeight="false" outlineLevel="0" collapsed="false">
      <c r="A207" s="7" t="s">
        <v>73</v>
      </c>
      <c r="B207" s="66" t="n">
        <v>205</v>
      </c>
      <c r="C207" s="8" t="s">
        <v>283</v>
      </c>
      <c r="D207" s="67" t="n">
        <v>41883</v>
      </c>
      <c r="E207" s="4" t="s">
        <v>78</v>
      </c>
      <c r="F207" s="7" t="n">
        <v>2068</v>
      </c>
      <c r="G207" s="68" t="n">
        <v>1</v>
      </c>
      <c r="H207" s="68" t="n">
        <v>201</v>
      </c>
      <c r="I207" s="66" t="n">
        <v>1</v>
      </c>
      <c r="J207" s="69" t="n">
        <v>624.327380952381</v>
      </c>
      <c r="K207" s="31" t="n">
        <v>396.622734816217</v>
      </c>
      <c r="L207" s="31" t="n">
        <v>908.09698443913</v>
      </c>
      <c r="M207" s="31" t="n">
        <v>148.078963481839</v>
      </c>
      <c r="N207" s="31" t="n">
        <v>410.837451037105</v>
      </c>
      <c r="O207" s="32"/>
      <c r="P207" s="33" t="n">
        <v>65.5888604036004</v>
      </c>
      <c r="Q207" s="33" t="n">
        <v>13.7092448906003</v>
      </c>
      <c r="R207" s="31" t="n">
        <v>93.703155833179</v>
      </c>
      <c r="S207" s="34" t="s">
        <v>76</v>
      </c>
      <c r="T207" s="35" t="n">
        <v>14.7152845342857</v>
      </c>
      <c r="U207" s="35" t="n">
        <v>4.63432428571429</v>
      </c>
      <c r="V207" s="70" t="n">
        <v>19.34960882</v>
      </c>
      <c r="W207" s="35" t="n">
        <v>17.5806690698662</v>
      </c>
      <c r="X207" s="35" t="n">
        <v>2.93410008100254</v>
      </c>
      <c r="Y207" s="35" t="n">
        <v>7.16530529025576</v>
      </c>
      <c r="Z207" s="35"/>
      <c r="AA207" s="35" t="n">
        <v>1.10237857147535</v>
      </c>
      <c r="AB207" s="35" t="n">
        <v>0.255352663741232</v>
      </c>
      <c r="AC207" s="71" t="n">
        <v>2.12666427444202</v>
      </c>
      <c r="AD207" s="38" t="n">
        <v>6.74001592521327</v>
      </c>
      <c r="AE207" s="38" t="n">
        <v>5.79872390023356</v>
      </c>
      <c r="AF207" s="38" t="n">
        <v>1.39754526987938</v>
      </c>
      <c r="AG207" s="72"/>
      <c r="AH207" s="72"/>
      <c r="AI207" s="73" t="n">
        <v>37.8860623735324</v>
      </c>
      <c r="AJ207" s="42" t="s">
        <v>16</v>
      </c>
      <c r="AK207" s="43" t="n">
        <v>651.671721743196</v>
      </c>
      <c r="AL207" s="43" t="n">
        <v>670.164777165805</v>
      </c>
      <c r="AM207" s="43" t="n">
        <v>523.688616169541</v>
      </c>
      <c r="AN207" s="74"/>
      <c r="AO207" s="75" t="n">
        <v>29.45</v>
      </c>
      <c r="AP207" s="76" t="n">
        <v>0.959626666666667</v>
      </c>
      <c r="AQ207" s="76" t="n">
        <v>1.02651722222222</v>
      </c>
      <c r="AR207" s="76" t="n">
        <v>1.35698</v>
      </c>
      <c r="AS207" s="77" t="n">
        <v>26.1744</v>
      </c>
      <c r="AT207" s="78" t="n">
        <v>26.9584338570418</v>
      </c>
      <c r="AU207" s="78" t="n">
        <v>32.5849462365591</v>
      </c>
      <c r="AV207" s="78" t="n">
        <v>34.8562724014337</v>
      </c>
      <c r="AW207" s="78" t="n">
        <v>46.0774193548387</v>
      </c>
      <c r="AX207" s="78" t="n">
        <v>30.4121863799283</v>
      </c>
      <c r="AY207" s="48" t="n">
        <v>1.39322888167006</v>
      </c>
      <c r="AZ207" s="48" t="n">
        <v>21.7835932107527</v>
      </c>
      <c r="BA207" s="48" t="n">
        <v>-2.43398439075268</v>
      </c>
      <c r="BB207" s="49" t="n">
        <f aca="false">AT207/V207</f>
        <v>1.39322888167006</v>
      </c>
      <c r="BC207" s="49" t="n">
        <f aca="false">AS207/V207</f>
        <v>1.35270951694619</v>
      </c>
      <c r="BD207" s="49" t="n">
        <f aca="false">SUM(AP207:AR207)/V207</f>
        <v>0.172774753225677</v>
      </c>
      <c r="BE207" s="50" t="n">
        <v>7.92</v>
      </c>
      <c r="BF207" s="51" t="n">
        <v>109.968946019599</v>
      </c>
      <c r="BG207" s="51" t="n">
        <v>614.317559660778</v>
      </c>
      <c r="BH207" s="51" t="n">
        <v>171.797200454056</v>
      </c>
      <c r="BI207" s="51" t="n">
        <v>171.170687137084</v>
      </c>
      <c r="BJ207" s="51" t="n">
        <v>7.85654483106061</v>
      </c>
      <c r="BK207" s="51" t="n">
        <v>18.162167008772</v>
      </c>
      <c r="BL207" s="51" t="n">
        <v>11.7207165301406</v>
      </c>
      <c r="BM207" s="51"/>
      <c r="BN207" s="52" t="n">
        <f aca="false">(BG207*0.5-BH207*0.25+BI207*0.5)/SUM(BG207:BI207)*1000</f>
        <v>365.402842265673</v>
      </c>
      <c r="BO207" s="53" t="n">
        <v>2.74245612</v>
      </c>
      <c r="BP207" s="54" t="s">
        <v>77</v>
      </c>
      <c r="BQ207" s="55" t="n">
        <v>615.257943697212</v>
      </c>
      <c r="BR207" s="56" t="n">
        <v>31.7969189672338</v>
      </c>
      <c r="BS207" s="56" t="n">
        <v>52.2204045969426</v>
      </c>
      <c r="BT207" s="56" t="n">
        <v>22.8224661328574</v>
      </c>
      <c r="BU207" s="55"/>
      <c r="BV207" s="55"/>
      <c r="BW207" s="55"/>
      <c r="BX207" s="55"/>
      <c r="BY207" s="79" t="n">
        <v>0.0679245283018868</v>
      </c>
      <c r="BZ207" s="80" t="n">
        <v>0.5470486</v>
      </c>
      <c r="CA207" s="81" t="n">
        <v>4.14</v>
      </c>
      <c r="CB207" s="81" t="n">
        <v>0.883</v>
      </c>
      <c r="CC207" s="82" t="n">
        <v>3.858092</v>
      </c>
      <c r="CD207" s="82" t="n">
        <v>6.555039</v>
      </c>
      <c r="CE207" s="83" t="n">
        <v>83.621341</v>
      </c>
      <c r="CF207" s="84" t="n">
        <v>33.60194</v>
      </c>
      <c r="CG207" s="80" t="n">
        <v>0.1235</v>
      </c>
      <c r="CH207" s="63" t="n">
        <v>79400.6841195703</v>
      </c>
      <c r="CI207" s="63" t="n">
        <v>3606.71113647308</v>
      </c>
      <c r="CJ207" s="64" t="n">
        <v>445290.175979569</v>
      </c>
      <c r="CK207" s="65" t="n">
        <v>0.809968719507202</v>
      </c>
    </row>
    <row r="208" customFormat="false" ht="15" hidden="false" customHeight="false" outlineLevel="0" collapsed="false">
      <c r="A208" s="7" t="s">
        <v>73</v>
      </c>
      <c r="B208" s="66" t="n">
        <v>206</v>
      </c>
      <c r="C208" s="8" t="s">
        <v>284</v>
      </c>
      <c r="D208" s="67" t="n">
        <v>41883</v>
      </c>
      <c r="E208" s="4" t="s">
        <v>78</v>
      </c>
      <c r="F208" s="7" t="n">
        <v>971</v>
      </c>
      <c r="G208" s="68" t="n">
        <v>1</v>
      </c>
      <c r="H208" s="68" t="n">
        <v>199</v>
      </c>
      <c r="I208" s="66" t="n">
        <v>2</v>
      </c>
      <c r="J208" s="69" t="n">
        <v>608.398550724638</v>
      </c>
      <c r="K208" s="31" t="n">
        <v>396.622734816217</v>
      </c>
      <c r="L208" s="31" t="n">
        <v>908.09698443913</v>
      </c>
      <c r="M208" s="31" t="n">
        <v>148.078963481839</v>
      </c>
      <c r="N208" s="31" t="n">
        <v>410.837451037105</v>
      </c>
      <c r="O208" s="32"/>
      <c r="P208" s="33" t="n">
        <v>65.5888604036004</v>
      </c>
      <c r="Q208" s="33" t="n">
        <v>13.7092448906003</v>
      </c>
      <c r="R208" s="31" t="n">
        <v>93.703155833179</v>
      </c>
      <c r="S208" s="34" t="s">
        <v>76</v>
      </c>
      <c r="T208" s="35" t="n">
        <v>11.9646361433333</v>
      </c>
      <c r="U208" s="35" t="n">
        <v>1.16291466666667</v>
      </c>
      <c r="V208" s="70" t="n">
        <v>13.12755081</v>
      </c>
      <c r="W208" s="35" t="n">
        <v>11.9009306846308</v>
      </c>
      <c r="X208" s="35" t="n">
        <v>1.92551964738932</v>
      </c>
      <c r="Y208" s="35" t="n">
        <v>5.23181111921333</v>
      </c>
      <c r="Z208" s="35"/>
      <c r="AA208" s="35" t="n">
        <v>0.805490888345283</v>
      </c>
      <c r="AB208" s="35" t="n">
        <v>0.188427038672133</v>
      </c>
      <c r="AC208" s="71" t="n">
        <v>1.24600186415489</v>
      </c>
      <c r="AD208" s="38" t="n">
        <v>3.95382650477169</v>
      </c>
      <c r="AE208" s="38" t="n">
        <v>3.32880747351516</v>
      </c>
      <c r="AF208" s="38" t="n">
        <v>0.935036851085178</v>
      </c>
      <c r="AG208" s="72"/>
      <c r="AH208" s="72"/>
      <c r="AI208" s="73" t="n">
        <v>47.6568808582595</v>
      </c>
      <c r="AJ208" s="42" t="s">
        <v>16</v>
      </c>
      <c r="AK208" s="43" t="n">
        <v>698.814610432904</v>
      </c>
      <c r="AL208" s="43" t="n">
        <v>720.290155305746</v>
      </c>
      <c r="AM208" s="43" t="n">
        <v>514.397657612618</v>
      </c>
      <c r="AN208" s="74"/>
      <c r="AO208" s="75" t="n">
        <v>12.2041666666667</v>
      </c>
      <c r="AP208" s="76" t="n">
        <v>0.521208317901235</v>
      </c>
      <c r="AQ208" s="76" t="n">
        <v>0.434468333333334</v>
      </c>
      <c r="AR208" s="76" t="n">
        <v>0.536124521604938</v>
      </c>
      <c r="AS208" s="77" t="n">
        <v>12.6997914351852</v>
      </c>
      <c r="AT208" s="78" t="n">
        <v>12.6103624457419</v>
      </c>
      <c r="AU208" s="78" t="n">
        <v>42.7074074074074</v>
      </c>
      <c r="AV208" s="78" t="n">
        <v>35.6</v>
      </c>
      <c r="AW208" s="78" t="n">
        <v>43.9296296296296</v>
      </c>
      <c r="AX208" s="78" t="n">
        <v>27.5185185185185</v>
      </c>
      <c r="AY208" s="48" t="n">
        <v>0.960602828985883</v>
      </c>
      <c r="AZ208" s="48" t="n">
        <v>16.5475359835299</v>
      </c>
      <c r="BA208" s="48" t="n">
        <v>-3.41998517352991</v>
      </c>
      <c r="BB208" s="49" t="n">
        <f aca="false">AT208/V208</f>
        <v>0.960602828985883</v>
      </c>
      <c r="BC208" s="49" t="n">
        <f aca="false">AS208/V208</f>
        <v>0.967415142321219</v>
      </c>
      <c r="BD208" s="49" t="n">
        <f aca="false">SUM(AP208:AR208)/V208</f>
        <v>0.11363895630121</v>
      </c>
      <c r="BE208" s="50" t="n">
        <v>7.18</v>
      </c>
      <c r="BF208" s="51" t="n">
        <v>208.189068645006</v>
      </c>
      <c r="BG208" s="51" t="n">
        <v>594.602339467369</v>
      </c>
      <c r="BH208" s="51" t="n">
        <v>227.875334265322</v>
      </c>
      <c r="BI208" s="51" t="n">
        <v>136.205392998373</v>
      </c>
      <c r="BJ208" s="51" t="n">
        <v>7.43822589367274</v>
      </c>
      <c r="BK208" s="51" t="n">
        <v>12.4667119877401</v>
      </c>
      <c r="BL208" s="51" t="n">
        <v>16.4368710094146</v>
      </c>
      <c r="BM208" s="51"/>
      <c r="BN208" s="52" t="n">
        <f aca="false">(BG208*0.5-BH208*0.25+BI208*0.5)/SUM(BG208:BI208)*1000</f>
        <v>321.727840378206</v>
      </c>
      <c r="BO208" s="53" t="n">
        <v>14.27040112</v>
      </c>
      <c r="BP208" s="54" t="s">
        <v>77</v>
      </c>
      <c r="BQ208" s="55" t="n">
        <v>403.275331065225</v>
      </c>
      <c r="BR208" s="56" t="n">
        <v>30.7197692015808</v>
      </c>
      <c r="BS208" s="56" t="n">
        <v>47.0449760384091</v>
      </c>
      <c r="BT208" s="56" t="n">
        <v>31.9796780465575</v>
      </c>
      <c r="BU208" s="55"/>
      <c r="BV208" s="55"/>
      <c r="BW208" s="55"/>
      <c r="BX208" s="55"/>
      <c r="BY208" s="79" t="n">
        <v>0.0485175202156334</v>
      </c>
      <c r="BZ208" s="80" t="n">
        <v>0.7661983</v>
      </c>
      <c r="CA208" s="81" t="n">
        <v>3.13</v>
      </c>
      <c r="CB208" s="81" t="n">
        <v>0.688</v>
      </c>
      <c r="CC208" s="82" t="n">
        <v>4.973674</v>
      </c>
      <c r="CD208" s="82" t="n">
        <v>5.115237</v>
      </c>
      <c r="CE208" s="83" t="n">
        <v>79.652504</v>
      </c>
      <c r="CF208" s="84" t="n">
        <v>31.7717</v>
      </c>
      <c r="CG208" s="80" t="n">
        <v>0.134</v>
      </c>
      <c r="CH208" s="63" t="n">
        <v>19217.7603453062</v>
      </c>
      <c r="CI208" s="63" t="n">
        <v>7391.26760765939</v>
      </c>
      <c r="CJ208" s="64" t="n">
        <v>813534.535201378</v>
      </c>
      <c r="CK208" s="65" t="n">
        <v>0.908537657326347</v>
      </c>
    </row>
    <row r="209" customFormat="false" ht="15" hidden="false" customHeight="false" outlineLevel="0" collapsed="false">
      <c r="A209" s="7" t="s">
        <v>73</v>
      </c>
      <c r="B209" s="66" t="n">
        <v>207</v>
      </c>
      <c r="C209" s="8" t="s">
        <v>285</v>
      </c>
      <c r="D209" s="67" t="n">
        <v>41904</v>
      </c>
      <c r="E209" s="4" t="s">
        <v>78</v>
      </c>
      <c r="F209" s="7" t="n">
        <v>135</v>
      </c>
      <c r="G209" s="68" t="n">
        <v>1</v>
      </c>
      <c r="H209" s="68" t="n">
        <v>92</v>
      </c>
      <c r="I209" s="66" t="n">
        <v>6</v>
      </c>
      <c r="J209" s="69" t="n">
        <v>772.432142857143</v>
      </c>
      <c r="K209" s="31" t="n">
        <v>396.622734816217</v>
      </c>
      <c r="L209" s="31" t="n">
        <v>908.09698443913</v>
      </c>
      <c r="M209" s="31" t="n">
        <v>148.078963481839</v>
      </c>
      <c r="N209" s="31" t="n">
        <v>410.837451037105</v>
      </c>
      <c r="O209" s="32"/>
      <c r="P209" s="33" t="n">
        <v>65.5888604036004</v>
      </c>
      <c r="Q209" s="33" t="n">
        <v>13.7092448906003</v>
      </c>
      <c r="R209" s="31" t="n">
        <v>93.703155833179</v>
      </c>
      <c r="S209" s="34" t="s">
        <v>76</v>
      </c>
      <c r="T209" s="35" t="n">
        <v>20.1155638257143</v>
      </c>
      <c r="U209" s="35" t="n">
        <v>8.52904371428572</v>
      </c>
      <c r="V209" s="70" t="n">
        <v>28.64460754</v>
      </c>
      <c r="W209" s="35" t="n">
        <v>26.0752485235052</v>
      </c>
      <c r="X209" s="35" t="n">
        <v>4.44118501756461</v>
      </c>
      <c r="Y209" s="35" t="n">
        <v>10.2528315466023</v>
      </c>
      <c r="Z209" s="35"/>
      <c r="AA209" s="35" t="n">
        <v>1.59985651401809</v>
      </c>
      <c r="AB209" s="35" t="n">
        <v>0.352089364622069</v>
      </c>
      <c r="AC209" s="71" t="n">
        <v>3.38934442853284</v>
      </c>
      <c r="AD209" s="38" t="n">
        <v>7.32391272139574</v>
      </c>
      <c r="AE209" s="38" t="n">
        <v>6.1561972177328</v>
      </c>
      <c r="AF209" s="38" t="n">
        <v>1.69468070580762</v>
      </c>
      <c r="AG209" s="72"/>
      <c r="AH209" s="72"/>
      <c r="AI209" s="73" t="n">
        <v>48.0739432617064</v>
      </c>
      <c r="AJ209" s="42" t="s">
        <v>16</v>
      </c>
      <c r="AK209" s="43" t="n">
        <v>744.317924022228</v>
      </c>
      <c r="AL209" s="43" t="n">
        <v>763.906479657006</v>
      </c>
      <c r="AM209" s="43" t="n">
        <v>618.416999268155</v>
      </c>
      <c r="AN209" s="74"/>
      <c r="AO209" s="75" t="n">
        <v>39.5857142857143</v>
      </c>
      <c r="AP209" s="76" t="n">
        <v>1.41262209335219</v>
      </c>
      <c r="AQ209" s="76" t="n">
        <v>1.30307548797737</v>
      </c>
      <c r="AR209" s="76" t="n">
        <v>1.83454309759547</v>
      </c>
      <c r="AS209" s="77" t="n">
        <v>37.0236171145686</v>
      </c>
      <c r="AT209" s="78" t="n">
        <v>37.1976497147722</v>
      </c>
      <c r="AU209" s="78" t="n">
        <v>35.6851485148515</v>
      </c>
      <c r="AV209" s="78" t="n">
        <v>32.9178217821782</v>
      </c>
      <c r="AW209" s="78" t="n">
        <v>46.3435643564356</v>
      </c>
      <c r="AX209" s="78" t="n">
        <v>19.4851485148515</v>
      </c>
      <c r="AY209" s="48" t="n">
        <v>1.29859170396482</v>
      </c>
      <c r="AZ209" s="48" t="n">
        <v>26.8478653039914</v>
      </c>
      <c r="BA209" s="48" t="n">
        <v>1.79674223600863</v>
      </c>
      <c r="BB209" s="49" t="n">
        <f aca="false">AT209/V209</f>
        <v>1.29859170396482</v>
      </c>
      <c r="BC209" s="49" t="n">
        <f aca="false">AS209/V209</f>
        <v>1.29251612412102</v>
      </c>
      <c r="BD209" s="49" t="n">
        <f aca="false">SUM(AP209:AR209)/V209</f>
        <v>0.158851562988635</v>
      </c>
      <c r="BE209" s="50" t="n">
        <v>6.57</v>
      </c>
      <c r="BF209" s="51" t="n">
        <v>207.082667819993</v>
      </c>
      <c r="BG209" s="51" t="n">
        <v>597.44253233288</v>
      </c>
      <c r="BH209" s="51" t="n">
        <v>224.768598201231</v>
      </c>
      <c r="BI209" s="51" t="n">
        <v>139.389470521544</v>
      </c>
      <c r="BJ209" s="51" t="n">
        <v>7.16444139736701</v>
      </c>
      <c r="BK209" s="51" t="n">
        <v>12.9114051219237</v>
      </c>
      <c r="BL209" s="51" t="n">
        <v>13.3484280469447</v>
      </c>
      <c r="BM209" s="51"/>
      <c r="BN209" s="52" t="n">
        <f aca="false">(BG209*0.5-BH209*0.25+BI209*0.5)/SUM(BG209:BI209)*1000</f>
        <v>324.691822711156</v>
      </c>
      <c r="BO209" s="53" t="n">
        <v>8.8380816</v>
      </c>
      <c r="BP209" s="54" t="s">
        <v>77</v>
      </c>
      <c r="BQ209" s="55" t="n">
        <v>430.212474655258</v>
      </c>
      <c r="BR209" s="56" t="n">
        <v>15.0189690696407</v>
      </c>
      <c r="BS209" s="56" t="n">
        <v>21.5980403911397</v>
      </c>
      <c r="BT209" s="56" t="n">
        <v>11.5655821793603</v>
      </c>
      <c r="BU209" s="55"/>
      <c r="BV209" s="55"/>
      <c r="BW209" s="55"/>
      <c r="BX209" s="55"/>
      <c r="BY209" s="79" t="n">
        <v>0.0388140161725067</v>
      </c>
      <c r="BZ209" s="80" t="n">
        <v>0.6561491</v>
      </c>
      <c r="CA209" s="81" t="n">
        <v>3.31</v>
      </c>
      <c r="CB209" s="81" t="n">
        <v>0.626</v>
      </c>
      <c r="CC209" s="82" t="n">
        <v>3.451478</v>
      </c>
      <c r="CD209" s="82" t="n">
        <v>5.004483</v>
      </c>
      <c r="CE209" s="83" t="n">
        <v>72.889666</v>
      </c>
      <c r="CF209" s="84" t="n">
        <v>33.2969</v>
      </c>
      <c r="CG209" s="80" t="n">
        <v>0.281</v>
      </c>
      <c r="CH209" s="63" t="n">
        <v>11162.7074780256</v>
      </c>
      <c r="CI209" s="63" t="n">
        <v>9169.71033146989</v>
      </c>
      <c r="CJ209" s="64" t="n">
        <v>1065620.93404386</v>
      </c>
      <c r="CK209" s="65" t="n">
        <v>0.860503959571471</v>
      </c>
    </row>
    <row r="210" customFormat="false" ht="15" hidden="false" customHeight="false" outlineLevel="0" collapsed="false">
      <c r="A210" s="7" t="s">
        <v>73</v>
      </c>
      <c r="B210" s="66" t="n">
        <v>208</v>
      </c>
      <c r="C210" s="8" t="s">
        <v>286</v>
      </c>
      <c r="D210" s="67" t="n">
        <v>41883</v>
      </c>
      <c r="E210" s="4" t="s">
        <v>78</v>
      </c>
      <c r="F210" s="7" t="n">
        <v>758</v>
      </c>
      <c r="G210" s="68" t="n">
        <v>1</v>
      </c>
      <c r="H210" s="68" t="n">
        <v>187</v>
      </c>
      <c r="I210" s="66" t="n">
        <v>5</v>
      </c>
      <c r="J210" s="69" t="n">
        <v>735.253205128205</v>
      </c>
      <c r="K210" s="31" t="n">
        <v>396.622734816217</v>
      </c>
      <c r="L210" s="31" t="n">
        <v>908.09698443913</v>
      </c>
      <c r="M210" s="31" t="n">
        <v>148.078963481839</v>
      </c>
      <c r="N210" s="31" t="n">
        <v>410.837451037105</v>
      </c>
      <c r="O210" s="32"/>
      <c r="P210" s="33" t="n">
        <v>65.5888604036004</v>
      </c>
      <c r="Q210" s="33" t="n">
        <v>13.7092448906003</v>
      </c>
      <c r="R210" s="31" t="n">
        <v>93.703155833179</v>
      </c>
      <c r="S210" s="34" t="s">
        <v>76</v>
      </c>
      <c r="T210" s="35" t="n">
        <v>20.1831075476923</v>
      </c>
      <c r="U210" s="35" t="n">
        <v>6.56951369230769</v>
      </c>
      <c r="V210" s="70" t="n">
        <v>26.75262124</v>
      </c>
      <c r="W210" s="35" t="n">
        <v>24.3580201473742</v>
      </c>
      <c r="X210" s="35" t="n">
        <v>4.13957498355345</v>
      </c>
      <c r="Y210" s="35" t="n">
        <v>9.79955090943235</v>
      </c>
      <c r="Z210" s="35"/>
      <c r="AA210" s="35" t="n">
        <v>1.54920476757273</v>
      </c>
      <c r="AB210" s="35" t="n">
        <v>0.327994431254133</v>
      </c>
      <c r="AC210" s="71" t="n">
        <v>3.09295861399751</v>
      </c>
      <c r="AD210" s="38" t="n">
        <v>10.4224953278036</v>
      </c>
      <c r="AE210" s="38" t="n">
        <v>9.15146602201719</v>
      </c>
      <c r="AF210" s="38" t="n">
        <v>2.05968813694631</v>
      </c>
      <c r="AG210" s="72"/>
      <c r="AH210" s="72"/>
      <c r="AI210" s="73" t="n">
        <v>31.4698563960164</v>
      </c>
      <c r="AJ210" s="42" t="s">
        <v>16</v>
      </c>
      <c r="AK210" s="43" t="n">
        <v>610.412182256738</v>
      </c>
      <c r="AL210" s="43" t="n">
        <v>624.293519479508</v>
      </c>
      <c r="AM210" s="43" t="n">
        <v>502.43970815133</v>
      </c>
      <c r="AN210" s="74"/>
      <c r="AO210" s="75" t="n">
        <v>29.5538461538462</v>
      </c>
      <c r="AP210" s="76" t="n">
        <v>0.727630108818012</v>
      </c>
      <c r="AQ210" s="76" t="n">
        <v>0.987588622889306</v>
      </c>
      <c r="AR210" s="76" t="n">
        <v>1.31083561726079</v>
      </c>
      <c r="AS210" s="77" t="n">
        <v>22.7359900938086</v>
      </c>
      <c r="AT210" s="78" t="n">
        <v>23.5862622823341</v>
      </c>
      <c r="AU210" s="78" t="n">
        <v>24.620487804878</v>
      </c>
      <c r="AV210" s="78" t="n">
        <v>33.4165853658536</v>
      </c>
      <c r="AW210" s="78" t="n">
        <v>44.3541463414634</v>
      </c>
      <c r="AX210" s="78" t="n">
        <v>36.5414634146341</v>
      </c>
      <c r="AY210" s="48" t="n">
        <v>0.881643038666745</v>
      </c>
      <c r="AZ210" s="48" t="n">
        <v>22.0609663069311</v>
      </c>
      <c r="BA210" s="48" t="n">
        <v>4.69165493306887</v>
      </c>
      <c r="BB210" s="49" t="n">
        <f aca="false">AT210/V210</f>
        <v>0.881643038666745</v>
      </c>
      <c r="BC210" s="49" t="n">
        <f aca="false">AS210/V210</f>
        <v>0.849860276861926</v>
      </c>
      <c r="BD210" s="49" t="n">
        <f aca="false">SUM(AP210:AR210)/V210</f>
        <v>0.113112443144211</v>
      </c>
      <c r="BE210" s="50" t="n">
        <v>7.41</v>
      </c>
      <c r="BF210" s="51" t="n">
        <v>140.470892822907</v>
      </c>
      <c r="BG210" s="51" t="n">
        <v>486.738191785077</v>
      </c>
      <c r="BH210" s="51" t="n">
        <v>294.682478513993</v>
      </c>
      <c r="BI210" s="51" t="n">
        <v>168.349309585039</v>
      </c>
      <c r="BJ210" s="51" t="n">
        <v>5.7603605709421</v>
      </c>
      <c r="BK210" s="51" t="n">
        <v>29.0845675552169</v>
      </c>
      <c r="BL210" s="51" t="n">
        <v>10.4099676116227</v>
      </c>
      <c r="BM210" s="51"/>
      <c r="BN210" s="52" t="n">
        <f aca="false">(BG210*0.5-BH210*0.25+BI210*0.5)/SUM(BG210:BI210)*1000</f>
        <v>267.299595095159</v>
      </c>
      <c r="BO210" s="53" t="n">
        <v>3.45286792</v>
      </c>
      <c r="BP210" s="54" t="s">
        <v>77</v>
      </c>
      <c r="BQ210" s="55" t="n">
        <v>319.59829433309</v>
      </c>
      <c r="BR210" s="56" t="n">
        <v>11.9464291542106</v>
      </c>
      <c r="BS210" s="56" t="n">
        <v>21.0171411418027</v>
      </c>
      <c r="BT210" s="56" t="n">
        <v>13.5501882624474</v>
      </c>
      <c r="BU210" s="55"/>
      <c r="BV210" s="55"/>
      <c r="BW210" s="55"/>
      <c r="BX210" s="55"/>
      <c r="BY210" s="79" t="n">
        <v>0.0873315363881402</v>
      </c>
      <c r="BZ210" s="80" t="n">
        <v>0.454076</v>
      </c>
      <c r="CA210" s="81" t="n">
        <v>3.49</v>
      </c>
      <c r="CB210" s="81" t="n">
        <v>0.91</v>
      </c>
      <c r="CC210" s="82" t="n">
        <v>4.452374</v>
      </c>
      <c r="CD210" s="82" t="n">
        <v>8.357868</v>
      </c>
      <c r="CE210" s="83" t="n">
        <v>81.58044</v>
      </c>
      <c r="CF210" s="84" t="n">
        <v>34.435716</v>
      </c>
      <c r="CG210" s="80" t="n">
        <v>0.3335</v>
      </c>
      <c r="CH210" s="63" t="n">
        <v>1193.50563848348</v>
      </c>
      <c r="CI210" s="63" t="n">
        <v>5317.20286884609</v>
      </c>
      <c r="CJ210" s="64" t="n">
        <v>1022761.60730684</v>
      </c>
      <c r="CK210" s="65" t="n">
        <v>0.519886827082558</v>
      </c>
    </row>
    <row r="211" customFormat="false" ht="15" hidden="false" customHeight="false" outlineLevel="0" collapsed="false">
      <c r="A211" s="7" t="s">
        <v>73</v>
      </c>
      <c r="B211" s="66" t="n">
        <v>209</v>
      </c>
      <c r="C211" s="8" t="s">
        <v>287</v>
      </c>
      <c r="D211" s="67" t="n">
        <v>41967</v>
      </c>
      <c r="E211" s="4" t="s">
        <v>75</v>
      </c>
      <c r="F211" s="7" t="n">
        <v>6</v>
      </c>
      <c r="G211" s="68" t="n">
        <v>1</v>
      </c>
      <c r="H211" s="68" t="n">
        <v>108</v>
      </c>
      <c r="I211" s="66" t="n">
        <v>1</v>
      </c>
      <c r="J211" s="69" t="n">
        <v>693.666666666667</v>
      </c>
      <c r="K211" s="31" t="n">
        <v>513.632904815817</v>
      </c>
      <c r="L211" s="31" t="n">
        <v>933.628367353346</v>
      </c>
      <c r="M211" s="31" t="n">
        <v>162.349366989108</v>
      </c>
      <c r="N211" s="31" t="n">
        <v>372.425394559109</v>
      </c>
      <c r="O211" s="32"/>
      <c r="P211" s="33" t="n">
        <v>59.5795280825956</v>
      </c>
      <c r="Q211" s="33" t="n">
        <v>14.4921618529293</v>
      </c>
      <c r="R211" s="31" t="n">
        <v>153.254682429871</v>
      </c>
      <c r="S211" s="34" t="s">
        <v>76</v>
      </c>
      <c r="T211" s="35" t="n">
        <v>19.4182871314286</v>
      </c>
      <c r="U211" s="35" t="n">
        <v>6.02892642857143</v>
      </c>
      <c r="V211" s="70" t="n">
        <v>25.44721356</v>
      </c>
      <c r="W211" s="35" t="n">
        <v>23.7829052525106</v>
      </c>
      <c r="X211" s="35" t="n">
        <v>4.28765949415731</v>
      </c>
      <c r="Y211" s="35" t="n">
        <v>8.47147750837006</v>
      </c>
      <c r="Z211" s="35"/>
      <c r="AA211" s="35" t="n">
        <v>1.35861671951642</v>
      </c>
      <c r="AB211" s="35" t="n">
        <v>0.324032270125396</v>
      </c>
      <c r="AC211" s="71" t="n">
        <v>4.23883604426628</v>
      </c>
      <c r="AD211" s="38" t="n">
        <v>7.19590957818912</v>
      </c>
      <c r="AE211" s="38" t="n">
        <v>6.26225132243913</v>
      </c>
      <c r="AF211" s="38" t="n">
        <v>1.17250887317595</v>
      </c>
      <c r="AG211" s="72"/>
      <c r="AH211" s="72"/>
      <c r="AI211" s="73" t="n">
        <v>45.0300641780632</v>
      </c>
      <c r="AJ211" s="42" t="s">
        <v>16</v>
      </c>
      <c r="AK211" s="43" t="n">
        <v>717.222101303058</v>
      </c>
      <c r="AL211" s="43" t="n">
        <v>736.691070499973</v>
      </c>
      <c r="AM211" s="43" t="n">
        <v>726.538715405526</v>
      </c>
      <c r="AN211" s="74"/>
      <c r="AO211" s="75" t="n">
        <v>40.1285714285714</v>
      </c>
      <c r="AP211" s="76" t="n">
        <v>1.16288536347197</v>
      </c>
      <c r="AQ211" s="76" t="n">
        <v>1.25669478842676</v>
      </c>
      <c r="AR211" s="76" t="n">
        <v>1.92134584086799</v>
      </c>
      <c r="AS211" s="77" t="n">
        <v>33.4947090235081</v>
      </c>
      <c r="AT211" s="78" t="n">
        <v>34.2548550756153</v>
      </c>
      <c r="AU211" s="78" t="n">
        <v>28.9789873417721</v>
      </c>
      <c r="AV211" s="78" t="n">
        <v>31.3167088607595</v>
      </c>
      <c r="AW211" s="78" t="n">
        <v>47.879746835443</v>
      </c>
      <c r="AX211" s="78" t="n">
        <v>40.1544303797468</v>
      </c>
      <c r="AY211" s="48" t="n">
        <v>1.34611418239755</v>
      </c>
      <c r="AZ211" s="48" t="n">
        <v>24.8911958156707</v>
      </c>
      <c r="BA211" s="48" t="n">
        <v>0.556017744329285</v>
      </c>
      <c r="BB211" s="49" t="n">
        <f aca="false">AT211/V211</f>
        <v>1.34611418239755</v>
      </c>
      <c r="BC211" s="49" t="n">
        <f aca="false">AS211/V211</f>
        <v>1.31624269763499</v>
      </c>
      <c r="BD211" s="49" t="n">
        <f aca="false">SUM(AP211:AR211)/V211</f>
        <v>0.170585513519254</v>
      </c>
      <c r="BE211" s="50" t="n">
        <v>6.3</v>
      </c>
      <c r="BF211" s="51" t="n">
        <v>136.804918071957</v>
      </c>
      <c r="BG211" s="51" t="n">
        <v>568.107071868891</v>
      </c>
      <c r="BH211" s="51" t="n">
        <v>260.420579424525</v>
      </c>
      <c r="BI211" s="51" t="n">
        <v>128.076358380919</v>
      </c>
      <c r="BJ211" s="51" t="n">
        <v>10.4456175787772</v>
      </c>
      <c r="BK211" s="51" t="n">
        <v>14.555183126419</v>
      </c>
      <c r="BL211" s="51" t="n">
        <v>13.4200652423591</v>
      </c>
      <c r="BM211" s="51"/>
      <c r="BN211" s="52" t="n">
        <f aca="false">(BG211*0.5-BH211*0.25+BI211*0.5)/SUM(BG211:BI211)*1000</f>
        <v>295.824152320994</v>
      </c>
      <c r="BO211" s="53" t="n">
        <v>9.475335</v>
      </c>
      <c r="BP211" s="54" t="s">
        <v>77</v>
      </c>
      <c r="BQ211" s="55" t="n">
        <v>412.12564012</v>
      </c>
      <c r="BR211" s="56" t="n">
        <v>16.1953150252888</v>
      </c>
      <c r="BS211" s="56" t="n">
        <v>23.5222750112455</v>
      </c>
      <c r="BT211" s="56" t="n">
        <v>12.0311599395257</v>
      </c>
      <c r="BU211" s="55"/>
      <c r="BV211" s="55"/>
      <c r="BW211" s="55"/>
      <c r="BX211" s="55"/>
      <c r="BY211" s="79" t="n">
        <v>0.0553846153846154</v>
      </c>
      <c r="BZ211" s="80" t="n">
        <v>0.5574654</v>
      </c>
      <c r="CA211" s="81" t="n">
        <v>3.62</v>
      </c>
      <c r="CB211" s="81" t="n">
        <v>0.49</v>
      </c>
      <c r="CC211" s="82" t="n">
        <v>6.119018</v>
      </c>
      <c r="CD211" s="82" t="n">
        <v>5.272844</v>
      </c>
      <c r="CE211" s="83" t="n">
        <v>93.071004</v>
      </c>
      <c r="CF211" s="84" t="n">
        <v>38.904844</v>
      </c>
      <c r="CG211" s="80" t="n">
        <v>0.092</v>
      </c>
      <c r="CH211" s="63" t="n">
        <v>24246.2121472533</v>
      </c>
      <c r="CI211" s="63" t="n">
        <v>2983.47492033245</v>
      </c>
      <c r="CJ211" s="64" t="n">
        <v>561085.218612458</v>
      </c>
      <c r="CK211" s="65" t="n">
        <v>0.531732938484901</v>
      </c>
    </row>
    <row r="212" customFormat="false" ht="15" hidden="false" customHeight="false" outlineLevel="0" collapsed="false">
      <c r="A212" s="7" t="s">
        <v>73</v>
      </c>
      <c r="B212" s="66" t="n">
        <v>210</v>
      </c>
      <c r="C212" s="8" t="s">
        <v>288</v>
      </c>
      <c r="D212" s="67" t="n">
        <v>41883</v>
      </c>
      <c r="E212" s="4" t="s">
        <v>78</v>
      </c>
      <c r="F212" s="7" t="n">
        <v>2093</v>
      </c>
      <c r="G212" s="68" t="n">
        <v>1</v>
      </c>
      <c r="H212" s="68" t="n">
        <v>182</v>
      </c>
      <c r="I212" s="66" t="n">
        <v>1</v>
      </c>
      <c r="J212" s="69" t="n">
        <v>513.018518518518</v>
      </c>
      <c r="K212" s="31" t="n">
        <v>396.622734816217</v>
      </c>
      <c r="L212" s="31" t="n">
        <v>908.09698443913</v>
      </c>
      <c r="M212" s="31" t="n">
        <v>148.078963481839</v>
      </c>
      <c r="N212" s="31" t="n">
        <v>410.837451037105</v>
      </c>
      <c r="O212" s="32"/>
      <c r="P212" s="33" t="n">
        <v>65.5888604036004</v>
      </c>
      <c r="Q212" s="33" t="n">
        <v>13.7092448906003</v>
      </c>
      <c r="R212" s="31" t="n">
        <v>93.703155833179</v>
      </c>
      <c r="S212" s="34" t="s">
        <v>76</v>
      </c>
      <c r="T212" s="35" t="n">
        <v>18.027777527037</v>
      </c>
      <c r="U212" s="35" t="n">
        <v>5.09345096296296</v>
      </c>
      <c r="V212" s="70" t="n">
        <v>23.12122849</v>
      </c>
      <c r="W212" s="35" t="n">
        <v>21.0393114465643</v>
      </c>
      <c r="X212" s="35" t="n">
        <v>3.55127337727987</v>
      </c>
      <c r="Y212" s="35" t="n">
        <v>8.58578734980516</v>
      </c>
      <c r="Z212" s="35"/>
      <c r="AA212" s="35" t="n">
        <v>1.35313901986812</v>
      </c>
      <c r="AB212" s="35" t="n">
        <v>0.290160847750104</v>
      </c>
      <c r="AC212" s="71" t="n">
        <v>2.60240459726463</v>
      </c>
      <c r="AD212" s="38" t="n">
        <v>8.02244107092907</v>
      </c>
      <c r="AE212" s="38" t="n">
        <v>6.81580134839032</v>
      </c>
      <c r="AF212" s="38" t="n">
        <v>1.72852031295396</v>
      </c>
      <c r="AG212" s="72"/>
      <c r="AH212" s="72"/>
      <c r="AI212" s="73" t="n">
        <v>36.1686480691719</v>
      </c>
      <c r="AJ212" s="42" t="s">
        <v>16</v>
      </c>
      <c r="AK212" s="43" t="n">
        <v>653.027040738826</v>
      </c>
      <c r="AL212" s="43" t="n">
        <v>676.044467248793</v>
      </c>
      <c r="AM212" s="43" t="n">
        <v>513.267459494223</v>
      </c>
      <c r="AN212" s="74"/>
      <c r="AO212" s="75" t="n">
        <v>23.6962962962963</v>
      </c>
      <c r="AP212" s="76" t="n">
        <v>0.739313524492234</v>
      </c>
      <c r="AQ212" s="76" t="n">
        <v>0.722191039426523</v>
      </c>
      <c r="AR212" s="76" t="n">
        <v>1.0515258781362</v>
      </c>
      <c r="AS212" s="77" t="n">
        <v>20.568221385902</v>
      </c>
      <c r="AT212" s="78" t="n">
        <v>20.2788160827645</v>
      </c>
      <c r="AU212" s="78" t="n">
        <v>31.1995391705069</v>
      </c>
      <c r="AV212" s="78" t="n">
        <v>30.4769585253456</v>
      </c>
      <c r="AW212" s="78" t="n">
        <v>44.3751152073733</v>
      </c>
      <c r="AX212" s="78" t="n">
        <v>51.852534562212</v>
      </c>
      <c r="AY212" s="48" t="n">
        <v>0.877064819091907</v>
      </c>
      <c r="AZ212" s="48" t="n">
        <v>18.0252436638024</v>
      </c>
      <c r="BA212" s="48" t="n">
        <v>5.0959848261976</v>
      </c>
      <c r="BB212" s="49" t="n">
        <f aca="false">AT212/V212</f>
        <v>0.877064819091907</v>
      </c>
      <c r="BC212" s="49" t="n">
        <f aca="false">AS212/V212</f>
        <v>0.889581684416027</v>
      </c>
      <c r="BD212" s="49" t="n">
        <f aca="false">SUM(AP212:AR212)/V212</f>
        <v>0.108689313076156</v>
      </c>
      <c r="BE212" s="50" t="n">
        <v>7.15</v>
      </c>
      <c r="BF212" s="51" t="n">
        <v>122.151661176905</v>
      </c>
      <c r="BG212" s="51" t="n">
        <v>562.777184885337</v>
      </c>
      <c r="BH212" s="51" t="n">
        <v>254.99869596117</v>
      </c>
      <c r="BI212" s="51" t="n">
        <v>145.968509573575</v>
      </c>
      <c r="BJ212" s="51" t="n">
        <v>5.76889098686165</v>
      </c>
      <c r="BK212" s="51" t="n">
        <v>15.972423228768</v>
      </c>
      <c r="BL212" s="51" t="n">
        <v>9.53917098617861</v>
      </c>
      <c r="BM212" s="51"/>
      <c r="BN212" s="52" t="n">
        <f aca="false">(BG212*0.5-BH212*0.25+BI212*0.5)/SUM(BG212:BI212)*1000</f>
        <v>301.556279992961</v>
      </c>
      <c r="BO212" s="53" t="n">
        <v>7.95598612</v>
      </c>
      <c r="BP212" s="54" t="s">
        <v>77</v>
      </c>
      <c r="BQ212" s="55" t="n">
        <v>410.872143252884</v>
      </c>
      <c r="BR212" s="56" t="n">
        <v>17.7703422389769</v>
      </c>
      <c r="BS212" s="56" t="n">
        <v>28.886831760722</v>
      </c>
      <c r="BT212" s="56" t="n">
        <v>20.2611504328448</v>
      </c>
      <c r="BU212" s="55"/>
      <c r="BV212" s="55"/>
      <c r="BW212" s="55"/>
      <c r="BX212" s="55"/>
      <c r="BY212" s="79" t="n">
        <v>0.0388140161725067</v>
      </c>
      <c r="BZ212" s="80" t="n">
        <v>0.5432538</v>
      </c>
      <c r="CA212" s="81" t="n">
        <v>3.52</v>
      </c>
      <c r="CB212" s="81" t="n">
        <v>0.648</v>
      </c>
      <c r="CC212" s="82" t="n">
        <v>6.558426</v>
      </c>
      <c r="CD212" s="82" t="n">
        <v>9.766905</v>
      </c>
      <c r="CE212" s="83" t="n">
        <v>87.695612</v>
      </c>
      <c r="CF212" s="84" t="n">
        <v>34.639076</v>
      </c>
      <c r="CG212" s="80" t="n">
        <v>0.1025</v>
      </c>
      <c r="CH212" s="63" t="n">
        <v>14570.9177758852</v>
      </c>
      <c r="CI212" s="63" t="n">
        <v>8514.82593300762</v>
      </c>
      <c r="CJ212" s="64" t="n">
        <v>984737.068870481</v>
      </c>
      <c r="CK212" s="65" t="n">
        <v>0.864680146830904</v>
      </c>
    </row>
    <row r="213" customFormat="false" ht="15" hidden="false" customHeight="false" outlineLevel="0" collapsed="false">
      <c r="A213" s="7" t="s">
        <v>73</v>
      </c>
      <c r="B213" s="66" t="n">
        <v>211</v>
      </c>
      <c r="C213" s="8" t="s">
        <v>289</v>
      </c>
      <c r="D213" s="67" t="n">
        <v>41883</v>
      </c>
      <c r="E213" s="4" t="s">
        <v>78</v>
      </c>
      <c r="F213" s="7" t="n">
        <v>975</v>
      </c>
      <c r="G213" s="68" t="n">
        <v>1</v>
      </c>
      <c r="H213" s="68" t="n">
        <v>181</v>
      </c>
      <c r="I213" s="66" t="n">
        <v>2</v>
      </c>
      <c r="J213" s="69" t="n">
        <v>720.146666666667</v>
      </c>
      <c r="K213" s="31" t="n">
        <v>396.622734816217</v>
      </c>
      <c r="L213" s="31" t="n">
        <v>908.09698443913</v>
      </c>
      <c r="M213" s="31" t="n">
        <v>148.078963481839</v>
      </c>
      <c r="N213" s="31" t="n">
        <v>410.837451037105</v>
      </c>
      <c r="O213" s="32"/>
      <c r="P213" s="33" t="n">
        <v>65.5888604036004</v>
      </c>
      <c r="Q213" s="33" t="n">
        <v>13.7092448906003</v>
      </c>
      <c r="R213" s="31" t="n">
        <v>93.703155833179</v>
      </c>
      <c r="S213" s="34" t="s">
        <v>76</v>
      </c>
      <c r="T213" s="35" t="n">
        <v>12.1349182761538</v>
      </c>
      <c r="U213" s="35" t="n">
        <v>1.68553315384615</v>
      </c>
      <c r="V213" s="70" t="n">
        <v>13.82045143</v>
      </c>
      <c r="W213" s="35" t="n">
        <v>12.5401392534615</v>
      </c>
      <c r="X213" s="35" t="n">
        <v>2.05004407683676</v>
      </c>
      <c r="Y213" s="35" t="n">
        <v>5.41402232856985</v>
      </c>
      <c r="Z213" s="35"/>
      <c r="AA213" s="35" t="n">
        <v>0.83756812683716</v>
      </c>
      <c r="AB213" s="35" t="n">
        <v>0.19246256973437</v>
      </c>
      <c r="AC213" s="71" t="n">
        <v>1.37120550989141</v>
      </c>
      <c r="AD213" s="38" t="n">
        <v>3.78802431517691</v>
      </c>
      <c r="AE213" s="38" t="n">
        <v>3.19910923968554</v>
      </c>
      <c r="AF213" s="38" t="n">
        <v>1.29798204014571</v>
      </c>
      <c r="AG213" s="72"/>
      <c r="AH213" s="72"/>
      <c r="AI213" s="73" t="n">
        <v>50.8081664004265</v>
      </c>
      <c r="AJ213" s="42" t="s">
        <v>16</v>
      </c>
      <c r="AK213" s="43" t="n">
        <v>725.911679921376</v>
      </c>
      <c r="AL213" s="43" t="n">
        <v>744.890453365381</v>
      </c>
      <c r="AM213" s="43" t="n">
        <v>366.85164245419</v>
      </c>
      <c r="AN213" s="74"/>
      <c r="AO213" s="75" t="n">
        <v>14.4269230769231</v>
      </c>
      <c r="AP213" s="76" t="n">
        <v>0.6006279002079</v>
      </c>
      <c r="AQ213" s="76" t="n">
        <v>0.575525054054054</v>
      </c>
      <c r="AR213" s="76" t="n">
        <v>0.657758515592516</v>
      </c>
      <c r="AS213" s="77" t="n">
        <v>14.7801877338877</v>
      </c>
      <c r="AT213" s="78" t="n">
        <v>15.3215662553068</v>
      </c>
      <c r="AU213" s="78" t="n">
        <v>41.6324324324324</v>
      </c>
      <c r="AV213" s="78" t="n">
        <v>39.8924324324324</v>
      </c>
      <c r="AW213" s="78" t="n">
        <v>45.5924324324324</v>
      </c>
      <c r="AX213" s="78" t="n">
        <v>29.6324324324324</v>
      </c>
      <c r="AY213" s="48" t="n">
        <v>1.10861546982816</v>
      </c>
      <c r="AZ213" s="48" t="n">
        <v>18.8896015228475</v>
      </c>
      <c r="BA213" s="48" t="n">
        <v>-5.06915009284754</v>
      </c>
      <c r="BB213" s="49" t="n">
        <f aca="false">AT213/V213</f>
        <v>1.10861546982816</v>
      </c>
      <c r="BC213" s="49" t="n">
        <f aca="false">AS213/V213</f>
        <v>1.06944319501782</v>
      </c>
      <c r="BD213" s="49" t="n">
        <f aca="false">SUM(AP213:AR213)/V213</f>
        <v>0.132695482426399</v>
      </c>
      <c r="BE213" s="50" t="n">
        <v>7.46</v>
      </c>
      <c r="BF213" s="51" t="n">
        <v>108.918850647207</v>
      </c>
      <c r="BG213" s="51" t="n">
        <v>573.594267110523</v>
      </c>
      <c r="BH213" s="51" t="n">
        <v>232.630806480272</v>
      </c>
      <c r="BI213" s="51" t="n">
        <v>156.572568795329</v>
      </c>
      <c r="BJ213" s="51" t="n">
        <v>7.02196790570141</v>
      </c>
      <c r="BK213" s="51" t="n">
        <v>15.3280118941881</v>
      </c>
      <c r="BL213" s="51" t="n">
        <v>9.87725343587653</v>
      </c>
      <c r="BM213" s="51"/>
      <c r="BN213" s="52" t="n">
        <f aca="false">(BG213*0.5-BH213*0.25+BI213*0.5)/SUM(BG213:BI213)*1000</f>
        <v>318.785280333878</v>
      </c>
      <c r="BO213" s="53" t="n">
        <v>5.43088816</v>
      </c>
      <c r="BP213" s="54" t="s">
        <v>77</v>
      </c>
      <c r="BQ213" s="55" t="n">
        <v>385.795544863154</v>
      </c>
      <c r="BR213" s="56" t="n">
        <v>27.9148294697313</v>
      </c>
      <c r="BS213" s="56" t="n">
        <v>41.3011781670964</v>
      </c>
      <c r="BT213" s="56" t="n">
        <v>25.1799025265795</v>
      </c>
      <c r="BU213" s="55"/>
      <c r="BV213" s="55"/>
      <c r="BW213" s="55"/>
      <c r="BX213" s="55"/>
      <c r="BY213" s="79" t="n">
        <v>0.0194070080862534</v>
      </c>
      <c r="BZ213" s="80" t="n">
        <v>0.5593817</v>
      </c>
      <c r="CA213" s="81" t="n">
        <v>3.73</v>
      </c>
      <c r="CB213" s="81" t="n">
        <v>0.382</v>
      </c>
      <c r="CC213" s="82" t="n">
        <v>5.161342</v>
      </c>
      <c r="CD213" s="82" t="n">
        <v>3.238572</v>
      </c>
      <c r="CE213" s="83" t="n">
        <v>86.513245</v>
      </c>
      <c r="CF213" s="84" t="n">
        <v>28.324748</v>
      </c>
      <c r="CG213" s="80" t="n">
        <v>0.239</v>
      </c>
      <c r="CH213" s="63" t="n">
        <v>60077.1852390954</v>
      </c>
      <c r="CI213" s="63" t="n">
        <v>9814.74928606306</v>
      </c>
      <c r="CJ213" s="64" t="n">
        <v>632755.650762221</v>
      </c>
      <c r="CK213" s="65" t="n">
        <v>1.55111207213087</v>
      </c>
    </row>
    <row r="214" customFormat="false" ht="15" hidden="false" customHeight="false" outlineLevel="0" collapsed="false">
      <c r="A214" s="7" t="s">
        <v>73</v>
      </c>
      <c r="B214" s="66" t="n">
        <v>212</v>
      </c>
      <c r="C214" s="8" t="s">
        <v>290</v>
      </c>
      <c r="D214" s="67" t="n">
        <v>41883</v>
      </c>
      <c r="E214" s="4" t="s">
        <v>78</v>
      </c>
      <c r="F214" s="7" t="n">
        <v>2091</v>
      </c>
      <c r="G214" s="68" t="n">
        <v>1</v>
      </c>
      <c r="H214" s="68" t="n">
        <v>181</v>
      </c>
      <c r="I214" s="66" t="n">
        <v>1</v>
      </c>
      <c r="J214" s="69" t="n">
        <v>566.126811594203</v>
      </c>
      <c r="K214" s="31" t="n">
        <v>396.622734816217</v>
      </c>
      <c r="L214" s="31" t="n">
        <v>908.09698443913</v>
      </c>
      <c r="M214" s="31" t="n">
        <v>148.078963481839</v>
      </c>
      <c r="N214" s="31" t="n">
        <v>410.837451037105</v>
      </c>
      <c r="O214" s="32"/>
      <c r="P214" s="33" t="n">
        <v>65.5888604036004</v>
      </c>
      <c r="Q214" s="33" t="n">
        <v>13.7092448906003</v>
      </c>
      <c r="R214" s="31" t="n">
        <v>93.703155833179</v>
      </c>
      <c r="S214" s="34" t="s">
        <v>76</v>
      </c>
      <c r="T214" s="35" t="n">
        <v>-3.91216408695652</v>
      </c>
      <c r="U214" s="35" t="n">
        <v>3.91216408695652</v>
      </c>
      <c r="V214" s="35"/>
      <c r="W214" s="35"/>
      <c r="X214" s="35"/>
      <c r="Y214" s="35"/>
      <c r="Z214" s="35"/>
      <c r="AA214" s="35"/>
      <c r="AB214" s="35"/>
      <c r="AC214" s="71"/>
      <c r="AD214" s="38"/>
      <c r="AE214" s="38"/>
      <c r="AF214" s="38"/>
      <c r="AG214" s="72"/>
      <c r="AH214" s="72"/>
      <c r="AI214" s="73"/>
      <c r="AJ214" s="42" t="s">
        <v>16</v>
      </c>
      <c r="AK214" s="43"/>
      <c r="AL214" s="43"/>
      <c r="AM214" s="43"/>
      <c r="AN214" s="74"/>
      <c r="AO214" s="75" t="n">
        <v>19.6434782608696</v>
      </c>
      <c r="AP214" s="76" t="n">
        <v>0.699747605451006</v>
      </c>
      <c r="AQ214" s="76" t="n">
        <v>0.661897261518494</v>
      </c>
      <c r="AR214" s="76" t="n">
        <v>0.853699701492537</v>
      </c>
      <c r="AS214" s="77" t="n">
        <v>18.3536053861129</v>
      </c>
      <c r="AT214" s="78" t="n">
        <v>18.2627579873273</v>
      </c>
      <c r="AU214" s="78" t="n">
        <v>35.6223880597015</v>
      </c>
      <c r="AV214" s="78" t="n">
        <v>33.6955223880597</v>
      </c>
      <c r="AW214" s="78" t="n">
        <v>43.4597014925373</v>
      </c>
      <c r="AX214" s="78" t="n">
        <v>33.0746268656716</v>
      </c>
      <c r="AY214" s="48"/>
      <c r="AZ214" s="48"/>
      <c r="BA214" s="48"/>
      <c r="BB214" s="49"/>
      <c r="BC214" s="49"/>
      <c r="BD214" s="49"/>
      <c r="BE214" s="50" t="n">
        <v>7.18</v>
      </c>
      <c r="BF214" s="51" t="n">
        <v>163.624190826262</v>
      </c>
      <c r="BG214" s="51" t="n">
        <v>652.070533088974</v>
      </c>
      <c r="BH214" s="51" t="n">
        <v>186.133244095299</v>
      </c>
      <c r="BI214" s="51" t="n">
        <v>133.422258990088</v>
      </c>
      <c r="BJ214" s="51" t="n">
        <v>6.31036064618372</v>
      </c>
      <c r="BK214" s="51" t="n">
        <v>10.3135898995587</v>
      </c>
      <c r="BL214" s="51" t="n">
        <v>6.77488890178686</v>
      </c>
      <c r="BM214" s="51"/>
      <c r="BN214" s="52" t="n">
        <f aca="false">(BG214*0.5-BH214*0.25+BI214*0.5)/SUM(BG214:BI214)*1000</f>
        <v>356.323392052019</v>
      </c>
      <c r="BO214" s="53" t="n">
        <v>5.0919441</v>
      </c>
      <c r="BP214" s="54" t="s">
        <v>77</v>
      </c>
      <c r="BQ214" s="55" t="n">
        <v>457.575890988355</v>
      </c>
      <c r="BR214" s="56"/>
      <c r="BS214" s="56"/>
      <c r="BT214" s="56" t="n">
        <v>25.0551363220096</v>
      </c>
      <c r="BU214" s="55"/>
      <c r="BV214" s="55"/>
      <c r="BW214" s="55"/>
      <c r="BX214" s="55"/>
      <c r="BY214" s="79" t="n">
        <v>0.0679245283018868</v>
      </c>
      <c r="BZ214" s="80" t="n">
        <v>0.463563</v>
      </c>
      <c r="CA214" s="81" t="n">
        <v>3.77</v>
      </c>
      <c r="CB214" s="81" t="n">
        <v>0.03</v>
      </c>
      <c r="CC214" s="82" t="n">
        <v>4.890266</v>
      </c>
      <c r="CD214" s="82" t="n">
        <v>7.354929</v>
      </c>
      <c r="CE214" s="83" t="n">
        <v>88.230313</v>
      </c>
      <c r="CF214" s="84" t="n">
        <v>31.679336</v>
      </c>
      <c r="CG214" s="80" t="n">
        <v>0.0815</v>
      </c>
      <c r="CH214" s="63" t="n">
        <v>39294.9105379479</v>
      </c>
      <c r="CI214" s="63" t="n">
        <v>8904.80441553118</v>
      </c>
      <c r="CJ214" s="64" t="n">
        <v>891835.46850205</v>
      </c>
      <c r="CK214" s="65" t="n">
        <v>0.998480631241088</v>
      </c>
    </row>
    <row r="215" customFormat="false" ht="15" hidden="false" customHeight="false" outlineLevel="0" collapsed="false">
      <c r="A215" s="7" t="s">
        <v>73</v>
      </c>
      <c r="B215" s="66" t="n">
        <v>213</v>
      </c>
      <c r="C215" s="8" t="s">
        <v>291</v>
      </c>
      <c r="D215" s="67" t="n">
        <v>41883</v>
      </c>
      <c r="E215" s="4" t="s">
        <v>78</v>
      </c>
      <c r="F215" s="7" t="n">
        <v>1907</v>
      </c>
      <c r="G215" s="68" t="n">
        <v>1</v>
      </c>
      <c r="H215" s="68" t="n">
        <v>178</v>
      </c>
      <c r="I215" s="66" t="n">
        <v>2</v>
      </c>
      <c r="J215" s="69" t="n">
        <v>635.685185185185</v>
      </c>
      <c r="K215" s="31" t="n">
        <v>396.622734816217</v>
      </c>
      <c r="L215" s="31" t="n">
        <v>908.09698443913</v>
      </c>
      <c r="M215" s="31" t="n">
        <v>148.078963481839</v>
      </c>
      <c r="N215" s="31" t="n">
        <v>410.837451037105</v>
      </c>
      <c r="O215" s="32"/>
      <c r="P215" s="33" t="n">
        <v>65.5888604036004</v>
      </c>
      <c r="Q215" s="33" t="n">
        <v>13.7092448906003</v>
      </c>
      <c r="R215" s="31" t="n">
        <v>93.703155833179</v>
      </c>
      <c r="S215" s="34" t="s">
        <v>76</v>
      </c>
      <c r="T215" s="35" t="n">
        <v>17.2621900837037</v>
      </c>
      <c r="U215" s="35" t="n">
        <v>4.7844602962963</v>
      </c>
      <c r="V215" s="70" t="n">
        <v>22.04665038</v>
      </c>
      <c r="W215" s="35" t="n">
        <v>20.0586064684094</v>
      </c>
      <c r="X215" s="35" t="n">
        <v>3.38080928440073</v>
      </c>
      <c r="Y215" s="35" t="n">
        <v>8.20328492914874</v>
      </c>
      <c r="Z215" s="35"/>
      <c r="AA215" s="35" t="n">
        <v>1.29118427188077</v>
      </c>
      <c r="AB215" s="35" t="n">
        <v>0.278162751017924</v>
      </c>
      <c r="AC215" s="71" t="n">
        <v>2.46892389967932</v>
      </c>
      <c r="AD215" s="38" t="n">
        <v>8.37160853419288</v>
      </c>
      <c r="AE215" s="38" t="n">
        <v>7.1272262365389</v>
      </c>
      <c r="AF215" s="38" t="n">
        <v>1.7676203412676</v>
      </c>
      <c r="AG215" s="72"/>
      <c r="AH215" s="72"/>
      <c r="AI215" s="73" t="n">
        <v>33.2269180865063</v>
      </c>
      <c r="AJ215" s="42" t="s">
        <v>16</v>
      </c>
      <c r="AK215" s="43" t="n">
        <v>620.277530150914</v>
      </c>
      <c r="AL215" s="43" t="n">
        <v>644.679891010192</v>
      </c>
      <c r="AM215" s="43" t="n">
        <v>477.160587134118</v>
      </c>
      <c r="AN215" s="74"/>
      <c r="AO215" s="75" t="n">
        <v>21.0333333333333</v>
      </c>
      <c r="AP215" s="76" t="n">
        <v>0.971585828970332</v>
      </c>
      <c r="AQ215" s="76" t="n">
        <v>0.762331692844677</v>
      </c>
      <c r="AR215" s="76" t="n">
        <v>0.973887382198953</v>
      </c>
      <c r="AS215" s="77" t="n">
        <v>22.9871207678883</v>
      </c>
      <c r="AT215" s="78" t="n">
        <v>22.9947934770623</v>
      </c>
      <c r="AU215" s="78" t="n">
        <v>46.1926701570681</v>
      </c>
      <c r="AV215" s="78" t="n">
        <v>36.2439790575916</v>
      </c>
      <c r="AW215" s="78" t="n">
        <v>46.3020942408377</v>
      </c>
      <c r="AX215" s="78" t="n">
        <v>51.979057591623</v>
      </c>
      <c r="AY215" s="48" t="n">
        <v>1.04300622002526</v>
      </c>
      <c r="AZ215" s="48" t="n">
        <v>20.7280782247242</v>
      </c>
      <c r="BA215" s="48" t="n">
        <v>1.31857215527578</v>
      </c>
      <c r="BB215" s="49" t="n">
        <f aca="false">AT215/V215</f>
        <v>1.04300622002526</v>
      </c>
      <c r="BC215" s="49" t="n">
        <f aca="false">AS215/V215</f>
        <v>1.04265819848722</v>
      </c>
      <c r="BD215" s="49" t="n">
        <f aca="false">SUM(AP215:AR215)/V215</f>
        <v>0.122821601347223</v>
      </c>
      <c r="BE215" s="50" t="n">
        <v>7.31</v>
      </c>
      <c r="BF215" s="51" t="n">
        <v>100.573581351084</v>
      </c>
      <c r="BG215" s="51" t="n">
        <v>596.686272989284</v>
      </c>
      <c r="BH215" s="51" t="n">
        <v>233.593142535097</v>
      </c>
      <c r="BI215" s="51" t="n">
        <v>135.3660709099</v>
      </c>
      <c r="BJ215" s="51" t="n">
        <v>6.24576721271751</v>
      </c>
      <c r="BK215" s="51" t="n">
        <v>14.0229643946471</v>
      </c>
      <c r="BL215" s="51" t="n">
        <v>9.11065758024512</v>
      </c>
      <c r="BM215" s="51"/>
      <c r="BN215" s="52" t="n">
        <f aca="false">(BG215*0.5-BH215*0.25+BI215*0.5)/SUM(BG215:BI215)*1000</f>
        <v>318.572282102987</v>
      </c>
      <c r="BO215" s="53" t="n">
        <v>5.27910436</v>
      </c>
      <c r="BP215" s="54" t="s">
        <v>77</v>
      </c>
      <c r="BQ215" s="55" t="n">
        <v>441.057486962884</v>
      </c>
      <c r="BR215" s="56" t="n">
        <v>20.0056461802922</v>
      </c>
      <c r="BS215" s="56" t="n">
        <v>34.1075336935696</v>
      </c>
      <c r="BT215" s="56" t="n">
        <v>19.1807544348179</v>
      </c>
      <c r="BU215" s="55"/>
      <c r="BV215" s="55"/>
      <c r="BW215" s="55"/>
      <c r="BX215" s="55"/>
      <c r="BY215" s="79" t="n">
        <v>0.0485175202156334</v>
      </c>
      <c r="BZ215" s="80" t="n">
        <v>0.5479973</v>
      </c>
      <c r="CA215" s="81" t="n">
        <v>3.84</v>
      </c>
      <c r="CB215" s="81" t="n">
        <v>0.706</v>
      </c>
      <c r="CC215" s="82" t="n">
        <v>6.819076</v>
      </c>
      <c r="CD215" s="82" t="n">
        <v>8.284032</v>
      </c>
      <c r="CE215" s="83" t="n">
        <v>82.115141</v>
      </c>
      <c r="CF215" s="84" t="n">
        <v>32.121304</v>
      </c>
      <c r="CG215" s="80" t="n">
        <v>0.134</v>
      </c>
      <c r="CH215" s="63" t="n">
        <v>17106.0149806618</v>
      </c>
      <c r="CI215" s="63" t="n">
        <v>9453.99875531047</v>
      </c>
      <c r="CJ215" s="64" t="n">
        <v>841908.348680396</v>
      </c>
      <c r="CK215" s="65" t="n">
        <v>1.12292493240252</v>
      </c>
    </row>
    <row r="216" customFormat="false" ht="15" hidden="false" customHeight="false" outlineLevel="0" collapsed="false">
      <c r="A216" s="7" t="s">
        <v>73</v>
      </c>
      <c r="B216" s="66" t="n">
        <v>214</v>
      </c>
      <c r="C216" s="8" t="s">
        <v>292</v>
      </c>
      <c r="D216" s="67" t="n">
        <v>41883</v>
      </c>
      <c r="E216" s="4" t="s">
        <v>78</v>
      </c>
      <c r="F216" s="7" t="n">
        <v>2051</v>
      </c>
      <c r="G216" s="68" t="n">
        <v>1</v>
      </c>
      <c r="H216" s="68" t="n">
        <v>175</v>
      </c>
      <c r="I216" s="66" t="n">
        <v>1</v>
      </c>
      <c r="J216" s="69" t="n">
        <v>576.003205128205</v>
      </c>
      <c r="K216" s="31" t="n">
        <v>396.622734816217</v>
      </c>
      <c r="L216" s="31" t="n">
        <v>908.09698443913</v>
      </c>
      <c r="M216" s="31" t="n">
        <v>148.078963481839</v>
      </c>
      <c r="N216" s="31" t="n">
        <v>410.837451037105</v>
      </c>
      <c r="O216" s="32"/>
      <c r="P216" s="33" t="n">
        <v>65.5888604036004</v>
      </c>
      <c r="Q216" s="33" t="n">
        <v>13.7092448906003</v>
      </c>
      <c r="R216" s="31" t="n">
        <v>93.703155833179</v>
      </c>
      <c r="S216" s="34" t="s">
        <v>76</v>
      </c>
      <c r="T216" s="35" t="n">
        <v>19.4041424561539</v>
      </c>
      <c r="U216" s="35" t="n">
        <v>5.34233315384615</v>
      </c>
      <c r="V216" s="70" t="n">
        <v>24.74647561</v>
      </c>
      <c r="W216" s="35" t="n">
        <v>22.5173356834822</v>
      </c>
      <c r="X216" s="35" t="n">
        <v>3.79823427995863</v>
      </c>
      <c r="Y216" s="35" t="n">
        <v>9.20880900365861</v>
      </c>
      <c r="Z216" s="35"/>
      <c r="AA216" s="35" t="n">
        <v>1.4517802318933</v>
      </c>
      <c r="AB216" s="35" t="n">
        <v>0.311111404156602</v>
      </c>
      <c r="AC216" s="71" t="n">
        <v>2.77610904401385</v>
      </c>
      <c r="AD216" s="38" t="n">
        <v>10.4920213222847</v>
      </c>
      <c r="AE216" s="38" t="n">
        <v>9.09842071745241</v>
      </c>
      <c r="AF216" s="38" t="n">
        <v>2.77323185623658</v>
      </c>
      <c r="AG216" s="72"/>
      <c r="AH216" s="72"/>
      <c r="AI216" s="73" t="n">
        <v>29.6521894685642</v>
      </c>
      <c r="AJ216" s="42" t="s">
        <v>16</v>
      </c>
      <c r="AK216" s="43" t="n">
        <v>576.019571932703</v>
      </c>
      <c r="AL216" s="43" t="n">
        <v>595.937066207764</v>
      </c>
      <c r="AM216" s="43" t="n">
        <v>269.862875265612</v>
      </c>
      <c r="AN216" s="74"/>
      <c r="AO216" s="75" t="n">
        <v>24.8846153846154</v>
      </c>
      <c r="AP216" s="76" t="n">
        <v>0.768206857764877</v>
      </c>
      <c r="AQ216" s="76" t="n">
        <v>0.681697605224964</v>
      </c>
      <c r="AR216" s="76" t="n">
        <v>1.08350197750363</v>
      </c>
      <c r="AS216" s="77" t="n">
        <v>21.4769490203193</v>
      </c>
      <c r="AT216" s="78" t="n">
        <v>20.4954264156721</v>
      </c>
      <c r="AU216" s="78" t="n">
        <v>30.8707547169811</v>
      </c>
      <c r="AV216" s="78" t="n">
        <v>27.3943396226415</v>
      </c>
      <c r="AW216" s="78" t="n">
        <v>43.5410377358491</v>
      </c>
      <c r="AX216" s="78" t="n">
        <v>33.9905660377358</v>
      </c>
      <c r="AY216" s="48" t="n">
        <v>0.828215974617006</v>
      </c>
      <c r="AZ216" s="48" t="n">
        <v>19.291984187118</v>
      </c>
      <c r="BA216" s="48" t="n">
        <v>5.45449142288204</v>
      </c>
      <c r="BB216" s="49" t="n">
        <f aca="false">AT216/V216</f>
        <v>0.828215974617006</v>
      </c>
      <c r="BC216" s="49" t="n">
        <f aca="false">AS216/V216</f>
        <v>0.867879101605907</v>
      </c>
      <c r="BD216" s="49" t="n">
        <f aca="false">SUM(AP216:AR216)/V216</f>
        <v>0.102374434259629</v>
      </c>
      <c r="BE216" s="50" t="n">
        <v>6.71</v>
      </c>
      <c r="BF216" s="51" t="n">
        <v>226.135192833879</v>
      </c>
      <c r="BG216" s="51" t="n">
        <v>557.102105790238</v>
      </c>
      <c r="BH216" s="51" t="n">
        <v>253.5828584378</v>
      </c>
      <c r="BI216" s="51" t="n">
        <v>157.043368836799</v>
      </c>
      <c r="BJ216" s="51" t="n">
        <v>5.42628932559096</v>
      </c>
      <c r="BK216" s="51" t="n">
        <v>13.1135390178842</v>
      </c>
      <c r="BL216" s="51" t="n">
        <v>8.75671421357749</v>
      </c>
      <c r="BM216" s="51"/>
      <c r="BN216" s="52" t="n">
        <f aca="false">(BG216*0.5-BH216*0.25+BI216*0.5)/SUM(BG216:BI216)*1000</f>
        <v>303.470522325187</v>
      </c>
      <c r="BO216" s="53" t="n">
        <v>13.16523216</v>
      </c>
      <c r="BP216" s="54" t="s">
        <v>77</v>
      </c>
      <c r="BQ216" s="55" t="n">
        <v>449.353635367527</v>
      </c>
      <c r="BR216" s="56" t="n">
        <v>18.158288171991</v>
      </c>
      <c r="BS216" s="56" t="n">
        <v>33.486584906833</v>
      </c>
      <c r="BT216" s="56" t="n">
        <v>21.9245809408446</v>
      </c>
      <c r="BU216" s="55"/>
      <c r="BV216" s="55"/>
      <c r="BW216" s="55"/>
      <c r="BX216" s="55"/>
      <c r="BY216" s="79" t="n">
        <v>0.0776280323450135</v>
      </c>
      <c r="BZ216" s="80" t="n">
        <v>1.4663389</v>
      </c>
      <c r="CA216" s="81" t="n">
        <v>3.08</v>
      </c>
      <c r="CB216" s="81" t="n">
        <v>0.881</v>
      </c>
      <c r="CC216" s="82" t="n">
        <v>4.587912</v>
      </c>
      <c r="CD216" s="82" t="n">
        <v>8.308644</v>
      </c>
      <c r="CE216" s="83" t="n">
        <v>79.968806</v>
      </c>
      <c r="CF216" s="84" t="n">
        <v>34.456048</v>
      </c>
      <c r="CG216" s="80" t="n">
        <v>0.1445</v>
      </c>
      <c r="CH216" s="63" t="n">
        <v>52363.4539645813</v>
      </c>
      <c r="CI216" s="63" t="n">
        <v>3368.29136693862</v>
      </c>
      <c r="CJ216" s="64" t="n">
        <v>673581.972023229</v>
      </c>
      <c r="CK216" s="65" t="n">
        <v>0.500056638514437</v>
      </c>
    </row>
    <row r="217" customFormat="false" ht="15" hidden="false" customHeight="false" outlineLevel="0" collapsed="false">
      <c r="A217" s="7" t="s">
        <v>73</v>
      </c>
      <c r="B217" s="66" t="n">
        <v>215</v>
      </c>
      <c r="C217" s="8" t="s">
        <v>293</v>
      </c>
      <c r="D217" s="67" t="n">
        <v>41883</v>
      </c>
      <c r="E217" s="4" t="s">
        <v>78</v>
      </c>
      <c r="F217" s="7" t="n">
        <v>2083</v>
      </c>
      <c r="G217" s="68" t="n">
        <v>1</v>
      </c>
      <c r="H217" s="68" t="n">
        <v>175</v>
      </c>
      <c r="I217" s="66" t="n">
        <v>1</v>
      </c>
      <c r="J217" s="69" t="n">
        <v>606.454861111111</v>
      </c>
      <c r="K217" s="31" t="n">
        <v>396.622734816217</v>
      </c>
      <c r="L217" s="31" t="n">
        <v>908.09698443913</v>
      </c>
      <c r="M217" s="31" t="n">
        <v>148.078963481839</v>
      </c>
      <c r="N217" s="31" t="n">
        <v>410.837451037105</v>
      </c>
      <c r="O217" s="32"/>
      <c r="P217" s="33" t="n">
        <v>65.5888604036004</v>
      </c>
      <c r="Q217" s="33" t="n">
        <v>13.7092448906003</v>
      </c>
      <c r="R217" s="31" t="n">
        <v>93.703155833179</v>
      </c>
      <c r="S217" s="34" t="s">
        <v>76</v>
      </c>
      <c r="T217" s="35" t="n">
        <v>16.9649521266667</v>
      </c>
      <c r="U217" s="35" t="n">
        <v>5.57630783333333</v>
      </c>
      <c r="V217" s="70" t="n">
        <v>22.54125996</v>
      </c>
      <c r="W217" s="35" t="n">
        <v>20.5153467027327</v>
      </c>
      <c r="X217" s="35" t="n">
        <v>3.47530395665386</v>
      </c>
      <c r="Y217" s="35" t="n">
        <v>8.26309041613203</v>
      </c>
      <c r="Z217" s="35"/>
      <c r="AA217" s="35" t="n">
        <v>1.29877837536517</v>
      </c>
      <c r="AB217" s="35" t="n">
        <v>0.280335761418055</v>
      </c>
      <c r="AC217" s="71" t="n">
        <v>2.58555100693277</v>
      </c>
      <c r="AD217" s="38" t="n">
        <v>6.95890378621579</v>
      </c>
      <c r="AE217" s="38" t="n">
        <v>5.98961050359479</v>
      </c>
      <c r="AF217" s="38" t="n">
        <v>1.58084648564288</v>
      </c>
      <c r="AG217" s="72"/>
      <c r="AH217" s="72"/>
      <c r="AI217" s="73" t="n">
        <v>40.2844715245732</v>
      </c>
      <c r="AJ217" s="42" t="s">
        <v>16</v>
      </c>
      <c r="AK217" s="43" t="n">
        <v>691.281507840976</v>
      </c>
      <c r="AL217" s="43" t="n">
        <v>708.04244303622</v>
      </c>
      <c r="AM217" s="43" t="n">
        <v>545.119936166686</v>
      </c>
      <c r="AN217" s="74"/>
      <c r="AO217" s="75" t="n">
        <v>24.4666666666667</v>
      </c>
      <c r="AP217" s="76" t="n">
        <v>0.761799195402299</v>
      </c>
      <c r="AQ217" s="76" t="n">
        <v>0.78580183908046</v>
      </c>
      <c r="AR217" s="76" t="n">
        <v>1.10188586206897</v>
      </c>
      <c r="AS217" s="77" t="n">
        <v>21.2136545977012</v>
      </c>
      <c r="AT217" s="78" t="n">
        <v>21.3136833911707</v>
      </c>
      <c r="AU217" s="78" t="n">
        <v>31.1362068965517</v>
      </c>
      <c r="AV217" s="78" t="n">
        <v>32.1172413793103</v>
      </c>
      <c r="AW217" s="78" t="n">
        <v>45.0362068965517</v>
      </c>
      <c r="AX217" s="78" t="n">
        <v>28.1896551724138</v>
      </c>
      <c r="AY217" s="48" t="n">
        <v>0.945540907162789</v>
      </c>
      <c r="AZ217" s="48" t="n">
        <v>19.6409698773569</v>
      </c>
      <c r="BA217" s="48" t="n">
        <v>2.90029008264315</v>
      </c>
      <c r="BB217" s="49" t="n">
        <f aca="false">AT217/V217</f>
        <v>0.945540907162789</v>
      </c>
      <c r="BC217" s="49" t="n">
        <f aca="false">AS217/V217</f>
        <v>0.94110332054842</v>
      </c>
      <c r="BD217" s="49" t="n">
        <f aca="false">SUM(AP217:AR217)/V217</f>
        <v>0.117539432190273</v>
      </c>
      <c r="BE217" s="50" t="n">
        <v>6.55</v>
      </c>
      <c r="BF217" s="51" t="n">
        <v>136.101681372307</v>
      </c>
      <c r="BG217" s="51" t="n">
        <v>527.003962295727</v>
      </c>
      <c r="BH217" s="51" t="n">
        <v>267.488261482706</v>
      </c>
      <c r="BI217" s="51" t="n">
        <v>162.466024588335</v>
      </c>
      <c r="BJ217" s="51" t="n">
        <v>6.25283770551228</v>
      </c>
      <c r="BK217" s="51" t="n">
        <v>16.9060452763495</v>
      </c>
      <c r="BL217" s="51" t="n">
        <v>14.9077442732613</v>
      </c>
      <c r="BM217" s="51"/>
      <c r="BN217" s="52" t="n">
        <f aca="false">(BG217*0.5-BH217*0.25+BI217*0.5)/SUM(BG217:BI217)*1000</f>
        <v>290.360554962121</v>
      </c>
      <c r="BO217" s="53" t="n">
        <v>8.54890712</v>
      </c>
      <c r="BP217" s="54" t="s">
        <v>77</v>
      </c>
      <c r="BQ217" s="55" t="n">
        <v>455.320217608232</v>
      </c>
      <c r="BR217" s="56" t="n">
        <v>20.1994129172996</v>
      </c>
      <c r="BS217" s="56" t="n">
        <v>31.3457584088064</v>
      </c>
      <c r="BT217" s="56" t="n">
        <v>21.3628122953563</v>
      </c>
      <c r="BU217" s="55"/>
      <c r="BV217" s="55"/>
      <c r="BW217" s="55"/>
      <c r="BX217" s="55"/>
      <c r="BY217" s="79" t="n">
        <v>0.0582210242587601</v>
      </c>
      <c r="BZ217" s="80" t="n">
        <v>0.7064302</v>
      </c>
      <c r="CA217" s="81" t="n">
        <v>3.42</v>
      </c>
      <c r="CB217" s="81" t="n">
        <v>0.639</v>
      </c>
      <c r="CC217" s="82" t="n">
        <v>4.389818</v>
      </c>
      <c r="CD217" s="82" t="n">
        <v>6.702711</v>
      </c>
      <c r="CE217" s="83" t="n">
        <v>80.616472</v>
      </c>
      <c r="CF217" s="84" t="n">
        <v>34.811932</v>
      </c>
      <c r="CG217" s="80" t="n">
        <v>0.1865</v>
      </c>
      <c r="CH217" s="63" t="n">
        <v>9122.15387262341</v>
      </c>
      <c r="CI217" s="63" t="n">
        <v>4358.67176718881</v>
      </c>
      <c r="CJ217" s="64" t="n">
        <v>1068059.7458718</v>
      </c>
      <c r="CK217" s="65" t="n">
        <v>0.408092504565938</v>
      </c>
    </row>
    <row r="218" customFormat="false" ht="15" hidden="false" customHeight="false" outlineLevel="0" collapsed="false">
      <c r="A218" s="7" t="s">
        <v>73</v>
      </c>
      <c r="B218" s="66" t="n">
        <v>216</v>
      </c>
      <c r="C218" s="8" t="s">
        <v>294</v>
      </c>
      <c r="D218" s="67" t="n">
        <v>41883</v>
      </c>
      <c r="E218" s="4" t="s">
        <v>78</v>
      </c>
      <c r="F218" s="7" t="n">
        <v>990</v>
      </c>
      <c r="G218" s="68" t="n">
        <v>1</v>
      </c>
      <c r="H218" s="68" t="n">
        <v>160</v>
      </c>
      <c r="I218" s="66" t="n">
        <v>2</v>
      </c>
      <c r="J218" s="69" t="n">
        <v>631.972</v>
      </c>
      <c r="K218" s="31" t="n">
        <v>396.622734816217</v>
      </c>
      <c r="L218" s="31" t="n">
        <v>908.09698443913</v>
      </c>
      <c r="M218" s="31" t="n">
        <v>148.078963481839</v>
      </c>
      <c r="N218" s="31" t="n">
        <v>410.837451037105</v>
      </c>
      <c r="O218" s="32"/>
      <c r="P218" s="33" t="n">
        <v>65.5888604036004</v>
      </c>
      <c r="Q218" s="33" t="n">
        <v>13.7092448906003</v>
      </c>
      <c r="R218" s="31" t="n">
        <v>93.703155833179</v>
      </c>
      <c r="S218" s="34" t="s">
        <v>76</v>
      </c>
      <c r="T218" s="35" t="n">
        <v>16.27539347</v>
      </c>
      <c r="U218" s="35" t="n">
        <v>4.79413768</v>
      </c>
      <c r="V218" s="70" t="n">
        <v>21.06953115</v>
      </c>
      <c r="W218" s="35" t="n">
        <v>19.1685740268257</v>
      </c>
      <c r="X218" s="35" t="n">
        <v>3.23193086520601</v>
      </c>
      <c r="Y218" s="35" t="n">
        <v>7.8044987435487</v>
      </c>
      <c r="Z218" s="35"/>
      <c r="AA218" s="35" t="n">
        <v>1.22508551816595</v>
      </c>
      <c r="AB218" s="35" t="n">
        <v>0.266075824876154</v>
      </c>
      <c r="AC218" s="71" t="n">
        <v>2.3703965941868</v>
      </c>
      <c r="AD218" s="38" t="n">
        <v>8.84943393015196</v>
      </c>
      <c r="AE218" s="38" t="n">
        <v>7.63498956895286</v>
      </c>
      <c r="AF218" s="38" t="n">
        <v>1.70145003155159</v>
      </c>
      <c r="AG218" s="72"/>
      <c r="AH218" s="72"/>
      <c r="AI218" s="73" t="n">
        <v>30.0669881233392</v>
      </c>
      <c r="AJ218" s="42" t="s">
        <v>16</v>
      </c>
      <c r="AK218" s="43" t="n">
        <v>579.989043555345</v>
      </c>
      <c r="AL218" s="43" t="n">
        <v>601.692355505007</v>
      </c>
      <c r="AM218" s="43" t="n">
        <v>473.549991471387</v>
      </c>
      <c r="AN218" s="74"/>
      <c r="AO218" s="75" t="n">
        <v>22.572</v>
      </c>
      <c r="AP218" s="76" t="n">
        <v>0.941450835164835</v>
      </c>
      <c r="AQ218" s="76" t="n">
        <v>0.823853195604395</v>
      </c>
      <c r="AR218" s="76" t="n">
        <v>1.03925456703297</v>
      </c>
      <c r="AS218" s="77" t="n">
        <v>23.1505625274725</v>
      </c>
      <c r="AT218" s="78" t="n">
        <v>23.4558360697977</v>
      </c>
      <c r="AU218" s="78" t="n">
        <v>41.7087912087912</v>
      </c>
      <c r="AV218" s="78" t="n">
        <v>36.4989010989011</v>
      </c>
      <c r="AW218" s="78" t="n">
        <v>46.0417582417582</v>
      </c>
      <c r="AX218" s="78" t="n">
        <v>35.989010989011</v>
      </c>
      <c r="AY218" s="48" t="n">
        <v>1.11325856768283</v>
      </c>
      <c r="AZ218" s="48" t="n">
        <v>20.6853456356771</v>
      </c>
      <c r="BA218" s="48" t="n">
        <v>0.384185514322944</v>
      </c>
      <c r="BB218" s="49" t="n">
        <f aca="false">AT218/V218</f>
        <v>1.11325856768283</v>
      </c>
      <c r="BC218" s="49" t="n">
        <f aca="false">AS218/V218</f>
        <v>1.09876970506164</v>
      </c>
      <c r="BD218" s="49" t="n">
        <f aca="false">SUM(AP218:AR218)/V218</f>
        <v>0.13310968231024</v>
      </c>
      <c r="BE218" s="50" t="n">
        <v>7.03</v>
      </c>
      <c r="BF218" s="51" t="n">
        <v>141.694220617799</v>
      </c>
      <c r="BG218" s="51" t="n">
        <v>577.661925761574</v>
      </c>
      <c r="BH218" s="51" t="n">
        <v>247.635455227387</v>
      </c>
      <c r="BI218" s="51" t="n">
        <v>140.900198035396</v>
      </c>
      <c r="BJ218" s="51" t="n">
        <v>7.43401424246189</v>
      </c>
      <c r="BK218" s="51" t="n">
        <v>11.3943214641668</v>
      </c>
      <c r="BL218" s="51" t="n">
        <v>9.9989608909054</v>
      </c>
      <c r="BM218" s="51"/>
      <c r="BN218" s="52" t="n">
        <f aca="false">(BG218*0.5-BH218*0.25+BI218*0.5)/SUM(BG218:BI218)*1000</f>
        <v>307.775764033602</v>
      </c>
      <c r="BO218" s="53" t="n">
        <v>12.0600632</v>
      </c>
      <c r="BP218" s="54" t="s">
        <v>77</v>
      </c>
      <c r="BQ218" s="55" t="n">
        <v>394.871183701386</v>
      </c>
      <c r="BR218" s="56" t="n">
        <v>18.7413369993943</v>
      </c>
      <c r="BS218" s="56" t="n">
        <v>34.2366404081643</v>
      </c>
      <c r="BT218" s="56" t="n">
        <v>16.8346667552743</v>
      </c>
      <c r="BU218" s="55"/>
      <c r="BV218" s="55"/>
      <c r="BW218" s="55"/>
      <c r="BX218" s="55"/>
      <c r="BY218" s="79" t="n">
        <v>0.0582210242587601</v>
      </c>
      <c r="BZ218" s="80" t="n">
        <v>1.0830641</v>
      </c>
      <c r="CA218" s="81" t="n">
        <v>3.34</v>
      </c>
      <c r="CB218" s="81" t="n">
        <v>0.577</v>
      </c>
      <c r="CC218" s="82" t="n">
        <v>4.640042</v>
      </c>
      <c r="CD218" s="82" t="n">
        <v>7.902546</v>
      </c>
      <c r="CE218" s="83" t="n">
        <v>86.837078</v>
      </c>
      <c r="CF218" s="84" t="n">
        <v>35.452516</v>
      </c>
      <c r="CG218" s="80" t="n">
        <v>0.134</v>
      </c>
      <c r="CH218" s="63" t="n">
        <v>34241.549277085</v>
      </c>
      <c r="CI218" s="63" t="n">
        <v>6774.0318088712</v>
      </c>
      <c r="CJ218" s="64" t="n">
        <v>937502.368689512</v>
      </c>
      <c r="CK218" s="65" t="n">
        <v>0.722561567320654</v>
      </c>
    </row>
    <row r="219" customFormat="false" ht="15" hidden="false" customHeight="false" outlineLevel="0" collapsed="false">
      <c r="A219" s="7" t="s">
        <v>73</v>
      </c>
      <c r="B219" s="66" t="n">
        <v>217</v>
      </c>
      <c r="C219" s="8" t="s">
        <v>295</v>
      </c>
      <c r="D219" s="67" t="n">
        <v>41883</v>
      </c>
      <c r="E219" s="4" t="s">
        <v>78</v>
      </c>
      <c r="F219" s="7" t="n">
        <v>2090</v>
      </c>
      <c r="G219" s="68" t="n">
        <v>1</v>
      </c>
      <c r="H219" s="68" t="n">
        <v>163</v>
      </c>
      <c r="I219" s="66" t="n">
        <v>1</v>
      </c>
      <c r="J219" s="69" t="n">
        <v>600.817857142857</v>
      </c>
      <c r="K219" s="31" t="n">
        <v>396.622734816217</v>
      </c>
      <c r="L219" s="31" t="n">
        <v>908.09698443913</v>
      </c>
      <c r="M219" s="31" t="n">
        <v>148.078963481839</v>
      </c>
      <c r="N219" s="31" t="n">
        <v>410.837451037105</v>
      </c>
      <c r="O219" s="32"/>
      <c r="P219" s="33" t="n">
        <v>65.5888604036004</v>
      </c>
      <c r="Q219" s="33" t="n">
        <v>13.7092448906003</v>
      </c>
      <c r="R219" s="31" t="n">
        <v>93.703155833179</v>
      </c>
      <c r="S219" s="34" t="s">
        <v>76</v>
      </c>
      <c r="T219" s="35" t="n">
        <v>15.4037526814286</v>
      </c>
      <c r="U219" s="35" t="n">
        <v>9.76544142857143</v>
      </c>
      <c r="V219" s="70" t="n">
        <v>25.16919411</v>
      </c>
      <c r="W219" s="35" t="n">
        <v>22.9381119999305</v>
      </c>
      <c r="X219" s="35" t="n">
        <v>3.97087610217268</v>
      </c>
      <c r="Y219" s="35" t="n">
        <v>8.59006604645823</v>
      </c>
      <c r="Z219" s="35"/>
      <c r="AA219" s="35" t="n">
        <v>1.33738837927261</v>
      </c>
      <c r="AB219" s="35" t="n">
        <v>0.293830087125118</v>
      </c>
      <c r="AC219" s="71" t="n">
        <v>3.19303227011761</v>
      </c>
      <c r="AD219" s="38" t="n">
        <v>7.26606394843887</v>
      </c>
      <c r="AE219" s="38" t="n">
        <v>6.14864355218761</v>
      </c>
      <c r="AF219" s="38" t="n">
        <v>1.96012652567789</v>
      </c>
      <c r="AG219" s="72"/>
      <c r="AH219" s="72"/>
      <c r="AI219" s="73" t="n">
        <v>40.438687191605</v>
      </c>
      <c r="AJ219" s="42" t="s">
        <v>16</v>
      </c>
      <c r="AK219" s="43" t="n">
        <v>711.311219712355</v>
      </c>
      <c r="AL219" s="43" t="n">
        <v>731.946397671865</v>
      </c>
      <c r="AM219" s="43" t="n">
        <v>506.374292412347</v>
      </c>
      <c r="AN219" s="74"/>
      <c r="AO219" s="75" t="n">
        <v>48.5714285714286</v>
      </c>
      <c r="AP219" s="76" t="n">
        <v>1.40029827315542</v>
      </c>
      <c r="AQ219" s="76" t="n">
        <v>1.51281318681319</v>
      </c>
      <c r="AR219" s="76" t="n">
        <v>2.2438398744113</v>
      </c>
      <c r="AS219" s="77" t="n">
        <v>40.4330455259027</v>
      </c>
      <c r="AT219" s="78" t="n">
        <v>40.878994610485</v>
      </c>
      <c r="AU219" s="78" t="n">
        <v>28.8296703296703</v>
      </c>
      <c r="AV219" s="78" t="n">
        <v>31.1461538461538</v>
      </c>
      <c r="AW219" s="78" t="n">
        <v>46.1967032967033</v>
      </c>
      <c r="AX219" s="78" t="n">
        <v>42.4945054945055</v>
      </c>
      <c r="AY219" s="48" t="n">
        <v>1.62416779940695</v>
      </c>
      <c r="AZ219" s="48" t="n">
        <v>26.6367972439412</v>
      </c>
      <c r="BA219" s="48" t="n">
        <v>-1.46760313394119</v>
      </c>
      <c r="BB219" s="49" t="n">
        <f aca="false">AT219/V219</f>
        <v>1.62416779940695</v>
      </c>
      <c r="BC219" s="49" t="n">
        <f aca="false">AS219/V219</f>
        <v>1.60644974762375</v>
      </c>
      <c r="BD219" s="49" t="n">
        <f aca="false">SUM(AP219:AR219)/V219</f>
        <v>0.204891396674913</v>
      </c>
      <c r="BE219" s="50" t="n">
        <v>7.16</v>
      </c>
      <c r="BF219" s="51" t="n">
        <v>140.930520100774</v>
      </c>
      <c r="BG219" s="51" t="n">
        <v>572.290988521694</v>
      </c>
      <c r="BH219" s="51" t="n">
        <v>236.998845767993</v>
      </c>
      <c r="BI219" s="51" t="n">
        <v>153.480660328958</v>
      </c>
      <c r="BJ219" s="51" t="n">
        <v>7.46551554750694</v>
      </c>
      <c r="BK219" s="51" t="n">
        <v>14.4078044682126</v>
      </c>
      <c r="BL219" s="51" t="n">
        <v>10.3810609875261</v>
      </c>
      <c r="BM219" s="51"/>
      <c r="BN219" s="52" t="n">
        <f aca="false">(BG219*0.5-BH219*0.25+BI219*0.5)/SUM(BG219:BI219)*1000</f>
        <v>315.377459820888</v>
      </c>
      <c r="BO219" s="53" t="n">
        <v>7.11156324</v>
      </c>
      <c r="BP219" s="54" t="s">
        <v>77</v>
      </c>
      <c r="BQ219" s="55" t="n">
        <v>455.670290925554</v>
      </c>
      <c r="BR219" s="56" t="n">
        <v>18.1042860941071</v>
      </c>
      <c r="BS219" s="56" t="n">
        <v>27.1402452283599</v>
      </c>
      <c r="BT219" s="56" t="n">
        <v>11.1468076763483</v>
      </c>
      <c r="BU219" s="55"/>
      <c r="BV219" s="55"/>
      <c r="BW219" s="55"/>
      <c r="BX219" s="55"/>
      <c r="BY219" s="79" t="n">
        <v>0.0873315363881402</v>
      </c>
      <c r="BZ219" s="80" t="n">
        <v>0.890478</v>
      </c>
      <c r="CA219" s="81" t="n">
        <v>3.33</v>
      </c>
      <c r="CB219" s="81" t="n">
        <v>0.647</v>
      </c>
      <c r="CC219" s="82" t="n">
        <v>4.921544</v>
      </c>
      <c r="CD219" s="82" t="n">
        <v>8.07483</v>
      </c>
      <c r="CE219" s="83" t="n">
        <v>82.33354</v>
      </c>
      <c r="CF219" s="84" t="n">
        <v>34.608572</v>
      </c>
      <c r="CG219" s="80" t="n">
        <v>0.134</v>
      </c>
      <c r="CH219" s="63" t="n">
        <v>23220.7528862384</v>
      </c>
      <c r="CI219" s="63" t="n">
        <v>5989.66340270504</v>
      </c>
      <c r="CJ219" s="64" t="n">
        <v>851406.301326049</v>
      </c>
      <c r="CK219" s="65" t="n">
        <v>0.70350235761425</v>
      </c>
    </row>
    <row r="220" customFormat="false" ht="15" hidden="false" customHeight="false" outlineLevel="0" collapsed="false">
      <c r="A220" s="7" t="s">
        <v>73</v>
      </c>
      <c r="B220" s="66" t="n">
        <v>218</v>
      </c>
      <c r="C220" s="8" t="s">
        <v>296</v>
      </c>
      <c r="D220" s="67" t="n">
        <v>41918</v>
      </c>
      <c r="E220" s="4" t="s">
        <v>75</v>
      </c>
      <c r="F220" s="7" t="n">
        <v>161</v>
      </c>
      <c r="G220" s="68" t="n">
        <v>1</v>
      </c>
      <c r="H220" s="68" t="n">
        <v>87</v>
      </c>
      <c r="I220" s="66" t="n">
        <v>1</v>
      </c>
      <c r="J220" s="69" t="n">
        <v>612.14880952381</v>
      </c>
      <c r="K220" s="31" t="n">
        <v>518.420224040644</v>
      </c>
      <c r="L220" s="31" t="n">
        <v>933.012315093912</v>
      </c>
      <c r="M220" s="31" t="n">
        <v>169.635817339258</v>
      </c>
      <c r="N220" s="31" t="n">
        <v>358.644910717818</v>
      </c>
      <c r="O220" s="32"/>
      <c r="P220" s="33" t="n">
        <v>74.3782475135517</v>
      </c>
      <c r="Q220" s="33" t="n">
        <v>13.5988183864676</v>
      </c>
      <c r="R220" s="31" t="n">
        <v>148.251970104582</v>
      </c>
      <c r="S220" s="34" t="s">
        <v>76</v>
      </c>
      <c r="T220" s="35" t="n">
        <v>20.4519839096678</v>
      </c>
      <c r="U220" s="35" t="n">
        <v>7.85752990033223</v>
      </c>
      <c r="V220" s="70" t="n">
        <v>28.30951381</v>
      </c>
      <c r="W220" s="35" t="n">
        <v>26.4501114286677</v>
      </c>
      <c r="X220" s="35" t="n">
        <v>4.94878727518284</v>
      </c>
      <c r="Y220" s="35" t="n">
        <v>8.95059539668114</v>
      </c>
      <c r="Z220" s="35"/>
      <c r="AA220" s="35" t="n">
        <v>1.7840389230145</v>
      </c>
      <c r="AB220" s="35" t="n">
        <v>0.333668774378889</v>
      </c>
      <c r="AC220" s="71" t="n">
        <v>4.67798115655561</v>
      </c>
      <c r="AD220" s="38" t="n">
        <v>7.38461803976194</v>
      </c>
      <c r="AE220" s="38" t="n">
        <v>6.37165925675273</v>
      </c>
      <c r="AF220" s="38" t="n">
        <v>1.67111002045184</v>
      </c>
      <c r="AG220" s="72"/>
      <c r="AH220" s="72"/>
      <c r="AI220" s="73" t="n">
        <v>45.1842969510778</v>
      </c>
      <c r="AJ220" s="42" t="s">
        <v>16</v>
      </c>
      <c r="AK220" s="43" t="n">
        <v>739.147125968889</v>
      </c>
      <c r="AL220" s="43" t="n">
        <v>759.106524978686</v>
      </c>
      <c r="AM220" s="43" t="n">
        <v>662.31928601334</v>
      </c>
      <c r="AN220" s="74"/>
      <c r="AO220" s="75" t="n">
        <v>42.9214285714286</v>
      </c>
      <c r="AP220" s="76" t="n">
        <v>1.21038428571429</v>
      </c>
      <c r="AQ220" s="76" t="n">
        <v>1.37777785714286</v>
      </c>
      <c r="AR220" s="76" t="n">
        <v>1.99584642857143</v>
      </c>
      <c r="AS220" s="77" t="n">
        <v>35.3243357142857</v>
      </c>
      <c r="AT220" s="78" t="n">
        <v>36.1782534349408</v>
      </c>
      <c r="AU220" s="78" t="n">
        <v>28.2</v>
      </c>
      <c r="AV220" s="78" t="n">
        <v>32.1</v>
      </c>
      <c r="AW220" s="78" t="n">
        <v>46.5</v>
      </c>
      <c r="AX220" s="78" t="n">
        <v>37</v>
      </c>
      <c r="AY220" s="48" t="n">
        <v>1.277953894855</v>
      </c>
      <c r="AZ220" s="48" t="n">
        <v>23.9146382591775</v>
      </c>
      <c r="BA220" s="48" t="n">
        <v>4.39487555082251</v>
      </c>
      <c r="BB220" s="49" t="n">
        <f aca="false">AT220/V220</f>
        <v>1.277953894855</v>
      </c>
      <c r="BC220" s="49" t="n">
        <f aca="false">AS220/V220</f>
        <v>1.24779026412696</v>
      </c>
      <c r="BD220" s="49" t="n">
        <f aca="false">SUM(AP220:AR220)/V220</f>
        <v>0.161924666110279</v>
      </c>
      <c r="BE220" s="50" t="n">
        <v>6.62</v>
      </c>
      <c r="BF220" s="51" t="n">
        <v>118.663666019132</v>
      </c>
      <c r="BG220" s="51" t="n">
        <v>557.319808930625</v>
      </c>
      <c r="BH220" s="51" t="n">
        <v>284.314153094462</v>
      </c>
      <c r="BI220" s="51" t="n">
        <v>112.743154327014</v>
      </c>
      <c r="BJ220" s="51" t="n">
        <v>8.73445627405931</v>
      </c>
      <c r="BK220" s="51" t="n">
        <v>17.7738012585562</v>
      </c>
      <c r="BL220" s="51" t="n">
        <v>14.1395017371743</v>
      </c>
      <c r="BM220" s="51"/>
      <c r="BN220" s="52" t="n">
        <f aca="false">(BG220*0.5-BH220*0.25+BI220*0.5)/SUM(BG220:BI220)*1000</f>
        <v>276.570905601872</v>
      </c>
      <c r="BO220" s="53" t="n">
        <v>6.44914176</v>
      </c>
      <c r="BP220" s="54" t="s">
        <v>77</v>
      </c>
      <c r="BQ220" s="55" t="n">
        <v>464.85281462</v>
      </c>
      <c r="BR220" s="56" t="n">
        <v>16.4203743568283</v>
      </c>
      <c r="BS220" s="56" t="n">
        <v>23.1518251825317</v>
      </c>
      <c r="BT220" s="56" t="n">
        <v>12.8489567760904</v>
      </c>
      <c r="BU220" s="55"/>
      <c r="BV220" s="55"/>
      <c r="BW220" s="55"/>
      <c r="BX220" s="55"/>
      <c r="BY220" s="79" t="n">
        <v>0.261994609164421</v>
      </c>
      <c r="BZ220" s="80" t="n">
        <v>0.3364372</v>
      </c>
      <c r="CA220" s="81" t="n">
        <v>4.19</v>
      </c>
      <c r="CB220" s="81" t="n">
        <v>0.03</v>
      </c>
      <c r="CC220" s="82" t="n">
        <v>4.629616</v>
      </c>
      <c r="CD220" s="82" t="n">
        <v>6.918066</v>
      </c>
      <c r="CE220" s="83" t="n">
        <v>88.554146</v>
      </c>
      <c r="CF220" s="84" t="n">
        <v>37.66914</v>
      </c>
      <c r="CG220" s="80" t="n">
        <v>0.092</v>
      </c>
      <c r="CH220" s="63" t="n">
        <v>15066.4192941899</v>
      </c>
      <c r="CI220" s="63" t="n">
        <v>2793.1309958107</v>
      </c>
      <c r="CJ220" s="64" t="n">
        <v>862681.573463219</v>
      </c>
      <c r="CK220" s="65" t="n">
        <v>0.323773114174414</v>
      </c>
    </row>
    <row r="221" customFormat="false" ht="15" hidden="false" customHeight="false" outlineLevel="0" collapsed="false">
      <c r="A221" s="7" t="s">
        <v>73</v>
      </c>
      <c r="B221" s="66" t="n">
        <v>219</v>
      </c>
      <c r="C221" s="8" t="s">
        <v>297</v>
      </c>
      <c r="D221" s="67" t="n">
        <v>41883</v>
      </c>
      <c r="E221" s="4" t="s">
        <v>78</v>
      </c>
      <c r="F221" s="7" t="n">
        <v>2047</v>
      </c>
      <c r="G221" s="68" t="n">
        <v>1</v>
      </c>
      <c r="H221" s="68" t="n">
        <v>155</v>
      </c>
      <c r="I221" s="66" t="n">
        <v>1</v>
      </c>
      <c r="J221" s="69" t="n">
        <v>610.928571428572</v>
      </c>
      <c r="K221" s="31" t="n">
        <v>396.622734816217</v>
      </c>
      <c r="L221" s="31" t="n">
        <v>908.09698443913</v>
      </c>
      <c r="M221" s="31" t="n">
        <v>148.078963481839</v>
      </c>
      <c r="N221" s="31" t="n">
        <v>410.837451037105</v>
      </c>
      <c r="O221" s="32"/>
      <c r="P221" s="33" t="n">
        <v>65.5888604036004</v>
      </c>
      <c r="Q221" s="33" t="n">
        <v>13.7092448906003</v>
      </c>
      <c r="R221" s="31" t="n">
        <v>93.703155833179</v>
      </c>
      <c r="S221" s="34" t="s">
        <v>76</v>
      </c>
      <c r="T221" s="35" t="n">
        <v>13.0248038442857</v>
      </c>
      <c r="U221" s="35" t="n">
        <v>2.52865028571429</v>
      </c>
      <c r="V221" s="70" t="n">
        <v>15.55345413</v>
      </c>
      <c r="W221" s="35" t="n">
        <v>14.0954558466853</v>
      </c>
      <c r="X221" s="35" t="n">
        <v>2.28730222025974</v>
      </c>
      <c r="Y221" s="35" t="n">
        <v>6.01489995997554</v>
      </c>
      <c r="Z221" s="35"/>
      <c r="AA221" s="35" t="n">
        <v>0.908660943351161</v>
      </c>
      <c r="AB221" s="35" t="n">
        <v>0.224202752990182</v>
      </c>
      <c r="AC221" s="71" t="n">
        <v>1.53452014163209</v>
      </c>
      <c r="AD221" s="38" t="n">
        <v>4.39374224930112</v>
      </c>
      <c r="AE221" s="38" t="n">
        <v>3.69031374424585</v>
      </c>
      <c r="AF221" s="38" t="n">
        <v>0.999041943718191</v>
      </c>
      <c r="AG221" s="72"/>
      <c r="AH221" s="72"/>
      <c r="AI221" s="73" t="n">
        <v>51.0277436110058</v>
      </c>
      <c r="AJ221" s="42" t="s">
        <v>16</v>
      </c>
      <c r="AK221" s="43" t="n">
        <v>717.506978670009</v>
      </c>
      <c r="AL221" s="43" t="n">
        <v>738.191245151276</v>
      </c>
      <c r="AM221" s="43" t="n">
        <v>563.222588222407</v>
      </c>
      <c r="AN221" s="74"/>
      <c r="AO221" s="75" t="n">
        <v>23.3785714285714</v>
      </c>
      <c r="AP221" s="76" t="n">
        <v>0.880912236533958</v>
      </c>
      <c r="AQ221" s="76" t="n">
        <v>0.740755784543325</v>
      </c>
      <c r="AR221" s="76" t="n">
        <v>1.07940014051522</v>
      </c>
      <c r="AS221" s="77" t="n">
        <v>22.5651121194379</v>
      </c>
      <c r="AT221" s="78" t="n">
        <v>22.2937717827682</v>
      </c>
      <c r="AU221" s="78" t="n">
        <v>37.6803278688525</v>
      </c>
      <c r="AV221" s="78" t="n">
        <v>31.6852459016393</v>
      </c>
      <c r="AW221" s="78" t="n">
        <v>46.1704918032787</v>
      </c>
      <c r="AX221" s="78" t="n">
        <v>26.8360655737705</v>
      </c>
      <c r="AY221" s="48" t="n">
        <v>1.43336467876723</v>
      </c>
      <c r="AZ221" s="48" t="n">
        <v>20.146476035214</v>
      </c>
      <c r="BA221" s="48" t="n">
        <v>-4.593021905214</v>
      </c>
      <c r="BB221" s="49" t="n">
        <f aca="false">AT221/V221</f>
        <v>1.43336467876723</v>
      </c>
      <c r="BC221" s="49" t="n">
        <f aca="false">AS221/V221</f>
        <v>1.45081034288799</v>
      </c>
      <c r="BD221" s="49" t="n">
        <f aca="false">SUM(AP221:AR221)/V221</f>
        <v>0.173663556597541</v>
      </c>
      <c r="BE221" s="50" t="n">
        <v>7.17</v>
      </c>
      <c r="BF221" s="51" t="n">
        <v>156.836573669868</v>
      </c>
      <c r="BG221" s="51" t="n">
        <v>584.130606414338</v>
      </c>
      <c r="BH221" s="51" t="n">
        <v>229.42262365293</v>
      </c>
      <c r="BI221" s="51" t="n">
        <v>147.686910658252</v>
      </c>
      <c r="BJ221" s="51" t="n">
        <v>6.25068991676375</v>
      </c>
      <c r="BK221" s="51" t="n">
        <v>15.7197561943428</v>
      </c>
      <c r="BL221" s="51" t="n">
        <v>11.8142887852646</v>
      </c>
      <c r="BM221" s="51"/>
      <c r="BN221" s="52" t="n">
        <f aca="false">(BG221*0.5-BH221*0.25+BI221*0.5)/SUM(BG221:BI221)*1000</f>
        <v>320.99481653999</v>
      </c>
      <c r="BO221" s="53" t="n">
        <v>10.90300744</v>
      </c>
      <c r="BP221" s="54" t="s">
        <v>77</v>
      </c>
      <c r="BQ221" s="55" t="n">
        <v>423.982668684096</v>
      </c>
      <c r="BR221" s="56" t="n">
        <v>27.2597112602984</v>
      </c>
      <c r="BS221" s="56" t="n">
        <v>40.7474174316844</v>
      </c>
      <c r="BT221" s="56" t="n">
        <v>19.0179873022567</v>
      </c>
      <c r="BU221" s="55"/>
      <c r="BV221" s="55"/>
      <c r="BW221" s="55"/>
      <c r="BX221" s="55"/>
      <c r="BY221" s="79" t="n">
        <v>0.0679245283018868</v>
      </c>
      <c r="BZ221" s="80" t="n">
        <v>0.7216094</v>
      </c>
      <c r="CA221" s="81" t="n">
        <v>3.39</v>
      </c>
      <c r="CB221" s="81" t="n">
        <v>0.285</v>
      </c>
      <c r="CC221" s="82" t="n">
        <v>3.461904</v>
      </c>
      <c r="CD221" s="82" t="n">
        <v>8.099442</v>
      </c>
      <c r="CE221" s="83" t="n">
        <v>87.477213</v>
      </c>
      <c r="CF221" s="84" t="n">
        <v>35.849068</v>
      </c>
      <c r="CG221" s="80" t="n">
        <v>0.1865</v>
      </c>
      <c r="CH221" s="63" t="n">
        <v>40768.7825342397</v>
      </c>
      <c r="CI221" s="63" t="n">
        <v>4721.71783799536</v>
      </c>
      <c r="CJ221" s="64" t="n">
        <v>599435.41339632</v>
      </c>
      <c r="CK221" s="65" t="n">
        <v>0.787694175631492</v>
      </c>
    </row>
    <row r="222" customFormat="false" ht="15" hidden="false" customHeight="false" outlineLevel="0" collapsed="false">
      <c r="A222" s="7" t="s">
        <v>73</v>
      </c>
      <c r="B222" s="66" t="n">
        <v>220</v>
      </c>
      <c r="C222" s="8" t="s">
        <v>298</v>
      </c>
      <c r="D222" s="67" t="n">
        <v>41883</v>
      </c>
      <c r="E222" s="4" t="s">
        <v>78</v>
      </c>
      <c r="F222" s="7" t="n">
        <v>2080</v>
      </c>
      <c r="G222" s="68" t="n">
        <v>1</v>
      </c>
      <c r="H222" s="68" t="n">
        <v>152</v>
      </c>
      <c r="I222" s="66" t="n">
        <v>1</v>
      </c>
      <c r="J222" s="69" t="n">
        <v>597.039682539683</v>
      </c>
      <c r="K222" s="31" t="n">
        <v>396.622734816217</v>
      </c>
      <c r="L222" s="31" t="n">
        <v>908.09698443913</v>
      </c>
      <c r="M222" s="31" t="n">
        <v>148.078963481839</v>
      </c>
      <c r="N222" s="31" t="n">
        <v>410.837451037105</v>
      </c>
      <c r="O222" s="32"/>
      <c r="P222" s="33" t="n">
        <v>65.5888604036004</v>
      </c>
      <c r="Q222" s="33" t="n">
        <v>13.7092448906003</v>
      </c>
      <c r="R222" s="31" t="n">
        <v>93.703155833179</v>
      </c>
      <c r="S222" s="34" t="s">
        <v>76</v>
      </c>
      <c r="T222" s="35" t="n">
        <v>12.0362732995238</v>
      </c>
      <c r="U222" s="35" t="n">
        <v>1.93303419047619</v>
      </c>
      <c r="V222" s="70" t="n">
        <v>13.96930749</v>
      </c>
      <c r="W222" s="35" t="n">
        <v>12.670173554535</v>
      </c>
      <c r="X222" s="35" t="n">
        <v>2.06682275850671</v>
      </c>
      <c r="Y222" s="35" t="n">
        <v>5.44214642191627</v>
      </c>
      <c r="Z222" s="35"/>
      <c r="AA222" s="35" t="n">
        <v>0.834995302438068</v>
      </c>
      <c r="AB222" s="35" t="n">
        <v>0.19671742106324</v>
      </c>
      <c r="AC222" s="71" t="n">
        <v>1.38616566951228</v>
      </c>
      <c r="AD222" s="38" t="n">
        <v>4.76630935376003</v>
      </c>
      <c r="AE222" s="38" t="n">
        <v>4.07168086447057</v>
      </c>
      <c r="AF222" s="38" t="n">
        <v>0.951336472191186</v>
      </c>
      <c r="AG222" s="72"/>
      <c r="AH222" s="72"/>
      <c r="AI222" s="73" t="n">
        <v>41.2724828505004</v>
      </c>
      <c r="AJ222" s="42" t="s">
        <v>16</v>
      </c>
      <c r="AK222" s="43" t="n">
        <v>658.801314440819</v>
      </c>
      <c r="AL222" s="43" t="n">
        <v>678.640482157152</v>
      </c>
      <c r="AM222" s="43" t="n">
        <v>539.710665428065</v>
      </c>
      <c r="AN222" s="74"/>
      <c r="AO222" s="75" t="n">
        <v>16.1761904761905</v>
      </c>
      <c r="AP222" s="76" t="n">
        <v>0.559140393162393</v>
      </c>
      <c r="AQ222" s="76" t="n">
        <v>0.565469846153846</v>
      </c>
      <c r="AR222" s="76" t="n">
        <v>0.744884537240537</v>
      </c>
      <c r="AS222" s="77" t="n">
        <v>14.8575820879121</v>
      </c>
      <c r="AT222" s="78" t="n">
        <v>15.2084983197001</v>
      </c>
      <c r="AU222" s="78" t="n">
        <v>34.565641025641</v>
      </c>
      <c r="AV222" s="78" t="n">
        <v>34.9569230769231</v>
      </c>
      <c r="AW222" s="78" t="n">
        <v>46.0482051282051</v>
      </c>
      <c r="AX222" s="78" t="n">
        <v>33.5641025641026</v>
      </c>
      <c r="AY222" s="48" t="n">
        <v>1.08870810744106</v>
      </c>
      <c r="AZ222" s="48" t="n">
        <v>17.0870963407663</v>
      </c>
      <c r="BA222" s="48" t="n">
        <v>-3.11778885076635</v>
      </c>
      <c r="BB222" s="49" t="n">
        <f aca="false">AT222/V222</f>
        <v>1.08870810744106</v>
      </c>
      <c r="BC222" s="49" t="n">
        <f aca="false">AS222/V222</f>
        <v>1.06358759004682</v>
      </c>
      <c r="BD222" s="49" t="n">
        <f aca="false">SUM(AP222:AR222)/V222</f>
        <v>0.133828736885852</v>
      </c>
      <c r="BE222" s="50" t="n">
        <v>7.11</v>
      </c>
      <c r="BF222" s="51" t="n">
        <v>161.481674735731</v>
      </c>
      <c r="BG222" s="51" t="n">
        <v>572.445756354032</v>
      </c>
      <c r="BH222" s="51" t="n">
        <v>236.424995078589</v>
      </c>
      <c r="BI222" s="51" t="n">
        <v>152.796855127022</v>
      </c>
      <c r="BJ222" s="51" t="n">
        <v>6.76142732448617</v>
      </c>
      <c r="BK222" s="51" t="n">
        <v>17.0889681429052</v>
      </c>
      <c r="BL222" s="51" t="n">
        <v>9.50687359485571</v>
      </c>
      <c r="BM222" s="51"/>
      <c r="BN222" s="52" t="n">
        <f aca="false">(BG222*0.5-BH222*0.25+BI222*0.5)/SUM(BG222:BI222)*1000</f>
        <v>315.613268972116</v>
      </c>
      <c r="BO222" s="53" t="n">
        <v>11.60755464</v>
      </c>
      <c r="BP222" s="54" t="s">
        <v>77</v>
      </c>
      <c r="BQ222" s="55" t="n">
        <v>398.104469307827</v>
      </c>
      <c r="BR222" s="56" t="n">
        <v>28.4985114396553</v>
      </c>
      <c r="BS222" s="56" t="n">
        <v>46.2993321803761</v>
      </c>
      <c r="BT222" s="56" t="n">
        <v>26.1764482553908</v>
      </c>
      <c r="BU222" s="55"/>
      <c r="BV222" s="55"/>
      <c r="BW222" s="55"/>
      <c r="BX222" s="55"/>
      <c r="BY222" s="79" t="n">
        <v>0.0873315363881402</v>
      </c>
      <c r="BZ222" s="80" t="n">
        <v>0.8316586</v>
      </c>
      <c r="CA222" s="81" t="n">
        <v>3.64</v>
      </c>
      <c r="CB222" s="81" t="n">
        <v>0.302</v>
      </c>
      <c r="CC222" s="82" t="n">
        <v>4.629616</v>
      </c>
      <c r="CD222" s="82" t="n">
        <v>6.118176</v>
      </c>
      <c r="CE222" s="83" t="n">
        <v>83.832209</v>
      </c>
      <c r="CF222" s="84" t="n">
        <v>34.781428</v>
      </c>
      <c r="CG222" s="80" t="n">
        <v>0.1655</v>
      </c>
      <c r="CH222" s="63" t="n">
        <v>45481.7680143199</v>
      </c>
      <c r="CI222" s="63" t="n">
        <v>5795.5394771727</v>
      </c>
      <c r="CJ222" s="64" t="n">
        <v>436720.241816522</v>
      </c>
      <c r="CK222" s="65" t="n">
        <v>1.32705996247537</v>
      </c>
    </row>
    <row r="223" customFormat="false" ht="15" hidden="false" customHeight="false" outlineLevel="0" collapsed="false">
      <c r="A223" s="7" t="s">
        <v>73</v>
      </c>
      <c r="B223" s="66" t="n">
        <v>221</v>
      </c>
      <c r="C223" s="8" t="s">
        <v>299</v>
      </c>
      <c r="D223" s="67" t="n">
        <v>41883</v>
      </c>
      <c r="E223" s="4" t="s">
        <v>78</v>
      </c>
      <c r="F223" s="7" t="n">
        <v>984</v>
      </c>
      <c r="G223" s="68" t="n">
        <v>1</v>
      </c>
      <c r="H223" s="68" t="n">
        <v>214</v>
      </c>
      <c r="I223" s="66" t="n">
        <v>2</v>
      </c>
      <c r="J223" s="69" t="n">
        <v>623.196428571429</v>
      </c>
      <c r="K223" s="31" t="n">
        <v>396.622734816217</v>
      </c>
      <c r="L223" s="31" t="n">
        <v>908.09698443913</v>
      </c>
      <c r="M223" s="31" t="n">
        <v>148.078963481839</v>
      </c>
      <c r="N223" s="31" t="n">
        <v>410.837451037105</v>
      </c>
      <c r="O223" s="32"/>
      <c r="P223" s="33" t="n">
        <v>65.5888604036004</v>
      </c>
      <c r="Q223" s="33" t="n">
        <v>13.7092448906003</v>
      </c>
      <c r="R223" s="31" t="n">
        <v>93.703155833179</v>
      </c>
      <c r="S223" s="34" t="s">
        <v>76</v>
      </c>
      <c r="T223" s="35" t="n">
        <v>15.88186459</v>
      </c>
      <c r="U223" s="35" t="n">
        <v>1.7989125</v>
      </c>
      <c r="V223" s="70" t="n">
        <v>17.68077709</v>
      </c>
      <c r="W223" s="35" t="n">
        <v>16.0144794535005</v>
      </c>
      <c r="X223" s="35" t="n">
        <v>2.57353496657679</v>
      </c>
      <c r="Y223" s="35" t="n">
        <v>7.03013688816407</v>
      </c>
      <c r="Z223" s="35"/>
      <c r="AA223" s="35" t="n">
        <v>1.06755923774558</v>
      </c>
      <c r="AB223" s="35" t="n">
        <v>0.260434397269263</v>
      </c>
      <c r="AC223" s="71" t="n">
        <v>1.65291043268215</v>
      </c>
      <c r="AD223" s="38" t="n">
        <v>4.35525916085314</v>
      </c>
      <c r="AE223" s="38" t="n">
        <v>3.58654386531502</v>
      </c>
      <c r="AF223" s="38" t="n">
        <v>0.759016958449486</v>
      </c>
      <c r="AG223" s="72"/>
      <c r="AH223" s="72"/>
      <c r="AI223" s="73" t="n">
        <v>59.7976808384113</v>
      </c>
      <c r="AJ223" s="42" t="s">
        <v>16</v>
      </c>
      <c r="AK223" s="43" t="n">
        <v>753.672639008813</v>
      </c>
      <c r="AL223" s="43" t="n">
        <v>776.04368123679</v>
      </c>
      <c r="AM223" s="43" t="n">
        <v>705.068332738024</v>
      </c>
      <c r="AN223" s="74"/>
      <c r="AO223" s="75" t="n">
        <v>14.65</v>
      </c>
      <c r="AP223" s="76" t="n">
        <v>0.70365631147541</v>
      </c>
      <c r="AQ223" s="76" t="n">
        <v>0.602115</v>
      </c>
      <c r="AR223" s="76" t="n">
        <v>0.631799262295082</v>
      </c>
      <c r="AS223" s="77" t="n">
        <v>16.4148446721311</v>
      </c>
      <c r="AT223" s="78" t="n">
        <v>16.6479090853085</v>
      </c>
      <c r="AU223" s="78" t="n">
        <v>48.0311475409836</v>
      </c>
      <c r="AV223" s="78" t="n">
        <v>41.1</v>
      </c>
      <c r="AW223" s="78" t="n">
        <v>43.1262295081967</v>
      </c>
      <c r="AX223" s="78" t="n">
        <v>29.9836065573771</v>
      </c>
      <c r="AY223" s="48" t="n">
        <v>0.941582431618595</v>
      </c>
      <c r="AZ223" s="48" t="n">
        <v>18.1547507782211</v>
      </c>
      <c r="BA223" s="48" t="n">
        <v>-0.47397368822114</v>
      </c>
      <c r="BB223" s="49" t="n">
        <f aca="false">AT223/V223</f>
        <v>0.941582431618595</v>
      </c>
      <c r="BC223" s="49" t="n">
        <f aca="false">AS223/V223</f>
        <v>0.928400634687892</v>
      </c>
      <c r="BD223" s="49" t="n">
        <f aca="false">SUM(AP223:AR223)/V223</f>
        <v>0.109586279149821</v>
      </c>
      <c r="BE223" s="50" t="n">
        <v>7.63</v>
      </c>
      <c r="BF223" s="51" t="n">
        <v>114.651438095245</v>
      </c>
      <c r="BG223" s="51" t="n">
        <v>574.191680507898</v>
      </c>
      <c r="BH223" s="51" t="n">
        <v>240.114306710317</v>
      </c>
      <c r="BI223" s="51" t="n">
        <v>140.137416668689</v>
      </c>
      <c r="BJ223" s="51" t="n">
        <v>9.4837653748145</v>
      </c>
      <c r="BK223" s="51" t="n">
        <v>15.3938256107919</v>
      </c>
      <c r="BL223" s="51" t="n">
        <v>15.703880749381</v>
      </c>
      <c r="BM223" s="51"/>
      <c r="BN223" s="52" t="n">
        <f aca="false">(BG223*0.5-BH223*0.25+BI223*0.5)/SUM(BG223:BI223)*1000</f>
        <v>311.318587043138</v>
      </c>
      <c r="BO223" s="53" t="n">
        <v>8.3022162</v>
      </c>
      <c r="BP223" s="54" t="s">
        <v>77</v>
      </c>
      <c r="BQ223" s="55" t="n">
        <v>334.076387115734</v>
      </c>
      <c r="BR223" s="56" t="n">
        <v>18.8948927649047</v>
      </c>
      <c r="BS223" s="56" t="n">
        <v>26.8810845329229</v>
      </c>
      <c r="BT223" s="56" t="n">
        <v>20.0671679190362</v>
      </c>
      <c r="BU223" s="55"/>
      <c r="BV223" s="55"/>
      <c r="BW223" s="55"/>
      <c r="BX223" s="55"/>
      <c r="BY223" s="79" t="n">
        <v>0.0291105121293801</v>
      </c>
      <c r="BZ223" s="80" t="n">
        <v>0.8705553</v>
      </c>
      <c r="CA223" s="81" t="n">
        <v>3.21</v>
      </c>
      <c r="CB223" s="81" t="n">
        <v>0.03</v>
      </c>
      <c r="CC223" s="82" t="n">
        <v>5.536678</v>
      </c>
      <c r="CD223" s="82" t="n">
        <v>3.730812</v>
      </c>
      <c r="CE223" s="83" t="n">
        <v>74.282901</v>
      </c>
      <c r="CF223" s="84" t="n">
        <v>30.643052</v>
      </c>
      <c r="CG223" s="80" t="n">
        <v>0.1235</v>
      </c>
      <c r="CH223" s="63" t="n">
        <v>52722.639205382</v>
      </c>
      <c r="CI223" s="63" t="n">
        <v>3667.7292576685</v>
      </c>
      <c r="CJ223" s="64" t="n">
        <v>231068.113404121</v>
      </c>
      <c r="CK223" s="65" t="n">
        <v>1.58729354891729</v>
      </c>
    </row>
    <row r="224" customFormat="false" ht="15" hidden="false" customHeight="false" outlineLevel="0" collapsed="false">
      <c r="A224" s="7" t="s">
        <v>73</v>
      </c>
      <c r="B224" s="66" t="n">
        <v>222</v>
      </c>
      <c r="C224" s="8" t="s">
        <v>300</v>
      </c>
      <c r="D224" s="67" t="n">
        <v>41883</v>
      </c>
      <c r="E224" s="4" t="s">
        <v>78</v>
      </c>
      <c r="F224" s="7" t="n">
        <v>826</v>
      </c>
      <c r="G224" s="68" t="n">
        <v>1</v>
      </c>
      <c r="H224" s="68" t="n">
        <v>212</v>
      </c>
      <c r="I224" s="66" t="n">
        <v>4</v>
      </c>
      <c r="J224" s="69" t="n">
        <v>683.386363636364</v>
      </c>
      <c r="K224" s="31" t="n">
        <v>396.622734816217</v>
      </c>
      <c r="L224" s="31" t="n">
        <v>908.09698443913</v>
      </c>
      <c r="M224" s="31" t="n">
        <v>148.078963481839</v>
      </c>
      <c r="N224" s="31" t="n">
        <v>410.837451037105</v>
      </c>
      <c r="O224" s="32"/>
      <c r="P224" s="33" t="n">
        <v>65.5888604036004</v>
      </c>
      <c r="Q224" s="33" t="n">
        <v>13.7092448906003</v>
      </c>
      <c r="R224" s="31" t="n">
        <v>93.703155833179</v>
      </c>
      <c r="S224" s="34" t="s">
        <v>76</v>
      </c>
      <c r="T224" s="35" t="n">
        <v>15.8748646656522</v>
      </c>
      <c r="U224" s="35" t="n">
        <v>3.15506830434783</v>
      </c>
      <c r="V224" s="70" t="n">
        <v>19.02993297</v>
      </c>
      <c r="W224" s="35" t="n">
        <v>17.2884773542381</v>
      </c>
      <c r="X224" s="35" t="n">
        <v>2.86651798851418</v>
      </c>
      <c r="Y224" s="35" t="n">
        <v>7.28258760900362</v>
      </c>
      <c r="Z224" s="35"/>
      <c r="AA224" s="35" t="n">
        <v>1.13529638739591</v>
      </c>
      <c r="AB224" s="35" t="n">
        <v>0.253605691866902</v>
      </c>
      <c r="AC224" s="71" t="n">
        <v>1.99966414010336</v>
      </c>
      <c r="AD224" s="38" t="n">
        <v>5.93664553486969</v>
      </c>
      <c r="AE224" s="38" t="n">
        <v>5.07376183999843</v>
      </c>
      <c r="AF224" s="38" t="n">
        <v>1.45628105849911</v>
      </c>
      <c r="AG224" s="72"/>
      <c r="AH224" s="72"/>
      <c r="AI224" s="73" t="n">
        <v>42.7186852200143</v>
      </c>
      <c r="AJ224" s="42" t="s">
        <v>16</v>
      </c>
      <c r="AK224" s="43" t="n">
        <v>688.036445308105</v>
      </c>
      <c r="AL224" s="43" t="n">
        <v>706.523499089141</v>
      </c>
      <c r="AM224" s="43" t="n">
        <v>491.968630814715</v>
      </c>
      <c r="AN224" s="74"/>
      <c r="AO224" s="75" t="n">
        <v>15.0695652173913</v>
      </c>
      <c r="AP224" s="76" t="n">
        <v>0.667011539365453</v>
      </c>
      <c r="AQ224" s="76" t="n">
        <v>0.54410633764199</v>
      </c>
      <c r="AR224" s="76" t="n">
        <v>0.666034054054054</v>
      </c>
      <c r="AS224" s="77" t="n">
        <v>16.0329991774383</v>
      </c>
      <c r="AT224" s="78" t="n">
        <v>15.9369613320659</v>
      </c>
      <c r="AU224" s="78" t="n">
        <v>44.2621621621622</v>
      </c>
      <c r="AV224" s="78" t="n">
        <v>36.1063063063063</v>
      </c>
      <c r="AW224" s="78" t="n">
        <v>44.1972972972973</v>
      </c>
      <c r="AX224" s="78" t="n">
        <v>27.5225225225225</v>
      </c>
      <c r="AY224" s="48" t="n">
        <v>0.837468075015818</v>
      </c>
      <c r="AZ224" s="48" t="n">
        <v>18.8746422340419</v>
      </c>
      <c r="BA224" s="48" t="n">
        <v>0.155290735958097</v>
      </c>
      <c r="BB224" s="49" t="n">
        <f aca="false">AT224/V224</f>
        <v>0.837468075015818</v>
      </c>
      <c r="BC224" s="49" t="n">
        <f aca="false">AS224/V224</f>
        <v>0.84251474782984</v>
      </c>
      <c r="BD224" s="49" t="n">
        <f aca="false">SUM(AP224:AR224)/V224</f>
        <v>0.0986420674219273</v>
      </c>
      <c r="BE224" s="50" t="n">
        <v>7.29</v>
      </c>
      <c r="BF224" s="51" t="n">
        <v>106.930989713865</v>
      </c>
      <c r="BG224" s="51" t="n">
        <v>564.771536101399</v>
      </c>
      <c r="BH224" s="51" t="n">
        <v>219.02939373013</v>
      </c>
      <c r="BI224" s="51" t="n">
        <v>173.384534122184</v>
      </c>
      <c r="BJ224" s="51" t="n">
        <v>7.74670239094547</v>
      </c>
      <c r="BK224" s="51" t="n">
        <v>17.2413103261632</v>
      </c>
      <c r="BL224" s="51" t="n">
        <v>12.8513989510694</v>
      </c>
      <c r="BM224" s="51"/>
      <c r="BN224" s="52" t="n">
        <f aca="false">(BG224*0.5-BH224*0.25+BI224*0.5)/SUM(BG224:BI224)*1000</f>
        <v>328.38012957378</v>
      </c>
      <c r="BO224" s="53" t="n">
        <v>4.70074546</v>
      </c>
      <c r="BP224" s="54" t="s">
        <v>77</v>
      </c>
      <c r="BQ224" s="55" t="n">
        <v>344.587270846382</v>
      </c>
      <c r="BR224" s="56" t="n">
        <v>18.1076450132332</v>
      </c>
      <c r="BS224" s="56" t="n">
        <v>28.2108306529667</v>
      </c>
      <c r="BT224" s="56" t="n">
        <v>21.6218928857571</v>
      </c>
      <c r="BU224" s="55"/>
      <c r="BV224" s="55"/>
      <c r="BW224" s="55"/>
      <c r="BX224" s="55"/>
      <c r="BY224" s="79" t="n">
        <v>0.1455525606469</v>
      </c>
      <c r="BZ224" s="80" t="n">
        <v>0.6144063</v>
      </c>
      <c r="CA224" s="81" t="n">
        <v>3.45</v>
      </c>
      <c r="CB224" s="81" t="n">
        <v>0.108</v>
      </c>
      <c r="CC224" s="82" t="n">
        <v>4.754728</v>
      </c>
      <c r="CD224" s="82" t="n">
        <v>5.970504</v>
      </c>
      <c r="CE224" s="83" t="n">
        <v>93.592385</v>
      </c>
      <c r="CF224" s="84" t="n">
        <v>37.31326</v>
      </c>
      <c r="CG224" s="80" t="n">
        <v>0.092</v>
      </c>
      <c r="CH224" s="63" t="n">
        <v>42758.1018192194</v>
      </c>
      <c r="CI224" s="63" t="n">
        <v>5769.57450297467</v>
      </c>
      <c r="CJ224" s="64" t="n">
        <v>385758.922295808</v>
      </c>
      <c r="CK224" s="65" t="n">
        <v>1.49564252944238</v>
      </c>
    </row>
    <row r="225" customFormat="false" ht="15" hidden="false" customHeight="false" outlineLevel="0" collapsed="false">
      <c r="A225" s="7" t="s">
        <v>73</v>
      </c>
      <c r="B225" s="66" t="n">
        <v>223</v>
      </c>
      <c r="C225" s="8" t="s">
        <v>301</v>
      </c>
      <c r="D225" s="67" t="n">
        <v>41883</v>
      </c>
      <c r="E225" s="4" t="s">
        <v>78</v>
      </c>
      <c r="F225" s="7" t="n">
        <v>2073</v>
      </c>
      <c r="G225" s="68" t="n">
        <v>1</v>
      </c>
      <c r="H225" s="68" t="n">
        <v>211</v>
      </c>
      <c r="I225" s="66" t="n">
        <v>1</v>
      </c>
      <c r="J225" s="69" t="n">
        <v>542.663333333333</v>
      </c>
      <c r="K225" s="31" t="n">
        <v>396.622734816217</v>
      </c>
      <c r="L225" s="31" t="n">
        <v>908.09698443913</v>
      </c>
      <c r="M225" s="31" t="n">
        <v>148.078963481839</v>
      </c>
      <c r="N225" s="31" t="n">
        <v>410.837451037105</v>
      </c>
      <c r="O225" s="32"/>
      <c r="P225" s="33" t="n">
        <v>65.5888604036004</v>
      </c>
      <c r="Q225" s="33" t="n">
        <v>13.7092448906003</v>
      </c>
      <c r="R225" s="31" t="n">
        <v>93.703155833179</v>
      </c>
      <c r="S225" s="34" t="s">
        <v>76</v>
      </c>
      <c r="T225" s="35" t="n">
        <v>11.40698079</v>
      </c>
      <c r="U225" s="35" t="n">
        <v>2.34649412</v>
      </c>
      <c r="V225" s="70" t="n">
        <v>13.75347491</v>
      </c>
      <c r="W225" s="35" t="n">
        <v>12.4878761081721</v>
      </c>
      <c r="X225" s="35" t="n">
        <v>2.06139344407476</v>
      </c>
      <c r="Y225" s="35" t="n">
        <v>5.26331792260575</v>
      </c>
      <c r="Z225" s="35"/>
      <c r="AA225" s="35" t="n">
        <v>0.813789066279672</v>
      </c>
      <c r="AB225" s="35" t="n">
        <v>0.186615854999564</v>
      </c>
      <c r="AC225" s="71" t="n">
        <v>1.42980032137971</v>
      </c>
      <c r="AD225" s="38" t="n">
        <v>3.79079323310529</v>
      </c>
      <c r="AE225" s="38" t="n">
        <v>3.23049297066631</v>
      </c>
      <c r="AF225" s="38" t="n">
        <v>0.733550508466542</v>
      </c>
      <c r="AG225" s="72"/>
      <c r="AH225" s="72"/>
      <c r="AI225" s="73" t="n">
        <v>49.2287084850298</v>
      </c>
      <c r="AJ225" s="42" t="s">
        <v>16</v>
      </c>
      <c r="AK225" s="43" t="n">
        <v>724.375602681396</v>
      </c>
      <c r="AL225" s="43" t="n">
        <v>741.309655646546</v>
      </c>
      <c r="AM225" s="43" t="n">
        <v>644.148228677524</v>
      </c>
      <c r="AN225" s="74"/>
      <c r="AO225" s="75" t="n">
        <v>15.248</v>
      </c>
      <c r="AP225" s="76" t="n">
        <v>0.691805881081081</v>
      </c>
      <c r="AQ225" s="76" t="n">
        <v>0.544415416216216</v>
      </c>
      <c r="AR225" s="76" t="n">
        <v>0.660444454054054</v>
      </c>
      <c r="AS225" s="77" t="n">
        <v>16.4762882162162</v>
      </c>
      <c r="AT225" s="78" t="n">
        <v>16.2135041999656</v>
      </c>
      <c r="AU225" s="78" t="n">
        <v>45.3702702702703</v>
      </c>
      <c r="AV225" s="78" t="n">
        <v>35.7040540540541</v>
      </c>
      <c r="AW225" s="78" t="n">
        <v>43.3135135135135</v>
      </c>
      <c r="AX225" s="78" t="n">
        <v>33.6081081081081</v>
      </c>
      <c r="AY225" s="48" t="n">
        <v>1.17886601793827</v>
      </c>
      <c r="AZ225" s="48" t="n">
        <v>16.9870139766958</v>
      </c>
      <c r="BA225" s="48" t="n">
        <v>-3.23353906669576</v>
      </c>
      <c r="BB225" s="49" t="n">
        <f aca="false">AT225/V225</f>
        <v>1.17886601793827</v>
      </c>
      <c r="BC225" s="49" t="n">
        <f aca="false">AS225/V225</f>
        <v>1.19797275408824</v>
      </c>
      <c r="BD225" s="49" t="n">
        <f aca="false">SUM(AP225:AR225)/V225</f>
        <v>0.137904476051525</v>
      </c>
      <c r="BE225" s="50" t="n">
        <v>7.35</v>
      </c>
      <c r="BF225" s="51" t="n">
        <v>134.137636630098</v>
      </c>
      <c r="BG225" s="51" t="n">
        <v>597.695641881853</v>
      </c>
      <c r="BH225" s="51" t="n">
        <v>224.422581255386</v>
      </c>
      <c r="BI225" s="51" t="n">
        <v>145.761967948623</v>
      </c>
      <c r="BJ225" s="51" t="n">
        <v>6.82214768341051</v>
      </c>
      <c r="BK225" s="51" t="n">
        <v>11.2738755161051</v>
      </c>
      <c r="BL225" s="51" t="n">
        <v>9.04866133651348</v>
      </c>
      <c r="BM225" s="51"/>
      <c r="BN225" s="52" t="n">
        <f aca="false">(BG225*0.5-BH225*0.25+BI225*0.5)/SUM(BG225:BI225)*1000</f>
        <v>326.097343977352</v>
      </c>
      <c r="BO225" s="53" t="n">
        <v>7.90870154</v>
      </c>
      <c r="BP225" s="54" t="s">
        <v>77</v>
      </c>
      <c r="BQ225" s="55" t="n">
        <v>386.401108211345</v>
      </c>
      <c r="BR225" s="56" t="n">
        <v>28.0947986410617</v>
      </c>
      <c r="BS225" s="56" t="n">
        <v>41.7397770484254</v>
      </c>
      <c r="BT225" s="56" t="n">
        <v>23.8320540362993</v>
      </c>
      <c r="BU225" s="55"/>
      <c r="BV225" s="55"/>
      <c r="BW225" s="55"/>
      <c r="BX225" s="55"/>
      <c r="BY225" s="79" t="n">
        <v>0.0485175202156334</v>
      </c>
      <c r="BZ225" s="80" t="n">
        <v>0.9312721</v>
      </c>
      <c r="CA225" s="81" t="n">
        <v>2.99</v>
      </c>
      <c r="CB225" s="81" t="n">
        <v>0.158</v>
      </c>
      <c r="CC225" s="82" t="n">
        <v>5.098786</v>
      </c>
      <c r="CD225" s="82" t="n">
        <v>7.21341</v>
      </c>
      <c r="CE225" s="83" t="n">
        <v>87.160911</v>
      </c>
      <c r="CF225" s="84" t="n">
        <v>35.615204</v>
      </c>
      <c r="CG225" s="80" t="n">
        <v>0.113</v>
      </c>
      <c r="CH225" s="63" t="n">
        <v>73130.1559047386</v>
      </c>
      <c r="CI225" s="63" t="n">
        <v>5005.18572876138</v>
      </c>
      <c r="CJ225" s="64" t="n">
        <v>383191.246365034</v>
      </c>
      <c r="CK225" s="65" t="n">
        <v>1.30618477750751</v>
      </c>
    </row>
    <row r="226" customFormat="false" ht="15" hidden="false" customHeight="false" outlineLevel="0" collapsed="false">
      <c r="A226" s="7" t="s">
        <v>73</v>
      </c>
      <c r="B226" s="66" t="n">
        <v>224</v>
      </c>
      <c r="C226" s="8" t="s">
        <v>302</v>
      </c>
      <c r="D226" s="67" t="n">
        <v>41883</v>
      </c>
      <c r="E226" s="4" t="s">
        <v>78</v>
      </c>
      <c r="F226" s="7" t="n">
        <v>800</v>
      </c>
      <c r="G226" s="68" t="n">
        <v>1</v>
      </c>
      <c r="H226" s="68" t="n">
        <v>210</v>
      </c>
      <c r="I226" s="66" t="n">
        <v>4</v>
      </c>
      <c r="J226" s="69" t="n">
        <v>858.325</v>
      </c>
      <c r="K226" s="31" t="n">
        <v>396.622734816217</v>
      </c>
      <c r="L226" s="31" t="n">
        <v>908.09698443913</v>
      </c>
      <c r="M226" s="31" t="n">
        <v>148.078963481839</v>
      </c>
      <c r="N226" s="31" t="n">
        <v>410.837451037105</v>
      </c>
      <c r="O226" s="32"/>
      <c r="P226" s="33" t="n">
        <v>65.5888604036004</v>
      </c>
      <c r="Q226" s="33" t="n">
        <v>13.7092448906003</v>
      </c>
      <c r="R226" s="31" t="n">
        <v>93.703155833179</v>
      </c>
      <c r="S226" s="34" t="s">
        <v>76</v>
      </c>
      <c r="T226" s="35" t="n">
        <v>25.23202845</v>
      </c>
      <c r="U226" s="35" t="n">
        <v>8.893825</v>
      </c>
      <c r="V226" s="70" t="n">
        <v>34.12585345</v>
      </c>
      <c r="W226" s="35" t="n">
        <v>31.0582090190786</v>
      </c>
      <c r="X226" s="35" t="n">
        <v>5.26574353856937</v>
      </c>
      <c r="Y226" s="35" t="n">
        <v>12.435593220966</v>
      </c>
      <c r="Z226" s="35"/>
      <c r="AA226" s="35" t="n">
        <v>1.94911284070252</v>
      </c>
      <c r="AB226" s="35" t="n">
        <v>0.424155819303099</v>
      </c>
      <c r="AC226" s="71" t="n">
        <v>3.94080497164571</v>
      </c>
      <c r="AD226" s="38" t="n">
        <v>11.3645817869765</v>
      </c>
      <c r="AE226" s="38" t="n">
        <v>9.68488455112672</v>
      </c>
      <c r="AF226" s="38" t="n">
        <v>2.56744922136318</v>
      </c>
      <c r="AG226" s="72"/>
      <c r="AH226" s="72"/>
      <c r="AI226" s="73" t="n">
        <v>37.3226069602642</v>
      </c>
      <c r="AJ226" s="42" t="s">
        <v>16</v>
      </c>
      <c r="AK226" s="43" t="n">
        <v>666.980290950747</v>
      </c>
      <c r="AL226" s="43" t="n">
        <v>688.169895914557</v>
      </c>
      <c r="AM226" s="43" t="n">
        <v>512.424180449031</v>
      </c>
      <c r="AN226" s="74"/>
      <c r="AO226" s="75" t="n">
        <v>41.5785714285714</v>
      </c>
      <c r="AP226" s="76" t="n">
        <v>1.39916316109423</v>
      </c>
      <c r="AQ226" s="76" t="n">
        <v>1.2575748556231</v>
      </c>
      <c r="AR226" s="76" t="n">
        <v>1.83932099544073</v>
      </c>
      <c r="AS226" s="77" t="n">
        <v>37.6188759878419</v>
      </c>
      <c r="AT226" s="78" t="n">
        <v>36.7211166462258</v>
      </c>
      <c r="AU226" s="78" t="n">
        <v>33.6510638297872</v>
      </c>
      <c r="AV226" s="78" t="n">
        <v>30.2457446808511</v>
      </c>
      <c r="AW226" s="78" t="n">
        <v>44.2372340425532</v>
      </c>
      <c r="AX226" s="78" t="n">
        <v>33.9148936170213</v>
      </c>
      <c r="AY226" s="48" t="n">
        <v>1.07604976678542</v>
      </c>
      <c r="AZ226" s="48" t="n">
        <v>29.2987213703073</v>
      </c>
      <c r="BA226" s="48" t="n">
        <v>4.82713207969273</v>
      </c>
      <c r="BB226" s="49" t="n">
        <f aca="false">AT226/V226</f>
        <v>1.07604976678542</v>
      </c>
      <c r="BC226" s="49" t="n">
        <f aca="false">AS226/V226</f>
        <v>1.10235707490685</v>
      </c>
      <c r="BD226" s="49" t="n">
        <f aca="false">SUM(AP226:AR226)/V226</f>
        <v>0.131749350056418</v>
      </c>
      <c r="BE226" s="50" t="n">
        <v>7</v>
      </c>
      <c r="BF226" s="51" t="n">
        <v>115.260402148249</v>
      </c>
      <c r="BG226" s="51" t="n">
        <v>610.107136184986</v>
      </c>
      <c r="BH226" s="51" t="n">
        <v>223.199320393986</v>
      </c>
      <c r="BI226" s="51" t="n">
        <v>132.084160432441</v>
      </c>
      <c r="BJ226" s="51" t="n">
        <v>6.4007510532304</v>
      </c>
      <c r="BK226" s="51" t="n">
        <v>14.5036319503829</v>
      </c>
      <c r="BL226" s="51" t="n">
        <v>8.72987560686426</v>
      </c>
      <c r="BM226" s="51"/>
      <c r="BN226" s="52" t="n">
        <f aca="false">(BG226*0.5-BH226*0.25+BI226*0.5)/SUM(BG226:BI226)*1000</f>
        <v>326.599215544778</v>
      </c>
      <c r="BO226" s="53" t="n">
        <v>6.9702562</v>
      </c>
      <c r="BP226" s="54" t="s">
        <v>77</v>
      </c>
      <c r="BQ226" s="55" t="n">
        <v>291.646533724743</v>
      </c>
      <c r="BR226" s="56" t="n">
        <v>8.54620483417517</v>
      </c>
      <c r="BS226" s="56" t="n">
        <v>13.6453519040546</v>
      </c>
      <c r="BT226" s="56" t="n">
        <v>7.94220220845923</v>
      </c>
      <c r="BU226" s="55"/>
      <c r="BV226" s="55"/>
      <c r="BW226" s="55"/>
      <c r="BX226" s="55"/>
      <c r="BY226" s="79" t="n">
        <v>0.0582210242587601</v>
      </c>
      <c r="BZ226" s="80" t="n">
        <v>0.7567113</v>
      </c>
      <c r="CA226" s="81" t="n">
        <v>3.2</v>
      </c>
      <c r="CB226" s="81" t="n">
        <v>0.203</v>
      </c>
      <c r="CC226" s="82" t="n">
        <v>4.890266</v>
      </c>
      <c r="CD226" s="82" t="n">
        <v>8.683977</v>
      </c>
      <c r="CE226" s="83" t="n">
        <v>83.726775</v>
      </c>
      <c r="CF226" s="84" t="n">
        <v>35.320332</v>
      </c>
      <c r="CG226" s="80" t="n">
        <v>0.1865</v>
      </c>
      <c r="CH226" s="63" t="n">
        <v>35552.4417833821</v>
      </c>
      <c r="CI226" s="63" t="n">
        <v>6239.39915905933</v>
      </c>
      <c r="CJ226" s="64" t="n">
        <v>611975.493193961</v>
      </c>
      <c r="CK226" s="65" t="n">
        <v>1.01955049318973</v>
      </c>
    </row>
    <row r="227" customFormat="false" ht="15" hidden="false" customHeight="false" outlineLevel="0" collapsed="false">
      <c r="A227" s="7" t="s">
        <v>73</v>
      </c>
      <c r="B227" s="66" t="n">
        <v>225</v>
      </c>
      <c r="C227" s="8" t="s">
        <v>303</v>
      </c>
      <c r="D227" s="67" t="n">
        <v>41883</v>
      </c>
      <c r="E227" s="4" t="s">
        <v>78</v>
      </c>
      <c r="F227" s="7" t="n">
        <v>974</v>
      </c>
      <c r="G227" s="68" t="n">
        <v>1</v>
      </c>
      <c r="H227" s="68" t="n">
        <v>209</v>
      </c>
      <c r="I227" s="66" t="n">
        <v>2</v>
      </c>
      <c r="J227" s="69" t="n">
        <v>697.178666666667</v>
      </c>
      <c r="K227" s="31" t="n">
        <v>396.622734816217</v>
      </c>
      <c r="L227" s="31" t="n">
        <v>908.09698443913</v>
      </c>
      <c r="M227" s="31" t="n">
        <v>148.078963481839</v>
      </c>
      <c r="N227" s="31" t="n">
        <v>410.837451037105</v>
      </c>
      <c r="O227" s="32"/>
      <c r="P227" s="33" t="n">
        <v>65.5888604036004</v>
      </c>
      <c r="Q227" s="33" t="n">
        <v>13.7092448906003</v>
      </c>
      <c r="R227" s="31" t="n">
        <v>93.703155833179</v>
      </c>
      <c r="S227" s="34" t="s">
        <v>76</v>
      </c>
      <c r="T227" s="35" t="n">
        <v>12.86367848</v>
      </c>
      <c r="U227" s="35" t="n">
        <v>6.25667324</v>
      </c>
      <c r="V227" s="70" t="n">
        <v>19.12035172</v>
      </c>
      <c r="W227" s="35" t="n">
        <v>17.4208443709948</v>
      </c>
      <c r="X227" s="35" t="n">
        <v>2.99571022002997</v>
      </c>
      <c r="Y227" s="35" t="n">
        <v>6.72581953025787</v>
      </c>
      <c r="Z227" s="35"/>
      <c r="AA227" s="35" t="n">
        <v>1.05639911138166</v>
      </c>
      <c r="AB227" s="35" t="n">
        <v>0.226805590579087</v>
      </c>
      <c r="AC227" s="71" t="n">
        <v>2.34071548877595</v>
      </c>
      <c r="AD227" s="38" t="n">
        <v>5.46057680059345</v>
      </c>
      <c r="AE227" s="38" t="n">
        <v>4.65535380693441</v>
      </c>
      <c r="AF227" s="38" t="n">
        <v>1.11101481689871</v>
      </c>
      <c r="AG227" s="72"/>
      <c r="AH227" s="72"/>
      <c r="AI227" s="73" t="n">
        <v>41.5350976392161</v>
      </c>
      <c r="AJ227" s="42" t="s">
        <v>16</v>
      </c>
      <c r="AK227" s="43" t="n">
        <v>714.41023258575</v>
      </c>
      <c r="AL227" s="43" t="n">
        <v>732.771058176408</v>
      </c>
      <c r="AM227" s="43" t="n">
        <v>629.131412821501</v>
      </c>
      <c r="AN227" s="74"/>
      <c r="AO227" s="75" t="n">
        <v>26.34</v>
      </c>
      <c r="AP227" s="76" t="n">
        <v>0.877151266666667</v>
      </c>
      <c r="AQ227" s="76" t="n">
        <v>0.832139133333333</v>
      </c>
      <c r="AR227" s="76" t="n">
        <v>1.18781693333333</v>
      </c>
      <c r="AS227" s="77" t="n">
        <v>23.693269</v>
      </c>
      <c r="AT227" s="78" t="n">
        <v>23.5427995596603</v>
      </c>
      <c r="AU227" s="78" t="n">
        <v>33.3011111111111</v>
      </c>
      <c r="AV227" s="78" t="n">
        <v>31.5922222222222</v>
      </c>
      <c r="AW227" s="78" t="n">
        <v>45.0955555555556</v>
      </c>
      <c r="AX227" s="78" t="n">
        <v>38.2222222222222</v>
      </c>
      <c r="AY227" s="48" t="n">
        <v>1.23129531843467</v>
      </c>
      <c r="AZ227" s="48" t="n">
        <v>21.9123502054554</v>
      </c>
      <c r="BA227" s="48" t="n">
        <v>-2.79199848545544</v>
      </c>
      <c r="BB227" s="49" t="n">
        <f aca="false">AT227/V227</f>
        <v>1.23129531843467</v>
      </c>
      <c r="BC227" s="49" t="n">
        <f aca="false">AS227/V227</f>
        <v>1.23916491427387</v>
      </c>
      <c r="BD227" s="49" t="n">
        <f aca="false">SUM(AP227:AR227)/V227</f>
        <v>0.15151956280715</v>
      </c>
      <c r="BE227" s="50" t="n">
        <v>7.5</v>
      </c>
      <c r="BF227" s="51" t="n">
        <v>90.6420482799953</v>
      </c>
      <c r="BG227" s="51" t="n">
        <v>578.253567704387</v>
      </c>
      <c r="BH227" s="51" t="n">
        <v>244.084615111766</v>
      </c>
      <c r="BI227" s="51" t="n">
        <v>143.678011707189</v>
      </c>
      <c r="BJ227" s="51" t="n">
        <v>4.88390124732677</v>
      </c>
      <c r="BK227" s="51" t="n">
        <v>15.7516735392735</v>
      </c>
      <c r="BL227" s="51" t="n">
        <v>8.3731063119482</v>
      </c>
      <c r="BM227" s="51"/>
      <c r="BN227" s="52" t="n">
        <f aca="false">(BG227*0.5-BH227*0.25+BI227*0.5)/SUM(BG227:BI227)*1000</f>
        <v>310.496488183459</v>
      </c>
      <c r="BO227" s="53" t="n">
        <v>3.75305592</v>
      </c>
      <c r="BP227" s="54" t="s">
        <v>77</v>
      </c>
      <c r="BQ227" s="55" t="n">
        <v>332.824420026673</v>
      </c>
      <c r="BR227" s="56" t="n">
        <v>17.4068147333575</v>
      </c>
      <c r="BS227" s="56" t="n">
        <v>26.0721997604776</v>
      </c>
      <c r="BT227" s="56" t="n">
        <v>14.136994166019</v>
      </c>
      <c r="BU227" s="55"/>
      <c r="BV227" s="55"/>
      <c r="BW227" s="55"/>
      <c r="BX227" s="55"/>
      <c r="BY227" s="79" t="n">
        <v>0.0873315363881402</v>
      </c>
      <c r="BZ227" s="80" t="n">
        <v>0.4531273</v>
      </c>
      <c r="CA227" s="81" t="n">
        <v>3.57</v>
      </c>
      <c r="CB227" s="81" t="n">
        <v>0.03</v>
      </c>
      <c r="CC227" s="82" t="n">
        <v>4.869414</v>
      </c>
      <c r="CD227" s="82" t="n">
        <v>9.557703</v>
      </c>
      <c r="CE227" s="83" t="n">
        <v>72.136566</v>
      </c>
      <c r="CF227" s="84" t="n">
        <v>34.649244</v>
      </c>
      <c r="CG227" s="80" t="n">
        <v>0.134</v>
      </c>
      <c r="CH227" s="63" t="n">
        <v>24663.1352784219</v>
      </c>
      <c r="CI227" s="63" t="n">
        <v>4023.74449293702</v>
      </c>
      <c r="CJ227" s="64" t="n">
        <v>752373.459127769</v>
      </c>
      <c r="CK227" s="65" t="n">
        <v>0.534806809586528</v>
      </c>
    </row>
    <row r="228" customFormat="false" ht="15" hidden="false" customHeight="false" outlineLevel="0" collapsed="false">
      <c r="A228" s="7" t="s">
        <v>73</v>
      </c>
      <c r="B228" s="66" t="n">
        <v>226</v>
      </c>
      <c r="C228" s="8" t="s">
        <v>304</v>
      </c>
      <c r="D228" s="67" t="n">
        <v>41883</v>
      </c>
      <c r="E228" s="4" t="s">
        <v>78</v>
      </c>
      <c r="F228" s="7" t="n">
        <v>2038</v>
      </c>
      <c r="G228" s="68" t="n">
        <v>1</v>
      </c>
      <c r="H228" s="68" t="n">
        <v>202</v>
      </c>
      <c r="I228" s="66" t="n">
        <v>1</v>
      </c>
      <c r="J228" s="69" t="n">
        <v>635.515432098766</v>
      </c>
      <c r="K228" s="31" t="n">
        <v>396.622734816217</v>
      </c>
      <c r="L228" s="31" t="n">
        <v>908.09698443913</v>
      </c>
      <c r="M228" s="31" t="n">
        <v>148.078963481839</v>
      </c>
      <c r="N228" s="31" t="n">
        <v>410.837451037105</v>
      </c>
      <c r="O228" s="32"/>
      <c r="P228" s="33" t="n">
        <v>65.5888604036004</v>
      </c>
      <c r="Q228" s="33" t="n">
        <v>13.7092448906003</v>
      </c>
      <c r="R228" s="31" t="n">
        <v>93.703155833179</v>
      </c>
      <c r="S228" s="34" t="s">
        <v>76</v>
      </c>
      <c r="T228" s="35" t="n">
        <v>15.15580163</v>
      </c>
      <c r="U228" s="35" t="n">
        <v>3.693974</v>
      </c>
      <c r="V228" s="70" t="n">
        <v>18.84977563</v>
      </c>
      <c r="W228" s="35" t="n">
        <v>17.1387477869869</v>
      </c>
      <c r="X228" s="35" t="n">
        <v>2.86810504688141</v>
      </c>
      <c r="Y228" s="35" t="n">
        <v>7.09731565802824</v>
      </c>
      <c r="Z228" s="35"/>
      <c r="AA228" s="35" t="n">
        <v>1.11186687062922</v>
      </c>
      <c r="AB228" s="35" t="n">
        <v>0.243764549843558</v>
      </c>
      <c r="AC228" s="71" t="n">
        <v>2.0549010055877</v>
      </c>
      <c r="AD228" s="38" t="n">
        <v>5.11851518650782</v>
      </c>
      <c r="AE228" s="38" t="n">
        <v>4.40291651060568</v>
      </c>
      <c r="AF228" s="38" t="n">
        <v>1.03382912817697</v>
      </c>
      <c r="AG228" s="72"/>
      <c r="AH228" s="72"/>
      <c r="AI228" s="73" t="n">
        <v>47.6240747484955</v>
      </c>
      <c r="AJ228" s="42" t="s">
        <v>16</v>
      </c>
      <c r="AK228" s="43" t="n">
        <v>728.457500663215</v>
      </c>
      <c r="AL228" s="43" t="n">
        <v>743.101621814592</v>
      </c>
      <c r="AM228" s="43" t="n">
        <v>639.542795233009</v>
      </c>
      <c r="AN228" s="74"/>
      <c r="AO228" s="75" t="n">
        <v>17.2851851851852</v>
      </c>
      <c r="AP228" s="76" t="n">
        <v>0.461514444444444</v>
      </c>
      <c r="AQ228" s="76" t="n">
        <v>0.51337</v>
      </c>
      <c r="AR228" s="76" t="n">
        <v>0.791661481481481</v>
      </c>
      <c r="AS228" s="77" t="n">
        <v>13.8367907407407</v>
      </c>
      <c r="AT228" s="78" t="n">
        <v>13.8698858150507</v>
      </c>
      <c r="AU228" s="78" t="n">
        <v>26.7</v>
      </c>
      <c r="AV228" s="78" t="n">
        <v>29.7</v>
      </c>
      <c r="AW228" s="78" t="n">
        <v>45.8</v>
      </c>
      <c r="AX228" s="78" t="n">
        <v>36</v>
      </c>
      <c r="AY228" s="48" t="n">
        <v>0.735811719317038</v>
      </c>
      <c r="AZ228" s="48" t="n">
        <v>17.3659008927457</v>
      </c>
      <c r="BA228" s="48" t="n">
        <v>1.48387473725428</v>
      </c>
      <c r="BB228" s="49" t="n">
        <f aca="false">AT228/V228</f>
        <v>0.735811719317038</v>
      </c>
      <c r="BC228" s="49" t="n">
        <f aca="false">AS228/V228</f>
        <v>0.73405599155881</v>
      </c>
      <c r="BD228" s="49" t="n">
        <f aca="false">SUM(AP228:AR228)/V228</f>
        <v>0.0937170797467962</v>
      </c>
      <c r="BE228" s="50" t="n">
        <v>7.09</v>
      </c>
      <c r="BF228" s="51" t="n">
        <v>125.028054784556</v>
      </c>
      <c r="BG228" s="51" t="n">
        <v>562.211719650696</v>
      </c>
      <c r="BH228" s="51" t="n">
        <v>215.897410754531</v>
      </c>
      <c r="BI228" s="51" t="n">
        <v>183.555718258078</v>
      </c>
      <c r="BJ228" s="51" t="n">
        <v>6.69939383720243</v>
      </c>
      <c r="BK228" s="51" t="n">
        <v>16.0281824663347</v>
      </c>
      <c r="BL228" s="51" t="n">
        <v>10.6324506550471</v>
      </c>
      <c r="BM228" s="51"/>
      <c r="BN228" s="52" t="n">
        <f aca="false">(BG228*0.5-BH228*0.25+BI228*0.5)/SUM(BG228:BI228)*1000</f>
        <v>331.622151635294</v>
      </c>
      <c r="BO228" s="53" t="n">
        <v>6.9363111</v>
      </c>
      <c r="BP228" s="54" t="s">
        <v>77</v>
      </c>
      <c r="BQ228" s="55" t="n">
        <v>420.400698499637</v>
      </c>
      <c r="BR228" s="56" t="n">
        <v>22.3026897906708</v>
      </c>
      <c r="BS228" s="56" t="n">
        <v>33.0092861138382</v>
      </c>
      <c r="BT228" s="56" t="n">
        <v>30.3103215199829</v>
      </c>
      <c r="BU228" s="55"/>
      <c r="BV228" s="55"/>
      <c r="BW228" s="55"/>
      <c r="BX228" s="55"/>
      <c r="BY228" s="79" t="n">
        <v>0.0485175202156334</v>
      </c>
      <c r="BZ228" s="80" t="n">
        <v>0.862017</v>
      </c>
      <c r="CA228" s="81" t="n">
        <v>3.55</v>
      </c>
      <c r="CB228" s="81" t="n">
        <v>0.925</v>
      </c>
      <c r="CC228" s="82" t="n">
        <v>6.110108</v>
      </c>
      <c r="CD228" s="82" t="n">
        <v>5.804373</v>
      </c>
      <c r="CE228" s="83" t="n">
        <v>92.417549</v>
      </c>
      <c r="CF228" s="84" t="n">
        <v>33.998492</v>
      </c>
      <c r="CG228" s="80" t="n">
        <v>0.1025</v>
      </c>
      <c r="CH228" s="63" t="n">
        <v>77517.5916869209</v>
      </c>
      <c r="CI228" s="63" t="n">
        <v>3796.91676103539</v>
      </c>
      <c r="CJ228" s="64" t="n">
        <v>419239.348020948</v>
      </c>
      <c r="CK228" s="65" t="n">
        <v>0.905668034014227</v>
      </c>
    </row>
    <row r="229" customFormat="false" ht="15" hidden="false" customHeight="false" outlineLevel="0" collapsed="false">
      <c r="A229" s="7" t="s">
        <v>73</v>
      </c>
      <c r="B229" s="66" t="n">
        <v>227</v>
      </c>
      <c r="C229" s="8" t="s">
        <v>305</v>
      </c>
      <c r="D229" s="67" t="n">
        <v>41883</v>
      </c>
      <c r="E229" s="4" t="s">
        <v>78</v>
      </c>
      <c r="F229" s="7" t="n">
        <v>828</v>
      </c>
      <c r="G229" s="68" t="n">
        <v>1</v>
      </c>
      <c r="H229" s="68" t="n">
        <v>199</v>
      </c>
      <c r="I229" s="66" t="n">
        <v>3</v>
      </c>
      <c r="J229" s="69" t="n">
        <v>750.154761904762</v>
      </c>
      <c r="K229" s="31" t="n">
        <v>396.622734816217</v>
      </c>
      <c r="L229" s="31" t="n">
        <v>908.09698443913</v>
      </c>
      <c r="M229" s="31" t="n">
        <v>148.078963481839</v>
      </c>
      <c r="N229" s="31" t="n">
        <v>410.837451037105</v>
      </c>
      <c r="O229" s="32"/>
      <c r="P229" s="33" t="n">
        <v>65.5888604036004</v>
      </c>
      <c r="Q229" s="33" t="n">
        <v>13.7092448906003</v>
      </c>
      <c r="R229" s="31" t="n">
        <v>93.703155833179</v>
      </c>
      <c r="S229" s="34" t="s">
        <v>76</v>
      </c>
      <c r="T229" s="35" t="n">
        <v>19.0124685642857</v>
      </c>
      <c r="U229" s="35" t="n">
        <v>6.26613178571429</v>
      </c>
      <c r="V229" s="70" t="n">
        <v>25.27860035</v>
      </c>
      <c r="W229" s="35" t="n">
        <v>22.9861888209072</v>
      </c>
      <c r="X229" s="35" t="n">
        <v>3.86502707931013</v>
      </c>
      <c r="Y229" s="35" t="n">
        <v>9.29656739173819</v>
      </c>
      <c r="Z229" s="35"/>
      <c r="AA229" s="35" t="n">
        <v>1.4435706813522</v>
      </c>
      <c r="AB229" s="35" t="n">
        <v>0.32432489886213</v>
      </c>
      <c r="AC229" s="71" t="n">
        <v>2.84319947102987</v>
      </c>
      <c r="AD229" s="38" t="n">
        <v>5.92975541765627</v>
      </c>
      <c r="AE229" s="38" t="n">
        <v>5.02184066236953</v>
      </c>
      <c r="AF229" s="38" t="n">
        <v>1.40080680367068</v>
      </c>
      <c r="AG229" s="72"/>
      <c r="AH229" s="72"/>
      <c r="AI229" s="73" t="n">
        <v>54.6944816469883</v>
      </c>
      <c r="AJ229" s="42" t="s">
        <v>16</v>
      </c>
      <c r="AK229" s="43" t="n">
        <v>765.423902607161</v>
      </c>
      <c r="AL229" s="43" t="n">
        <v>781.527912195609</v>
      </c>
      <c r="AM229" s="43" t="n">
        <v>637.568696175677</v>
      </c>
      <c r="AN229" s="74"/>
      <c r="AO229" s="75" t="n">
        <v>37.1714285714286</v>
      </c>
      <c r="AP229" s="76" t="n">
        <v>1.3294938226601</v>
      </c>
      <c r="AQ229" s="76" t="n">
        <v>1.11041311330049</v>
      </c>
      <c r="AR229" s="76" t="n">
        <v>1.65367995073892</v>
      </c>
      <c r="AS229" s="77" t="n">
        <v>34.8109787684729</v>
      </c>
      <c r="AT229" s="78" t="n">
        <v>33.7302311166892</v>
      </c>
      <c r="AU229" s="78" t="n">
        <v>35.7665517241379</v>
      </c>
      <c r="AV229" s="78" t="n">
        <v>29.8727586206897</v>
      </c>
      <c r="AW229" s="78" t="n">
        <v>44.4879310344828</v>
      </c>
      <c r="AX229" s="78" t="n">
        <v>25.151724137931</v>
      </c>
      <c r="AY229" s="48" t="n">
        <v>1.33433934828948</v>
      </c>
      <c r="AZ229" s="48" t="n">
        <v>26.7683650379301</v>
      </c>
      <c r="BA229" s="48" t="n">
        <v>-1.48976468793011</v>
      </c>
      <c r="BB229" s="49" t="n">
        <f aca="false">AT229/V229</f>
        <v>1.33433934828948</v>
      </c>
      <c r="BC229" s="49" t="n">
        <f aca="false">AS229/V229</f>
        <v>1.37709280919396</v>
      </c>
      <c r="BD229" s="49" t="n">
        <f aca="false">SUM(AP229:AR229)/V229</f>
        <v>0.16193882691371</v>
      </c>
      <c r="BE229" s="50" t="n">
        <v>7.31</v>
      </c>
      <c r="BF229" s="51" t="n">
        <v>94.9901691788203</v>
      </c>
      <c r="BG229" s="51" t="n">
        <v>634.518781947674</v>
      </c>
      <c r="BH229" s="51" t="n">
        <v>200.907522010248</v>
      </c>
      <c r="BI229" s="51" t="n">
        <v>127.363591784353</v>
      </c>
      <c r="BJ229" s="51" t="n">
        <v>7.91183746237688</v>
      </c>
      <c r="BK229" s="51" t="n">
        <v>11.8574038499852</v>
      </c>
      <c r="BL229" s="51" t="n">
        <v>12.4657385672531</v>
      </c>
      <c r="BM229" s="51"/>
      <c r="BN229" s="52" t="n">
        <f aca="false">(BG229*0.5-BH229*0.25+BI229*0.5)/SUM(BG229:BI229)*1000</f>
        <v>343.49582170104</v>
      </c>
      <c r="BO229" s="53" t="n">
        <v>4.04170358</v>
      </c>
      <c r="BP229" s="54" t="s">
        <v>77</v>
      </c>
      <c r="BQ229" s="55" t="n">
        <v>323.404960428048</v>
      </c>
      <c r="BR229" s="56" t="n">
        <v>12.7936260690971</v>
      </c>
      <c r="BS229" s="56" t="n">
        <v>18.0025992356616</v>
      </c>
      <c r="BT229" s="56" t="n">
        <v>9.58798530935747</v>
      </c>
      <c r="BU229" s="55"/>
      <c r="BV229" s="55"/>
      <c r="BW229" s="55"/>
      <c r="BX229" s="55"/>
      <c r="BY229" s="79" t="n">
        <v>0.0970350404312669</v>
      </c>
      <c r="BZ229" s="80" t="n">
        <v>0.7491217</v>
      </c>
      <c r="CA229" s="81" t="n">
        <v>3.28</v>
      </c>
      <c r="CB229" s="81" t="n">
        <v>0.593</v>
      </c>
      <c r="CC229" s="82" t="n">
        <v>3.83724</v>
      </c>
      <c r="CD229" s="82" t="n">
        <v>8.210196</v>
      </c>
      <c r="CE229" s="83" t="n">
        <v>86.196943</v>
      </c>
      <c r="CF229" s="84" t="n">
        <v>37.577628</v>
      </c>
      <c r="CG229" s="80" t="n">
        <v>0.071</v>
      </c>
      <c r="CH229" s="63" t="n">
        <v>46596.9394414056</v>
      </c>
      <c r="CI229" s="63" t="n">
        <v>7173.98129731584</v>
      </c>
      <c r="CJ229" s="64" t="n">
        <v>696438.499824494</v>
      </c>
      <c r="CK229" s="65" t="n">
        <v>1.03009544979546</v>
      </c>
    </row>
    <row r="230" customFormat="false" ht="15" hidden="false" customHeight="false" outlineLevel="0" collapsed="false">
      <c r="A230" s="7" t="s">
        <v>73</v>
      </c>
      <c r="B230" s="66" t="n">
        <v>228</v>
      </c>
      <c r="C230" s="8" t="s">
        <v>306</v>
      </c>
      <c r="D230" s="67" t="n">
        <v>41883</v>
      </c>
      <c r="E230" s="4" t="s">
        <v>78</v>
      </c>
      <c r="F230" s="7" t="n">
        <v>738</v>
      </c>
      <c r="G230" s="68" t="n">
        <v>1</v>
      </c>
      <c r="H230" s="68" t="n">
        <v>197</v>
      </c>
      <c r="I230" s="66" t="n">
        <v>3</v>
      </c>
      <c r="J230" s="69" t="n">
        <v>692.885802469136</v>
      </c>
      <c r="K230" s="31" t="n">
        <v>396.622734816217</v>
      </c>
      <c r="L230" s="31" t="n">
        <v>908.09698443913</v>
      </c>
      <c r="M230" s="31" t="n">
        <v>148.078963481839</v>
      </c>
      <c r="N230" s="31" t="n">
        <v>410.837451037105</v>
      </c>
      <c r="O230" s="32"/>
      <c r="P230" s="33" t="n">
        <v>65.5888604036004</v>
      </c>
      <c r="Q230" s="33" t="n">
        <v>13.7092448906003</v>
      </c>
      <c r="R230" s="31" t="n">
        <v>93.703155833179</v>
      </c>
      <c r="S230" s="34" t="s">
        <v>76</v>
      </c>
      <c r="T230" s="35" t="n">
        <v>16.3439089411111</v>
      </c>
      <c r="U230" s="35" t="n">
        <v>4.74397288888889</v>
      </c>
      <c r="V230" s="70" t="n">
        <v>21.08788183</v>
      </c>
      <c r="W230" s="35" t="n">
        <v>19.1872372847952</v>
      </c>
      <c r="X230" s="35" t="n">
        <v>3.23723177210177</v>
      </c>
      <c r="Y230" s="35" t="n">
        <v>7.81723118337452</v>
      </c>
      <c r="Z230" s="35"/>
      <c r="AA230" s="35" t="n">
        <v>1.22937158620292</v>
      </c>
      <c r="AB230" s="35" t="n">
        <v>0.265413138478277</v>
      </c>
      <c r="AC230" s="71" t="n">
        <v>2.37458025897026</v>
      </c>
      <c r="AD230" s="38" t="n">
        <v>5.29100279562217</v>
      </c>
      <c r="AE230" s="38" t="n">
        <v>4.50489192808827</v>
      </c>
      <c r="AF230" s="38" t="n">
        <v>1.28077225540972</v>
      </c>
      <c r="AG230" s="72"/>
      <c r="AH230" s="72"/>
      <c r="AI230" s="73" t="n">
        <v>50.1631068306906</v>
      </c>
      <c r="AJ230" s="42" t="s">
        <v>16</v>
      </c>
      <c r="AK230" s="43" t="n">
        <v>749.097475115064</v>
      </c>
      <c r="AL230" s="43" t="n">
        <v>765.214144109317</v>
      </c>
      <c r="AM230" s="43" t="n">
        <v>604.361891401374</v>
      </c>
      <c r="AN230" s="74"/>
      <c r="AO230" s="75" t="n">
        <v>21.4111111111111</v>
      </c>
      <c r="AP230" s="76" t="n">
        <v>0.873605611390285</v>
      </c>
      <c r="AQ230" s="76" t="n">
        <v>0.675493657174763</v>
      </c>
      <c r="AR230" s="76" t="n">
        <v>0.991549631490787</v>
      </c>
      <c r="AS230" s="77" t="n">
        <v>21.6685286152987</v>
      </c>
      <c r="AT230" s="78" t="n">
        <v>21.2259497849474</v>
      </c>
      <c r="AU230" s="78" t="n">
        <v>40.8015075376884</v>
      </c>
      <c r="AV230" s="78" t="n">
        <v>31.548743718593</v>
      </c>
      <c r="AW230" s="78" t="n">
        <v>46.3100502512563</v>
      </c>
      <c r="AX230" s="78" t="n">
        <v>31.4371859296482</v>
      </c>
      <c r="AY230" s="48" t="n">
        <v>1.00654726520475</v>
      </c>
      <c r="AZ230" s="48" t="n">
        <v>21.0865636445355</v>
      </c>
      <c r="BA230" s="48" t="n">
        <v>0.00131818546449836</v>
      </c>
      <c r="BB230" s="49" t="n">
        <f aca="false">AT230/V230</f>
        <v>1.00654726520475</v>
      </c>
      <c r="BC230" s="49" t="n">
        <f aca="false">AS230/V230</f>
        <v>1.02753461869616</v>
      </c>
      <c r="BD230" s="49" t="n">
        <f aca="false">SUM(AP230:AR230)/V230</f>
        <v>0.120479094132701</v>
      </c>
      <c r="BE230" s="50" t="n">
        <v>7.24</v>
      </c>
      <c r="BF230" s="51" t="n">
        <v>119.869466304688</v>
      </c>
      <c r="BG230" s="51" t="n">
        <v>536.387357117027</v>
      </c>
      <c r="BH230" s="51" t="n">
        <v>223.485835920895</v>
      </c>
      <c r="BI230" s="51" t="n">
        <v>181.137725601994</v>
      </c>
      <c r="BJ230" s="51" t="n">
        <v>12.481136109544</v>
      </c>
      <c r="BK230" s="51" t="n">
        <v>22.4629326352319</v>
      </c>
      <c r="BL230" s="51" t="n">
        <v>19.0698882371992</v>
      </c>
      <c r="BM230" s="51"/>
      <c r="BN230" s="52" t="n">
        <f aca="false">(BG230*0.5-BH230*0.25+BI230*0.5)/SUM(BG230:BI230)*1000</f>
        <v>321.878393097785</v>
      </c>
      <c r="BO230" s="53" t="n">
        <v>7.16932458</v>
      </c>
      <c r="BP230" s="54" t="s">
        <v>77</v>
      </c>
      <c r="BQ230" s="55" t="n">
        <v>363.106309243236</v>
      </c>
      <c r="BR230" s="56" t="n">
        <v>17.2187188912769</v>
      </c>
      <c r="BS230" s="56" t="n">
        <v>24.7308110810354</v>
      </c>
      <c r="BT230" s="56" t="n">
        <v>17.1067166803879</v>
      </c>
      <c r="BU230" s="55"/>
      <c r="BV230" s="55"/>
      <c r="BW230" s="55"/>
      <c r="BX230" s="55"/>
      <c r="BY230" s="79" t="n">
        <v>0.0582210242587601</v>
      </c>
      <c r="BZ230" s="80" t="n">
        <v>1.0033733</v>
      </c>
      <c r="CA230" s="81" t="n">
        <v>3.15</v>
      </c>
      <c r="CB230" s="81" t="n">
        <v>0.338</v>
      </c>
      <c r="CC230" s="82" t="n">
        <v>4.973674</v>
      </c>
      <c r="CD230" s="82" t="n">
        <v>10.074555</v>
      </c>
      <c r="CE230" s="83" t="n">
        <v>81.045739</v>
      </c>
      <c r="CF230" s="84" t="n">
        <v>35.625372</v>
      </c>
      <c r="CG230" s="80" t="n">
        <v>0.1235</v>
      </c>
      <c r="CH230" s="63" t="n">
        <v>145858.159942616</v>
      </c>
      <c r="CI230" s="63" t="n">
        <v>4901.43685141912</v>
      </c>
      <c r="CJ230" s="64" t="n">
        <v>400519.757479704</v>
      </c>
      <c r="CK230" s="65" t="n">
        <v>1.22376905505529</v>
      </c>
    </row>
    <row r="231" customFormat="false" ht="15" hidden="false" customHeight="false" outlineLevel="0" collapsed="false">
      <c r="A231" s="7" t="s">
        <v>73</v>
      </c>
      <c r="B231" s="66" t="n">
        <v>229</v>
      </c>
      <c r="C231" s="8" t="s">
        <v>307</v>
      </c>
      <c r="D231" s="67" t="n">
        <v>41883</v>
      </c>
      <c r="E231" s="4" t="s">
        <v>78</v>
      </c>
      <c r="F231" s="7" t="n">
        <v>988</v>
      </c>
      <c r="G231" s="68" t="n">
        <v>1</v>
      </c>
      <c r="H231" s="68" t="n">
        <v>194</v>
      </c>
      <c r="I231" s="66" t="n">
        <v>2</v>
      </c>
      <c r="J231" s="69" t="n">
        <v>609.869047619048</v>
      </c>
      <c r="K231" s="31" t="n">
        <v>396.622734816217</v>
      </c>
      <c r="L231" s="31" t="n">
        <v>908.09698443913</v>
      </c>
      <c r="M231" s="31" t="n">
        <v>148.078963481839</v>
      </c>
      <c r="N231" s="31" t="n">
        <v>410.837451037105</v>
      </c>
      <c r="O231" s="32"/>
      <c r="P231" s="33" t="n">
        <v>65.5888604036004</v>
      </c>
      <c r="Q231" s="33" t="n">
        <v>13.7092448906003</v>
      </c>
      <c r="R231" s="31" t="n">
        <v>93.703155833179</v>
      </c>
      <c r="S231" s="34" t="s">
        <v>76</v>
      </c>
      <c r="T231" s="35" t="n">
        <v>12.20093739</v>
      </c>
      <c r="U231" s="35" t="n">
        <v>2.7993</v>
      </c>
      <c r="V231" s="70" t="n">
        <v>15.00023739</v>
      </c>
      <c r="W231" s="35" t="n">
        <v>13.5983495112317</v>
      </c>
      <c r="X231" s="35" t="n">
        <v>2.21688629238066</v>
      </c>
      <c r="Y231" s="35" t="n">
        <v>5.73440711377313</v>
      </c>
      <c r="Z231" s="35"/>
      <c r="AA231" s="35" t="n">
        <v>0.865510765662975</v>
      </c>
      <c r="AB231" s="35" t="n">
        <v>0.213742509719917</v>
      </c>
      <c r="AC231" s="71" t="n">
        <v>1.51416486062162</v>
      </c>
      <c r="AD231" s="38" t="n">
        <v>3.89646929883792</v>
      </c>
      <c r="AE231" s="38" t="n">
        <v>3.28836611570197</v>
      </c>
      <c r="AF231" s="38" t="n">
        <v>0.908605366892545</v>
      </c>
      <c r="AG231" s="72"/>
      <c r="AH231" s="72"/>
      <c r="AI231" s="73" t="n">
        <v>54.8554327846658</v>
      </c>
      <c r="AJ231" s="42" t="s">
        <v>16</v>
      </c>
      <c r="AK231" s="43" t="n">
        <v>740.239491047287</v>
      </c>
      <c r="AL231" s="43" t="n">
        <v>758.179026580696</v>
      </c>
      <c r="AM231" s="43" t="n">
        <v>590.143450290896</v>
      </c>
      <c r="AN231" s="74"/>
      <c r="AO231" s="75" t="n">
        <v>26.0714285714286</v>
      </c>
      <c r="AP231" s="76" t="n">
        <v>1.0506492776886</v>
      </c>
      <c r="AQ231" s="76" t="n">
        <v>0.959838683788122</v>
      </c>
      <c r="AR231" s="76" t="n">
        <v>1.17930738362761</v>
      </c>
      <c r="AS231" s="77" t="n">
        <v>26.1883105939005</v>
      </c>
      <c r="AT231" s="78" t="n">
        <v>26.5966198024762</v>
      </c>
      <c r="AU231" s="78" t="n">
        <v>40.2988764044944</v>
      </c>
      <c r="AV231" s="78" t="n">
        <v>36.8157303370787</v>
      </c>
      <c r="AW231" s="78" t="n">
        <v>45.2337078651685</v>
      </c>
      <c r="AX231" s="78" t="n">
        <v>32.7752808988764</v>
      </c>
      <c r="AY231" s="48" t="n">
        <v>1.77307992606884</v>
      </c>
      <c r="AZ231" s="48" t="n">
        <v>21.5694478370542</v>
      </c>
      <c r="BA231" s="48" t="n">
        <v>-6.56921044705417</v>
      </c>
      <c r="BB231" s="49" t="n">
        <f aca="false">AT231/V231</f>
        <v>1.77307992606884</v>
      </c>
      <c r="BC231" s="49" t="n">
        <f aca="false">AS231/V231</f>
        <v>1.74585974295041</v>
      </c>
      <c r="BD231" s="49" t="n">
        <f aca="false">SUM(AP231:AR231)/V231</f>
        <v>0.212649657613474</v>
      </c>
      <c r="BE231" s="50" t="n">
        <v>7.23</v>
      </c>
      <c r="BF231" s="51" t="n">
        <v>214.091548694846</v>
      </c>
      <c r="BG231" s="51" t="n">
        <v>582.2918606713</v>
      </c>
      <c r="BH231" s="51" t="n">
        <v>223.460034163973</v>
      </c>
      <c r="BI231" s="51" t="n">
        <v>150.949744389296</v>
      </c>
      <c r="BJ231" s="51" t="n">
        <v>11.1371163058438</v>
      </c>
      <c r="BK231" s="51" t="n">
        <v>16.4734949917092</v>
      </c>
      <c r="BL231" s="51" t="n">
        <v>10.7126250997688</v>
      </c>
      <c r="BM231" s="51"/>
      <c r="BN231" s="52" t="n">
        <f aca="false">(BG231*0.5-BH231*0.25+BI231*0.5)/SUM(BG231:BI231)*1000</f>
        <v>324.819966067143</v>
      </c>
      <c r="BO231" s="53" t="n">
        <v>5.82973066</v>
      </c>
      <c r="BP231" s="54" t="s">
        <v>77</v>
      </c>
      <c r="BQ231" s="55" t="n">
        <v>386.818993530153</v>
      </c>
      <c r="BR231" s="56" t="n">
        <v>25.7875247886429</v>
      </c>
      <c r="BS231" s="56" t="n">
        <v>37.5188764802348</v>
      </c>
      <c r="BT231" s="56" t="n">
        <v>14.5439155953998</v>
      </c>
      <c r="BU231" s="55"/>
      <c r="BV231" s="55"/>
      <c r="BW231" s="55"/>
      <c r="BX231" s="55"/>
      <c r="BY231" s="79" t="n">
        <v>0.11644204851752</v>
      </c>
      <c r="BZ231" s="80" t="n">
        <v>0.9122981</v>
      </c>
      <c r="CA231" s="81" t="n">
        <v>3.09</v>
      </c>
      <c r="CB231" s="81" t="n">
        <v>0.303</v>
      </c>
      <c r="CC231" s="82" t="n">
        <v>4.483652</v>
      </c>
      <c r="CD231" s="82" t="n">
        <v>7.33647</v>
      </c>
      <c r="CE231" s="83" t="n">
        <v>79.434105</v>
      </c>
      <c r="CF231" s="84" t="n">
        <v>35.493188</v>
      </c>
      <c r="CG231" s="80" t="n">
        <v>0.1445</v>
      </c>
      <c r="CH231" s="63" t="n">
        <v>31651.0937734886</v>
      </c>
      <c r="CI231" s="63" t="n">
        <v>5174.27624393847</v>
      </c>
      <c r="CJ231" s="64" t="n">
        <v>432215.408764019</v>
      </c>
      <c r="CK231" s="65" t="n">
        <v>1.19715219286953</v>
      </c>
    </row>
    <row r="232" customFormat="false" ht="15" hidden="false" customHeight="false" outlineLevel="0" collapsed="false">
      <c r="A232" s="7" t="s">
        <v>73</v>
      </c>
      <c r="B232" s="66" t="n">
        <v>230</v>
      </c>
      <c r="C232" s="8" t="s">
        <v>308</v>
      </c>
      <c r="D232" s="67" t="n">
        <v>41883</v>
      </c>
      <c r="E232" s="4" t="s">
        <v>78</v>
      </c>
      <c r="F232" s="7" t="n">
        <v>2070</v>
      </c>
      <c r="G232" s="68" t="n">
        <v>1</v>
      </c>
      <c r="H232" s="68" t="n">
        <v>188</v>
      </c>
      <c r="I232" s="66" t="n">
        <v>1</v>
      </c>
      <c r="J232" s="69" t="n">
        <v>598.148809523809</v>
      </c>
      <c r="K232" s="31" t="n">
        <v>396.622734816217</v>
      </c>
      <c r="L232" s="31" t="n">
        <v>908.09698443913</v>
      </c>
      <c r="M232" s="31" t="n">
        <v>148.078963481839</v>
      </c>
      <c r="N232" s="31" t="n">
        <v>410.837451037105</v>
      </c>
      <c r="O232" s="32"/>
      <c r="P232" s="33" t="n">
        <v>65.5888604036004</v>
      </c>
      <c r="Q232" s="33" t="n">
        <v>13.7092448906003</v>
      </c>
      <c r="R232" s="31" t="n">
        <v>93.703155833179</v>
      </c>
      <c r="S232" s="34" t="s">
        <v>76</v>
      </c>
      <c r="T232" s="35" t="n">
        <v>14.4006749442857</v>
      </c>
      <c r="U232" s="35" t="n">
        <v>2.92530128571429</v>
      </c>
      <c r="V232" s="70" t="n">
        <v>17.32597623</v>
      </c>
      <c r="W232" s="35" t="n">
        <v>15.7446902024462</v>
      </c>
      <c r="X232" s="35" t="n">
        <v>2.61717909131352</v>
      </c>
      <c r="Y232" s="35" t="n">
        <v>6.61508969741294</v>
      </c>
      <c r="Z232" s="35"/>
      <c r="AA232" s="35" t="n">
        <v>1.03425671640554</v>
      </c>
      <c r="AB232" s="35" t="n">
        <v>0.228775012304367</v>
      </c>
      <c r="AC232" s="71" t="n">
        <v>1.83570533520133</v>
      </c>
      <c r="AD232" s="38" t="n">
        <v>5.10674894469135</v>
      </c>
      <c r="AE232" s="38" t="n">
        <v>4.39007577235407</v>
      </c>
      <c r="AF232" s="38" t="n">
        <v>1.1613300950566</v>
      </c>
      <c r="AG232" s="72"/>
      <c r="AH232" s="72"/>
      <c r="AI232" s="73" t="n">
        <v>44.7985626045289</v>
      </c>
      <c r="AJ232" s="42" t="s">
        <v>16</v>
      </c>
      <c r="AK232" s="43" t="n">
        <v>705.254764470415</v>
      </c>
      <c r="AL232" s="43" t="n">
        <v>721.171028714684</v>
      </c>
      <c r="AM232" s="43" t="n">
        <v>556.266478319698</v>
      </c>
      <c r="AN232" s="74"/>
      <c r="AO232" s="75" t="n">
        <v>15.3607142857143</v>
      </c>
      <c r="AP232" s="76" t="n">
        <v>0.529679802955665</v>
      </c>
      <c r="AQ232" s="76" t="n">
        <v>0.53416089408867</v>
      </c>
      <c r="AR232" s="76" t="n">
        <v>0.70296984729064</v>
      </c>
      <c r="AS232" s="77" t="n">
        <v>14.0894827586207</v>
      </c>
      <c r="AT232" s="78" t="n">
        <v>14.3816936783596</v>
      </c>
      <c r="AU232" s="78" t="n">
        <v>34.4827586206897</v>
      </c>
      <c r="AV232" s="78" t="n">
        <v>34.7744827586207</v>
      </c>
      <c r="AW232" s="78" t="n">
        <v>45.7641379310345</v>
      </c>
      <c r="AX232" s="78" t="n">
        <v>42.9172413793104</v>
      </c>
      <c r="AY232" s="48" t="n">
        <v>0.830065416657889</v>
      </c>
      <c r="AZ232" s="48" t="n">
        <v>16.9010081365284</v>
      </c>
      <c r="BA232" s="48" t="n">
        <v>0.42496809347162</v>
      </c>
      <c r="BB232" s="49" t="n">
        <f aca="false">AT232/V232</f>
        <v>0.830065416657889</v>
      </c>
      <c r="BC232" s="49" t="n">
        <f aca="false">AS232/V232</f>
        <v>0.813199935841115</v>
      </c>
      <c r="BD232" s="49" t="n">
        <f aca="false">SUM(AP232:AR232)/V232</f>
        <v>0.101974660525953</v>
      </c>
      <c r="BE232" s="50" t="n">
        <v>6.9</v>
      </c>
      <c r="BF232" s="51" t="n">
        <v>118.357746462599</v>
      </c>
      <c r="BG232" s="51" t="n">
        <v>554.907197171187</v>
      </c>
      <c r="BH232" s="51" t="n">
        <v>204.439966366618</v>
      </c>
      <c r="BI232" s="51" t="n">
        <v>198.202424952273</v>
      </c>
      <c r="BJ232" s="51" t="n">
        <v>7.79119235290417</v>
      </c>
      <c r="BK232" s="51" t="n">
        <v>17.6320538628329</v>
      </c>
      <c r="BL232" s="51" t="n">
        <v>12.0520409160762</v>
      </c>
      <c r="BM232" s="51"/>
      <c r="BN232" s="52" t="n">
        <f aca="false">(BG232*0.5-BH232*0.25+BI232*0.5)/SUM(BG232:BI232)*1000</f>
        <v>339.872549037649</v>
      </c>
      <c r="BO232" s="53" t="n">
        <v>7.13430596</v>
      </c>
      <c r="BP232" s="54" t="s">
        <v>77</v>
      </c>
      <c r="BQ232" s="55" t="n">
        <v>346.864664086923</v>
      </c>
      <c r="BR232" s="56" t="n">
        <v>20.0199203486338</v>
      </c>
      <c r="BS232" s="56" t="n">
        <v>30.5483436907958</v>
      </c>
      <c r="BT232" s="56" t="n">
        <v>24.1184850577687</v>
      </c>
      <c r="BU232" s="55"/>
      <c r="BV232" s="55"/>
      <c r="BW232" s="55"/>
      <c r="BX232" s="55"/>
      <c r="BY232" s="79" t="n">
        <v>0.106738544474394</v>
      </c>
      <c r="BZ232" s="80" t="n">
        <v>0.9179903</v>
      </c>
      <c r="CA232" s="81" t="n">
        <v>3.63</v>
      </c>
      <c r="CB232" s="81" t="n">
        <v>0.921</v>
      </c>
      <c r="CC232" s="82" t="n">
        <v>4.942396</v>
      </c>
      <c r="CD232" s="82" t="n">
        <v>6.678099</v>
      </c>
      <c r="CE232" s="83" t="n">
        <v>82.544408</v>
      </c>
      <c r="CF232" s="84" t="n">
        <v>34.61874</v>
      </c>
      <c r="CG232" s="80" t="n">
        <v>0.113</v>
      </c>
      <c r="CH232" s="63" t="n">
        <v>35720.2317944269</v>
      </c>
      <c r="CI232" s="63" t="n">
        <v>5483.96000908855</v>
      </c>
      <c r="CJ232" s="64" t="n">
        <v>490471.954515518</v>
      </c>
      <c r="CK232" s="65" t="n">
        <v>1.11809859026609</v>
      </c>
    </row>
    <row r="233" customFormat="false" ht="15" hidden="false" customHeight="false" outlineLevel="0" collapsed="false">
      <c r="A233" s="7" t="s">
        <v>73</v>
      </c>
      <c r="B233" s="66" t="n">
        <v>231</v>
      </c>
      <c r="C233" s="8" t="s">
        <v>309</v>
      </c>
      <c r="D233" s="67" t="n">
        <v>41883</v>
      </c>
      <c r="E233" s="4" t="s">
        <v>78</v>
      </c>
      <c r="F233" s="7" t="n">
        <v>743</v>
      </c>
      <c r="G233" s="68" t="n">
        <v>1</v>
      </c>
      <c r="H233" s="68" t="n">
        <v>187</v>
      </c>
      <c r="I233" s="66" t="n">
        <v>4</v>
      </c>
      <c r="J233" s="69" t="n">
        <v>677.534722222222</v>
      </c>
      <c r="K233" s="31" t="n">
        <v>396.622734816217</v>
      </c>
      <c r="L233" s="31" t="n">
        <v>908.09698443913</v>
      </c>
      <c r="M233" s="31" t="n">
        <v>148.078963481839</v>
      </c>
      <c r="N233" s="31" t="n">
        <v>410.837451037105</v>
      </c>
      <c r="O233" s="32"/>
      <c r="P233" s="33" t="n">
        <v>65.5888604036004</v>
      </c>
      <c r="Q233" s="33" t="n">
        <v>13.7092448906003</v>
      </c>
      <c r="R233" s="31" t="n">
        <v>93.703155833179</v>
      </c>
      <c r="S233" s="34" t="s">
        <v>76</v>
      </c>
      <c r="T233" s="35" t="n">
        <v>14.6203710833333</v>
      </c>
      <c r="U233" s="35" t="n">
        <v>3.82316916666667</v>
      </c>
      <c r="V233" s="70" t="n">
        <v>18.44354025</v>
      </c>
      <c r="W233" s="35" t="n">
        <v>16.7672932906427</v>
      </c>
      <c r="X233" s="35" t="n">
        <v>2.80540919972865</v>
      </c>
      <c r="Y233" s="35" t="n">
        <v>6.91297182271592</v>
      </c>
      <c r="Z233" s="35"/>
      <c r="AA233" s="35" t="n">
        <v>1.07886226921861</v>
      </c>
      <c r="AB233" s="35" t="n">
        <v>0.239287697796437</v>
      </c>
      <c r="AC233" s="71" t="n">
        <v>2.01772752736857</v>
      </c>
      <c r="AD233" s="38" t="n">
        <v>5.51388482820592</v>
      </c>
      <c r="AE233" s="38" t="n">
        <v>4.71313425089276</v>
      </c>
      <c r="AF233" s="38" t="n">
        <v>1.08126129302063</v>
      </c>
      <c r="AG233" s="72"/>
      <c r="AH233" s="72"/>
      <c r="AI233" s="73" t="n">
        <v>43.3972970513232</v>
      </c>
      <c r="AJ233" s="42" t="s">
        <v>16</v>
      </c>
      <c r="AK233" s="43" t="n">
        <v>701.039781220641</v>
      </c>
      <c r="AL233" s="43" t="n">
        <v>718.909058892467</v>
      </c>
      <c r="AM233" s="43" t="n">
        <v>614.579829165309</v>
      </c>
      <c r="AN233" s="74"/>
      <c r="AO233" s="75" t="n">
        <v>20.5833333333333</v>
      </c>
      <c r="AP233" s="76" t="n">
        <v>0.89646268115942</v>
      </c>
      <c r="AQ233" s="76" t="n">
        <v>0.761039492753623</v>
      </c>
      <c r="AR233" s="76" t="n">
        <v>0.947473550724638</v>
      </c>
      <c r="AS233" s="77" t="n">
        <v>21.6802735507246</v>
      </c>
      <c r="AT233" s="78" t="n">
        <v>21.9264216375888</v>
      </c>
      <c r="AU233" s="78" t="n">
        <v>43.5528428093646</v>
      </c>
      <c r="AV233" s="78" t="n">
        <v>36.9735785953177</v>
      </c>
      <c r="AW233" s="78" t="n">
        <v>46.0311036789298</v>
      </c>
      <c r="AX233" s="78" t="n">
        <v>38.8896321070234</v>
      </c>
      <c r="AY233" s="48" t="n">
        <v>1.18884017603881</v>
      </c>
      <c r="AZ233" s="48" t="n">
        <v>20.8588864534341</v>
      </c>
      <c r="BA233" s="48" t="n">
        <v>-2.41534620343412</v>
      </c>
      <c r="BB233" s="49" t="n">
        <f aca="false">AT233/V233</f>
        <v>1.18884017603881</v>
      </c>
      <c r="BC233" s="49" t="n">
        <f aca="false">AS233/V233</f>
        <v>1.17549414357824</v>
      </c>
      <c r="BD233" s="49" t="n">
        <f aca="false">SUM(AP233:AR233)/V233</f>
        <v>0.141240547602442</v>
      </c>
      <c r="BE233" s="50" t="n">
        <v>6.96</v>
      </c>
      <c r="BF233" s="51" t="n">
        <v>165.804122436268</v>
      </c>
      <c r="BG233" s="51" t="n">
        <v>561.762350419226</v>
      </c>
      <c r="BH233" s="51" t="n">
        <v>232.441312389364</v>
      </c>
      <c r="BI233" s="51" t="n">
        <v>154.39997141712</v>
      </c>
      <c r="BJ233" s="51" t="n">
        <v>11.385384186478</v>
      </c>
      <c r="BK233" s="51" t="n">
        <v>18.7448964361635</v>
      </c>
      <c r="BL233" s="51" t="n">
        <v>16.290960773539</v>
      </c>
      <c r="BM233" s="51"/>
      <c r="BN233" s="52" t="n">
        <f aca="false">(BG233*0.5-BH233*0.25+BI233*0.5)/SUM(BG233:BI233)*1000</f>
        <v>316.22357536684</v>
      </c>
      <c r="BO233" s="53" t="n">
        <v>13.49973304</v>
      </c>
      <c r="BP233" s="54" t="s">
        <v>77</v>
      </c>
      <c r="BQ233" s="55" t="n">
        <v>317.977666246344</v>
      </c>
      <c r="BR233" s="56" t="n">
        <v>17.2405981680412</v>
      </c>
      <c r="BS233" s="56" t="n">
        <v>26.3790833684688</v>
      </c>
      <c r="BT233" s="56" t="n">
        <v>14.5020319093577</v>
      </c>
      <c r="BU233" s="55"/>
      <c r="BV233" s="55"/>
      <c r="BW233" s="55"/>
      <c r="BX233" s="55"/>
      <c r="BY233" s="79" t="n">
        <v>0.0582210242587601</v>
      </c>
      <c r="BZ233" s="80" t="n">
        <v>0.9464513</v>
      </c>
      <c r="CA233" s="81" t="n">
        <v>3.09</v>
      </c>
      <c r="CB233" s="81" t="n">
        <v>0.475</v>
      </c>
      <c r="CC233" s="82" t="n">
        <v>5.5054</v>
      </c>
      <c r="CD233" s="82" t="n">
        <v>7.933311</v>
      </c>
      <c r="CE233" s="83" t="n">
        <v>85.549277</v>
      </c>
      <c r="CF233" s="84" t="n">
        <v>34.557732</v>
      </c>
      <c r="CG233" s="80" t="n">
        <v>0.1025</v>
      </c>
      <c r="CH233" s="63" t="n">
        <v>34484.4836700959</v>
      </c>
      <c r="CI233" s="63" t="n">
        <v>9246.52724379353</v>
      </c>
      <c r="CJ233" s="64" t="n">
        <v>554425.7971536</v>
      </c>
      <c r="CK233" s="65" t="n">
        <v>1.66776641549957</v>
      </c>
    </row>
    <row r="234" customFormat="false" ht="15" hidden="false" customHeight="false" outlineLevel="0" collapsed="false">
      <c r="A234" s="7" t="s">
        <v>73</v>
      </c>
      <c r="B234" s="66" t="n">
        <v>232</v>
      </c>
      <c r="C234" s="8" t="s">
        <v>310</v>
      </c>
      <c r="D234" s="67" t="n">
        <v>41883</v>
      </c>
      <c r="E234" s="4" t="s">
        <v>78</v>
      </c>
      <c r="F234" s="7" t="n">
        <v>2057</v>
      </c>
      <c r="G234" s="68" t="n">
        <v>1</v>
      </c>
      <c r="H234" s="68" t="n">
        <v>179</v>
      </c>
      <c r="I234" s="66" t="n">
        <v>1</v>
      </c>
      <c r="J234" s="69" t="n">
        <v>522.557971014493</v>
      </c>
      <c r="K234" s="31" t="n">
        <v>396.622734816217</v>
      </c>
      <c r="L234" s="31" t="n">
        <v>908.09698443913</v>
      </c>
      <c r="M234" s="31" t="n">
        <v>148.078963481839</v>
      </c>
      <c r="N234" s="31" t="n">
        <v>410.837451037105</v>
      </c>
      <c r="O234" s="32"/>
      <c r="P234" s="33" t="n">
        <v>65.5888604036004</v>
      </c>
      <c r="Q234" s="33" t="n">
        <v>13.7092448906003</v>
      </c>
      <c r="R234" s="31" t="n">
        <v>93.703155833179</v>
      </c>
      <c r="S234" s="34" t="s">
        <v>76</v>
      </c>
      <c r="T234" s="35" t="n">
        <v>11.7907945991304</v>
      </c>
      <c r="U234" s="35" t="n">
        <v>1.54037526086957</v>
      </c>
      <c r="V234" s="70" t="n">
        <v>13.33116986</v>
      </c>
      <c r="W234" s="35" t="n">
        <v>12.0886468332042</v>
      </c>
      <c r="X234" s="35" t="n">
        <v>1.96452479351277</v>
      </c>
      <c r="Y234" s="35" t="n">
        <v>5.24837478473676</v>
      </c>
      <c r="Z234" s="35"/>
      <c r="AA234" s="35" t="n">
        <v>0.80651158730457</v>
      </c>
      <c r="AB234" s="35" t="n">
        <v>0.189414222549221</v>
      </c>
      <c r="AC234" s="71" t="n">
        <v>1.29633456206804</v>
      </c>
      <c r="AD234" s="38" t="n">
        <v>3.50553091395827</v>
      </c>
      <c r="AE234" s="38" t="n">
        <v>2.91490156136747</v>
      </c>
      <c r="AF234" s="38" t="n">
        <v>0.756502981571601</v>
      </c>
      <c r="AG234" s="72"/>
      <c r="AH234" s="72"/>
      <c r="AI234" s="73" t="n">
        <v>54.0329631083882</v>
      </c>
      <c r="AJ234" s="42" t="s">
        <v>16</v>
      </c>
      <c r="AK234" s="43" t="n">
        <v>737.042513839947</v>
      </c>
      <c r="AL234" s="43" t="n">
        <v>758.872800108525</v>
      </c>
      <c r="AM234" s="43" t="n">
        <v>614.918078881103</v>
      </c>
      <c r="AN234" s="74"/>
      <c r="AO234" s="75" t="n">
        <v>14.5434782608696</v>
      </c>
      <c r="AP234" s="76" t="n">
        <v>0.536218043478261</v>
      </c>
      <c r="AQ234" s="76" t="n">
        <v>0.460155652173913</v>
      </c>
      <c r="AR234" s="76" t="n">
        <v>0.646800419254658</v>
      </c>
      <c r="AS234" s="77" t="n">
        <v>13.8606619565217</v>
      </c>
      <c r="AT234" s="78" t="n">
        <v>13.5898238160185</v>
      </c>
      <c r="AU234" s="78" t="n">
        <v>36.87</v>
      </c>
      <c r="AV234" s="78" t="n">
        <v>31.64</v>
      </c>
      <c r="AW234" s="78" t="n">
        <v>44.4735714285714</v>
      </c>
      <c r="AX234" s="78" t="n">
        <v>41.6928571428571</v>
      </c>
      <c r="AY234" s="48" t="n">
        <v>1.01940219491124</v>
      </c>
      <c r="AZ234" s="48" t="n">
        <v>15.6785759208847</v>
      </c>
      <c r="BA234" s="48" t="n">
        <v>-2.34740606088465</v>
      </c>
      <c r="BB234" s="49" t="n">
        <f aca="false">AT234/V234</f>
        <v>1.01940219491124</v>
      </c>
      <c r="BC234" s="49" t="n">
        <f aca="false">AS234/V234</f>
        <v>1.03971835195878</v>
      </c>
      <c r="BD234" s="49" t="n">
        <f aca="false">SUM(AP234:AR234)/V234</f>
        <v>0.123258058532219</v>
      </c>
      <c r="BE234" s="50" t="n">
        <v>7.25</v>
      </c>
      <c r="BF234" s="51" t="n">
        <v>120.069303823159</v>
      </c>
      <c r="BG234" s="51" t="n">
        <v>617.055863291205</v>
      </c>
      <c r="BH234" s="51" t="n">
        <v>192.128313398006</v>
      </c>
      <c r="BI234" s="51" t="n">
        <v>148.083487727912</v>
      </c>
      <c r="BJ234" s="51" t="n">
        <v>11.0984826047002</v>
      </c>
      <c r="BK234" s="51" t="n">
        <v>13.8350402248875</v>
      </c>
      <c r="BL234" s="51" t="n">
        <v>12.8236883751794</v>
      </c>
      <c r="BM234" s="51"/>
      <c r="BN234" s="52" t="n">
        <f aca="false">(BG234*0.5-BH234*0.25+BI234*0.5)/SUM(BG234:BI234)*1000</f>
        <v>349.47132301158</v>
      </c>
      <c r="BO234" s="53" t="n">
        <v>5.35677552</v>
      </c>
      <c r="BP234" s="54" t="s">
        <v>77</v>
      </c>
      <c r="BQ234" s="55" t="n">
        <v>376.683556626834</v>
      </c>
      <c r="BR234" s="56" t="n">
        <v>28.2558515556139</v>
      </c>
      <c r="BS234" s="56" t="n">
        <v>41.061043822881</v>
      </c>
      <c r="BT234" s="56" t="n">
        <v>27.7180603462152</v>
      </c>
      <c r="BU234" s="55"/>
      <c r="BV234" s="55"/>
      <c r="BW234" s="55"/>
      <c r="BX234" s="55"/>
      <c r="BY234" s="79" t="n">
        <v>0.0970350404312669</v>
      </c>
      <c r="BZ234" s="80" t="n">
        <v>0.7472243</v>
      </c>
      <c r="CA234" s="81" t="n">
        <v>3.67</v>
      </c>
      <c r="CB234" s="81" t="n">
        <v>0.167</v>
      </c>
      <c r="CC234" s="82" t="n">
        <v>5.317732</v>
      </c>
      <c r="CD234" s="82" t="n">
        <v>5.521335</v>
      </c>
      <c r="CE234" s="83" t="n">
        <v>82.009707</v>
      </c>
      <c r="CF234" s="84" t="n">
        <v>30.134652</v>
      </c>
      <c r="CG234" s="80" t="n">
        <v>0.197</v>
      </c>
      <c r="CH234" s="63" t="n">
        <v>38208.1999768021</v>
      </c>
      <c r="CI234" s="63" t="n">
        <v>10579.9135258272</v>
      </c>
      <c r="CJ234" s="64" t="n">
        <v>794902.871274009</v>
      </c>
      <c r="CK234" s="65" t="n">
        <v>1.33096934331996</v>
      </c>
    </row>
    <row r="235" customFormat="false" ht="15" hidden="false" customHeight="false" outlineLevel="0" collapsed="false">
      <c r="A235" s="7" t="s">
        <v>73</v>
      </c>
      <c r="B235" s="66" t="n">
        <v>233</v>
      </c>
      <c r="C235" s="8" t="s">
        <v>311</v>
      </c>
      <c r="D235" s="67" t="n">
        <v>41883</v>
      </c>
      <c r="E235" s="4" t="s">
        <v>78</v>
      </c>
      <c r="F235" s="7" t="n">
        <v>2064</v>
      </c>
      <c r="G235" s="68" t="n">
        <v>1</v>
      </c>
      <c r="H235" s="68" t="n">
        <v>178</v>
      </c>
      <c r="I235" s="66" t="n">
        <v>1</v>
      </c>
      <c r="J235" s="69" t="n">
        <v>574.309523809524</v>
      </c>
      <c r="K235" s="31" t="n">
        <v>396.622734816217</v>
      </c>
      <c r="L235" s="31" t="n">
        <v>908.09698443913</v>
      </c>
      <c r="M235" s="31" t="n">
        <v>148.078963481839</v>
      </c>
      <c r="N235" s="31" t="n">
        <v>410.837451037105</v>
      </c>
      <c r="O235" s="32"/>
      <c r="P235" s="33" t="n">
        <v>65.5888604036004</v>
      </c>
      <c r="Q235" s="33" t="n">
        <v>13.7092448906003</v>
      </c>
      <c r="R235" s="31" t="n">
        <v>93.703155833179</v>
      </c>
      <c r="S235" s="34" t="s">
        <v>76</v>
      </c>
      <c r="T235" s="35" t="n">
        <v>11.6374367028571</v>
      </c>
      <c r="U235" s="35" t="n">
        <v>2.61972285714286</v>
      </c>
      <c r="V235" s="70" t="n">
        <v>14.25715956</v>
      </c>
      <c r="W235" s="35" t="n">
        <v>12.91949315393</v>
      </c>
      <c r="X235" s="35" t="n">
        <v>2.09830922045417</v>
      </c>
      <c r="Y235" s="35" t="n">
        <v>5.46532947762191</v>
      </c>
      <c r="Z235" s="35"/>
      <c r="AA235" s="35" t="n">
        <v>0.820979020393348</v>
      </c>
      <c r="AB235" s="35" t="n">
        <v>0.205743053198336</v>
      </c>
      <c r="AC235" s="71" t="n">
        <v>1.42204550385298</v>
      </c>
      <c r="AD235" s="38" t="n">
        <v>3.97208936849776</v>
      </c>
      <c r="AE235" s="38" t="n">
        <v>3.33610749644498</v>
      </c>
      <c r="AF235" s="38" t="n">
        <v>0.93816378748719</v>
      </c>
      <c r="AG235" s="72"/>
      <c r="AH235" s="72"/>
      <c r="AI235" s="73" t="n">
        <v>51.7971863448147</v>
      </c>
      <c r="AJ235" s="42" t="s">
        <v>16</v>
      </c>
      <c r="AK235" s="43" t="n">
        <v>721.396863675294</v>
      </c>
      <c r="AL235" s="43" t="n">
        <v>741.777215507084</v>
      </c>
      <c r="AM235" s="43" t="n">
        <v>552.895360539792</v>
      </c>
      <c r="AN235" s="74"/>
      <c r="AO235" s="75" t="n">
        <v>24.5</v>
      </c>
      <c r="AP235" s="76" t="n">
        <v>0.92855</v>
      </c>
      <c r="AQ235" s="76" t="n">
        <v>0.7693</v>
      </c>
      <c r="AR235" s="76" t="n">
        <v>1.0976</v>
      </c>
      <c r="AS235" s="77" t="n">
        <v>23.72825</v>
      </c>
      <c r="AT235" s="78" t="n">
        <v>23.1980824840764</v>
      </c>
      <c r="AU235" s="78" t="n">
        <v>37.9</v>
      </c>
      <c r="AV235" s="78" t="n">
        <v>31.4</v>
      </c>
      <c r="AW235" s="78" t="n">
        <v>44.8</v>
      </c>
      <c r="AX235" s="78" t="n">
        <v>43</v>
      </c>
      <c r="AY235" s="48" t="n">
        <v>1.62711810767421</v>
      </c>
      <c r="AZ235" s="48" t="n">
        <v>20.1075403097852</v>
      </c>
      <c r="BA235" s="48" t="n">
        <v>-5.85038074978522</v>
      </c>
      <c r="BB235" s="49" t="n">
        <f aca="false">AT235/V235</f>
        <v>1.62711810767421</v>
      </c>
      <c r="BC235" s="49" t="n">
        <f aca="false">AS235/V235</f>
        <v>1.66430416242041</v>
      </c>
      <c r="BD235" s="49" t="n">
        <f aca="false">SUM(AP235:AR235)/V235</f>
        <v>0.196073417586132</v>
      </c>
      <c r="BE235" s="50" t="n">
        <v>7.34</v>
      </c>
      <c r="BF235" s="51" t="n">
        <v>90.7768192402071</v>
      </c>
      <c r="BG235" s="51" t="n">
        <v>570.826027183277</v>
      </c>
      <c r="BH235" s="51" t="n">
        <v>217.194977446741</v>
      </c>
      <c r="BI235" s="51" t="n">
        <v>161.369031353946</v>
      </c>
      <c r="BJ235" s="51" t="n">
        <v>10.0732665298881</v>
      </c>
      <c r="BK235" s="51" t="n">
        <v>19.2205803706459</v>
      </c>
      <c r="BL235" s="51" t="n">
        <v>16.340992737393</v>
      </c>
      <c r="BM235" s="51"/>
      <c r="BN235" s="52" t="n">
        <f aca="false">(BG235*0.5-BH235*0.25+BI235*0.5)/SUM(BG235:BI235)*1000</f>
        <v>328.420115115041</v>
      </c>
      <c r="BO235" s="53" t="n">
        <v>8.3361613</v>
      </c>
      <c r="BP235" s="54" t="s">
        <v>77</v>
      </c>
      <c r="BQ235" s="55" t="n">
        <v>377.14336940942</v>
      </c>
      <c r="BR235" s="56" t="n">
        <v>26.452910751419</v>
      </c>
      <c r="BS235" s="56" t="n">
        <v>39.3538758523042</v>
      </c>
      <c r="BT235" s="56" t="n">
        <v>16.257523425408</v>
      </c>
      <c r="BU235" s="55"/>
      <c r="BV235" s="55"/>
      <c r="BW235" s="55"/>
      <c r="BX235" s="55"/>
      <c r="BY235" s="79" t="n">
        <v>0.11644204851752</v>
      </c>
      <c r="BZ235" s="80" t="n">
        <v>0.8221716</v>
      </c>
      <c r="CA235" s="81" t="n">
        <v>3.53</v>
      </c>
      <c r="CB235" s="81" t="n">
        <v>0.03</v>
      </c>
      <c r="CC235" s="82" t="n">
        <v>5.328158</v>
      </c>
      <c r="CD235" s="82" t="n">
        <v>8.228655</v>
      </c>
      <c r="CE235" s="83" t="n">
        <v>85.654711</v>
      </c>
      <c r="CF235" s="84" t="n">
        <v>35.655876</v>
      </c>
      <c r="CG235" s="80" t="n">
        <v>0.134</v>
      </c>
      <c r="CH235" s="63" t="n">
        <v>44270.6951755257</v>
      </c>
      <c r="CI235" s="63" t="n">
        <v>5597.18283483621</v>
      </c>
      <c r="CJ235" s="64" t="n">
        <v>463443.81953084</v>
      </c>
      <c r="CK235" s="65" t="n">
        <v>1.20773707598527</v>
      </c>
    </row>
    <row r="236" customFormat="false" ht="15" hidden="false" customHeight="false" outlineLevel="0" collapsed="false">
      <c r="A236" s="7" t="s">
        <v>73</v>
      </c>
      <c r="B236" s="66" t="n">
        <v>234</v>
      </c>
      <c r="C236" s="8" t="s">
        <v>312</v>
      </c>
      <c r="D236" s="67" t="n">
        <v>41883</v>
      </c>
      <c r="E236" s="4" t="s">
        <v>78</v>
      </c>
      <c r="F236" s="7" t="n">
        <v>2063</v>
      </c>
      <c r="G236" s="68" t="n">
        <v>1</v>
      </c>
      <c r="H236" s="68" t="n">
        <v>176</v>
      </c>
      <c r="I236" s="66" t="n">
        <v>1</v>
      </c>
      <c r="J236" s="69" t="n">
        <v>548.87962962963</v>
      </c>
      <c r="K236" s="31" t="n">
        <v>396.622734816217</v>
      </c>
      <c r="L236" s="31" t="n">
        <v>908.09698443913</v>
      </c>
      <c r="M236" s="31" t="n">
        <v>148.078963481839</v>
      </c>
      <c r="N236" s="31" t="n">
        <v>410.837451037105</v>
      </c>
      <c r="O236" s="32"/>
      <c r="P236" s="33" t="n">
        <v>65.5888604036004</v>
      </c>
      <c r="Q236" s="33" t="n">
        <v>13.7092448906003</v>
      </c>
      <c r="R236" s="31" t="n">
        <v>93.703155833179</v>
      </c>
      <c r="S236" s="34" t="s">
        <v>76</v>
      </c>
      <c r="T236" s="35" t="n">
        <v>15.9133299966667</v>
      </c>
      <c r="U236" s="35" t="n">
        <v>4.27392433333333</v>
      </c>
      <c r="V236" s="70" t="n">
        <v>20.18725433</v>
      </c>
      <c r="W236" s="35" t="n">
        <v>18.3619398428159</v>
      </c>
      <c r="X236" s="35" t="n">
        <v>3.08659719729338</v>
      </c>
      <c r="Y236" s="35" t="n">
        <v>7.53695100053709</v>
      </c>
      <c r="Z236" s="35"/>
      <c r="AA236" s="35" t="n">
        <v>1.18326333995144</v>
      </c>
      <c r="AB236" s="35" t="n">
        <v>0.257229883748079</v>
      </c>
      <c r="AC236" s="71" t="n">
        <v>2.24027796596651</v>
      </c>
      <c r="AD236" s="38" t="n">
        <v>6.50402918801117</v>
      </c>
      <c r="AE236" s="38" t="n">
        <v>5.58327969691181</v>
      </c>
      <c r="AF236" s="38" t="n">
        <v>1.34283223038401</v>
      </c>
      <c r="AG236" s="72"/>
      <c r="AH236" s="72"/>
      <c r="AI236" s="73" t="n">
        <v>39.549312635655</v>
      </c>
      <c r="AJ236" s="42" t="s">
        <v>16</v>
      </c>
      <c r="AK236" s="43" t="n">
        <v>677.815066789661</v>
      </c>
      <c r="AL236" s="43" t="n">
        <v>695.931925237395</v>
      </c>
      <c r="AM236" s="43" t="n">
        <v>564.947369367945</v>
      </c>
      <c r="AN236" s="74"/>
      <c r="AO236" s="75" t="n">
        <v>18.3185185185185</v>
      </c>
      <c r="AP236" s="76" t="n">
        <v>0.677712327441077</v>
      </c>
      <c r="AQ236" s="76" t="n">
        <v>0.605260505050505</v>
      </c>
      <c r="AR236" s="76" t="n">
        <v>0.835386893939394</v>
      </c>
      <c r="AS236" s="77" t="n">
        <v>17.4930923190236</v>
      </c>
      <c r="AT236" s="78" t="n">
        <v>17.4522862809893</v>
      </c>
      <c r="AU236" s="78" t="n">
        <v>36.9960227272727</v>
      </c>
      <c r="AV236" s="78" t="n">
        <v>33.0409090909091</v>
      </c>
      <c r="AW236" s="78" t="n">
        <v>45.6034090909091</v>
      </c>
      <c r="AX236" s="78" t="n">
        <v>42.8238636363636</v>
      </c>
      <c r="AY236" s="48" t="n">
        <v>0.864520057839351</v>
      </c>
      <c r="AZ236" s="48" t="n">
        <v>17.4152186940468</v>
      </c>
      <c r="BA236" s="48" t="n">
        <v>2.77203563595315</v>
      </c>
      <c r="BB236" s="49" t="n">
        <f aca="false">AT236/V236</f>
        <v>0.864520057839351</v>
      </c>
      <c r="BC236" s="49" t="n">
        <f aca="false">AS236/V236</f>
        <v>0.866541434167564</v>
      </c>
      <c r="BD236" s="49" t="n">
        <f aca="false">SUM(AP236:AR236)/V236</f>
        <v>0.10493550493803</v>
      </c>
      <c r="BE236" s="50" t="n">
        <v>6.92</v>
      </c>
      <c r="BF236" s="51" t="n">
        <v>145.939769711875</v>
      </c>
      <c r="BG236" s="51" t="n">
        <v>530.969604405923</v>
      </c>
      <c r="BH236" s="51" t="n">
        <v>230.69473172833</v>
      </c>
      <c r="BI236" s="51" t="n">
        <v>190.930329844223</v>
      </c>
      <c r="BJ236" s="51" t="n">
        <v>8.68631846978682</v>
      </c>
      <c r="BK236" s="51" t="n">
        <v>19.6802057166594</v>
      </c>
      <c r="BL236" s="51" t="n">
        <v>14.063685456968</v>
      </c>
      <c r="BM236" s="51"/>
      <c r="BN236" s="52" t="n">
        <f aca="false">(BG236*0.5-BH236*0.25+BI236*0.5)/SUM(BG236:BI236)*1000</f>
        <v>318.368656706128</v>
      </c>
      <c r="BO236" s="53" t="n">
        <v>6.934174</v>
      </c>
      <c r="BP236" s="54" t="s">
        <v>77</v>
      </c>
      <c r="BQ236" s="55" t="n">
        <v>331.138093892614</v>
      </c>
      <c r="BR236" s="56" t="n">
        <v>16.4033250128777</v>
      </c>
      <c r="BS236" s="56" t="n">
        <v>25.9133657294072</v>
      </c>
      <c r="BT236" s="56" t="n">
        <v>18.9739091234895</v>
      </c>
      <c r="BU236" s="55"/>
      <c r="BV236" s="55"/>
      <c r="BW236" s="55"/>
      <c r="BX236" s="55"/>
      <c r="BY236" s="79" t="n">
        <v>0.0970350404312669</v>
      </c>
      <c r="BZ236" s="80" t="n">
        <v>0.734643</v>
      </c>
      <c r="CA236" s="81" t="n">
        <v>3.42</v>
      </c>
      <c r="CB236" s="81" t="n">
        <v>0.686</v>
      </c>
      <c r="CC236" s="82" t="n">
        <v>5.276028</v>
      </c>
      <c r="CD236" s="82" t="n">
        <v>7.496448</v>
      </c>
      <c r="CE236" s="83" t="n">
        <v>84.156042</v>
      </c>
      <c r="CF236" s="84" t="n">
        <v>35.574532</v>
      </c>
      <c r="CG236" s="80" t="n">
        <v>0.1235</v>
      </c>
      <c r="CH236" s="63" t="n">
        <v>14630.9702819562</v>
      </c>
      <c r="CI236" s="63" t="n">
        <v>7170.16185253986</v>
      </c>
      <c r="CJ236" s="64" t="n">
        <v>848326.844102982</v>
      </c>
      <c r="CK236" s="65" t="n">
        <v>0.845212184711845</v>
      </c>
    </row>
    <row r="237" customFormat="false" ht="15" hidden="false" customHeight="false" outlineLevel="0" collapsed="false">
      <c r="A237" s="7" t="s">
        <v>73</v>
      </c>
      <c r="B237" s="66" t="n">
        <v>235</v>
      </c>
      <c r="C237" s="8" t="s">
        <v>313</v>
      </c>
      <c r="D237" s="67" t="n">
        <v>41883</v>
      </c>
      <c r="E237" s="4" t="s">
        <v>78</v>
      </c>
      <c r="F237" s="7" t="n">
        <v>995</v>
      </c>
      <c r="G237" s="68" t="n">
        <v>1</v>
      </c>
      <c r="H237" s="68" t="n">
        <v>166</v>
      </c>
      <c r="I237" s="66" t="n">
        <v>2</v>
      </c>
      <c r="J237" s="69" t="n">
        <v>678.232142857143</v>
      </c>
      <c r="K237" s="31" t="n">
        <v>396.622734816217</v>
      </c>
      <c r="L237" s="31" t="n">
        <v>908.09698443913</v>
      </c>
      <c r="M237" s="31" t="n">
        <v>148.078963481839</v>
      </c>
      <c r="N237" s="31" t="n">
        <v>410.837451037105</v>
      </c>
      <c r="O237" s="32"/>
      <c r="P237" s="33" t="n">
        <v>65.5888604036004</v>
      </c>
      <c r="Q237" s="33" t="n">
        <v>13.7092448906003</v>
      </c>
      <c r="R237" s="31" t="n">
        <v>93.703155833179</v>
      </c>
      <c r="S237" s="34" t="s">
        <v>76</v>
      </c>
      <c r="T237" s="35" t="n">
        <v>14.4457419914286</v>
      </c>
      <c r="U237" s="35" t="n">
        <v>3.62091217857143</v>
      </c>
      <c r="V237" s="70" t="n">
        <v>18.06665417</v>
      </c>
      <c r="W237" s="35" t="n">
        <v>16.4277134091508</v>
      </c>
      <c r="X237" s="35" t="n">
        <v>2.75147328313695</v>
      </c>
      <c r="Y237" s="35" t="n">
        <v>6.78753077634429</v>
      </c>
      <c r="Z237" s="35"/>
      <c r="AA237" s="35" t="n">
        <v>1.06329166720119</v>
      </c>
      <c r="AB237" s="35" t="n">
        <v>0.233056834722667</v>
      </c>
      <c r="AC237" s="71" t="n">
        <v>1.9773111163922</v>
      </c>
      <c r="AD237" s="38" t="n">
        <v>5.48433761592439</v>
      </c>
      <c r="AE237" s="38" t="n">
        <v>4.69704257191706</v>
      </c>
      <c r="AF237" s="38" t="n">
        <v>1.21264851643624</v>
      </c>
      <c r="AG237" s="72"/>
      <c r="AH237" s="72"/>
      <c r="AI237" s="73" t="n">
        <v>42.4949831764479</v>
      </c>
      <c r="AJ237" s="42" t="s">
        <v>16</v>
      </c>
      <c r="AK237" s="43" t="n">
        <v>696.438667374769</v>
      </c>
      <c r="AL237" s="43" t="n">
        <v>714.078127921282</v>
      </c>
      <c r="AM237" s="43" t="n">
        <v>559.273017888909</v>
      </c>
      <c r="AN237" s="74"/>
      <c r="AO237" s="75" t="n">
        <v>18.5892857142857</v>
      </c>
      <c r="AP237" s="76" t="n">
        <v>0.582079808519794</v>
      </c>
      <c r="AQ237" s="76" t="n">
        <v>0.556043610154905</v>
      </c>
      <c r="AR237" s="76" t="n">
        <v>0.837413726333907</v>
      </c>
      <c r="AS237" s="77" t="n">
        <v>16.1669114135112</v>
      </c>
      <c r="AT237" s="78" t="n">
        <v>15.918959643282</v>
      </c>
      <c r="AU237" s="78" t="n">
        <v>31.3126506024096</v>
      </c>
      <c r="AV237" s="78" t="n">
        <v>29.9120481927711</v>
      </c>
      <c r="AW237" s="78" t="n">
        <v>45.0481927710843</v>
      </c>
      <c r="AX237" s="78" t="n">
        <v>34.078313253012</v>
      </c>
      <c r="AY237" s="48" t="n">
        <v>0.881123836959013</v>
      </c>
      <c r="AZ237" s="48" t="n">
        <v>18.7807713441926</v>
      </c>
      <c r="BA237" s="48" t="n">
        <v>-0.714117174192566</v>
      </c>
      <c r="BB237" s="49" t="n">
        <f aca="false">AT237/V237</f>
        <v>0.881123836959013</v>
      </c>
      <c r="BC237" s="49" t="n">
        <f aca="false">AS237/V237</f>
        <v>0.894848114176926</v>
      </c>
      <c r="BD237" s="49" t="n">
        <f aca="false">SUM(AP237:AR237)/V237</f>
        <v>0.109347150082112</v>
      </c>
      <c r="BE237" s="50"/>
      <c r="BF237" s="51" t="n">
        <v>69.8793443359101</v>
      </c>
      <c r="BG237" s="51" t="n">
        <v>563.089438941537</v>
      </c>
      <c r="BH237" s="51" t="n">
        <v>184.055395758848</v>
      </c>
      <c r="BI237" s="51" t="n">
        <v>201.649587397249</v>
      </c>
      <c r="BJ237" s="51" t="n">
        <v>11.6466445448495</v>
      </c>
      <c r="BK237" s="51" t="n">
        <v>17.5772302990792</v>
      </c>
      <c r="BL237" s="51" t="n">
        <v>17.0065786803281</v>
      </c>
      <c r="BM237" s="51"/>
      <c r="BN237" s="52" t="n">
        <f aca="false">(BG237*0.5-BH237*0.25+BI237*0.5)/SUM(BG237:BI237)*1000</f>
        <v>354.508475593745</v>
      </c>
      <c r="BO237" s="53" t="n">
        <v>2.491491</v>
      </c>
      <c r="BP237" s="54" t="s">
        <v>77</v>
      </c>
      <c r="BQ237" s="55" t="n">
        <v>320.505890740541</v>
      </c>
      <c r="BR237" s="56" t="n">
        <v>17.7401907251176</v>
      </c>
      <c r="BS237" s="56" t="n">
        <v>27.322042804512</v>
      </c>
      <c r="BT237" s="56" t="n">
        <v>20.1335952802543</v>
      </c>
      <c r="BU237" s="55"/>
      <c r="BV237" s="55"/>
      <c r="BW237" s="55"/>
      <c r="BX237" s="55"/>
      <c r="BY237" s="79" t="n">
        <v>0.0776280323450135</v>
      </c>
      <c r="BZ237" s="80" t="n">
        <v>0.5149612</v>
      </c>
      <c r="CA237" s="81" t="n">
        <v>3.42</v>
      </c>
      <c r="CB237" s="81" t="n">
        <v>0.543</v>
      </c>
      <c r="CC237" s="82" t="n">
        <v>4.181298</v>
      </c>
      <c r="CD237" s="82" t="n">
        <v>7.15188</v>
      </c>
      <c r="CE237" s="83" t="n">
        <v>83.402942</v>
      </c>
      <c r="CF237" s="84" t="n">
        <v>33.75446</v>
      </c>
      <c r="CG237" s="80" t="n">
        <v>0.113</v>
      </c>
      <c r="CH237" s="63" t="n">
        <v>39167.0014256257</v>
      </c>
      <c r="CI237" s="63" t="n">
        <v>4056.88610351458</v>
      </c>
      <c r="CJ237" s="64" t="n">
        <v>229835.086713739</v>
      </c>
      <c r="CK237" s="65" t="n">
        <v>1.76512914608528</v>
      </c>
    </row>
    <row r="238" customFormat="false" ht="15" hidden="false" customHeight="false" outlineLevel="0" collapsed="false">
      <c r="A238" s="7" t="s">
        <v>73</v>
      </c>
      <c r="B238" s="66" t="n">
        <v>236</v>
      </c>
      <c r="C238" s="8" t="s">
        <v>314</v>
      </c>
      <c r="D238" s="67" t="n">
        <v>41883</v>
      </c>
      <c r="E238" s="4" t="s">
        <v>78</v>
      </c>
      <c r="F238" s="7" t="n">
        <v>2052</v>
      </c>
      <c r="G238" s="68" t="n">
        <v>1</v>
      </c>
      <c r="H238" s="68" t="n">
        <v>166</v>
      </c>
      <c r="I238" s="66" t="n">
        <v>1</v>
      </c>
      <c r="J238" s="69" t="n">
        <v>556.454861111111</v>
      </c>
      <c r="K238" s="31" t="n">
        <v>396.622734816217</v>
      </c>
      <c r="L238" s="31" t="n">
        <v>908.09698443913</v>
      </c>
      <c r="M238" s="31" t="n">
        <v>148.078963481839</v>
      </c>
      <c r="N238" s="31" t="n">
        <v>410.837451037105</v>
      </c>
      <c r="O238" s="32"/>
      <c r="P238" s="33" t="n">
        <v>65.5888604036004</v>
      </c>
      <c r="Q238" s="33" t="n">
        <v>13.7092448906003</v>
      </c>
      <c r="R238" s="31" t="n">
        <v>93.703155833179</v>
      </c>
      <c r="S238" s="34" t="s">
        <v>76</v>
      </c>
      <c r="T238" s="35" t="n">
        <v>13.92115504</v>
      </c>
      <c r="U238" s="35" t="n">
        <v>3.030943</v>
      </c>
      <c r="V238" s="70" t="n">
        <v>16.95209804</v>
      </c>
      <c r="W238" s="35" t="n">
        <v>15.4012416284201</v>
      </c>
      <c r="X238" s="35" t="n">
        <v>2.55681690778608</v>
      </c>
      <c r="Y238" s="35" t="n">
        <v>6.45011236254215</v>
      </c>
      <c r="Z238" s="35"/>
      <c r="AA238" s="35" t="n">
        <v>1.00341277131585</v>
      </c>
      <c r="AB238" s="35" t="n">
        <v>0.225439101690601</v>
      </c>
      <c r="AC238" s="71" t="n">
        <v>1.79626044079548</v>
      </c>
      <c r="AD238" s="38" t="n">
        <v>3.0187616946287</v>
      </c>
      <c r="AE238" s="38" t="n">
        <v>2.44640278579793</v>
      </c>
      <c r="AF238" s="38" t="n">
        <v>0.619171212045109</v>
      </c>
      <c r="AG238" s="72"/>
      <c r="AH238" s="72"/>
      <c r="AI238" s="73" t="n">
        <v>74.6793303001448</v>
      </c>
      <c r="AJ238" s="42" t="s">
        <v>16</v>
      </c>
      <c r="AK238" s="43" t="n">
        <v>821.92400683941</v>
      </c>
      <c r="AL238" s="43" t="n">
        <v>841.155483121338</v>
      </c>
      <c r="AM238" s="43" t="n">
        <v>757.835138621153</v>
      </c>
      <c r="AN238" s="74"/>
      <c r="AO238" s="75" t="n">
        <v>16.7958333333333</v>
      </c>
      <c r="AP238" s="76" t="n">
        <v>0.711867580845771</v>
      </c>
      <c r="AQ238" s="76" t="n">
        <v>0.557721940298507</v>
      </c>
      <c r="AR238" s="76" t="n">
        <v>0.772357649253731</v>
      </c>
      <c r="AS238" s="77" t="n">
        <v>17.3963470460199</v>
      </c>
      <c r="AT238" s="78" t="n">
        <v>17.1604676975394</v>
      </c>
      <c r="AU238" s="78" t="n">
        <v>42.3835820895522</v>
      </c>
      <c r="AV238" s="78" t="n">
        <v>33.2059701492537</v>
      </c>
      <c r="AW238" s="78" t="n">
        <v>45.9850746268657</v>
      </c>
      <c r="AX238" s="78" t="n">
        <v>47.5671641791045</v>
      </c>
      <c r="AY238" s="48" t="n">
        <v>1.01229167369418</v>
      </c>
      <c r="AZ238" s="48" t="n">
        <v>17.4704147789267</v>
      </c>
      <c r="BA238" s="48" t="n">
        <v>-0.518316738926661</v>
      </c>
      <c r="BB238" s="49" t="n">
        <f aca="false">AT238/V238</f>
        <v>1.01229167369418</v>
      </c>
      <c r="BC238" s="49" t="n">
        <f aca="false">AS238/V238</f>
        <v>1.0262061371384</v>
      </c>
      <c r="BD238" s="49" t="n">
        <f aca="false">SUM(AP238:AR238)/V238</f>
        <v>0.120453950040865</v>
      </c>
      <c r="BE238" s="50" t="n">
        <v>7.3</v>
      </c>
      <c r="BF238" s="51" t="n">
        <v>112.949188901455</v>
      </c>
      <c r="BG238" s="51" t="n">
        <v>502.805957071843</v>
      </c>
      <c r="BH238" s="51" t="n">
        <v>236.474944501723</v>
      </c>
      <c r="BI238" s="51" t="n">
        <v>202.313190732607</v>
      </c>
      <c r="BJ238" s="51" t="n">
        <v>12.1103700351572</v>
      </c>
      <c r="BK238" s="51" t="n">
        <v>23.4825319387938</v>
      </c>
      <c r="BL238" s="51" t="n">
        <v>17.8378813417658</v>
      </c>
      <c r="BM238" s="51"/>
      <c r="BN238" s="52" t="n">
        <f aca="false">(BG238*0.5-BH238*0.25+BI238*0.5)/SUM(BG238:BI238)*1000</f>
        <v>311.642607121815</v>
      </c>
      <c r="BO238" s="53" t="n">
        <v>8.53521974</v>
      </c>
      <c r="BP238" s="54" t="s">
        <v>77</v>
      </c>
      <c r="BQ238" s="55" t="n">
        <v>370.971554101636</v>
      </c>
      <c r="BR238" s="56" t="n">
        <v>21.8835186787084</v>
      </c>
      <c r="BS238" s="56" t="n">
        <v>28.6357521392793</v>
      </c>
      <c r="BT238" s="56" t="n">
        <v>21.6177997383387</v>
      </c>
      <c r="BU238" s="55"/>
      <c r="BV238" s="55"/>
      <c r="BW238" s="55"/>
      <c r="BX238" s="55"/>
      <c r="BY238" s="79" t="n">
        <v>0.0970350404312669</v>
      </c>
      <c r="BZ238" s="80" t="n">
        <v>0.6777214</v>
      </c>
      <c r="CA238" s="81" t="n">
        <v>3.05</v>
      </c>
      <c r="CB238" s="81" t="n">
        <v>0.392</v>
      </c>
      <c r="CC238" s="82" t="n">
        <v>5.484548</v>
      </c>
      <c r="CD238" s="82" t="n">
        <v>7.385694</v>
      </c>
      <c r="CE238" s="83" t="n">
        <v>91.235182</v>
      </c>
      <c r="CF238" s="84" t="n">
        <v>36.998052</v>
      </c>
      <c r="CG238" s="80" t="n">
        <v>0.092</v>
      </c>
      <c r="CH238" s="63" t="n">
        <v>102873.732306573</v>
      </c>
      <c r="CI238" s="63" t="n">
        <v>4697.82266125933</v>
      </c>
      <c r="CJ238" s="64" t="n">
        <v>450407.821411143</v>
      </c>
      <c r="CK238" s="65" t="n">
        <v>1.04301533808647</v>
      </c>
    </row>
    <row r="239" customFormat="false" ht="15" hidden="false" customHeight="false" outlineLevel="0" collapsed="false">
      <c r="A239" s="7" t="s">
        <v>73</v>
      </c>
      <c r="B239" s="66" t="n">
        <v>237</v>
      </c>
      <c r="C239" s="8" t="s">
        <v>315</v>
      </c>
      <c r="D239" s="67" t="n">
        <v>41883</v>
      </c>
      <c r="E239" s="4" t="s">
        <v>78</v>
      </c>
      <c r="F239" s="7" t="n">
        <v>977</v>
      </c>
      <c r="G239" s="68" t="n">
        <v>1</v>
      </c>
      <c r="H239" s="68" t="n">
        <v>163</v>
      </c>
      <c r="I239" s="66" t="n">
        <v>2</v>
      </c>
      <c r="J239" s="69" t="n">
        <v>680.228</v>
      </c>
      <c r="K239" s="31" t="n">
        <v>396.622734816217</v>
      </c>
      <c r="L239" s="31" t="n">
        <v>908.09698443913</v>
      </c>
      <c r="M239" s="31" t="n">
        <v>148.078963481839</v>
      </c>
      <c r="N239" s="31" t="n">
        <v>410.837451037105</v>
      </c>
      <c r="O239" s="32"/>
      <c r="P239" s="33" t="n">
        <v>65.5888604036004</v>
      </c>
      <c r="Q239" s="33" t="n">
        <v>13.7092448906003</v>
      </c>
      <c r="R239" s="31" t="n">
        <v>93.703155833179</v>
      </c>
      <c r="S239" s="34" t="s">
        <v>76</v>
      </c>
      <c r="T239" s="35" t="n">
        <v>16.71650456</v>
      </c>
      <c r="U239" s="35" t="n">
        <v>5.20549908</v>
      </c>
      <c r="V239" s="70" t="n">
        <v>21.92200364</v>
      </c>
      <c r="W239" s="35" t="n">
        <v>19.9492200872176</v>
      </c>
      <c r="X239" s="35" t="n">
        <v>3.37328947900204</v>
      </c>
      <c r="Y239" s="35" t="n">
        <v>8.07618733953395</v>
      </c>
      <c r="Z239" s="35"/>
      <c r="AA239" s="35" t="n">
        <v>1.26965804285548</v>
      </c>
      <c r="AB239" s="35" t="n">
        <v>0.274115359987232</v>
      </c>
      <c r="AC239" s="71" t="n">
        <v>2.49397458672205</v>
      </c>
      <c r="AD239" s="38" t="n">
        <v>6.58675436172799</v>
      </c>
      <c r="AE239" s="38" t="n">
        <v>5.54831489551497</v>
      </c>
      <c r="AF239" s="38" t="n">
        <v>1.36728131783374</v>
      </c>
      <c r="AG239" s="72"/>
      <c r="AH239" s="72"/>
      <c r="AI239" s="73" t="n">
        <v>41.6161503729312</v>
      </c>
      <c r="AJ239" s="42" t="s">
        <v>16</v>
      </c>
      <c r="AK239" s="43" t="n">
        <v>699.536845723834</v>
      </c>
      <c r="AL239" s="43" t="n">
        <v>721.878104945565</v>
      </c>
      <c r="AM239" s="43" t="n">
        <v>594.674181879512</v>
      </c>
      <c r="AN239" s="74"/>
      <c r="AO239" s="75" t="n">
        <v>23.04</v>
      </c>
      <c r="AP239" s="76" t="n">
        <v>0.875547592814371</v>
      </c>
      <c r="AQ239" s="76" t="n">
        <v>0.732699592814371</v>
      </c>
      <c r="AR239" s="76" t="n">
        <v>1.020672</v>
      </c>
      <c r="AS239" s="77" t="n">
        <v>22.3492138922156</v>
      </c>
      <c r="AT239" s="78" t="n">
        <v>21.8546642773561</v>
      </c>
      <c r="AU239" s="78" t="n">
        <v>38.0011976047904</v>
      </c>
      <c r="AV239" s="78" t="n">
        <v>31.8011976047904</v>
      </c>
      <c r="AW239" s="78" t="n">
        <v>44.3</v>
      </c>
      <c r="AX239" s="78" t="n">
        <v>41.4790419161677</v>
      </c>
      <c r="AY239" s="48" t="n">
        <v>0.996928229565613</v>
      </c>
      <c r="AZ239" s="48" t="n">
        <v>21.0873780274412</v>
      </c>
      <c r="BA239" s="48" t="n">
        <v>0.834625612558831</v>
      </c>
      <c r="BB239" s="49" t="n">
        <f aca="false">AT239/V239</f>
        <v>0.996928229565613</v>
      </c>
      <c r="BC239" s="49" t="n">
        <f aca="false">AS239/V239</f>
        <v>1.01948773749111</v>
      </c>
      <c r="BD239" s="49" t="n">
        <f aca="false">SUM(AP239:AR239)/V239</f>
        <v>0.119921482944738</v>
      </c>
      <c r="BE239" s="50" t="n">
        <v>7.26</v>
      </c>
      <c r="BF239" s="51" t="n">
        <v>107.766103330184</v>
      </c>
      <c r="BG239" s="51" t="n">
        <v>586.615275212714</v>
      </c>
      <c r="BH239" s="51" t="n">
        <v>199.934563418293</v>
      </c>
      <c r="BI239" s="51" t="n">
        <v>166.518638654194</v>
      </c>
      <c r="BJ239" s="51" t="n">
        <v>10.7237411025473</v>
      </c>
      <c r="BK239" s="51" t="n">
        <v>15.084546239071</v>
      </c>
      <c r="BL239" s="51" t="n">
        <v>16.148110995071</v>
      </c>
      <c r="BM239" s="51"/>
      <c r="BN239" s="52" t="n">
        <f aca="false">(BG239*0.5-BH239*0.25+BI239*0.5)/SUM(BG239:BI239)*1000</f>
        <v>342.665111544921</v>
      </c>
      <c r="BO239" s="53" t="n">
        <v>4.85538204</v>
      </c>
      <c r="BP239" s="54" t="s">
        <v>77</v>
      </c>
      <c r="BQ239" s="55" t="n">
        <v>320.87158664743</v>
      </c>
      <c r="BR239" s="56" t="n">
        <v>14.6369643905154</v>
      </c>
      <c r="BS239" s="56" t="n">
        <v>22.2813484552559</v>
      </c>
      <c r="BT239" s="56" t="n">
        <v>14.6820643216143</v>
      </c>
      <c r="BU239" s="55"/>
      <c r="BV239" s="55"/>
      <c r="BW239" s="55"/>
      <c r="BX239" s="55"/>
      <c r="BY239" s="79" t="n">
        <v>0.0679245283018868</v>
      </c>
      <c r="BZ239" s="80" t="n">
        <v>0.5574843</v>
      </c>
      <c r="CA239" s="81" t="n">
        <v>3.34</v>
      </c>
      <c r="CB239" s="81" t="n">
        <v>0.161</v>
      </c>
      <c r="CC239" s="82" t="n">
        <v>5.45327</v>
      </c>
      <c r="CD239" s="82" t="n">
        <v>9.61308</v>
      </c>
      <c r="CE239" s="83" t="n">
        <v>81.151173</v>
      </c>
      <c r="CF239" s="84" t="n">
        <v>35.249156</v>
      </c>
      <c r="CG239" s="80" t="n">
        <v>0.932</v>
      </c>
      <c r="CH239" s="63" t="n">
        <v>45340.0469727867</v>
      </c>
      <c r="CI239" s="63" t="n">
        <v>4048.61737640385</v>
      </c>
      <c r="CJ239" s="64" t="n">
        <v>374244.332850655</v>
      </c>
      <c r="CK239" s="65" t="n">
        <v>1.08181127168049</v>
      </c>
    </row>
    <row r="240" customFormat="false" ht="15" hidden="false" customHeight="false" outlineLevel="0" collapsed="false">
      <c r="A240" s="7" t="s">
        <v>73</v>
      </c>
      <c r="B240" s="66" t="n">
        <v>238</v>
      </c>
      <c r="C240" s="8" t="s">
        <v>316</v>
      </c>
      <c r="D240" s="67" t="n">
        <v>41883</v>
      </c>
      <c r="E240" s="4" t="s">
        <v>78</v>
      </c>
      <c r="F240" s="7" t="n">
        <v>985</v>
      </c>
      <c r="G240" s="68" t="n">
        <v>1</v>
      </c>
      <c r="H240" s="68" t="n">
        <v>163</v>
      </c>
      <c r="I240" s="66" t="n">
        <v>2</v>
      </c>
      <c r="J240" s="69" t="n">
        <v>647.210666666667</v>
      </c>
      <c r="K240" s="31" t="n">
        <v>396.622734816217</v>
      </c>
      <c r="L240" s="31" t="n">
        <v>908.09698443913</v>
      </c>
      <c r="M240" s="31" t="n">
        <v>148.078963481839</v>
      </c>
      <c r="N240" s="31" t="n">
        <v>410.837451037105</v>
      </c>
      <c r="O240" s="32"/>
      <c r="P240" s="33" t="n">
        <v>65.5888604036004</v>
      </c>
      <c r="Q240" s="33" t="n">
        <v>13.7092448906003</v>
      </c>
      <c r="R240" s="31" t="n">
        <v>93.703155833179</v>
      </c>
      <c r="S240" s="34" t="s">
        <v>76</v>
      </c>
      <c r="T240" s="35" t="n">
        <v>16.09940088</v>
      </c>
      <c r="U240" s="35" t="n">
        <v>4.35113884</v>
      </c>
      <c r="V240" s="70" t="n">
        <v>20.45053972</v>
      </c>
      <c r="W240" s="35" t="n">
        <v>18.5992360253717</v>
      </c>
      <c r="X240" s="35" t="n">
        <v>3.12364333899555</v>
      </c>
      <c r="Y240" s="35" t="n">
        <v>7.63510919930335</v>
      </c>
      <c r="Z240" s="35"/>
      <c r="AA240" s="35" t="n">
        <v>1.19656869758075</v>
      </c>
      <c r="AB240" s="35" t="n">
        <v>0.26162176861095</v>
      </c>
      <c r="AC240" s="71" t="n">
        <v>2.2647386029392</v>
      </c>
      <c r="AD240" s="38" t="n">
        <v>5.91042044294581</v>
      </c>
      <c r="AE240" s="38" t="n">
        <v>4.96385262560268</v>
      </c>
      <c r="AF240" s="38" t="n">
        <v>1.17262013957263</v>
      </c>
      <c r="AG240" s="72"/>
      <c r="AH240" s="72"/>
      <c r="AI240" s="73" t="n">
        <v>44.2644937253492</v>
      </c>
      <c r="AJ240" s="42" t="s">
        <v>16</v>
      </c>
      <c r="AK240" s="43" t="n">
        <v>710.989513046172</v>
      </c>
      <c r="AL240" s="43" t="n">
        <v>733.115240925415</v>
      </c>
      <c r="AM240" s="43" t="n">
        <v>624.598581747909</v>
      </c>
      <c r="AN240" s="74"/>
      <c r="AO240" s="75" t="n">
        <v>21.776</v>
      </c>
      <c r="AP240" s="76" t="n">
        <v>0.880882259887006</v>
      </c>
      <c r="AQ240" s="76" t="n">
        <v>0.717143963841808</v>
      </c>
      <c r="AR240" s="76" t="n">
        <v>1.04987386214689</v>
      </c>
      <c r="AS240" s="77" t="n">
        <v>21.9236338983051</v>
      </c>
      <c r="AT240" s="78" t="n">
        <v>21.9453348275649</v>
      </c>
      <c r="AU240" s="78" t="n">
        <v>40.4519774011299</v>
      </c>
      <c r="AV240" s="78" t="n">
        <v>32.9327683615819</v>
      </c>
      <c r="AW240" s="78" t="n">
        <v>48.2124293785311</v>
      </c>
      <c r="AX240" s="78" t="n">
        <v>44.8757062146893</v>
      </c>
      <c r="AY240" s="48" t="n">
        <v>1.07309318619611</v>
      </c>
      <c r="AZ240" s="48" t="n">
        <v>20.4603505919992</v>
      </c>
      <c r="BA240" s="48" t="n">
        <v>-0.00981087199919983</v>
      </c>
      <c r="BB240" s="49" t="n">
        <f aca="false">AT240/V240</f>
        <v>1.07309318619611</v>
      </c>
      <c r="BC240" s="49" t="n">
        <f aca="false">AS240/V240</f>
        <v>1.07203204406701</v>
      </c>
      <c r="BD240" s="49" t="n">
        <f aca="false">SUM(AP240:AR240)/V240</f>
        <v>0.129478249578232</v>
      </c>
      <c r="BE240" s="50" t="n">
        <v>7.18</v>
      </c>
      <c r="BF240" s="51" t="n">
        <v>113.950191839857</v>
      </c>
      <c r="BG240" s="51" t="n">
        <v>556.207880443896</v>
      </c>
      <c r="BH240" s="51" t="n">
        <v>213.847654498173</v>
      </c>
      <c r="BI240" s="51" t="n">
        <v>179.770590206074</v>
      </c>
      <c r="BJ240" s="51" t="n">
        <v>9.8304957407738</v>
      </c>
      <c r="BK240" s="51" t="n">
        <v>19.7088036701707</v>
      </c>
      <c r="BL240" s="51" t="n">
        <v>15.6594510628031</v>
      </c>
      <c r="BM240" s="51"/>
      <c r="BN240" s="52" t="n">
        <f aca="false">(BG240*0.5-BH240*0.25+BI240*0.5)/SUM(BG240:BI240)*1000</f>
        <v>331.141998912049</v>
      </c>
      <c r="BO240" s="53" t="n">
        <v>8.1038635</v>
      </c>
      <c r="BP240" s="54" t="s">
        <v>77</v>
      </c>
      <c r="BQ240" s="55" t="n">
        <v>374.356030676784</v>
      </c>
      <c r="BR240" s="56" t="n">
        <v>18.3054352502333</v>
      </c>
      <c r="BS240" s="56" t="n">
        <v>27.4547491406163</v>
      </c>
      <c r="BT240" s="56" t="n">
        <v>17.0585700158271</v>
      </c>
      <c r="BU240" s="55"/>
      <c r="BV240" s="55"/>
      <c r="BW240" s="55"/>
      <c r="BX240" s="55"/>
      <c r="BY240" s="79" t="n">
        <v>0.106738544474394</v>
      </c>
      <c r="BZ240" s="80" t="n">
        <v>0.9862967</v>
      </c>
      <c r="CA240" s="81" t="n">
        <v>3.23</v>
      </c>
      <c r="CB240" s="81" t="n">
        <v>0.14</v>
      </c>
      <c r="CC240" s="82" t="n">
        <v>6.527148</v>
      </c>
      <c r="CD240" s="82" t="n">
        <v>8.13636</v>
      </c>
      <c r="CE240" s="83" t="n">
        <v>92.846816</v>
      </c>
      <c r="CF240" s="84" t="n">
        <v>36.164276</v>
      </c>
      <c r="CG240" s="80" t="n">
        <v>0.113</v>
      </c>
      <c r="CH240" s="63" t="n">
        <v>39261.8833129778</v>
      </c>
      <c r="CI240" s="63" t="n">
        <v>5426.98279665128</v>
      </c>
      <c r="CJ240" s="64" t="n">
        <v>457264.241260728</v>
      </c>
      <c r="CK240" s="65" t="n">
        <v>1.1868373485074</v>
      </c>
    </row>
    <row r="241" customFormat="false" ht="15" hidden="false" customHeight="false" outlineLevel="0" collapsed="false">
      <c r="A241" s="7" t="s">
        <v>73</v>
      </c>
      <c r="B241" s="66" t="n">
        <v>239</v>
      </c>
      <c r="C241" s="8" t="s">
        <v>317</v>
      </c>
      <c r="D241" s="67" t="n">
        <v>41883</v>
      </c>
      <c r="E241" s="4" t="s">
        <v>78</v>
      </c>
      <c r="F241" s="7" t="n">
        <v>2036</v>
      </c>
      <c r="G241" s="68" t="n">
        <v>1</v>
      </c>
      <c r="H241" s="68" t="n">
        <v>157</v>
      </c>
      <c r="I241" s="66" t="n">
        <v>1</v>
      </c>
      <c r="J241" s="69" t="n">
        <v>571.035087719298</v>
      </c>
      <c r="K241" s="31" t="n">
        <v>396.622734816217</v>
      </c>
      <c r="L241" s="31" t="n">
        <v>908.09698443913</v>
      </c>
      <c r="M241" s="31" t="n">
        <v>148.078963481839</v>
      </c>
      <c r="N241" s="31" t="n">
        <v>410.837451037105</v>
      </c>
      <c r="O241" s="32"/>
      <c r="P241" s="33" t="n">
        <v>65.5888604036004</v>
      </c>
      <c r="Q241" s="33" t="n">
        <v>13.7092448906003</v>
      </c>
      <c r="R241" s="31" t="n">
        <v>93.703155833179</v>
      </c>
      <c r="S241" s="34" t="s">
        <v>76</v>
      </c>
      <c r="T241" s="35" t="n">
        <v>20.1218345647368</v>
      </c>
      <c r="U241" s="35" t="n">
        <v>4.97797410526316</v>
      </c>
      <c r="V241" s="70" t="n">
        <v>25.09980867</v>
      </c>
      <c r="W241" s="35" t="n">
        <v>22.8195656096432</v>
      </c>
      <c r="X241" s="35" t="n">
        <v>3.81678136064872</v>
      </c>
      <c r="Y241" s="35" t="n">
        <v>9.4437126040362</v>
      </c>
      <c r="Z241" s="35"/>
      <c r="AA241" s="35" t="n">
        <v>1.47717842331474</v>
      </c>
      <c r="AB241" s="35" t="n">
        <v>0.325439778649646</v>
      </c>
      <c r="AC241" s="71" t="n">
        <v>2.73464969490924</v>
      </c>
      <c r="AD241" s="38" t="n">
        <v>6.30338203213028</v>
      </c>
      <c r="AE241" s="38" t="n">
        <v>5.26650974097399</v>
      </c>
      <c r="AF241" s="38" t="n">
        <v>1.29636275643895</v>
      </c>
      <c r="AG241" s="72"/>
      <c r="AH241" s="72"/>
      <c r="AI241" s="73" t="n">
        <v>51.6293914902793</v>
      </c>
      <c r="AJ241" s="42" t="s">
        <v>16</v>
      </c>
      <c r="AK241" s="43" t="n">
        <v>748.867327436474</v>
      </c>
      <c r="AL241" s="43" t="n">
        <v>769.210780298621</v>
      </c>
      <c r="AM241" s="43" t="n">
        <v>660.351842574862</v>
      </c>
      <c r="AN241" s="74"/>
      <c r="AO241" s="75" t="n">
        <v>21.2052631578947</v>
      </c>
      <c r="AP241" s="76" t="n">
        <v>0.869415789473684</v>
      </c>
      <c r="AQ241" s="76" t="n">
        <v>0.693412105263158</v>
      </c>
      <c r="AR241" s="76" t="n">
        <v>0.96696</v>
      </c>
      <c r="AS241" s="77" t="n">
        <v>21.5233421052632</v>
      </c>
      <c r="AT241" s="78" t="n">
        <v>21.1820589272544</v>
      </c>
      <c r="AU241" s="78" t="n">
        <v>41</v>
      </c>
      <c r="AV241" s="78" t="n">
        <v>32.7</v>
      </c>
      <c r="AW241" s="78" t="n">
        <v>45.6</v>
      </c>
      <c r="AX241" s="78" t="n">
        <v>38</v>
      </c>
      <c r="AY241" s="48" t="n">
        <v>0.843913163074101</v>
      </c>
      <c r="AZ241" s="48" t="n">
        <v>19.1856109079527</v>
      </c>
      <c r="BA241" s="48" t="n">
        <v>5.91419776204735</v>
      </c>
      <c r="BB241" s="49" t="n">
        <f aca="false">AT241/V241</f>
        <v>0.843913163074101</v>
      </c>
      <c r="BC241" s="49" t="n">
        <f aca="false">AS241/V241</f>
        <v>0.857510206083302</v>
      </c>
      <c r="BD241" s="49" t="n">
        <f aca="false">SUM(AP241:AR241)/V241</f>
        <v>0.100789130626343</v>
      </c>
      <c r="BE241" s="50" t="n">
        <v>7.03</v>
      </c>
      <c r="BF241" s="51" t="n">
        <v>124.519452444161</v>
      </c>
      <c r="BG241" s="51" t="n">
        <v>533.389592883334</v>
      </c>
      <c r="BH241" s="51" t="n">
        <v>241.510833822738</v>
      </c>
      <c r="BI241" s="51" t="n">
        <v>177.72505238268</v>
      </c>
      <c r="BJ241" s="51" t="n">
        <v>11.8560987153299</v>
      </c>
      <c r="BK241" s="51" t="n">
        <v>17.2099640807233</v>
      </c>
      <c r="BL241" s="51" t="n">
        <v>13.3333337370853</v>
      </c>
      <c r="BM241" s="51"/>
      <c r="BN241" s="52" t="n">
        <f aca="false">(BG241*0.5-BH241*0.25+BI241*0.5)/SUM(BG241:BI241)*1000</f>
        <v>309.859037635316</v>
      </c>
      <c r="BO241" s="53" t="n">
        <v>12.3277474</v>
      </c>
      <c r="BP241" s="54" t="s">
        <v>77</v>
      </c>
      <c r="BQ241" s="55" t="n">
        <v>385.940195217426</v>
      </c>
      <c r="BR241" s="56" t="n">
        <v>15.3762206035743</v>
      </c>
      <c r="BS241" s="56" t="n">
        <v>21.9870658479643</v>
      </c>
      <c r="BT241" s="56" t="n">
        <v>18.2201454798545</v>
      </c>
      <c r="BU241" s="55"/>
      <c r="BV241" s="55"/>
      <c r="BW241" s="55"/>
      <c r="BX241" s="55"/>
      <c r="BY241" s="79" t="n">
        <v>0.0873315363881402</v>
      </c>
      <c r="BZ241" s="80" t="n">
        <v>0.9843993</v>
      </c>
      <c r="CA241" s="81" t="n">
        <v>3.07</v>
      </c>
      <c r="CB241" s="81" t="n">
        <v>0.594</v>
      </c>
      <c r="CC241" s="82" t="n">
        <v>4.692172</v>
      </c>
      <c r="CD241" s="82" t="n">
        <v>6.653487</v>
      </c>
      <c r="CE241" s="83" t="n">
        <v>81.362041</v>
      </c>
      <c r="CF241" s="84" t="n">
        <v>36.80486</v>
      </c>
      <c r="CG241" s="80" t="n">
        <v>0.1235</v>
      </c>
      <c r="CH241" s="63" t="n">
        <v>38524.2233129885</v>
      </c>
      <c r="CI241" s="63" t="n">
        <v>4268.62269284779</v>
      </c>
      <c r="CJ241" s="64" t="n">
        <v>397561.290959739</v>
      </c>
      <c r="CK241" s="65" t="n">
        <v>1.07370178885954</v>
      </c>
    </row>
    <row r="242" customFormat="false" ht="15" hidden="false" customHeight="false" outlineLevel="0" collapsed="false">
      <c r="A242" s="7" t="s">
        <v>73</v>
      </c>
      <c r="B242" s="66" t="n">
        <v>240</v>
      </c>
      <c r="C242" s="8" t="s">
        <v>318</v>
      </c>
      <c r="D242" s="67" t="n">
        <v>41904</v>
      </c>
      <c r="E242" s="4" t="s">
        <v>78</v>
      </c>
      <c r="F242" s="7" t="n">
        <v>822</v>
      </c>
      <c r="G242" s="68" t="n">
        <v>1</v>
      </c>
      <c r="H242" s="68" t="n">
        <v>135</v>
      </c>
      <c r="I242" s="66" t="n">
        <v>3</v>
      </c>
      <c r="J242" s="69" t="n">
        <v>708.732142857143</v>
      </c>
      <c r="K242" s="31" t="n">
        <v>396.622734816217</v>
      </c>
      <c r="L242" s="31" t="n">
        <v>908.09698443913</v>
      </c>
      <c r="M242" s="31" t="n">
        <v>148.078963481839</v>
      </c>
      <c r="N242" s="31" t="n">
        <v>410.837451037105</v>
      </c>
      <c r="O242" s="32"/>
      <c r="P242" s="33" t="n">
        <v>65.5888604036004</v>
      </c>
      <c r="Q242" s="33" t="n">
        <v>13.7092448906003</v>
      </c>
      <c r="R242" s="31" t="n">
        <v>93.703155833179</v>
      </c>
      <c r="S242" s="34" t="s">
        <v>76</v>
      </c>
      <c r="T242" s="35" t="n">
        <v>22.36372692</v>
      </c>
      <c r="U242" s="35" t="n">
        <v>7.695182</v>
      </c>
      <c r="V242" s="70" t="n">
        <v>30.05890892</v>
      </c>
      <c r="W242" s="35" t="n">
        <v>27.347195444778</v>
      </c>
      <c r="X242" s="35" t="n">
        <v>4.62128005630496</v>
      </c>
      <c r="Y242" s="35" t="n">
        <v>10.9917702926326</v>
      </c>
      <c r="Z242" s="35"/>
      <c r="AA242" s="35" t="n">
        <v>1.71611569597883</v>
      </c>
      <c r="AB242" s="35" t="n">
        <v>0.378464272813379</v>
      </c>
      <c r="AC242" s="71" t="n">
        <v>3.43562394318963</v>
      </c>
      <c r="AD242" s="38" t="n">
        <v>9.27389118657802</v>
      </c>
      <c r="AE242" s="38" t="n">
        <v>7.8432902615007</v>
      </c>
      <c r="AF242" s="38" t="n">
        <v>1.89360765854028</v>
      </c>
      <c r="AG242" s="72"/>
      <c r="AH242" s="72"/>
      <c r="AI242" s="73" t="n">
        <v>40.8096520866155</v>
      </c>
      <c r="AJ242" s="42" t="s">
        <v>16</v>
      </c>
      <c r="AK242" s="43" t="n">
        <v>691.476120731463</v>
      </c>
      <c r="AL242" s="43" t="n">
        <v>713.195809152035</v>
      </c>
      <c r="AM242" s="43" t="n">
        <v>590.241743528015</v>
      </c>
      <c r="AN242" s="74"/>
      <c r="AO242" s="75" t="n">
        <v>42.0714285714286</v>
      </c>
      <c r="AP242" s="76" t="n">
        <v>1.4136</v>
      </c>
      <c r="AQ242" s="76" t="n">
        <v>1.32945714285714</v>
      </c>
      <c r="AR242" s="76" t="n">
        <v>1.83010714285714</v>
      </c>
      <c r="AS242" s="77" t="n">
        <v>38.0325714285714</v>
      </c>
      <c r="AT242" s="78" t="n">
        <v>37.4059215195632</v>
      </c>
      <c r="AU242" s="78" t="n">
        <v>33.6</v>
      </c>
      <c r="AV242" s="78" t="n">
        <v>31.6</v>
      </c>
      <c r="AW242" s="78" t="n">
        <v>43.5</v>
      </c>
      <c r="AX242" s="78" t="n">
        <v>37</v>
      </c>
      <c r="AY242" s="48" t="n">
        <v>1.24442046845802</v>
      </c>
      <c r="AZ242" s="48" t="n">
        <v>27.110174783253</v>
      </c>
      <c r="BA242" s="48" t="n">
        <v>2.94873413674699</v>
      </c>
      <c r="BB242" s="49" t="n">
        <f aca="false">AT242/V242</f>
        <v>1.24442046845802</v>
      </c>
      <c r="BC242" s="49" t="n">
        <f aca="false">AS242/V242</f>
        <v>1.26526786217666</v>
      </c>
      <c r="BD242" s="49" t="n">
        <f aca="false">SUM(AP242:AR242)/V242</f>
        <v>0.152140062631198</v>
      </c>
      <c r="BE242" s="50" t="n">
        <v>6.47</v>
      </c>
      <c r="BF242" s="51" t="n">
        <v>167.939544741291</v>
      </c>
      <c r="BG242" s="51" t="n">
        <v>559.474559814475</v>
      </c>
      <c r="BH242" s="51" t="n">
        <v>210.775794082891</v>
      </c>
      <c r="BI242" s="51" t="n">
        <v>173.517914900435</v>
      </c>
      <c r="BJ242" s="51" t="n">
        <v>9.43866924885325</v>
      </c>
      <c r="BK242" s="51" t="n">
        <v>18.735564697301</v>
      </c>
      <c r="BL242" s="51" t="n">
        <v>23.0823728779361</v>
      </c>
      <c r="BM242" s="51"/>
      <c r="BN242" s="52" t="n">
        <f aca="false">(BG242*0.5-BH242*0.25+BI242*0.5)/SUM(BG242:BI242)*1000</f>
        <v>332.499300105165</v>
      </c>
      <c r="BO242" s="53" t="n">
        <v>7.38971426</v>
      </c>
      <c r="BP242" s="54" t="s">
        <v>77</v>
      </c>
      <c r="BQ242" s="55" t="n">
        <v>347.560357160181</v>
      </c>
      <c r="BR242" s="56" t="n">
        <v>11.5626404832322</v>
      </c>
      <c r="BS242" s="56" t="n">
        <v>17.820039314905</v>
      </c>
      <c r="BT242" s="56" t="n">
        <v>9.2915865467559</v>
      </c>
      <c r="BU242" s="55"/>
      <c r="BV242" s="55"/>
      <c r="BW242" s="55"/>
      <c r="BX242" s="55"/>
      <c r="BY242" s="79" t="n">
        <v>0.0485175202156334</v>
      </c>
      <c r="BZ242" s="80" t="n">
        <v>0.5603304</v>
      </c>
      <c r="CA242" s="81" t="n">
        <v>3.11</v>
      </c>
      <c r="CB242" s="81" t="n">
        <v>0.313</v>
      </c>
      <c r="CC242" s="82" t="n">
        <v>4.024908</v>
      </c>
      <c r="CD242" s="82" t="n">
        <v>6.192012</v>
      </c>
      <c r="CE242" s="83" t="n">
        <v>75.894535</v>
      </c>
      <c r="CF242" s="84" t="n">
        <v>35.015292</v>
      </c>
      <c r="CG242" s="80" t="n">
        <v>0.1655</v>
      </c>
      <c r="CH242" s="63" t="n">
        <v>28083.8446645268</v>
      </c>
      <c r="CI242" s="63" t="n">
        <v>5304.37971635668</v>
      </c>
      <c r="CJ242" s="64" t="n">
        <v>597318.644472006</v>
      </c>
      <c r="CK242" s="65" t="n">
        <v>0.88803183450693</v>
      </c>
    </row>
    <row r="243" customFormat="false" ht="15" hidden="false" customHeight="false" outlineLevel="0" collapsed="false">
      <c r="A243" s="7" t="s">
        <v>73</v>
      </c>
      <c r="B243" s="66" t="n">
        <v>241</v>
      </c>
      <c r="C243" s="8" t="s">
        <v>319</v>
      </c>
      <c r="D243" s="67" t="n">
        <v>41883</v>
      </c>
      <c r="E243" s="4" t="s">
        <v>78</v>
      </c>
      <c r="F243" s="7" t="n">
        <v>998</v>
      </c>
      <c r="G243" s="68" t="n">
        <v>1</v>
      </c>
      <c r="H243" s="68" t="n">
        <v>142</v>
      </c>
      <c r="I243" s="66" t="n">
        <v>2</v>
      </c>
      <c r="J243" s="69" t="n">
        <v>566.111111111111</v>
      </c>
      <c r="K243" s="31" t="n">
        <v>396.622734816217</v>
      </c>
      <c r="L243" s="31" t="n">
        <v>908.09698443913</v>
      </c>
      <c r="M243" s="31" t="n">
        <v>148.078963481839</v>
      </c>
      <c r="N243" s="31" t="n">
        <v>410.837451037105</v>
      </c>
      <c r="O243" s="32"/>
      <c r="P243" s="33" t="n">
        <v>65.5888604036004</v>
      </c>
      <c r="Q243" s="33" t="n">
        <v>13.7092448906003</v>
      </c>
      <c r="R243" s="31" t="n">
        <v>93.703155833179</v>
      </c>
      <c r="S243" s="34" t="s">
        <v>76</v>
      </c>
      <c r="T243" s="35" t="n">
        <v>17.42000042</v>
      </c>
      <c r="U243" s="35" t="n">
        <v>5.6242355</v>
      </c>
      <c r="V243" s="70" t="n">
        <v>23.04423592</v>
      </c>
      <c r="W243" s="35" t="n">
        <v>20.9730508125397</v>
      </c>
      <c r="X243" s="35" t="n">
        <v>3.55185336568242</v>
      </c>
      <c r="Y243" s="35" t="n">
        <v>8.46027723714997</v>
      </c>
      <c r="Z243" s="35"/>
      <c r="AA243" s="35" t="n">
        <v>1.33056458196496</v>
      </c>
      <c r="AB243" s="35" t="n">
        <v>0.28671202419202</v>
      </c>
      <c r="AC243" s="71" t="n">
        <v>2.63831305541317</v>
      </c>
      <c r="AD243" s="38" t="n">
        <v>8.70965685256101</v>
      </c>
      <c r="AE243" s="38" t="n">
        <v>7.58122520550136</v>
      </c>
      <c r="AF243" s="38" t="n">
        <v>2.00382473781582</v>
      </c>
      <c r="AG243" s="72"/>
      <c r="AH243" s="72"/>
      <c r="AI243" s="73" t="n">
        <v>32.9188656964958</v>
      </c>
      <c r="AJ243" s="42" t="s">
        <v>16</v>
      </c>
      <c r="AK243" s="43" t="n">
        <v>622.046186178734</v>
      </c>
      <c r="AL243" s="43" t="n">
        <v>638.525397508284</v>
      </c>
      <c r="AM243" s="43" t="n">
        <v>435.836862755503</v>
      </c>
      <c r="AN243" s="74"/>
      <c r="AO243" s="75" t="n">
        <v>24.9875</v>
      </c>
      <c r="AP243" s="76" t="n">
        <v>0.959845923913044</v>
      </c>
      <c r="AQ243" s="76" t="n">
        <v>0.756252119565218</v>
      </c>
      <c r="AR243" s="76" t="n">
        <v>1.1544225</v>
      </c>
      <c r="AS243" s="77" t="n">
        <v>24.3926888586957</v>
      </c>
      <c r="AT243" s="78" t="n">
        <v>23.7817801208114</v>
      </c>
      <c r="AU243" s="78" t="n">
        <v>38.4130434782609</v>
      </c>
      <c r="AV243" s="78" t="n">
        <v>30.2652173913044</v>
      </c>
      <c r="AW243" s="78" t="n">
        <v>46.2</v>
      </c>
      <c r="AX243" s="78" t="n">
        <v>40.1304347826087</v>
      </c>
      <c r="AY243" s="48" t="n">
        <v>1.03200558280048</v>
      </c>
      <c r="AZ243" s="48" t="n">
        <v>20.1042844651941</v>
      </c>
      <c r="BA243" s="48" t="n">
        <v>2.93995145480589</v>
      </c>
      <c r="BB243" s="49" t="n">
        <f aca="false">AT243/V243</f>
        <v>1.03200558280048</v>
      </c>
      <c r="BC243" s="49" t="n">
        <f aca="false">AS243/V243</f>
        <v>1.05851584506325</v>
      </c>
      <c r="BD243" s="49" t="n">
        <f aca="false">SUM(AP243:AR243)/V243</f>
        <v>0.124565663771345</v>
      </c>
      <c r="BE243" s="50" t="n">
        <v>7.14</v>
      </c>
      <c r="BF243" s="51" t="n">
        <v>173.779118932296</v>
      </c>
      <c r="BG243" s="51" t="n">
        <v>533.917474793418</v>
      </c>
      <c r="BH243" s="51" t="n">
        <v>222.440033803959</v>
      </c>
      <c r="BI243" s="51" t="n">
        <v>195.286570672298</v>
      </c>
      <c r="BJ243" s="51" t="n">
        <v>8.41710860306693</v>
      </c>
      <c r="BK243" s="51" t="n">
        <v>21.1934633922649</v>
      </c>
      <c r="BL243" s="51" t="n">
        <v>13.7702243568839</v>
      </c>
      <c r="BM243" s="51"/>
      <c r="BN243" s="52" t="n">
        <f aca="false">(BG243*0.5-BH243*0.25+BI243*0.5)/SUM(BG243:BI243)*1000</f>
        <v>324.692835286696</v>
      </c>
      <c r="BO243" s="53" t="n">
        <v>2.75116356</v>
      </c>
      <c r="BP243" s="54" t="s">
        <v>77</v>
      </c>
      <c r="BQ243" s="55" t="n">
        <v>458.147393684259</v>
      </c>
      <c r="BR243" s="56" t="n">
        <v>19.8812143424827</v>
      </c>
      <c r="BS243" s="56" t="n">
        <v>34.2109737035008</v>
      </c>
      <c r="BT243" s="56" t="n">
        <v>19.2646383641961</v>
      </c>
      <c r="BU243" s="55"/>
      <c r="BV243" s="55"/>
      <c r="BW243" s="55"/>
      <c r="BX243" s="55"/>
      <c r="BY243" s="79" t="n">
        <v>0.0582210242587601</v>
      </c>
      <c r="BZ243" s="80" t="n">
        <v>0.6959945</v>
      </c>
      <c r="CA243" s="81" t="n">
        <v>3.34</v>
      </c>
      <c r="CB243" s="81" t="n">
        <v>0.03</v>
      </c>
      <c r="CC243" s="82" t="n">
        <v>5.119638</v>
      </c>
      <c r="CD243" s="82" t="n">
        <v>8.431704</v>
      </c>
      <c r="CE243" s="83" t="n">
        <v>82.33354</v>
      </c>
      <c r="CF243" s="84" t="n">
        <v>34.954284</v>
      </c>
      <c r="CG243" s="80" t="n">
        <v>0.1235</v>
      </c>
      <c r="CH243" s="63" t="n">
        <v>79960.2717538545</v>
      </c>
      <c r="CI243" s="63" t="n">
        <v>2881.83133143683</v>
      </c>
      <c r="CJ243" s="64" t="n">
        <v>278058.805459708</v>
      </c>
      <c r="CK243" s="65" t="n">
        <v>1.03641074292626</v>
      </c>
    </row>
    <row r="244" customFormat="false" ht="15" hidden="false" customHeight="false" outlineLevel="0" collapsed="false">
      <c r="A244" s="7" t="s">
        <v>73</v>
      </c>
      <c r="B244" s="66" t="n">
        <v>242</v>
      </c>
      <c r="C244" s="8" t="s">
        <v>320</v>
      </c>
      <c r="D244" s="67" t="n">
        <v>41904</v>
      </c>
      <c r="E244" s="4" t="s">
        <v>78</v>
      </c>
      <c r="F244" s="7" t="n">
        <v>911</v>
      </c>
      <c r="G244" s="68" t="n">
        <v>1</v>
      </c>
      <c r="H244" s="68" t="n">
        <v>99</v>
      </c>
      <c r="I244" s="66" t="n">
        <v>4</v>
      </c>
      <c r="J244" s="69" t="n">
        <v>717.74</v>
      </c>
      <c r="K244" s="31" t="n">
        <v>396.622734816217</v>
      </c>
      <c r="L244" s="31" t="n">
        <v>908.09698443913</v>
      </c>
      <c r="M244" s="31" t="n">
        <v>148.078963481839</v>
      </c>
      <c r="N244" s="31" t="n">
        <v>410.837451037105</v>
      </c>
      <c r="O244" s="32"/>
      <c r="P244" s="33" t="n">
        <v>65.5888604036004</v>
      </c>
      <c r="Q244" s="33" t="n">
        <v>13.7092448906003</v>
      </c>
      <c r="R244" s="31" t="n">
        <v>93.703155833179</v>
      </c>
      <c r="S244" s="34" t="s">
        <v>76</v>
      </c>
      <c r="T244" s="35" t="n">
        <v>15.40176903</v>
      </c>
      <c r="U244" s="35" t="n">
        <v>4.51158848</v>
      </c>
      <c r="V244" s="70" t="n">
        <v>19.91335751</v>
      </c>
      <c r="W244" s="35" t="n">
        <v>18.1144118575949</v>
      </c>
      <c r="X244" s="35" t="n">
        <v>3.05070584551681</v>
      </c>
      <c r="Y244" s="35" t="n">
        <v>7.38307951473058</v>
      </c>
      <c r="Z244" s="35"/>
      <c r="AA244" s="35" t="n">
        <v>1.15718420403823</v>
      </c>
      <c r="AB244" s="35" t="n">
        <v>0.252617435619013</v>
      </c>
      <c r="AC244" s="71" t="n">
        <v>2.23269396513018</v>
      </c>
      <c r="AD244" s="38" t="n">
        <v>5.6727851439408</v>
      </c>
      <c r="AE244" s="38" t="n">
        <v>4.78281763813224</v>
      </c>
      <c r="AF244" s="38" t="n">
        <v>1.1815875213965</v>
      </c>
      <c r="AG244" s="72"/>
      <c r="AH244" s="72"/>
      <c r="AI244" s="73" t="n">
        <v>44.5314654458293</v>
      </c>
      <c r="AJ244" s="42" t="s">
        <v>16</v>
      </c>
      <c r="AK244" s="43" t="n">
        <v>715.126635923045</v>
      </c>
      <c r="AL244" s="43" t="n">
        <v>735.966164635541</v>
      </c>
      <c r="AM244" s="43" t="n">
        <v>612.683889817527</v>
      </c>
      <c r="AN244" s="74"/>
      <c r="AO244" s="75" t="n">
        <v>20.672</v>
      </c>
      <c r="AP244" s="76" t="n">
        <v>0.822180791256831</v>
      </c>
      <c r="AQ244" s="76" t="n">
        <v>0.653664454644809</v>
      </c>
      <c r="AR244" s="76" t="n">
        <v>0.93521031693989</v>
      </c>
      <c r="AS244" s="77" t="n">
        <v>20.6015118688525</v>
      </c>
      <c r="AT244" s="78" t="n">
        <v>20.1288194744353</v>
      </c>
      <c r="AU244" s="78" t="n">
        <v>39.7726775956284</v>
      </c>
      <c r="AV244" s="78" t="n">
        <v>31.6207650273224</v>
      </c>
      <c r="AW244" s="78" t="n">
        <v>45.2404371584699</v>
      </c>
      <c r="AX244" s="78" t="n">
        <v>26.9945355191257</v>
      </c>
      <c r="AY244" s="48" t="n">
        <v>1.01081997168619</v>
      </c>
      <c r="AZ244" s="48" t="n">
        <v>20.3970441502523</v>
      </c>
      <c r="BA244" s="48" t="n">
        <v>-0.483686640252294</v>
      </c>
      <c r="BB244" s="49" t="n">
        <f aca="false">AT244/V244</f>
        <v>1.01081997168619</v>
      </c>
      <c r="BC244" s="49" t="n">
        <f aca="false">AS244/V244</f>
        <v>1.03455742501017</v>
      </c>
      <c r="BD244" s="49" t="n">
        <f aca="false">SUM(AP244:AR244)/V244</f>
        <v>0.121077300080148</v>
      </c>
      <c r="BE244" s="50" t="n">
        <v>6.19</v>
      </c>
      <c r="BF244" s="51" t="n">
        <v>157.989438059728</v>
      </c>
      <c r="BG244" s="51" t="n">
        <v>542.6656855335</v>
      </c>
      <c r="BH244" s="51" t="n">
        <v>223.101221014289</v>
      </c>
      <c r="BI244" s="51" t="n">
        <v>184.309200971691</v>
      </c>
      <c r="BJ244" s="51" t="n">
        <v>8.52111722357648</v>
      </c>
      <c r="BK244" s="51" t="n">
        <v>17.6161109624172</v>
      </c>
      <c r="BL244" s="51" t="n">
        <v>18.8115399164173</v>
      </c>
      <c r="BM244" s="51"/>
      <c r="BN244" s="52" t="n">
        <f aca="false">(BG244*0.5-BH244*0.25+BI244*0.5)/SUM(BG244:BI244)*1000</f>
        <v>323.881566501465</v>
      </c>
      <c r="BO244" s="53" t="n">
        <v>6.83304444</v>
      </c>
      <c r="BP244" s="54" t="s">
        <v>77</v>
      </c>
      <c r="BQ244" s="55" t="n">
        <v>442.651149300668</v>
      </c>
      <c r="BR244" s="56" t="n">
        <v>22.2288556351373</v>
      </c>
      <c r="BS244" s="56" t="n">
        <v>33.2031670041715</v>
      </c>
      <c r="BT244" s="56" t="n">
        <v>21.9909145622206</v>
      </c>
      <c r="BU244" s="55"/>
      <c r="BV244" s="55"/>
      <c r="BW244" s="55"/>
      <c r="BX244" s="55"/>
      <c r="BY244" s="79" t="n">
        <v>0.0935064935064935</v>
      </c>
      <c r="BZ244" s="80" t="n">
        <v>0.9169324</v>
      </c>
      <c r="CA244" s="81" t="n">
        <v>3.62</v>
      </c>
      <c r="CB244" s="81" t="n">
        <v>0.226</v>
      </c>
      <c r="CC244" s="82" t="n">
        <v>4.802144</v>
      </c>
      <c r="CD244" s="82" t="n">
        <v>5.809152</v>
      </c>
      <c r="CE244" s="83" t="n">
        <v>87.678284</v>
      </c>
      <c r="CF244" s="84" t="n">
        <v>36.659263</v>
      </c>
      <c r="CG244" s="80" t="n">
        <v>0.092</v>
      </c>
      <c r="CH244" s="63" t="n">
        <v>19491.8714487254</v>
      </c>
      <c r="CI244" s="63" t="n">
        <v>5317.20286884609</v>
      </c>
      <c r="CJ244" s="64" t="n">
        <v>599676.005916965</v>
      </c>
      <c r="CK244" s="65" t="n">
        <v>0.886679276206083</v>
      </c>
    </row>
    <row r="245" customFormat="false" ht="15" hidden="false" customHeight="false" outlineLevel="0" collapsed="false">
      <c r="A245" s="7" t="s">
        <v>73</v>
      </c>
      <c r="B245" s="66" t="n">
        <v>243</v>
      </c>
      <c r="C245" s="8" t="s">
        <v>321</v>
      </c>
      <c r="D245" s="67" t="n">
        <v>41883</v>
      </c>
      <c r="E245" s="4" t="s">
        <v>78</v>
      </c>
      <c r="F245" s="7" t="n">
        <v>1881</v>
      </c>
      <c r="G245" s="68" t="n">
        <v>1</v>
      </c>
      <c r="H245" s="68" t="n">
        <v>148</v>
      </c>
      <c r="I245" s="66" t="n">
        <v>2</v>
      </c>
      <c r="J245" s="69" t="n">
        <v>615.357142857143</v>
      </c>
      <c r="K245" s="31" t="n">
        <v>396.622734816217</v>
      </c>
      <c r="L245" s="31" t="n">
        <v>908.09698443913</v>
      </c>
      <c r="M245" s="31" t="n">
        <v>148.078963481839</v>
      </c>
      <c r="N245" s="31" t="n">
        <v>410.837451037105</v>
      </c>
      <c r="O245" s="32"/>
      <c r="P245" s="33" t="n">
        <v>65.5888604036004</v>
      </c>
      <c r="Q245" s="33" t="n">
        <v>13.7092448906003</v>
      </c>
      <c r="R245" s="31" t="n">
        <v>93.703155833179</v>
      </c>
      <c r="S245" s="34" t="s">
        <v>76</v>
      </c>
      <c r="T245" s="35" t="n">
        <v>18.0049793757143</v>
      </c>
      <c r="U245" s="35" t="n">
        <v>5.65667921428571</v>
      </c>
      <c r="V245" s="70" t="n">
        <v>23.66165859</v>
      </c>
      <c r="W245" s="35" t="n">
        <v>21.5398299815394</v>
      </c>
      <c r="X245" s="35" t="n">
        <v>3.65332574353073</v>
      </c>
      <c r="Y245" s="35" t="n">
        <v>8.69897844040117</v>
      </c>
      <c r="Z245" s="35"/>
      <c r="AA245" s="35" t="n">
        <v>1.37356381592283</v>
      </c>
      <c r="AB245" s="35" t="n">
        <v>0.292171931323142</v>
      </c>
      <c r="AC245" s="71" t="n">
        <v>2.71519318731271</v>
      </c>
      <c r="AD245" s="38" t="n">
        <v>9.20408092641785</v>
      </c>
      <c r="AE245" s="38" t="n">
        <v>7.97473614432108</v>
      </c>
      <c r="AF245" s="38" t="n">
        <v>2.3818943527918</v>
      </c>
      <c r="AG245" s="72"/>
      <c r="AH245" s="72"/>
      <c r="AI245" s="73" t="n">
        <v>31.7437377679438</v>
      </c>
      <c r="AJ245" s="42" t="s">
        <v>16</v>
      </c>
      <c r="AK245" s="43" t="n">
        <v>611.012858992576</v>
      </c>
      <c r="AL245" s="43" t="n">
        <v>629.767915941965</v>
      </c>
      <c r="AM245" s="43" t="n">
        <v>348.020264273002</v>
      </c>
      <c r="AN245" s="74"/>
      <c r="AO245" s="75" t="n">
        <v>23.4607142857143</v>
      </c>
      <c r="AP245" s="76" t="n">
        <v>0.825817142857143</v>
      </c>
      <c r="AQ245" s="76" t="n">
        <v>0.762473214285714</v>
      </c>
      <c r="AR245" s="76" t="n">
        <v>1.07919285714286</v>
      </c>
      <c r="AS245" s="77" t="n">
        <v>21.7715428571429</v>
      </c>
      <c r="AT245" s="78" t="n">
        <v>21.7885780254777</v>
      </c>
      <c r="AU245" s="78" t="n">
        <v>35.2</v>
      </c>
      <c r="AV245" s="78" t="n">
        <v>32.5</v>
      </c>
      <c r="AW245" s="78" t="n">
        <v>46</v>
      </c>
      <c r="AX245" s="78" t="n">
        <v>41</v>
      </c>
      <c r="AY245" s="48" t="n">
        <v>0.920838999624739</v>
      </c>
      <c r="AZ245" s="48" t="n">
        <v>19.8876102728669</v>
      </c>
      <c r="BA245" s="48" t="n">
        <v>3.77404831713307</v>
      </c>
      <c r="BB245" s="49" t="n">
        <f aca="false">AT245/V245</f>
        <v>0.920838999624739</v>
      </c>
      <c r="BC245" s="49" t="n">
        <f aca="false">AS245/V245</f>
        <v>0.920119051432179</v>
      </c>
      <c r="BD245" s="49" t="n">
        <f aca="false">SUM(AP245:AR245)/V245</f>
        <v>0.112734413952412</v>
      </c>
      <c r="BE245" s="50" t="n">
        <v>6.73</v>
      </c>
      <c r="BF245" s="51" t="n">
        <v>161.286289123567</v>
      </c>
      <c r="BG245" s="51" t="n">
        <v>515.629735681349</v>
      </c>
      <c r="BH245" s="51" t="n">
        <v>233.135967121196</v>
      </c>
      <c r="BI245" s="51" t="n">
        <v>208.609926595706</v>
      </c>
      <c r="BJ245" s="51" t="n">
        <v>8.13787007630298</v>
      </c>
      <c r="BK245" s="51" t="n">
        <v>16.2429559901542</v>
      </c>
      <c r="BL245" s="51" t="n">
        <v>13.268420157183</v>
      </c>
      <c r="BM245" s="51"/>
      <c r="BN245" s="52" t="n">
        <f aca="false">(BG245*0.5-BH245*0.25+BI245*0.5)/SUM(BG245:BI245)*1000</f>
        <v>317.363248058864</v>
      </c>
      <c r="BO245" s="53" t="n">
        <v>11.56988204</v>
      </c>
      <c r="BP245" s="54" t="s">
        <v>77</v>
      </c>
      <c r="BQ245" s="55" t="n">
        <v>389.863740467912</v>
      </c>
      <c r="BR245" s="56" t="n">
        <v>16.4766023896853</v>
      </c>
      <c r="BS245" s="56" t="n">
        <v>28.7402169971172</v>
      </c>
      <c r="BT245" s="56" t="n">
        <v>17.8930327629476</v>
      </c>
      <c r="BU245" s="55"/>
      <c r="BV245" s="55"/>
      <c r="BW245" s="55"/>
      <c r="BX245" s="55"/>
      <c r="BY245" s="79" t="n">
        <v>0.0582210242587601</v>
      </c>
      <c r="BZ245" s="80" t="n">
        <v>0.9506162</v>
      </c>
      <c r="CA245" s="81" t="n">
        <v>2.97</v>
      </c>
      <c r="CB245" s="81" t="n">
        <v>0.326</v>
      </c>
      <c r="CC245" s="82" t="n">
        <v>6.683123</v>
      </c>
      <c r="CD245" s="82" t="n">
        <v>7.796172</v>
      </c>
      <c r="CE245" s="83" t="n">
        <v>96.408536</v>
      </c>
      <c r="CF245" s="84" t="n">
        <v>37.37776</v>
      </c>
      <c r="CG245" s="80" t="n">
        <v>0.1025</v>
      </c>
      <c r="CH245" s="63" t="n">
        <v>15546.6841009734</v>
      </c>
      <c r="CI245" s="63" t="n">
        <v>2556.71557992729</v>
      </c>
      <c r="CJ245" s="64" t="n">
        <v>424492.336702806</v>
      </c>
      <c r="CK245" s="65" t="n">
        <v>0.602299584436854</v>
      </c>
    </row>
    <row r="246" customFormat="false" ht="15" hidden="false" customHeight="false" outlineLevel="0" collapsed="false">
      <c r="A246" s="7" t="s">
        <v>73</v>
      </c>
      <c r="B246" s="66" t="n">
        <v>244</v>
      </c>
      <c r="C246" s="8" t="s">
        <v>322</v>
      </c>
      <c r="D246" s="67" t="n">
        <v>41904</v>
      </c>
      <c r="E246" s="4" t="s">
        <v>78</v>
      </c>
      <c r="F246" s="7" t="n">
        <v>922</v>
      </c>
      <c r="G246" s="68" t="n">
        <v>1</v>
      </c>
      <c r="H246" s="68" t="n">
        <v>121</v>
      </c>
      <c r="I246" s="66" t="n">
        <v>3</v>
      </c>
      <c r="J246" s="69" t="n">
        <v>686.196666666667</v>
      </c>
      <c r="K246" s="31" t="n">
        <v>396.622734816217</v>
      </c>
      <c r="L246" s="31" t="n">
        <v>908.09698443913</v>
      </c>
      <c r="M246" s="31" t="n">
        <v>148.078963481839</v>
      </c>
      <c r="N246" s="31" t="n">
        <v>410.837451037105</v>
      </c>
      <c r="O246" s="32"/>
      <c r="P246" s="33" t="n">
        <v>65.5888604036004</v>
      </c>
      <c r="Q246" s="33" t="n">
        <v>13.7092448906003</v>
      </c>
      <c r="R246" s="31" t="n">
        <v>93.703155833179</v>
      </c>
      <c r="S246" s="34" t="s">
        <v>76</v>
      </c>
      <c r="T246" s="35" t="n">
        <v>18.7837224484615</v>
      </c>
      <c r="U246" s="35" t="n">
        <v>6.14717046153846</v>
      </c>
      <c r="V246" s="70" t="n">
        <v>24.93089291</v>
      </c>
      <c r="W246" s="35" t="n">
        <v>22.6973993335669</v>
      </c>
      <c r="X246" s="35" t="n">
        <v>3.85488457470671</v>
      </c>
      <c r="Y246" s="35" t="n">
        <v>9.1311599213383</v>
      </c>
      <c r="Z246" s="35"/>
      <c r="AA246" s="35" t="n">
        <v>1.44159227053568</v>
      </c>
      <c r="AB246" s="35" t="n">
        <v>0.306580842015192</v>
      </c>
      <c r="AC246" s="71" t="n">
        <v>2.87844483812681</v>
      </c>
      <c r="AD246" s="38" t="n">
        <v>9.26704229671413</v>
      </c>
      <c r="AE246" s="38" t="n">
        <v>7.890088762555</v>
      </c>
      <c r="AF246" s="38" t="n">
        <v>2.20172274761132</v>
      </c>
      <c r="AG246" s="72"/>
      <c r="AH246" s="72"/>
      <c r="AI246" s="73" t="n">
        <v>33.0829224901561</v>
      </c>
      <c r="AJ246" s="42" t="s">
        <v>16</v>
      </c>
      <c r="AK246" s="43" t="n">
        <v>628.290798481709</v>
      </c>
      <c r="AL246" s="43" t="n">
        <v>652.379171437212</v>
      </c>
      <c r="AM246" s="43" t="n">
        <v>428.848593273681</v>
      </c>
      <c r="AN246" s="74"/>
      <c r="AO246" s="75" t="n">
        <v>24.7923076923077</v>
      </c>
      <c r="AP246" s="76" t="n">
        <v>0.973752848126233</v>
      </c>
      <c r="AQ246" s="76" t="n">
        <v>0.801719660749507</v>
      </c>
      <c r="AR246" s="76" t="n">
        <v>1.12070130571992</v>
      </c>
      <c r="AS246" s="77" t="n">
        <v>24.5232157988166</v>
      </c>
      <c r="AT246" s="78" t="n">
        <v>24.1229140889207</v>
      </c>
      <c r="AU246" s="78" t="n">
        <v>39.2764102564103</v>
      </c>
      <c r="AV246" s="78" t="n">
        <v>32.3374358974359</v>
      </c>
      <c r="AW246" s="78" t="n">
        <v>45.2035897435897</v>
      </c>
      <c r="AX246" s="78" t="n">
        <v>34.1076923076923</v>
      </c>
      <c r="AY246" s="48" t="n">
        <v>0.967591260208928</v>
      </c>
      <c r="AZ246" s="48" t="n">
        <v>21.7053680569854</v>
      </c>
      <c r="BA246" s="48" t="n">
        <v>3.22552485301458</v>
      </c>
      <c r="BB246" s="49" t="n">
        <f aca="false">AT246/V246</f>
        <v>0.967591260208928</v>
      </c>
      <c r="BC246" s="49" t="n">
        <f aca="false">AS246/V246</f>
        <v>0.983647713194424</v>
      </c>
      <c r="BD246" s="49" t="n">
        <f aca="false">SUM(AP246:AR246)/V246</f>
        <v>0.116168074085866</v>
      </c>
      <c r="BE246" s="50" t="n">
        <v>7.07</v>
      </c>
      <c r="BF246" s="51" t="n">
        <v>111.750775029662</v>
      </c>
      <c r="BG246" s="51" t="n">
        <v>572.09038160637</v>
      </c>
      <c r="BH246" s="51" t="n">
        <v>222.574635938447</v>
      </c>
      <c r="BI246" s="51" t="n">
        <v>167.286666462347</v>
      </c>
      <c r="BJ246" s="51" t="n">
        <v>7.06994203192665</v>
      </c>
      <c r="BK246" s="51" t="n">
        <v>15.7291972100392</v>
      </c>
      <c r="BL246" s="51" t="n">
        <v>10.2740523727616</v>
      </c>
      <c r="BM246" s="51"/>
      <c r="BN246" s="52" t="n">
        <f aca="false">(BG246*0.5-BH246*0.25+BI246*0.5)/SUM(BG246:BI246)*1000</f>
        <v>326.466360286977</v>
      </c>
      <c r="BO246" s="53" t="n">
        <v>3.9403951</v>
      </c>
      <c r="BP246" s="54" t="s">
        <v>77</v>
      </c>
      <c r="BQ246" s="55" t="n">
        <v>561.640036352829</v>
      </c>
      <c r="BR246" s="56" t="n">
        <v>22.5278748892123</v>
      </c>
      <c r="BS246" s="56" t="n">
        <v>37.9299153387344</v>
      </c>
      <c r="BT246" s="56" t="n">
        <v>23.2824290748016</v>
      </c>
      <c r="BU246" s="55"/>
      <c r="BV246" s="55"/>
      <c r="BW246" s="55"/>
      <c r="BX246" s="55"/>
      <c r="BY246" s="79" t="n">
        <v>0.0582210242587601</v>
      </c>
      <c r="BZ246" s="80" t="n">
        <v>0.9218859</v>
      </c>
      <c r="CA246" s="81" t="n">
        <v>3.1</v>
      </c>
      <c r="CB246" s="81" t="n">
        <v>0.181</v>
      </c>
      <c r="CC246" s="82" t="n">
        <v>5.004057</v>
      </c>
      <c r="CD246" s="82" t="n">
        <v>9.50564</v>
      </c>
      <c r="CE246" s="83" t="n">
        <v>83.158052</v>
      </c>
      <c r="CF246" s="84" t="n">
        <v>37.325695</v>
      </c>
      <c r="CG246" s="80" t="n">
        <v>0.05</v>
      </c>
      <c r="CH246" s="63" t="n">
        <v>37581.6074450867</v>
      </c>
      <c r="CI246" s="63" t="n">
        <v>4692.27350785181</v>
      </c>
      <c r="CJ246" s="64" t="n">
        <v>460359.059926076</v>
      </c>
      <c r="CK246" s="65" t="n">
        <v>1.01926385647874</v>
      </c>
    </row>
    <row r="247" customFormat="false" ht="15" hidden="false" customHeight="false" outlineLevel="0" collapsed="false">
      <c r="A247" s="7" t="s">
        <v>73</v>
      </c>
      <c r="B247" s="66" t="n">
        <v>245</v>
      </c>
      <c r="C247" s="8" t="s">
        <v>323</v>
      </c>
      <c r="D247" s="67" t="n">
        <v>41883</v>
      </c>
      <c r="E247" s="4" t="s">
        <v>78</v>
      </c>
      <c r="F247" s="7" t="n">
        <v>2062</v>
      </c>
      <c r="G247" s="68" t="n">
        <v>1</v>
      </c>
      <c r="H247" s="68" t="n">
        <v>145</v>
      </c>
      <c r="I247" s="66" t="n">
        <v>1</v>
      </c>
      <c r="J247" s="69" t="n">
        <v>567.46875</v>
      </c>
      <c r="K247" s="31" t="n">
        <v>396.622734816217</v>
      </c>
      <c r="L247" s="31" t="n">
        <v>908.09698443913</v>
      </c>
      <c r="M247" s="31" t="n">
        <v>148.078963481839</v>
      </c>
      <c r="N247" s="31" t="n">
        <v>410.837451037105</v>
      </c>
      <c r="O247" s="32"/>
      <c r="P247" s="33" t="n">
        <v>65.5888604036004</v>
      </c>
      <c r="Q247" s="33" t="n">
        <v>13.7092448906003</v>
      </c>
      <c r="R247" s="31" t="n">
        <v>93.703155833179</v>
      </c>
      <c r="S247" s="34" t="s">
        <v>76</v>
      </c>
      <c r="T247" s="35" t="n">
        <v>15.6777484266667</v>
      </c>
      <c r="U247" s="35" t="n">
        <v>3.14106358333333</v>
      </c>
      <c r="V247" s="70" t="n">
        <v>18.81881201</v>
      </c>
      <c r="W247" s="35" t="n">
        <v>17.0983285591982</v>
      </c>
      <c r="X247" s="35" t="n">
        <v>2.83757965669796</v>
      </c>
      <c r="Y247" s="35" t="n">
        <v>7.19571387556125</v>
      </c>
      <c r="Z247" s="35"/>
      <c r="AA247" s="35" t="n">
        <v>1.12292499511965</v>
      </c>
      <c r="AB247" s="35" t="n">
        <v>0.249964169966914</v>
      </c>
      <c r="AC247" s="71" t="n">
        <v>1.98339050588119</v>
      </c>
      <c r="AD247" s="38" t="n">
        <v>6.87168967806612</v>
      </c>
      <c r="AE247" s="38" t="n">
        <v>5.90707026612797</v>
      </c>
      <c r="AF247" s="38" t="n">
        <v>1.69537724356842</v>
      </c>
      <c r="AG247" s="72"/>
      <c r="AH247" s="72"/>
      <c r="AI247" s="73" t="n">
        <v>36.3759397873829</v>
      </c>
      <c r="AJ247" s="42" t="s">
        <v>16</v>
      </c>
      <c r="AK247" s="43" t="n">
        <v>634.849974886054</v>
      </c>
      <c r="AL247" s="43" t="n">
        <v>654.523525754205</v>
      </c>
      <c r="AM247" s="43" t="n">
        <v>402.526995298063</v>
      </c>
      <c r="AN247" s="74"/>
      <c r="AO247" s="75" t="n">
        <v>18.2333333333333</v>
      </c>
      <c r="AP247" s="76" t="n">
        <v>0.710886229885058</v>
      </c>
      <c r="AQ247" s="76" t="n">
        <v>0.571407517241379</v>
      </c>
      <c r="AR247" s="76" t="n">
        <v>0.802266666666667</v>
      </c>
      <c r="AS247" s="77" t="n">
        <v>17.9566267816092</v>
      </c>
      <c r="AT247" s="78" t="n">
        <v>17.4209952829636</v>
      </c>
      <c r="AU247" s="78" t="n">
        <v>38.988275862069</v>
      </c>
      <c r="AV247" s="78" t="n">
        <v>31.3386206896552</v>
      </c>
      <c r="AW247" s="78" t="n">
        <v>44</v>
      </c>
      <c r="AX247" s="78" t="n">
        <v>38.848275862069</v>
      </c>
      <c r="AY247" s="48" t="n">
        <v>0.925722371513483</v>
      </c>
      <c r="AZ247" s="48" t="n">
        <v>17.7683925169009</v>
      </c>
      <c r="BA247" s="48" t="n">
        <v>1.0504194930991</v>
      </c>
      <c r="BB247" s="49" t="n">
        <f aca="false">AT247/V247</f>
        <v>0.925722371513483</v>
      </c>
      <c r="BC247" s="49" t="n">
        <f aca="false">AS247/V247</f>
        <v>0.954184927936331</v>
      </c>
      <c r="BD247" s="49" t="n">
        <f aca="false">SUM(AP247:AR247)/V247</f>
        <v>0.110770032278626</v>
      </c>
      <c r="BE247" s="50" t="n">
        <v>7.96</v>
      </c>
      <c r="BF247" s="51" t="n">
        <v>134.138278309047</v>
      </c>
      <c r="BG247" s="51" t="n">
        <v>575.850265707462</v>
      </c>
      <c r="BH247" s="51" t="n">
        <v>218.115294376586</v>
      </c>
      <c r="BI247" s="51" t="n">
        <v>159.326749107469</v>
      </c>
      <c r="BJ247" s="51" t="n">
        <v>8.20501555623451</v>
      </c>
      <c r="BK247" s="51" t="n">
        <v>19.107438616086</v>
      </c>
      <c r="BL247" s="51" t="n">
        <v>14.4201122580522</v>
      </c>
      <c r="BM247" s="51"/>
      <c r="BN247" s="52" t="n">
        <f aca="false">(BG247*0.5-BH247*0.25+BI247*0.5)/SUM(BG247:BI247)*1000</f>
        <v>328.398415464847</v>
      </c>
      <c r="BO247" s="53" t="n">
        <v>3.48307558</v>
      </c>
      <c r="BP247" s="54" t="s">
        <v>77</v>
      </c>
      <c r="BQ247" s="55" t="n">
        <v>474.36431177905</v>
      </c>
      <c r="BR247" s="56" t="n">
        <v>25.206921219415</v>
      </c>
      <c r="BS247" s="56" t="n">
        <v>42.3870398981662</v>
      </c>
      <c r="BT247" s="56" t="n">
        <v>27.2294610080597</v>
      </c>
      <c r="BU247" s="55"/>
      <c r="BV247" s="55"/>
      <c r="BW247" s="55"/>
      <c r="BX247" s="55"/>
      <c r="BY247" s="79" t="n">
        <v>0.0776280323450135</v>
      </c>
      <c r="BZ247" s="80" t="n">
        <v>0.5662246</v>
      </c>
      <c r="CA247" s="81" t="n">
        <v>3.6</v>
      </c>
      <c r="CB247" s="81" t="n">
        <v>0.168</v>
      </c>
      <c r="CC247" s="82" t="n">
        <v>4.536469</v>
      </c>
      <c r="CD247" s="82" t="n">
        <v>5.954236</v>
      </c>
      <c r="CE247" s="83" t="n">
        <v>85.890872</v>
      </c>
      <c r="CF247" s="84" t="n">
        <v>35.888701</v>
      </c>
      <c r="CG247" s="80" t="n">
        <v>0.092</v>
      </c>
      <c r="CH247" s="63" t="n">
        <v>27459.451387595</v>
      </c>
      <c r="CI247" s="63" t="n">
        <v>2852.18750861216</v>
      </c>
      <c r="CJ247" s="64" t="n">
        <v>351279.069657164</v>
      </c>
      <c r="CK247" s="65" t="n">
        <v>0.811943481687025</v>
      </c>
    </row>
    <row r="248" customFormat="false" ht="15" hidden="false" customHeight="false" outlineLevel="0" collapsed="false">
      <c r="A248" s="7" t="s">
        <v>73</v>
      </c>
      <c r="B248" s="66" t="n">
        <v>246</v>
      </c>
      <c r="C248" s="8" t="s">
        <v>324</v>
      </c>
      <c r="D248" s="67" t="n">
        <v>41904</v>
      </c>
      <c r="E248" s="4" t="s">
        <v>78</v>
      </c>
      <c r="F248" s="7" t="n">
        <v>932</v>
      </c>
      <c r="G248" s="68" t="n">
        <v>1</v>
      </c>
      <c r="H248" s="68" t="n">
        <v>163</v>
      </c>
      <c r="I248" s="66" t="n">
        <v>3</v>
      </c>
      <c r="J248" s="69" t="n">
        <v>753.839743589744</v>
      </c>
      <c r="K248" s="31" t="n">
        <v>396.622734816217</v>
      </c>
      <c r="L248" s="31" t="n">
        <v>908.09698443913</v>
      </c>
      <c r="M248" s="31" t="n">
        <v>148.078963481839</v>
      </c>
      <c r="N248" s="31" t="n">
        <v>410.837451037105</v>
      </c>
      <c r="O248" s="32"/>
      <c r="P248" s="33" t="n">
        <v>65.5888604036004</v>
      </c>
      <c r="Q248" s="33" t="n">
        <v>13.7092448906003</v>
      </c>
      <c r="R248" s="31" t="n">
        <v>93.703155833179</v>
      </c>
      <c r="S248" s="34" t="s">
        <v>76</v>
      </c>
      <c r="T248" s="35" t="n">
        <v>18.7449031766667</v>
      </c>
      <c r="U248" s="35" t="n">
        <v>6.38946133333333</v>
      </c>
      <c r="V248" s="70" t="n">
        <v>25.13436451</v>
      </c>
      <c r="W248" s="35" t="n">
        <v>22.8872958268653</v>
      </c>
      <c r="X248" s="35" t="n">
        <v>3.89596019478353</v>
      </c>
      <c r="Y248" s="35" t="n">
        <v>9.16647751448496</v>
      </c>
      <c r="Z248" s="35"/>
      <c r="AA248" s="35" t="n">
        <v>1.44904021463369</v>
      </c>
      <c r="AB248" s="35" t="n">
        <v>0.306596914471458</v>
      </c>
      <c r="AC248" s="71" t="n">
        <v>2.92683405719464</v>
      </c>
      <c r="AD248" s="38" t="n">
        <v>8.77608474146942</v>
      </c>
      <c r="AE248" s="38" t="n">
        <v>7.52181822678621</v>
      </c>
      <c r="AF248" s="38" t="n">
        <v>1.78418789467104</v>
      </c>
      <c r="AG248" s="72"/>
      <c r="AH248" s="72"/>
      <c r="AI248" s="73" t="n">
        <v>34.9355006820642</v>
      </c>
      <c r="AJ248" s="42" t="s">
        <v>16</v>
      </c>
      <c r="AK248" s="43" t="n">
        <v>650.833235191694</v>
      </c>
      <c r="AL248" s="43" t="n">
        <v>671.35399989207</v>
      </c>
      <c r="AM248" s="43" t="n">
        <v>542.04154933103</v>
      </c>
      <c r="AN248" s="74"/>
      <c r="AO248" s="75" t="n">
        <v>30.737037037037</v>
      </c>
      <c r="AP248" s="76" t="n">
        <v>0.918816930770433</v>
      </c>
      <c r="AQ248" s="76" t="n">
        <v>0.927960226597906</v>
      </c>
      <c r="AR248" s="76" t="n">
        <v>1.4270415174246</v>
      </c>
      <c r="AS248" s="77" t="n">
        <v>26.0770687763713</v>
      </c>
      <c r="AT248" s="78" t="n">
        <v>26.078614425811</v>
      </c>
      <c r="AU248" s="78" t="n">
        <v>29.8928270042194</v>
      </c>
      <c r="AV248" s="78" t="n">
        <v>30.1902953586498</v>
      </c>
      <c r="AW248" s="78" t="n">
        <v>46.4274261603376</v>
      </c>
      <c r="AX248" s="78" t="n">
        <v>47.8691983122363</v>
      </c>
      <c r="AY248" s="48" t="n">
        <v>1.0375680839448</v>
      </c>
      <c r="AZ248" s="48" t="n">
        <v>23.4933611445038</v>
      </c>
      <c r="BA248" s="48" t="n">
        <v>1.64100336549622</v>
      </c>
      <c r="BB248" s="49" t="n">
        <f aca="false">AT248/V248</f>
        <v>1.0375680839448</v>
      </c>
      <c r="BC248" s="49" t="n">
        <f aca="false">AS248/V248</f>
        <v>1.03750658847954</v>
      </c>
      <c r="BD248" s="49" t="n">
        <f aca="false">SUM(AP248:AR248)/V248</f>
        <v>0.130252693418623</v>
      </c>
      <c r="BE248" s="50" t="n">
        <v>6.58</v>
      </c>
      <c r="BF248" s="51" t="n">
        <v>144.484149458394</v>
      </c>
      <c r="BG248" s="51" t="n">
        <v>554.107837165327</v>
      </c>
      <c r="BH248" s="51" t="n">
        <v>242.649015720929</v>
      </c>
      <c r="BI248" s="51" t="n">
        <v>162.058701988808</v>
      </c>
      <c r="BJ248" s="51" t="n">
        <v>7.42414841732129</v>
      </c>
      <c r="BK248" s="51" t="n">
        <v>16.34229832094</v>
      </c>
      <c r="BL248" s="51" t="n">
        <v>12.4428740085651</v>
      </c>
      <c r="BM248" s="51"/>
      <c r="BN248" s="52" t="n">
        <f aca="false">(BG248*0.5-BH248*0.25+BI248*0.5)/SUM(BG248:BI248)*1000</f>
        <v>310.196277203273</v>
      </c>
      <c r="BO248" s="53" t="n">
        <v>6.93613218</v>
      </c>
      <c r="BP248" s="54" t="s">
        <v>77</v>
      </c>
      <c r="BQ248" s="55" t="n">
        <v>418.973999095893</v>
      </c>
      <c r="BR248" s="56" t="n">
        <v>16.6693690993937</v>
      </c>
      <c r="BS248" s="56" t="n">
        <v>27.2672291744277</v>
      </c>
      <c r="BT248" s="56" t="n">
        <v>16.0658074947885</v>
      </c>
      <c r="BU248" s="55"/>
      <c r="BV248" s="55"/>
      <c r="BW248" s="55"/>
      <c r="BX248" s="55"/>
      <c r="BY248" s="79" t="n">
        <v>0.0776280323450135</v>
      </c>
      <c r="BZ248" s="80" t="n">
        <v>0.6286387</v>
      </c>
      <c r="CA248" s="81" t="n">
        <v>3.63</v>
      </c>
      <c r="CB248" s="81" t="n">
        <v>0.207</v>
      </c>
      <c r="CC248" s="82" t="n">
        <v>5.620423</v>
      </c>
      <c r="CD248" s="82" t="n">
        <v>10.64108</v>
      </c>
      <c r="CE248" s="83" t="n">
        <v>89.886698</v>
      </c>
      <c r="CF248" s="84" t="n">
        <v>37.575607</v>
      </c>
      <c r="CG248" s="80" t="n">
        <v>0.0605</v>
      </c>
      <c r="CH248" s="63" t="n">
        <v>12012.4754000063</v>
      </c>
      <c r="CI248" s="63" t="n">
        <v>917.430726538959</v>
      </c>
      <c r="CJ248" s="64" t="n">
        <v>148402.949810953</v>
      </c>
      <c r="CK248" s="65" t="n">
        <v>0.618202487017713</v>
      </c>
    </row>
    <row r="249" customFormat="false" ht="15" hidden="false" customHeight="false" outlineLevel="0" collapsed="false">
      <c r="A249" s="7" t="s">
        <v>73</v>
      </c>
      <c r="B249" s="66" t="n">
        <v>247</v>
      </c>
      <c r="C249" s="8" t="s">
        <v>325</v>
      </c>
      <c r="D249" s="67" t="n">
        <v>41904</v>
      </c>
      <c r="E249" s="4" t="s">
        <v>78</v>
      </c>
      <c r="F249" s="7" t="n">
        <v>936</v>
      </c>
      <c r="G249" s="68" t="n">
        <v>1</v>
      </c>
      <c r="H249" s="68" t="n">
        <v>111</v>
      </c>
      <c r="I249" s="66" t="n">
        <v>3</v>
      </c>
      <c r="J249" s="69" t="n">
        <v>644.455555555556</v>
      </c>
      <c r="K249" s="31" t="n">
        <v>396.622734816217</v>
      </c>
      <c r="L249" s="31" t="n">
        <v>908.09698443913</v>
      </c>
      <c r="M249" s="31" t="n">
        <v>148.078963481839</v>
      </c>
      <c r="N249" s="31" t="n">
        <v>410.837451037105</v>
      </c>
      <c r="O249" s="32"/>
      <c r="P249" s="33" t="n">
        <v>65.5888604036004</v>
      </c>
      <c r="Q249" s="33" t="n">
        <v>13.7092448906003</v>
      </c>
      <c r="R249" s="31" t="n">
        <v>93.703155833179</v>
      </c>
      <c r="S249" s="34" t="s">
        <v>76</v>
      </c>
      <c r="T249" s="35" t="n">
        <v>19.8628142533333</v>
      </c>
      <c r="U249" s="35" t="n">
        <v>6.68260866666667</v>
      </c>
      <c r="V249" s="70" t="n">
        <v>26.54542292</v>
      </c>
      <c r="W249" s="35" t="n">
        <v>24.168279588998</v>
      </c>
      <c r="X249" s="35" t="n">
        <v>4.10770039630721</v>
      </c>
      <c r="Y249" s="35" t="n">
        <v>9.69813196062023</v>
      </c>
      <c r="Z249" s="35"/>
      <c r="AA249" s="35" t="n">
        <v>1.53044323769739</v>
      </c>
      <c r="AB249" s="35" t="n">
        <v>0.325793548974112</v>
      </c>
      <c r="AC249" s="71" t="n">
        <v>3.07613958332832</v>
      </c>
      <c r="AD249" s="38" t="n">
        <v>8.08512099023789</v>
      </c>
      <c r="AE249" s="38" t="n">
        <v>6.89165821898341</v>
      </c>
      <c r="AF249" s="38" t="n">
        <v>1.82932410607602</v>
      </c>
      <c r="AG249" s="72"/>
      <c r="AH249" s="72"/>
      <c r="AI249" s="73" t="n">
        <v>40.29544509816</v>
      </c>
      <c r="AJ249" s="42" t="s">
        <v>16</v>
      </c>
      <c r="AK249" s="43" t="n">
        <v>695.423161476687</v>
      </c>
      <c r="AL249" s="43" t="n">
        <v>714.846967339757</v>
      </c>
      <c r="AM249" s="43" t="n">
        <v>554.659802423623</v>
      </c>
      <c r="AN249" s="74"/>
      <c r="AO249" s="75" t="n">
        <v>31.0291666666667</v>
      </c>
      <c r="AP249" s="76" t="n">
        <v>1.20082875</v>
      </c>
      <c r="AQ249" s="76" t="n">
        <v>0.8377875</v>
      </c>
      <c r="AR249" s="76" t="n">
        <v>1.43665041666667</v>
      </c>
      <c r="AS249" s="77" t="n">
        <v>30.4240979166667</v>
      </c>
      <c r="AT249" s="78" t="n">
        <v>28.8760191932059</v>
      </c>
      <c r="AU249" s="78" t="n">
        <v>38.7</v>
      </c>
      <c r="AV249" s="78" t="n">
        <v>27</v>
      </c>
      <c r="AW249" s="78" t="n">
        <v>46.3</v>
      </c>
      <c r="AX249" s="78" t="n">
        <v>33</v>
      </c>
      <c r="AY249" s="48" t="n">
        <v>1.08779653954769</v>
      </c>
      <c r="AZ249" s="48" t="n">
        <v>23.141383053114</v>
      </c>
      <c r="BA249" s="48" t="n">
        <v>3.40403986688603</v>
      </c>
      <c r="BB249" s="49" t="n">
        <f aca="false">AT249/V249</f>
        <v>1.08779653954769</v>
      </c>
      <c r="BC249" s="49" t="n">
        <f aca="false">AS249/V249</f>
        <v>1.14611464312909</v>
      </c>
      <c r="BD249" s="49" t="n">
        <f aca="false">SUM(AP249:AR249)/V249</f>
        <v>0.130917735880121</v>
      </c>
      <c r="BE249" s="50" t="n">
        <v>6.4</v>
      </c>
      <c r="BF249" s="51" t="n">
        <v>130.894576119745</v>
      </c>
      <c r="BG249" s="51" t="n">
        <v>561.555877309662</v>
      </c>
      <c r="BH249" s="51" t="n">
        <v>218.434639482659</v>
      </c>
      <c r="BI249" s="51" t="n">
        <v>176.019875095994</v>
      </c>
      <c r="BJ249" s="51" t="n">
        <v>8.49935986313239</v>
      </c>
      <c r="BK249" s="51" t="n">
        <v>17.1421154159055</v>
      </c>
      <c r="BL249" s="51" t="n">
        <v>13.3730084545385</v>
      </c>
      <c r="BM249" s="51"/>
      <c r="BN249" s="52" t="n">
        <f aca="false">(BG249*0.5-BH249*0.25+BI249*0.5)/SUM(BG249:BI249)*1000</f>
        <v>328.635775299048</v>
      </c>
      <c r="BO249" s="53" t="n">
        <v>5.20533962</v>
      </c>
      <c r="BP249" s="54" t="s">
        <v>77</v>
      </c>
      <c r="BQ249" s="55" t="n">
        <v>511.649199771423</v>
      </c>
      <c r="BR249" s="56" t="n">
        <v>19.2744791188063</v>
      </c>
      <c r="BS249" s="56" t="n">
        <v>29.6151191146346</v>
      </c>
      <c r="BT249" s="56" t="n">
        <v>17.7188273891924</v>
      </c>
      <c r="BU249" s="55"/>
      <c r="BV249" s="55"/>
      <c r="BW249" s="55"/>
      <c r="BX249" s="55"/>
      <c r="BY249" s="79" t="n">
        <v>0.0485175202156334</v>
      </c>
      <c r="BZ249" s="80" t="n">
        <v>0.9684488</v>
      </c>
      <c r="CA249" s="81" t="n">
        <v>3.31</v>
      </c>
      <c r="CB249" s="81" t="n">
        <v>0.316</v>
      </c>
      <c r="CC249" s="82" t="n">
        <v>5.41851</v>
      </c>
      <c r="CD249" s="82" t="n">
        <v>10.287832</v>
      </c>
      <c r="CE249" s="83" t="n">
        <v>84.524462</v>
      </c>
      <c r="CF249" s="84" t="n">
        <v>35.29516</v>
      </c>
      <c r="CG249" s="80" t="n">
        <v>0.1235</v>
      </c>
      <c r="CH249" s="63" t="n">
        <v>34830.7530294928</v>
      </c>
      <c r="CI249" s="63" t="n">
        <v>1749.27548607275</v>
      </c>
      <c r="CJ249" s="64" t="n">
        <v>229080.393176776</v>
      </c>
      <c r="CK249" s="65" t="n">
        <v>0.763607684540193</v>
      </c>
    </row>
    <row r="250" customFormat="false" ht="15" hidden="false" customHeight="false" outlineLevel="0" collapsed="false">
      <c r="A250" s="7" t="s">
        <v>73</v>
      </c>
      <c r="B250" s="66" t="n">
        <v>248</v>
      </c>
      <c r="C250" s="8" t="s">
        <v>326</v>
      </c>
      <c r="D250" s="67" t="n">
        <v>41904</v>
      </c>
      <c r="E250" s="4" t="s">
        <v>78</v>
      </c>
      <c r="F250" s="7" t="n">
        <v>946</v>
      </c>
      <c r="G250" s="68" t="n">
        <v>1</v>
      </c>
      <c r="H250" s="68" t="n">
        <v>119</v>
      </c>
      <c r="I250" s="66" t="n">
        <v>3</v>
      </c>
      <c r="J250" s="69" t="n">
        <v>765.88141025641</v>
      </c>
      <c r="K250" s="31" t="n">
        <v>396.622734816217</v>
      </c>
      <c r="L250" s="31" t="n">
        <v>908.09698443913</v>
      </c>
      <c r="M250" s="31" t="n">
        <v>148.078963481839</v>
      </c>
      <c r="N250" s="31" t="n">
        <v>410.837451037105</v>
      </c>
      <c r="O250" s="32"/>
      <c r="P250" s="33" t="n">
        <v>65.5888604036004</v>
      </c>
      <c r="Q250" s="33" t="n">
        <v>13.7092448906003</v>
      </c>
      <c r="R250" s="31" t="n">
        <v>93.703155833179</v>
      </c>
      <c r="S250" s="34" t="s">
        <v>76</v>
      </c>
      <c r="T250" s="35" t="n">
        <v>17.2541641253846</v>
      </c>
      <c r="U250" s="35" t="n">
        <v>5.24447838461538</v>
      </c>
      <c r="V250" s="70" t="n">
        <v>22.49864251</v>
      </c>
      <c r="W250" s="35" t="n">
        <v>20.4750714712136</v>
      </c>
      <c r="X250" s="35" t="n">
        <v>3.4626302743521</v>
      </c>
      <c r="Y250" s="35" t="n">
        <v>8.30315544228849</v>
      </c>
      <c r="Z250" s="35"/>
      <c r="AA250" s="35" t="n">
        <v>1.30737157993637</v>
      </c>
      <c r="AB250" s="35" t="n">
        <v>0.28090178421897</v>
      </c>
      <c r="AC250" s="71" t="n">
        <v>2.55658233042597</v>
      </c>
      <c r="AD250" s="38" t="n">
        <v>6.81875046474991</v>
      </c>
      <c r="AE250" s="38" t="n">
        <v>5.73055964822736</v>
      </c>
      <c r="AF250" s="38" t="n">
        <v>1.50451900018963</v>
      </c>
      <c r="AG250" s="72"/>
      <c r="AH250" s="72"/>
      <c r="AI250" s="73" t="n">
        <v>41.1954925863785</v>
      </c>
      <c r="AJ250" s="42" t="s">
        <v>16</v>
      </c>
      <c r="AK250" s="43" t="n">
        <v>696.92613846728</v>
      </c>
      <c r="AL250" s="43" t="n">
        <v>720.120163864429</v>
      </c>
      <c r="AM250" s="43" t="n">
        <v>565.498225053454</v>
      </c>
      <c r="AN250" s="74"/>
      <c r="AO250" s="75" t="n">
        <v>21.7576923076923</v>
      </c>
      <c r="AP250" s="76" t="n">
        <v>0.870849484645789</v>
      </c>
      <c r="AQ250" s="76" t="n">
        <v>0.695033570994223</v>
      </c>
      <c r="AR250" s="76" t="n">
        <v>0.985124668592277</v>
      </c>
      <c r="AS250" s="77" t="n">
        <v>21.7658191927638</v>
      </c>
      <c r="AT250" s="78" t="n">
        <v>21.3113674934011</v>
      </c>
      <c r="AU250" s="78" t="n">
        <v>40.0249011857708</v>
      </c>
      <c r="AV250" s="78" t="n">
        <v>31.9442687747036</v>
      </c>
      <c r="AW250" s="78" t="n">
        <v>45.2770750988142</v>
      </c>
      <c r="AX250" s="78" t="n">
        <v>27.2134387351779</v>
      </c>
      <c r="AY250" s="48" t="n">
        <v>0.947229037659885</v>
      </c>
      <c r="AZ250" s="48" t="n">
        <v>21.7702942647049</v>
      </c>
      <c r="BA250" s="48" t="n">
        <v>0.728348245295077</v>
      </c>
      <c r="BB250" s="49" t="n">
        <f aca="false">AT250/V250</f>
        <v>0.947229037659885</v>
      </c>
      <c r="BC250" s="49" t="n">
        <f aca="false">AS250/V250</f>
        <v>0.967428109633258</v>
      </c>
      <c r="BD250" s="49" t="n">
        <f aca="false">SUM(AP250:AR250)/V250</f>
        <v>0.1133849619193</v>
      </c>
      <c r="BE250" s="50" t="n">
        <v>7.42</v>
      </c>
      <c r="BF250" s="51" t="n">
        <v>117.781302839475</v>
      </c>
      <c r="BG250" s="51" t="n">
        <v>625.191817142014</v>
      </c>
      <c r="BH250" s="51" t="n">
        <v>186.531177473348</v>
      </c>
      <c r="BI250" s="51" t="n">
        <v>136.583885098216</v>
      </c>
      <c r="BJ250" s="51" t="n">
        <v>10.4373929672075</v>
      </c>
      <c r="BK250" s="51" t="n">
        <v>15.1355923650678</v>
      </c>
      <c r="BL250" s="51" t="n">
        <v>21.145010576038</v>
      </c>
      <c r="BM250" s="51"/>
      <c r="BN250" s="52" t="n">
        <f aca="false">(BG250*0.5-BH250*0.25+BI250*0.5)/SUM(BG250:BI250)*1000</f>
        <v>352.475621449393</v>
      </c>
      <c r="BO250" s="53" t="n">
        <v>2.40226956</v>
      </c>
      <c r="BP250" s="54" t="s">
        <v>77</v>
      </c>
      <c r="BQ250" s="55" t="n">
        <v>500.822667505589</v>
      </c>
      <c r="BR250" s="56" t="n">
        <v>22.2601282403144</v>
      </c>
      <c r="BS250" s="56" t="n">
        <v>33.9667174822853</v>
      </c>
      <c r="BT250" s="56" t="n">
        <v>23.5002595521224</v>
      </c>
      <c r="BU250" s="55"/>
      <c r="BV250" s="55"/>
      <c r="BW250" s="55"/>
      <c r="BX250" s="55"/>
      <c r="BY250" s="79" t="n">
        <v>0.11644204851752</v>
      </c>
      <c r="BZ250" s="80" t="n">
        <v>0.4156382</v>
      </c>
      <c r="CA250" s="81" t="n">
        <v>4</v>
      </c>
      <c r="CB250" s="81" t="n">
        <v>0.058</v>
      </c>
      <c r="CC250" s="82" t="n">
        <v>4.005119</v>
      </c>
      <c r="CD250" s="82" t="n">
        <v>3.784284</v>
      </c>
      <c r="CE250" s="83" t="n">
        <v>79.89344</v>
      </c>
      <c r="CF250" s="84" t="n">
        <v>33.754036</v>
      </c>
      <c r="CG250" s="80" t="n">
        <v>0.68</v>
      </c>
      <c r="CH250" s="63" t="n">
        <v>31453.8279589234</v>
      </c>
      <c r="CI250" s="63" t="n">
        <v>3200.50932505216</v>
      </c>
      <c r="CJ250" s="64" t="n">
        <v>333048.263895378</v>
      </c>
      <c r="CK250" s="65" t="n">
        <v>0.960974631009502</v>
      </c>
    </row>
    <row r="251" customFormat="false" ht="15" hidden="false" customHeight="false" outlineLevel="0" collapsed="false">
      <c r="A251" s="7" t="s">
        <v>73</v>
      </c>
      <c r="B251" s="66" t="n">
        <v>249</v>
      </c>
      <c r="C251" s="8" t="s">
        <v>327</v>
      </c>
      <c r="D251" s="67" t="n">
        <v>41904</v>
      </c>
      <c r="E251" s="4" t="s">
        <v>78</v>
      </c>
      <c r="F251" s="7" t="n">
        <v>950</v>
      </c>
      <c r="G251" s="68" t="n">
        <v>1</v>
      </c>
      <c r="H251" s="68" t="n">
        <v>112</v>
      </c>
      <c r="I251" s="66" t="n">
        <v>3</v>
      </c>
      <c r="J251" s="69" t="n">
        <v>667.537037037037</v>
      </c>
      <c r="K251" s="31" t="n">
        <v>396.622734816217</v>
      </c>
      <c r="L251" s="31" t="n">
        <v>908.09698443913</v>
      </c>
      <c r="M251" s="31" t="n">
        <v>148.078963481839</v>
      </c>
      <c r="N251" s="31" t="n">
        <v>410.837451037105</v>
      </c>
      <c r="O251" s="32"/>
      <c r="P251" s="33" t="n">
        <v>65.5888604036004</v>
      </c>
      <c r="Q251" s="33" t="n">
        <v>13.7092448906003</v>
      </c>
      <c r="R251" s="31" t="n">
        <v>93.703155833179</v>
      </c>
      <c r="S251" s="34" t="s">
        <v>76</v>
      </c>
      <c r="T251" s="35" t="n">
        <v>15.8677287357143</v>
      </c>
      <c r="U251" s="35" t="n">
        <v>3.15193371428571</v>
      </c>
      <c r="V251" s="70" t="n">
        <v>19.01966245</v>
      </c>
      <c r="W251" s="35" t="n">
        <v>17.286091429711</v>
      </c>
      <c r="X251" s="35" t="n">
        <v>2.8759607192451</v>
      </c>
      <c r="Y251" s="35" t="n">
        <v>7.26799698520625</v>
      </c>
      <c r="Z251" s="35"/>
      <c r="AA251" s="35" t="n">
        <v>1.13896137694996</v>
      </c>
      <c r="AB251" s="35" t="n">
        <v>0.25009244388916</v>
      </c>
      <c r="AC251" s="71" t="n">
        <v>2.01786681391842</v>
      </c>
      <c r="AD251" s="38" t="n">
        <v>5.65403400445556</v>
      </c>
      <c r="AE251" s="38" t="n">
        <v>4.74655850508316</v>
      </c>
      <c r="AF251" s="38" t="n">
        <v>1.12039520673302</v>
      </c>
      <c r="AG251" s="72"/>
      <c r="AH251" s="72"/>
      <c r="AI251" s="73" t="n">
        <v>44.2325680553175</v>
      </c>
      <c r="AJ251" s="42" t="s">
        <v>16</v>
      </c>
      <c r="AK251" s="43" t="n">
        <v>702.726900684004</v>
      </c>
      <c r="AL251" s="43" t="n">
        <v>725.411697353118</v>
      </c>
      <c r="AM251" s="43" t="n">
        <v>610.427500196488</v>
      </c>
      <c r="AN251" s="74"/>
      <c r="AO251" s="75" t="n">
        <v>16.3428571428571</v>
      </c>
      <c r="AP251" s="76" t="n">
        <v>0.723220952380952</v>
      </c>
      <c r="AQ251" s="76" t="n">
        <v>0.577901587301587</v>
      </c>
      <c r="AR251" s="76" t="n">
        <v>0.750071111111111</v>
      </c>
      <c r="AS251" s="77" t="n">
        <v>17.3854571428571</v>
      </c>
      <c r="AT251" s="78" t="n">
        <v>17.3340936973006</v>
      </c>
      <c r="AU251" s="78" t="n">
        <v>44.2530303030303</v>
      </c>
      <c r="AV251" s="78" t="n">
        <v>35.3611111111111</v>
      </c>
      <c r="AW251" s="78" t="n">
        <v>45.8959595959596</v>
      </c>
      <c r="AX251" s="78" t="n">
        <v>33.4090909090909</v>
      </c>
      <c r="AY251" s="48" t="n">
        <v>0.911377567444714</v>
      </c>
      <c r="AZ251" s="48" t="n">
        <v>18.7407062864603</v>
      </c>
      <c r="BA251" s="48" t="n">
        <v>0.278956163539679</v>
      </c>
      <c r="BB251" s="49" t="n">
        <f aca="false">AT251/V251</f>
        <v>0.911377567444714</v>
      </c>
      <c r="BC251" s="49" t="n">
        <f aca="false">AS251/V251</f>
        <v>0.914078111983378</v>
      </c>
      <c r="BD251" s="49" t="n">
        <f aca="false">SUM(AP251:AR251)/V251</f>
        <v>0.107845954479263</v>
      </c>
      <c r="BE251" s="50" t="n">
        <v>6.76</v>
      </c>
      <c r="BF251" s="51" t="n">
        <v>119.695288223396</v>
      </c>
      <c r="BG251" s="51" t="n">
        <v>601.718476673043</v>
      </c>
      <c r="BH251" s="51" t="n">
        <v>202.700897329698</v>
      </c>
      <c r="BI251" s="51" t="n">
        <v>153.375555508041</v>
      </c>
      <c r="BJ251" s="51" t="n">
        <v>8.17124499651233</v>
      </c>
      <c r="BK251" s="51" t="n">
        <v>15.5514820440347</v>
      </c>
      <c r="BL251" s="51" t="n">
        <v>13.5072190705619</v>
      </c>
      <c r="BM251" s="51"/>
      <c r="BN251" s="52" t="n">
        <f aca="false">(BG251*0.5-BH251*0.25+BI251*0.5)/SUM(BG251:BI251)*1000</f>
        <v>341.275341606867</v>
      </c>
      <c r="BO251" s="53" t="n">
        <v>3.64375568</v>
      </c>
      <c r="BP251" s="54" t="s">
        <v>77</v>
      </c>
      <c r="BQ251" s="55" t="n">
        <v>456.064438108081</v>
      </c>
      <c r="BR251" s="56" t="n">
        <v>23.9785768704892</v>
      </c>
      <c r="BS251" s="56" t="n">
        <v>36.3701296411418</v>
      </c>
      <c r="BT251" s="56" t="n">
        <v>26.3102557348645</v>
      </c>
      <c r="BU251" s="55"/>
      <c r="BV251" s="55"/>
      <c r="BW251" s="55"/>
      <c r="BX251" s="55"/>
      <c r="BY251" s="79" t="n">
        <v>0.0582210242587601</v>
      </c>
      <c r="BZ251" s="80" t="n">
        <v>0.6900621</v>
      </c>
      <c r="CA251" s="81" t="n">
        <v>3.47</v>
      </c>
      <c r="CB251" s="81" t="n">
        <v>0.147</v>
      </c>
      <c r="CC251" s="82" t="n">
        <v>5.620423</v>
      </c>
      <c r="CD251" s="82" t="n">
        <v>8.799144</v>
      </c>
      <c r="CE251" s="83" t="n">
        <v>93.15131</v>
      </c>
      <c r="CF251" s="84" t="n">
        <v>36.430177</v>
      </c>
      <c r="CG251" s="80" t="n">
        <v>0.1025</v>
      </c>
      <c r="CH251" s="63" t="n">
        <v>60404.5949708508</v>
      </c>
      <c r="CI251" s="63" t="n">
        <v>2014.13173589535</v>
      </c>
      <c r="CJ251" s="64" t="n">
        <v>203843.226063991</v>
      </c>
      <c r="CK251" s="65" t="n">
        <v>0.988078816640721</v>
      </c>
    </row>
    <row r="252" customFormat="false" ht="15" hidden="false" customHeight="false" outlineLevel="0" collapsed="false">
      <c r="A252" s="7" t="s">
        <v>73</v>
      </c>
      <c r="B252" s="66" t="n">
        <v>250</v>
      </c>
      <c r="C252" s="8" t="s">
        <v>328</v>
      </c>
      <c r="D252" s="67" t="n">
        <v>41904</v>
      </c>
      <c r="E252" s="4" t="s">
        <v>78</v>
      </c>
      <c r="F252" s="7" t="n">
        <v>951</v>
      </c>
      <c r="G252" s="68" t="n">
        <v>1</v>
      </c>
      <c r="H252" s="68" t="n">
        <v>124</v>
      </c>
      <c r="I252" s="66" t="n">
        <v>3</v>
      </c>
      <c r="J252" s="69" t="n">
        <v>665.669871794872</v>
      </c>
      <c r="K252" s="31" t="n">
        <v>396.622734816217</v>
      </c>
      <c r="L252" s="31" t="n">
        <v>908.09698443913</v>
      </c>
      <c r="M252" s="31" t="n">
        <v>148.078963481839</v>
      </c>
      <c r="N252" s="31" t="n">
        <v>410.837451037105</v>
      </c>
      <c r="O252" s="32"/>
      <c r="P252" s="33" t="n">
        <v>65.5888604036004</v>
      </c>
      <c r="Q252" s="33" t="n">
        <v>13.7092448906003</v>
      </c>
      <c r="R252" s="31" t="n">
        <v>93.703155833179</v>
      </c>
      <c r="S252" s="34" t="s">
        <v>76</v>
      </c>
      <c r="T252" s="35" t="n">
        <v>12.8171510538462</v>
      </c>
      <c r="U252" s="35" t="n">
        <v>2.51973284615385</v>
      </c>
      <c r="V252" s="70" t="n">
        <v>15.3368839</v>
      </c>
      <c r="W252" s="35" t="n">
        <v>13.9299428539009</v>
      </c>
      <c r="X252" s="35" t="n">
        <v>2.30450348266291</v>
      </c>
      <c r="Y252" s="35" t="n">
        <v>5.87851783418886</v>
      </c>
      <c r="Z252" s="35"/>
      <c r="AA252" s="35" t="n">
        <v>0.913738819257988</v>
      </c>
      <c r="AB252" s="35" t="n">
        <v>0.206090331971774</v>
      </c>
      <c r="AC252" s="71" t="n">
        <v>1.60056996961677</v>
      </c>
      <c r="AD252" s="38" t="n">
        <v>3.70784275589442</v>
      </c>
      <c r="AE252" s="38" t="n">
        <v>3.07672606202962</v>
      </c>
      <c r="AF252" s="38" t="n">
        <v>0.76202245974209</v>
      </c>
      <c r="AG252" s="72"/>
      <c r="AH252" s="72"/>
      <c r="AI252" s="73" t="n">
        <v>55.582273990489</v>
      </c>
      <c r="AJ252" s="42" t="s">
        <v>16</v>
      </c>
      <c r="AK252" s="43" t="n">
        <v>758.240149689441</v>
      </c>
      <c r="AL252" s="43" t="n">
        <v>779.12859411566</v>
      </c>
      <c r="AM252" s="43" t="n">
        <v>669.333344264876</v>
      </c>
      <c r="AN252" s="74"/>
      <c r="AO252" s="75" t="n">
        <v>15.5269230769231</v>
      </c>
      <c r="AP252" s="76" t="n">
        <v>0.632101038461538</v>
      </c>
      <c r="AQ252" s="76" t="n">
        <v>0.509034646153846</v>
      </c>
      <c r="AR252" s="76" t="n">
        <v>0.699643153846154</v>
      </c>
      <c r="AS252" s="77" t="n">
        <v>15.6922848076923</v>
      </c>
      <c r="AT252" s="78" t="n">
        <v>15.4208959497795</v>
      </c>
      <c r="AU252" s="78" t="n">
        <v>40.71</v>
      </c>
      <c r="AV252" s="78" t="n">
        <v>32.784</v>
      </c>
      <c r="AW252" s="78" t="n">
        <v>45.06</v>
      </c>
      <c r="AX252" s="78" t="n">
        <v>30.06</v>
      </c>
      <c r="AY252" s="48" t="n">
        <v>1.00547777829755</v>
      </c>
      <c r="AZ252" s="48" t="n">
        <v>18.2181669839897</v>
      </c>
      <c r="BA252" s="48" t="n">
        <v>-2.88128308398973</v>
      </c>
      <c r="BB252" s="49" t="n">
        <f aca="false">AT252/V252</f>
        <v>1.00547777829755</v>
      </c>
      <c r="BC252" s="49" t="n">
        <f aca="false">AS252/V252</f>
        <v>1.02317295416785</v>
      </c>
      <c r="BD252" s="49" t="n">
        <f aca="false">SUM(AP252:AR252)/V252</f>
        <v>0.120023001443047</v>
      </c>
      <c r="BE252" s="50" t="n">
        <v>6.8</v>
      </c>
      <c r="BF252" s="51" t="n">
        <v>112.994200566188</v>
      </c>
      <c r="BG252" s="51" t="n">
        <v>610.457095471081</v>
      </c>
      <c r="BH252" s="51" t="n">
        <v>198.125399561301</v>
      </c>
      <c r="BI252" s="51" t="n">
        <v>148.363409015972</v>
      </c>
      <c r="BJ252" s="51" t="n">
        <v>9.75055299704554</v>
      </c>
      <c r="BK252" s="51" t="n">
        <v>15.5024130425039</v>
      </c>
      <c r="BL252" s="51" t="n">
        <v>12.8260055339875</v>
      </c>
      <c r="BM252" s="51"/>
      <c r="BN252" s="52" t="n">
        <f aca="false">(BG252*0.5-BH252*0.25+BI252*0.5)/SUM(BG252:BI252)*1000</f>
        <v>344.72053326907</v>
      </c>
      <c r="BO252" s="53" t="n">
        <v>6.85508142</v>
      </c>
      <c r="BP252" s="54" t="s">
        <v>77</v>
      </c>
      <c r="BQ252" s="55" t="n">
        <v>438.464034523998</v>
      </c>
      <c r="BR252" s="56" t="n">
        <v>28.588860513184</v>
      </c>
      <c r="BS252" s="56" t="n">
        <v>40.399454183242</v>
      </c>
      <c r="BT252" s="56" t="n">
        <v>28.4331102389849</v>
      </c>
      <c r="BU252" s="55"/>
      <c r="BV252" s="55"/>
      <c r="BW252" s="55"/>
      <c r="BX252" s="55"/>
      <c r="BY252" s="79" t="n">
        <v>0.0582210242587601</v>
      </c>
      <c r="BZ252" s="80" t="n">
        <v>0.7247366</v>
      </c>
      <c r="CA252" s="81" t="n">
        <v>3.46</v>
      </c>
      <c r="CB252" s="81" t="n">
        <v>0.228</v>
      </c>
      <c r="CC252" s="82" t="n">
        <v>5.0997</v>
      </c>
      <c r="CD252" s="82" t="n">
        <v>5.998392</v>
      </c>
      <c r="CE252" s="83" t="n">
        <v>94.835318</v>
      </c>
      <c r="CF252" s="84" t="n">
        <v>36.419764</v>
      </c>
      <c r="CG252" s="80" t="n">
        <v>0.113</v>
      </c>
      <c r="CH252" s="63" t="n">
        <v>57960.8941843674</v>
      </c>
      <c r="CI252" s="63" t="n">
        <v>2518.28267195027</v>
      </c>
      <c r="CJ252" s="64" t="n">
        <v>353743.312301635</v>
      </c>
      <c r="CK252" s="65" t="n">
        <v>0.711895485900508</v>
      </c>
    </row>
    <row r="253" customFormat="false" ht="15" hidden="false" customHeight="false" outlineLevel="0" collapsed="false">
      <c r="A253" s="7" t="s">
        <v>73</v>
      </c>
      <c r="B253" s="66" t="n">
        <v>251</v>
      </c>
      <c r="C253" s="8" t="s">
        <v>329</v>
      </c>
      <c r="D253" s="67" t="n">
        <v>41904</v>
      </c>
      <c r="E253" s="4" t="s">
        <v>78</v>
      </c>
      <c r="F253" s="7" t="n">
        <v>957</v>
      </c>
      <c r="G253" s="68" t="n">
        <v>1</v>
      </c>
      <c r="H253" s="68" t="n">
        <v>107</v>
      </c>
      <c r="I253" s="66" t="n">
        <v>3</v>
      </c>
      <c r="J253" s="69" t="n">
        <v>748.357142857143</v>
      </c>
      <c r="K253" s="31" t="n">
        <v>396.622734816217</v>
      </c>
      <c r="L253" s="31" t="n">
        <v>908.09698443913</v>
      </c>
      <c r="M253" s="31" t="n">
        <v>148.078963481839</v>
      </c>
      <c r="N253" s="31" t="n">
        <v>410.837451037105</v>
      </c>
      <c r="O253" s="32"/>
      <c r="P253" s="33" t="n">
        <v>65.5888604036004</v>
      </c>
      <c r="Q253" s="33" t="n">
        <v>13.7092448906003</v>
      </c>
      <c r="R253" s="31" t="n">
        <v>93.703155833179</v>
      </c>
      <c r="S253" s="34" t="s">
        <v>76</v>
      </c>
      <c r="T253" s="35" t="n">
        <v>24.2273877885714</v>
      </c>
      <c r="U253" s="35" t="n">
        <v>9.56789757142857</v>
      </c>
      <c r="V253" s="70" t="n">
        <v>33.79528536</v>
      </c>
      <c r="W253" s="35" t="n">
        <v>30.7690192503093</v>
      </c>
      <c r="X253" s="35" t="n">
        <v>5.24208058125537</v>
      </c>
      <c r="Y253" s="35" t="n">
        <v>12.1705891467619</v>
      </c>
      <c r="Z253" s="35"/>
      <c r="AA253" s="35" t="n">
        <v>1.90904156637187</v>
      </c>
      <c r="AB253" s="35" t="n">
        <v>0.413493372757209</v>
      </c>
      <c r="AC253" s="71" t="n">
        <v>3.98231980643585</v>
      </c>
      <c r="AD253" s="38" t="n">
        <v>10.547538213216</v>
      </c>
      <c r="AE253" s="38" t="n">
        <v>8.90084765452524</v>
      </c>
      <c r="AF253" s="38" t="n">
        <v>2.54022999832853</v>
      </c>
      <c r="AG253" s="72"/>
      <c r="AH253" s="72"/>
      <c r="AI253" s="73" t="n">
        <v>39.2028323954405</v>
      </c>
      <c r="AJ253" s="42" t="s">
        <v>16</v>
      </c>
      <c r="AK253" s="43" t="n">
        <v>687.899122588857</v>
      </c>
      <c r="AL253" s="43" t="n">
        <v>710.720462614818</v>
      </c>
      <c r="AM253" s="43" t="n">
        <v>515.415690592036</v>
      </c>
      <c r="AN253" s="74"/>
      <c r="AO253" s="75" t="n">
        <v>39.2357142857143</v>
      </c>
      <c r="AP253" s="76" t="n">
        <v>1.65574714285714</v>
      </c>
      <c r="AQ253" s="76" t="n">
        <v>1.39286785714286</v>
      </c>
      <c r="AR253" s="76" t="n">
        <v>1.76560714285714</v>
      </c>
      <c r="AS253" s="77" t="n">
        <v>40.5304928571429</v>
      </c>
      <c r="AT253" s="78" t="n">
        <v>40.489757688808</v>
      </c>
      <c r="AU253" s="78" t="n">
        <v>42.2</v>
      </c>
      <c r="AV253" s="78" t="n">
        <v>35.5</v>
      </c>
      <c r="AW253" s="78" t="n">
        <v>45</v>
      </c>
      <c r="AX253" s="78" t="n">
        <v>32</v>
      </c>
      <c r="AY253" s="48" t="n">
        <v>1.19808894221475</v>
      </c>
      <c r="AZ253" s="48" t="n">
        <v>28.1677764101024</v>
      </c>
      <c r="BA253" s="48" t="n">
        <v>5.62750894989756</v>
      </c>
      <c r="BB253" s="49" t="n">
        <f aca="false">AT253/V253</f>
        <v>1.19808894221475</v>
      </c>
      <c r="BC253" s="49" t="n">
        <f aca="false">AS253/V253</f>
        <v>1.19929429283987</v>
      </c>
      <c r="BD253" s="49" t="n">
        <f aca="false">SUM(AP253:AR253)/V253</f>
        <v>0.142452477958811</v>
      </c>
      <c r="BE253" s="50" t="n">
        <v>6.61</v>
      </c>
      <c r="BF253" s="51" t="n">
        <v>119.250987210048</v>
      </c>
      <c r="BG253" s="51" t="n">
        <v>615.099239624653</v>
      </c>
      <c r="BH253" s="51" t="n">
        <v>197.991592711489</v>
      </c>
      <c r="BI253" s="51" t="n">
        <v>147.532850146064</v>
      </c>
      <c r="BJ253" s="51" t="n">
        <v>8.95480872557111</v>
      </c>
      <c r="BK253" s="51" t="n">
        <v>12.2622466351672</v>
      </c>
      <c r="BL253" s="51" t="n">
        <v>13.1841377789462</v>
      </c>
      <c r="BM253" s="51"/>
      <c r="BN253" s="52" t="n">
        <f aca="false">(BG253*0.5-BH253*0.25+BI253*0.5)/SUM(BG253:BI253)*1000</f>
        <v>345.419494395645</v>
      </c>
      <c r="BO253" s="53" t="n">
        <v>6.99425136</v>
      </c>
      <c r="BP253" s="54" t="s">
        <v>77</v>
      </c>
      <c r="BQ253" s="55" t="n">
        <v>452.032310847465</v>
      </c>
      <c r="BR253" s="56" t="n">
        <v>13.3756027218663</v>
      </c>
      <c r="BS253" s="56" t="n">
        <v>20.6707867124388</v>
      </c>
      <c r="BT253" s="56" t="n">
        <v>11.1641149922815</v>
      </c>
      <c r="BU253" s="55"/>
      <c r="BV253" s="55"/>
      <c r="BW253" s="55"/>
      <c r="BX253" s="55"/>
      <c r="BY253" s="79" t="n">
        <v>0.0582210242587601</v>
      </c>
      <c r="BZ253" s="80" t="n">
        <v>0.6920435</v>
      </c>
      <c r="CA253" s="81" t="n">
        <v>3.06</v>
      </c>
      <c r="CB253" s="81" t="n">
        <v>0.163</v>
      </c>
      <c r="CC253" s="82" t="n">
        <v>4.770263</v>
      </c>
      <c r="CD253" s="82" t="n">
        <v>8.363892</v>
      </c>
      <c r="CE253" s="83" t="n">
        <v>90.521894</v>
      </c>
      <c r="CF253" s="84" t="n">
        <v>37.79428</v>
      </c>
      <c r="CG253" s="80" t="n">
        <v>0.2705</v>
      </c>
      <c r="CH253" s="63" t="n">
        <v>37537.587209144</v>
      </c>
      <c r="CI253" s="63" t="n">
        <v>10024.359709033</v>
      </c>
      <c r="CJ253" s="64" t="n">
        <v>441178.579973587</v>
      </c>
      <c r="CK253" s="65" t="n">
        <v>2.27217733681293</v>
      </c>
    </row>
    <row r="254" customFormat="false" ht="15" hidden="false" customHeight="false" outlineLevel="0" collapsed="false">
      <c r="A254" s="7" t="s">
        <v>73</v>
      </c>
      <c r="B254" s="66" t="n">
        <v>252</v>
      </c>
      <c r="C254" s="8" t="s">
        <v>330</v>
      </c>
      <c r="D254" s="67" t="n">
        <v>41904</v>
      </c>
      <c r="E254" s="4" t="s">
        <v>78</v>
      </c>
      <c r="F254" s="7" t="n">
        <v>986</v>
      </c>
      <c r="G254" s="68" t="n">
        <v>1</v>
      </c>
      <c r="H254" s="68" t="n">
        <v>92</v>
      </c>
      <c r="I254" s="66" t="n">
        <v>2</v>
      </c>
      <c r="J254" s="69" t="n">
        <v>668.060833333333</v>
      </c>
      <c r="K254" s="31" t="n">
        <v>396.622734816217</v>
      </c>
      <c r="L254" s="31" t="n">
        <v>908.09698443913</v>
      </c>
      <c r="M254" s="31" t="n">
        <v>148.078963481839</v>
      </c>
      <c r="N254" s="31" t="n">
        <v>410.837451037105</v>
      </c>
      <c r="O254" s="32"/>
      <c r="P254" s="33" t="n">
        <v>65.5888604036004</v>
      </c>
      <c r="Q254" s="33" t="n">
        <v>13.7092448906003</v>
      </c>
      <c r="R254" s="31" t="n">
        <v>93.703155833179</v>
      </c>
      <c r="S254" s="34" t="s">
        <v>76</v>
      </c>
      <c r="T254" s="35" t="n">
        <v>19.99188215</v>
      </c>
      <c r="U254" s="35" t="n">
        <v>7.1621913</v>
      </c>
      <c r="V254" s="70" t="n">
        <v>27.15407345</v>
      </c>
      <c r="W254" s="35" t="n">
        <v>24.7203549166664</v>
      </c>
      <c r="X254" s="35" t="n">
        <v>4.20240674492744</v>
      </c>
      <c r="Y254" s="35" t="n">
        <v>9.86955129142828</v>
      </c>
      <c r="Z254" s="35"/>
      <c r="AA254" s="35" t="n">
        <v>1.55213208192216</v>
      </c>
      <c r="AB254" s="35" t="n">
        <v>0.333892597968134</v>
      </c>
      <c r="AC254" s="71" t="n">
        <v>3.16114042347435</v>
      </c>
      <c r="AD254" s="38" t="n">
        <v>9.09021237464677</v>
      </c>
      <c r="AE254" s="38" t="n">
        <v>7.65357117572108</v>
      </c>
      <c r="AF254" s="38" t="n">
        <v>2.03361902734758</v>
      </c>
      <c r="AG254" s="72"/>
      <c r="AH254" s="72"/>
      <c r="AI254" s="73" t="n">
        <v>36.7310007959092</v>
      </c>
      <c r="AJ254" s="42" t="s">
        <v>16</v>
      </c>
      <c r="AK254" s="43" t="n">
        <v>665.235774242676</v>
      </c>
      <c r="AL254" s="43" t="n">
        <v>690.393960704785</v>
      </c>
      <c r="AM254" s="43" t="n">
        <v>516.08229503194</v>
      </c>
      <c r="AN254" s="74"/>
      <c r="AO254" s="75" t="n">
        <v>29.915</v>
      </c>
      <c r="AP254" s="76" t="n">
        <v>1.1038635</v>
      </c>
      <c r="AQ254" s="76" t="n">
        <v>0.951297</v>
      </c>
      <c r="AR254" s="76" t="n">
        <v>1.31626</v>
      </c>
      <c r="AS254" s="77" t="n">
        <v>28.5239525</v>
      </c>
      <c r="AT254" s="78" t="n">
        <v>27.9266052070064</v>
      </c>
      <c r="AU254" s="78" t="n">
        <v>36.9</v>
      </c>
      <c r="AV254" s="78" t="n">
        <v>31.8</v>
      </c>
      <c r="AW254" s="78" t="n">
        <v>44</v>
      </c>
      <c r="AX254" s="78" t="n">
        <v>40</v>
      </c>
      <c r="AY254" s="48" t="n">
        <v>1.02844993987473</v>
      </c>
      <c r="AZ254" s="48" t="n">
        <v>22.4062207611678</v>
      </c>
      <c r="BA254" s="48" t="n">
        <v>4.74785268883219</v>
      </c>
      <c r="BB254" s="49" t="n">
        <f aca="false">AT254/V254</f>
        <v>1.02844993987473</v>
      </c>
      <c r="BC254" s="49" t="n">
        <f aca="false">AS254/V254</f>
        <v>1.05044838125383</v>
      </c>
      <c r="BD254" s="49" t="n">
        <f aca="false">SUM(AP254:AR254)/V254</f>
        <v>0.124158922461779</v>
      </c>
      <c r="BE254" s="50" t="n">
        <v>6.96</v>
      </c>
      <c r="BF254" s="51" t="n">
        <v>93.8973525554003</v>
      </c>
      <c r="BG254" s="51" t="n">
        <v>570.122534398446</v>
      </c>
      <c r="BH254" s="51" t="n">
        <v>221.554258418136</v>
      </c>
      <c r="BI254" s="51" t="n">
        <v>160.339289933741</v>
      </c>
      <c r="BJ254" s="51" t="n">
        <v>10.2833010076391</v>
      </c>
      <c r="BK254" s="51" t="n">
        <v>17.0088847500467</v>
      </c>
      <c r="BL254" s="51" t="n">
        <v>15.7166071138814</v>
      </c>
      <c r="BM254" s="51"/>
      <c r="BN254" s="52" t="n">
        <f aca="false">(BG254*0.5-BH254*0.25+BI254*0.5)/SUM(BG254:BI254)*1000</f>
        <v>325.459152608474</v>
      </c>
      <c r="BO254" s="53" t="n">
        <v>6.56217944</v>
      </c>
      <c r="BP254" s="54" t="s">
        <v>77</v>
      </c>
      <c r="BQ254" s="55" t="n">
        <v>311.029297893199</v>
      </c>
      <c r="BR254" s="56" t="n">
        <v>11.4542408698242</v>
      </c>
      <c r="BS254" s="56" t="n">
        <v>18.2242479083508</v>
      </c>
      <c r="BT254" s="56" t="n">
        <v>11.137382993303</v>
      </c>
      <c r="BU254" s="55"/>
      <c r="BV254" s="55"/>
      <c r="BW254" s="55"/>
      <c r="BX254" s="55"/>
      <c r="BY254" s="79" t="n">
        <v>0.0388140161725067</v>
      </c>
      <c r="BZ254" s="80" t="n">
        <v>0.7118575</v>
      </c>
      <c r="CA254" s="81" t="n">
        <v>3.3</v>
      </c>
      <c r="CB254" s="81" t="n">
        <v>0.314</v>
      </c>
      <c r="CC254" s="82" t="n">
        <v>5.577915</v>
      </c>
      <c r="CD254" s="82" t="n">
        <v>7.922332</v>
      </c>
      <c r="CE254" s="83" t="n">
        <v>87.153878</v>
      </c>
      <c r="CF254" s="84" t="n">
        <v>37.013305</v>
      </c>
      <c r="CG254" s="80" t="n">
        <v>0.7535</v>
      </c>
      <c r="CH254" s="63" t="n">
        <v>71337.1995465537</v>
      </c>
      <c r="CI254" s="63" t="n">
        <v>2917.55815722945</v>
      </c>
      <c r="CJ254" s="64" t="n">
        <v>201116.203831318</v>
      </c>
      <c r="CK254" s="65" t="n">
        <v>1.45068279017264</v>
      </c>
    </row>
    <row r="255" customFormat="false" ht="15" hidden="false" customHeight="false" outlineLevel="0" collapsed="false">
      <c r="A255" s="7" t="s">
        <v>73</v>
      </c>
      <c r="B255" s="66" t="n">
        <v>253</v>
      </c>
      <c r="C255" s="8" t="s">
        <v>331</v>
      </c>
      <c r="D255" s="67" t="n">
        <v>41904</v>
      </c>
      <c r="E255" s="4" t="s">
        <v>78</v>
      </c>
      <c r="F255" s="7" t="n">
        <v>993</v>
      </c>
      <c r="G255" s="68" t="n">
        <v>1</v>
      </c>
      <c r="H255" s="68" t="n">
        <v>125</v>
      </c>
      <c r="I255" s="66" t="n">
        <v>2</v>
      </c>
      <c r="J255" s="69" t="n">
        <v>569.507936507937</v>
      </c>
      <c r="K255" s="31" t="n">
        <v>396.622734816217</v>
      </c>
      <c r="L255" s="31" t="n">
        <v>908.09698443913</v>
      </c>
      <c r="M255" s="31" t="n">
        <v>148.078963481839</v>
      </c>
      <c r="N255" s="31" t="n">
        <v>410.837451037105</v>
      </c>
      <c r="O255" s="32"/>
      <c r="P255" s="33" t="n">
        <v>65.5888604036004</v>
      </c>
      <c r="Q255" s="33" t="n">
        <v>13.7092448906003</v>
      </c>
      <c r="R255" s="31" t="n">
        <v>93.703155833179</v>
      </c>
      <c r="S255" s="34" t="s">
        <v>76</v>
      </c>
      <c r="T255" s="35" t="n">
        <v>16.3820564085714</v>
      </c>
      <c r="U255" s="35" t="n">
        <v>5.03964457142857</v>
      </c>
      <c r="V255" s="70" t="n">
        <v>21.42170098</v>
      </c>
      <c r="W255" s="35" t="n">
        <v>19.4847966464431</v>
      </c>
      <c r="X255" s="35" t="n">
        <v>3.28126471381489</v>
      </c>
      <c r="Y255" s="35" t="n">
        <v>7.9140353527557</v>
      </c>
      <c r="Z255" s="35"/>
      <c r="AA255" s="35" t="n">
        <v>1.23687076290869</v>
      </c>
      <c r="AB255" s="35" t="n">
        <v>0.272361601072976</v>
      </c>
      <c r="AC255" s="71" t="n">
        <v>2.40863461301923</v>
      </c>
      <c r="AD255" s="38" t="n">
        <v>7.76196314184935</v>
      </c>
      <c r="AE255" s="38" t="n">
        <v>6.70395333587363</v>
      </c>
      <c r="AF255" s="38" t="n">
        <v>1.71719877045485</v>
      </c>
      <c r="AG255" s="72"/>
      <c r="AH255" s="72"/>
      <c r="AI255" s="73" t="n">
        <v>35.0892675081788</v>
      </c>
      <c r="AJ255" s="42" t="s">
        <v>16</v>
      </c>
      <c r="AK255" s="43" t="n">
        <v>637.658879232038</v>
      </c>
      <c r="AL255" s="43" t="n">
        <v>655.939271139511</v>
      </c>
      <c r="AM255" s="43" t="n">
        <v>476.665578602958</v>
      </c>
      <c r="AN255" s="74"/>
      <c r="AO255" s="75" t="n">
        <v>24.4714285714286</v>
      </c>
      <c r="AP255" s="76" t="n">
        <v>0.718646508369015</v>
      </c>
      <c r="AQ255" s="76" t="n">
        <v>0.752193036200856</v>
      </c>
      <c r="AR255" s="76" t="n">
        <v>1.09234589334371</v>
      </c>
      <c r="AS255" s="77" t="n">
        <v>20.5682690541067</v>
      </c>
      <c r="AT255" s="78" t="n">
        <v>20.4780867496585</v>
      </c>
      <c r="AU255" s="78" t="n">
        <v>29.366757493188</v>
      </c>
      <c r="AV255" s="78" t="n">
        <v>30.7376021798365</v>
      </c>
      <c r="AW255" s="78" t="n">
        <v>44.6376021798365</v>
      </c>
      <c r="AX255" s="78" t="n">
        <v>39.3378746594005</v>
      </c>
      <c r="AY255" s="48" t="n">
        <v>0.955950546073698</v>
      </c>
      <c r="AZ255" s="48" t="n">
        <v>18.6327857582427</v>
      </c>
      <c r="BA255" s="48" t="n">
        <v>2.78891522175726</v>
      </c>
      <c r="BB255" s="49" t="n">
        <f aca="false">AT255/V255</f>
        <v>0.955950546073698</v>
      </c>
      <c r="BC255" s="49" t="n">
        <f aca="false">AS255/V255</f>
        <v>0.960160403382993</v>
      </c>
      <c r="BD255" s="49" t="n">
        <f aca="false">SUM(AP255:AR255)/V255</f>
        <v>0.11965368391178</v>
      </c>
      <c r="BE255" s="50" t="n">
        <v>6.77</v>
      </c>
      <c r="BF255" s="51" t="n">
        <v>116.136569809932</v>
      </c>
      <c r="BG255" s="51" t="n">
        <v>577.542075380576</v>
      </c>
      <c r="BH255" s="51" t="n">
        <v>199.789353577698</v>
      </c>
      <c r="BI255" s="51" t="n">
        <v>176.646310952403</v>
      </c>
      <c r="BJ255" s="51" t="n">
        <v>9.27957610793252</v>
      </c>
      <c r="BK255" s="51" t="n">
        <v>16.1679638090228</v>
      </c>
      <c r="BL255" s="51" t="n">
        <v>15.5995957942586</v>
      </c>
      <c r="BM255" s="51"/>
      <c r="BN255" s="52" t="n">
        <f aca="false">(BG255*0.5-BH255*0.25+BI255*0.5)/SUM(BG255:BI255)*1000</f>
        <v>342.929233131474</v>
      </c>
      <c r="BO255" s="53" t="n">
        <v>6.1642216</v>
      </c>
      <c r="BP255" s="54" t="s">
        <v>77</v>
      </c>
      <c r="BQ255" s="55" t="n">
        <v>390.920832610276</v>
      </c>
      <c r="BR255" s="56" t="n">
        <v>18.2488231431879</v>
      </c>
      <c r="BS255" s="56" t="n">
        <v>30.5864662535212</v>
      </c>
      <c r="BT255" s="56" t="n">
        <v>19.0897146490893</v>
      </c>
      <c r="BU255" s="55"/>
      <c r="BV255" s="55"/>
      <c r="BW255" s="55"/>
      <c r="BX255" s="55"/>
      <c r="BY255" s="79" t="n">
        <v>0.0388140161725067</v>
      </c>
      <c r="BZ255" s="80" t="n">
        <v>0.7227552</v>
      </c>
      <c r="CA255" s="81" t="n">
        <v>3.58</v>
      </c>
      <c r="CB255" s="81" t="n">
        <v>0.03</v>
      </c>
      <c r="CC255" s="82" t="n">
        <v>3.250602</v>
      </c>
      <c r="CD255" s="82" t="n">
        <v>5.260356</v>
      </c>
      <c r="CE255" s="83" t="n">
        <v>71.052398</v>
      </c>
      <c r="CF255" s="84" t="n">
        <v>30.9217</v>
      </c>
      <c r="CG255" s="80" t="n">
        <v>0.827</v>
      </c>
      <c r="CH255" s="63" t="n">
        <v>40516.5796266254</v>
      </c>
      <c r="CI255" s="63" t="n">
        <v>2821.96472942188</v>
      </c>
      <c r="CJ255" s="64" t="n">
        <v>304312.855514187</v>
      </c>
      <c r="CK255" s="65" t="n">
        <v>0.927323535068443</v>
      </c>
    </row>
    <row r="256" customFormat="false" ht="15" hidden="false" customHeight="false" outlineLevel="0" collapsed="false">
      <c r="A256" s="7" t="s">
        <v>73</v>
      </c>
      <c r="B256" s="66" t="n">
        <v>254</v>
      </c>
      <c r="C256" s="8" t="s">
        <v>332</v>
      </c>
      <c r="D256" s="67" t="n">
        <v>41904</v>
      </c>
      <c r="E256" s="4" t="s">
        <v>78</v>
      </c>
      <c r="F256" s="7" t="n">
        <v>1863</v>
      </c>
      <c r="G256" s="68" t="n">
        <v>1</v>
      </c>
      <c r="H256" s="68" t="n">
        <v>155</v>
      </c>
      <c r="I256" s="66" t="n">
        <v>2</v>
      </c>
      <c r="J256" s="69" t="n">
        <v>626.410714285714</v>
      </c>
      <c r="K256" s="31" t="n">
        <v>396.622734816217</v>
      </c>
      <c r="L256" s="31" t="n">
        <v>908.09698443913</v>
      </c>
      <c r="M256" s="31" t="n">
        <v>148.078963481839</v>
      </c>
      <c r="N256" s="31" t="n">
        <v>410.837451037105</v>
      </c>
      <c r="O256" s="32"/>
      <c r="P256" s="33" t="n">
        <v>65.5888604036004</v>
      </c>
      <c r="Q256" s="33" t="n">
        <v>13.7092448906003</v>
      </c>
      <c r="R256" s="31" t="n">
        <v>93.703155833179</v>
      </c>
      <c r="S256" s="34" t="s">
        <v>76</v>
      </c>
      <c r="T256" s="35" t="n">
        <v>21.6665766528571</v>
      </c>
      <c r="U256" s="35" t="n">
        <v>6.49125685714286</v>
      </c>
      <c r="V256" s="70" t="n">
        <v>28.15783351</v>
      </c>
      <c r="W256" s="35" t="n">
        <v>25.601423199917</v>
      </c>
      <c r="X256" s="35" t="n">
        <v>4.29497391635359</v>
      </c>
      <c r="Y256" s="35" t="n">
        <v>10.4411207435988</v>
      </c>
      <c r="Z256" s="35"/>
      <c r="AA256" s="35" t="n">
        <v>1.6244121472753</v>
      </c>
      <c r="AB256" s="35" t="n">
        <v>0.363238787618338</v>
      </c>
      <c r="AC256" s="71" t="n">
        <v>3.12866287682873</v>
      </c>
      <c r="AD256" s="38" t="n">
        <v>7.8356836081584</v>
      </c>
      <c r="AE256" s="38" t="n">
        <v>6.65644688480173</v>
      </c>
      <c r="AF256" s="38" t="n">
        <v>1.73745867874735</v>
      </c>
      <c r="AG256" s="72"/>
      <c r="AH256" s="72"/>
      <c r="AI256" s="73" t="n">
        <v>46.3570003311695</v>
      </c>
      <c r="AJ256" s="42" t="s">
        <v>16</v>
      </c>
      <c r="AK256" s="43" t="n">
        <v>721.722780789381</v>
      </c>
      <c r="AL256" s="43" t="n">
        <v>739.996998103476</v>
      </c>
      <c r="AM256" s="43" t="n">
        <v>595.467001060988</v>
      </c>
      <c r="AN256" s="74"/>
      <c r="AO256" s="75" t="n">
        <v>33.5714285714286</v>
      </c>
      <c r="AP256" s="76" t="n">
        <v>1.52104395604396</v>
      </c>
      <c r="AQ256" s="76" t="n">
        <v>1.0896510989011</v>
      </c>
      <c r="AR256" s="76" t="n">
        <v>1.5596510989011</v>
      </c>
      <c r="AS256" s="77" t="n">
        <v>36.2442307692308</v>
      </c>
      <c r="AT256" s="78" t="n">
        <v>35.3876107825296</v>
      </c>
      <c r="AU256" s="78" t="n">
        <v>45.3076923076923</v>
      </c>
      <c r="AV256" s="78" t="n">
        <v>32.4576923076923</v>
      </c>
      <c r="AW256" s="78" t="n">
        <v>46.4576923076923</v>
      </c>
      <c r="AX256" s="78" t="n">
        <v>28</v>
      </c>
      <c r="AY256" s="48" t="n">
        <v>1.2567590034923</v>
      </c>
      <c r="AZ256" s="48" t="n">
        <v>25.4230700322263</v>
      </c>
      <c r="BA256" s="48" t="n">
        <v>2.73476347777374</v>
      </c>
      <c r="BB256" s="49" t="n">
        <f aca="false">AT256/V256</f>
        <v>1.2567590034923</v>
      </c>
      <c r="BC256" s="49" t="n">
        <f aca="false">AS256/V256</f>
        <v>1.28718108786171</v>
      </c>
      <c r="BD256" s="49" t="n">
        <f aca="false">SUM(AP256:AR256)/V256</f>
        <v>0.148106073301594</v>
      </c>
      <c r="BE256" s="50" t="n">
        <v>6.52</v>
      </c>
      <c r="BF256" s="51" t="n">
        <v>144.045848344051</v>
      </c>
      <c r="BG256" s="51" t="n">
        <v>583.070979264467</v>
      </c>
      <c r="BH256" s="51" t="n">
        <v>200.136177577067</v>
      </c>
      <c r="BI256" s="51" t="n">
        <v>165.022946542183</v>
      </c>
      <c r="BJ256" s="51" t="n">
        <v>9.44629210280946</v>
      </c>
      <c r="BK256" s="51" t="n">
        <v>17.5958476588588</v>
      </c>
      <c r="BL256" s="51" t="n">
        <v>19.7526324765061</v>
      </c>
      <c r="BM256" s="51"/>
      <c r="BN256" s="52" t="n">
        <f aca="false">(BG256*0.5-BH256*0.25+BI256*0.5)/SUM(BG256:BI256)*1000</f>
        <v>341.702839166182</v>
      </c>
      <c r="BO256" s="53" t="n">
        <v>7.47947246</v>
      </c>
      <c r="BP256" s="54" t="s">
        <v>77</v>
      </c>
      <c r="BQ256" s="55" t="n">
        <v>337.671495819787</v>
      </c>
      <c r="BR256" s="56" t="n">
        <v>11.9920978899128</v>
      </c>
      <c r="BS256" s="56" t="n">
        <v>17.8238014238305</v>
      </c>
      <c r="BT256" s="56" t="n">
        <v>9.54208233765507</v>
      </c>
      <c r="BU256" s="55"/>
      <c r="BV256" s="55"/>
      <c r="BW256" s="55"/>
      <c r="BX256" s="55"/>
      <c r="BY256" s="79" t="n">
        <v>0.0388140161725067</v>
      </c>
      <c r="BZ256" s="80" t="n">
        <v>0.7821972</v>
      </c>
      <c r="CA256" s="81" t="n">
        <v>3.42</v>
      </c>
      <c r="CB256" s="81" t="n">
        <v>0.082</v>
      </c>
      <c r="CC256" s="82" t="n">
        <v>5.354748</v>
      </c>
      <c r="CD256" s="82" t="n">
        <v>8.225116</v>
      </c>
      <c r="CE256" s="83" t="n">
        <v>90.100892</v>
      </c>
      <c r="CF256" s="84" t="n">
        <v>36.398938</v>
      </c>
      <c r="CG256" s="80" t="n">
        <v>0.1025</v>
      </c>
      <c r="CH256" s="63" t="n">
        <v>26128.6486768561</v>
      </c>
      <c r="CI256" s="63" t="n">
        <v>2271.88423707981</v>
      </c>
      <c r="CJ256" s="64" t="n">
        <v>200428.993237921</v>
      </c>
      <c r="CK256" s="65" t="n">
        <v>1.1335107762493</v>
      </c>
    </row>
    <row r="257" customFormat="false" ht="15" hidden="false" customHeight="false" outlineLevel="0" collapsed="false">
      <c r="A257" s="7" t="s">
        <v>73</v>
      </c>
      <c r="B257" s="66" t="n">
        <v>255</v>
      </c>
      <c r="C257" s="8" t="s">
        <v>333</v>
      </c>
      <c r="D257" s="67" t="n">
        <v>41904</v>
      </c>
      <c r="E257" s="4" t="s">
        <v>78</v>
      </c>
      <c r="F257" s="7" t="n">
        <v>1879</v>
      </c>
      <c r="G257" s="68" t="n">
        <v>1</v>
      </c>
      <c r="H257" s="68" t="n">
        <v>89</v>
      </c>
      <c r="I257" s="66" t="n">
        <v>2</v>
      </c>
      <c r="J257" s="69" t="n">
        <v>518.99880952381</v>
      </c>
      <c r="K257" s="31" t="n">
        <v>396.622734816217</v>
      </c>
      <c r="L257" s="31" t="n">
        <v>908.09698443913</v>
      </c>
      <c r="M257" s="31" t="n">
        <v>148.078963481839</v>
      </c>
      <c r="N257" s="31" t="n">
        <v>410.837451037105</v>
      </c>
      <c r="O257" s="32"/>
      <c r="P257" s="33" t="n">
        <v>65.5888604036004</v>
      </c>
      <c r="Q257" s="33" t="n">
        <v>13.7092448906003</v>
      </c>
      <c r="R257" s="31" t="n">
        <v>93.703155833179</v>
      </c>
      <c r="S257" s="34" t="s">
        <v>76</v>
      </c>
      <c r="T257" s="35" t="n">
        <v>21.8672442185714</v>
      </c>
      <c r="U257" s="35" t="n">
        <v>7.99354257142857</v>
      </c>
      <c r="V257" s="70" t="n">
        <v>29.86078679</v>
      </c>
      <c r="W257" s="35" t="n">
        <v>27.171348058913</v>
      </c>
      <c r="X257" s="35" t="n">
        <v>4.60186509849007</v>
      </c>
      <c r="Y257" s="35" t="n">
        <v>10.8544472593774</v>
      </c>
      <c r="Z257" s="35"/>
      <c r="AA257" s="35" t="n">
        <v>1.6944939465088</v>
      </c>
      <c r="AB257" s="35" t="n">
        <v>0.373424383949532</v>
      </c>
      <c r="AC257" s="71" t="n">
        <v>3.44691006507662</v>
      </c>
      <c r="AD257" s="38" t="n">
        <v>9.17215031104921</v>
      </c>
      <c r="AE257" s="38" t="n">
        <v>7.86346785388735</v>
      </c>
      <c r="AF257" s="38" t="n">
        <v>1.91983148458883</v>
      </c>
      <c r="AG257" s="72"/>
      <c r="AH257" s="72"/>
      <c r="AI257" s="73" t="n">
        <v>40.7128504533651</v>
      </c>
      <c r="AJ257" s="42" t="s">
        <v>16</v>
      </c>
      <c r="AK257" s="43" t="n">
        <v>692.836281389583</v>
      </c>
      <c r="AL257" s="43" t="n">
        <v>710.597065819563</v>
      </c>
      <c r="AM257" s="43" t="n">
        <v>582.814479890174</v>
      </c>
      <c r="AN257" s="74"/>
      <c r="AO257" s="75" t="n">
        <v>37.1214285714286</v>
      </c>
      <c r="AP257" s="76" t="n">
        <v>1.42321645309626</v>
      </c>
      <c r="AQ257" s="76" t="n">
        <v>1.06167285714286</v>
      </c>
      <c r="AR257" s="76" t="n">
        <v>1.71328935009197</v>
      </c>
      <c r="AS257" s="77" t="n">
        <v>36.1968182250153</v>
      </c>
      <c r="AT257" s="78" t="n">
        <v>34.8114308020362</v>
      </c>
      <c r="AU257" s="78" t="n">
        <v>38.3394849785408</v>
      </c>
      <c r="AV257" s="78" t="n">
        <v>28.6</v>
      </c>
      <c r="AW257" s="78" t="n">
        <v>46.1536480686695</v>
      </c>
      <c r="AX257" s="78" t="n">
        <v>33.3905579399142</v>
      </c>
      <c r="AY257" s="48" t="n">
        <v>1.16579080942683</v>
      </c>
      <c r="AZ257" s="48" t="n">
        <v>22.9584900220772</v>
      </c>
      <c r="BA257" s="48" t="n">
        <v>6.90229676792282</v>
      </c>
      <c r="BB257" s="49" t="n">
        <f aca="false">AT257/V257</f>
        <v>1.16579080942683</v>
      </c>
      <c r="BC257" s="49" t="n">
        <f aca="false">AS257/V257</f>
        <v>1.21218568283463</v>
      </c>
      <c r="BD257" s="49" t="n">
        <f aca="false">SUM(AP257:AR257)/V257</f>
        <v>0.140591696054606</v>
      </c>
      <c r="BE257" s="50" t="n">
        <v>6.99</v>
      </c>
      <c r="BF257" s="51" t="n">
        <v>104.768821086699</v>
      </c>
      <c r="BG257" s="51" t="n">
        <v>583.628479003824</v>
      </c>
      <c r="BH257" s="51" t="n">
        <v>218.962589785531</v>
      </c>
      <c r="BI257" s="51" t="n">
        <v>158.286661473587</v>
      </c>
      <c r="BJ257" s="51" t="n">
        <v>7.91822449666762</v>
      </c>
      <c r="BK257" s="51" t="n">
        <v>15.4855403380276</v>
      </c>
      <c r="BL257" s="51" t="n">
        <v>10.7433805242534</v>
      </c>
      <c r="BM257" s="51"/>
      <c r="BN257" s="52" t="n">
        <f aca="false">(BG257*0.5-BH257*0.25+BI257*0.5)/SUM(BG257:BI257)*1000</f>
        <v>329.091738556362</v>
      </c>
      <c r="BO257" s="53" t="n">
        <v>3.59576536</v>
      </c>
      <c r="BP257" s="54" t="s">
        <v>77</v>
      </c>
      <c r="BQ257" s="55" t="n">
        <v>380.226155680815</v>
      </c>
      <c r="BR257" s="56" t="n">
        <v>12.7332932770595</v>
      </c>
      <c r="BS257" s="56" t="n">
        <v>19.692796497766</v>
      </c>
      <c r="BT257" s="56" t="n">
        <v>10.9224512443359</v>
      </c>
      <c r="BU257" s="55"/>
      <c r="BV257" s="55"/>
      <c r="BW257" s="55"/>
      <c r="BX257" s="55"/>
      <c r="BY257" s="79" t="n">
        <v>0.0776280323450135</v>
      </c>
      <c r="BZ257" s="80" t="n">
        <v>0.6553876</v>
      </c>
      <c r="CA257" s="81" t="n">
        <v>3.47</v>
      </c>
      <c r="CB257" s="81" t="n">
        <v>0.03</v>
      </c>
      <c r="CC257" s="82" t="n">
        <v>5.120954</v>
      </c>
      <c r="CD257" s="82" t="n">
        <v>8.231424</v>
      </c>
      <c r="CE257" s="83" t="n">
        <v>77.78843</v>
      </c>
      <c r="CF257" s="84" t="n">
        <v>35.722093</v>
      </c>
      <c r="CG257" s="80" t="n">
        <v>0.5435</v>
      </c>
      <c r="CH257" s="63" t="n">
        <v>79978.9499125741</v>
      </c>
      <c r="CI257" s="63" t="n">
        <v>2154.08273620247</v>
      </c>
      <c r="CJ257" s="64" t="n">
        <v>232367.825558707</v>
      </c>
      <c r="CK257" s="65" t="n">
        <v>0.927014198727029</v>
      </c>
    </row>
    <row r="258" customFormat="false" ht="15" hidden="false" customHeight="false" outlineLevel="0" collapsed="false">
      <c r="A258" s="7" t="s">
        <v>73</v>
      </c>
      <c r="B258" s="66" t="n">
        <v>256</v>
      </c>
      <c r="C258" s="8" t="s">
        <v>334</v>
      </c>
      <c r="D258" s="67" t="n">
        <v>41904</v>
      </c>
      <c r="E258" s="4" t="s">
        <v>78</v>
      </c>
      <c r="F258" s="7" t="n">
        <v>1915</v>
      </c>
      <c r="G258" s="68" t="n">
        <v>1</v>
      </c>
      <c r="H258" s="68" t="n">
        <v>170</v>
      </c>
      <c r="I258" s="66" t="n">
        <v>2</v>
      </c>
      <c r="J258" s="69" t="n">
        <v>592.623717948718</v>
      </c>
      <c r="K258" s="31" t="n">
        <v>396.622734816217</v>
      </c>
      <c r="L258" s="31" t="n">
        <v>908.09698443913</v>
      </c>
      <c r="M258" s="31" t="n">
        <v>148.078963481839</v>
      </c>
      <c r="N258" s="31" t="n">
        <v>410.837451037105</v>
      </c>
      <c r="O258" s="32"/>
      <c r="P258" s="33" t="n">
        <v>65.5888604036004</v>
      </c>
      <c r="Q258" s="33" t="n">
        <v>13.7092448906003</v>
      </c>
      <c r="R258" s="31" t="n">
        <v>93.703155833179</v>
      </c>
      <c r="S258" s="34" t="s">
        <v>76</v>
      </c>
      <c r="T258" s="35" t="n">
        <v>19.1880964015385</v>
      </c>
      <c r="U258" s="35" t="n">
        <v>5.59687553846154</v>
      </c>
      <c r="V258" s="70" t="n">
        <v>24.78497194</v>
      </c>
      <c r="W258" s="35" t="n">
        <v>22.5560400550674</v>
      </c>
      <c r="X258" s="35" t="n">
        <v>3.81283846554431</v>
      </c>
      <c r="Y258" s="35" t="n">
        <v>9.1764774253916</v>
      </c>
      <c r="Z258" s="35"/>
      <c r="AA258" s="35" t="n">
        <v>1.4471132207687</v>
      </c>
      <c r="AB258" s="35" t="n">
        <v>0.309522159971941</v>
      </c>
      <c r="AC258" s="71" t="n">
        <v>2.80595431123569</v>
      </c>
      <c r="AD258" s="38" t="n">
        <v>8.67169650814113</v>
      </c>
      <c r="AE258" s="38" t="n">
        <v>7.36401326201902</v>
      </c>
      <c r="AF258" s="38" t="n">
        <v>2.10382116616561</v>
      </c>
      <c r="AG258" s="72"/>
      <c r="AH258" s="72"/>
      <c r="AI258" s="73" t="n">
        <v>35.6933801455524</v>
      </c>
      <c r="AJ258" s="42" t="s">
        <v>16</v>
      </c>
      <c r="AK258" s="43" t="n">
        <v>650.122803078665</v>
      </c>
      <c r="AL258" s="43" t="n">
        <v>673.523666209103</v>
      </c>
      <c r="AM258" s="43" t="n">
        <v>448.227039992035</v>
      </c>
      <c r="AN258" s="74"/>
      <c r="AO258" s="75" t="n">
        <v>22.8461538461538</v>
      </c>
      <c r="AP258" s="76" t="n">
        <v>0.906992307692308</v>
      </c>
      <c r="AQ258" s="76" t="n">
        <v>0.792761538461539</v>
      </c>
      <c r="AR258" s="76" t="n">
        <v>1.0395</v>
      </c>
      <c r="AS258" s="77" t="n">
        <v>22.7433461538462</v>
      </c>
      <c r="AT258" s="78" t="n">
        <v>22.7990063694267</v>
      </c>
      <c r="AU258" s="78" t="n">
        <v>39.7</v>
      </c>
      <c r="AV258" s="78" t="n">
        <v>34.7</v>
      </c>
      <c r="AW258" s="78" t="n">
        <v>45.5</v>
      </c>
      <c r="AX258" s="78" t="n">
        <v>40</v>
      </c>
      <c r="AY258" s="48" t="n">
        <v>0.919872188058921</v>
      </c>
      <c r="AZ258" s="48" t="n">
        <v>19.9935861694437</v>
      </c>
      <c r="BA258" s="48" t="n">
        <v>4.79138577055626</v>
      </c>
      <c r="BB258" s="49" t="n">
        <f aca="false">AT258/V258</f>
        <v>0.919872188058921</v>
      </c>
      <c r="BC258" s="49" t="n">
        <f aca="false">AS258/V258</f>
        <v>0.917626463685484</v>
      </c>
      <c r="BD258" s="49" t="n">
        <f aca="false">SUM(AP258:AR258)/V258</f>
        <v>0.110520756399688</v>
      </c>
      <c r="BE258" s="50" t="n">
        <v>6.6</v>
      </c>
      <c r="BF258" s="51" t="n">
        <v>124.759930122162</v>
      </c>
      <c r="BG258" s="51" t="n">
        <v>542.306173039731</v>
      </c>
      <c r="BH258" s="51" t="n">
        <v>250.686029846447</v>
      </c>
      <c r="BI258" s="51" t="n">
        <v>161.595323479552</v>
      </c>
      <c r="BJ258" s="51" t="n">
        <v>9.14741598277093</v>
      </c>
      <c r="BK258" s="51" t="n">
        <v>18.0367546270173</v>
      </c>
      <c r="BL258" s="51" t="n">
        <v>13.2531786463716</v>
      </c>
      <c r="BM258" s="51"/>
      <c r="BN258" s="52" t="n">
        <f aca="false">(BG258*0.5-BH258*0.25+BI258*0.5)/SUM(BG258:BI258)*1000</f>
        <v>303.041086132104</v>
      </c>
      <c r="BO258" s="53" t="n">
        <v>6.73777948</v>
      </c>
      <c r="BP258" s="54" t="s">
        <v>77</v>
      </c>
      <c r="BQ258" s="55" t="n">
        <v>383.492708599359</v>
      </c>
      <c r="BR258" s="56" t="n">
        <v>15.4727917194228</v>
      </c>
      <c r="BS258" s="56" t="n">
        <v>25.2430247670995</v>
      </c>
      <c r="BT258" s="56" t="n">
        <v>16.8205886864271</v>
      </c>
      <c r="BU258" s="55"/>
      <c r="BV258" s="55"/>
      <c r="BW258" s="55"/>
      <c r="BX258" s="55"/>
      <c r="BY258" s="79" t="n">
        <v>0.0485175202156334</v>
      </c>
      <c r="BZ258" s="80" t="n">
        <v>0.7078947</v>
      </c>
      <c r="CA258" s="81" t="n">
        <v>3.21</v>
      </c>
      <c r="CB258" s="81" t="n">
        <v>0.07</v>
      </c>
      <c r="CC258" s="82" t="n">
        <v>6.034876</v>
      </c>
      <c r="CD258" s="82" t="n">
        <v>8.33866</v>
      </c>
      <c r="CE258" s="83" t="n">
        <v>81.99845</v>
      </c>
      <c r="CF258" s="84" t="n">
        <v>34.46212</v>
      </c>
      <c r="CG258" s="80" t="n">
        <v>0.3125</v>
      </c>
      <c r="CH258" s="63" t="n">
        <v>13866.8718435183</v>
      </c>
      <c r="CI258" s="63" t="n">
        <v>1167.92642921142</v>
      </c>
      <c r="CJ258" s="64" t="n">
        <v>302772.729509229</v>
      </c>
      <c r="CK258" s="65" t="n">
        <v>0.385743600853531</v>
      </c>
    </row>
    <row r="259" customFormat="false" ht="15" hidden="false" customHeight="false" outlineLevel="0" collapsed="false">
      <c r="A259" s="7" t="s">
        <v>73</v>
      </c>
      <c r="B259" s="66" t="n">
        <v>257</v>
      </c>
      <c r="C259" s="8" t="s">
        <v>335</v>
      </c>
      <c r="D259" s="67" t="n">
        <v>41904</v>
      </c>
      <c r="E259" s="4" t="s">
        <v>78</v>
      </c>
      <c r="F259" s="7" t="n">
        <v>2043</v>
      </c>
      <c r="G259" s="68" t="n">
        <v>1</v>
      </c>
      <c r="H259" s="68" t="n">
        <v>101</v>
      </c>
      <c r="I259" s="66" t="n">
        <v>1</v>
      </c>
      <c r="J259" s="69" t="n">
        <v>686.925</v>
      </c>
      <c r="K259" s="31" t="n">
        <v>396.622734816217</v>
      </c>
      <c r="L259" s="31" t="n">
        <v>908.09698443913</v>
      </c>
      <c r="M259" s="31" t="n">
        <v>148.078963481839</v>
      </c>
      <c r="N259" s="31" t="n">
        <v>410.837451037105</v>
      </c>
      <c r="O259" s="32"/>
      <c r="P259" s="33" t="n">
        <v>65.5888604036004</v>
      </c>
      <c r="Q259" s="33" t="n">
        <v>13.7092448906003</v>
      </c>
      <c r="R259" s="31" t="n">
        <v>93.703155833179</v>
      </c>
      <c r="S259" s="34" t="s">
        <v>76</v>
      </c>
      <c r="T259" s="35" t="n">
        <v>17.17830156</v>
      </c>
      <c r="U259" s="35" t="n">
        <v>5.1969673</v>
      </c>
      <c r="V259" s="70" t="n">
        <v>22.37526886</v>
      </c>
      <c r="W259" s="35" t="n">
        <v>20.3518210543525</v>
      </c>
      <c r="X259" s="35" t="n">
        <v>3.42603286858892</v>
      </c>
      <c r="Y259" s="35" t="n">
        <v>8.27795787034912</v>
      </c>
      <c r="Z259" s="35"/>
      <c r="AA259" s="35" t="n">
        <v>1.29422522245236</v>
      </c>
      <c r="AB259" s="35" t="n">
        <v>0.284720724025252</v>
      </c>
      <c r="AC259" s="71" t="n">
        <v>2.51079251409968</v>
      </c>
      <c r="AD259" s="38" t="n">
        <v>9.12978570913636</v>
      </c>
      <c r="AE259" s="38" t="n">
        <v>7.80635560247515</v>
      </c>
      <c r="AF259" s="38" t="n">
        <v>1.74550132210558</v>
      </c>
      <c r="AG259" s="72"/>
      <c r="AH259" s="72"/>
      <c r="AI259" s="73" t="n">
        <v>31.1859153211369</v>
      </c>
      <c r="AJ259" s="42" t="s">
        <v>16</v>
      </c>
      <c r="AK259" s="43" t="n">
        <v>591.969787435378</v>
      </c>
      <c r="AL259" s="43" t="n">
        <v>616.429626536754</v>
      </c>
      <c r="AM259" s="43" t="n">
        <v>490.518220619263</v>
      </c>
      <c r="AN259" s="74"/>
      <c r="AO259" s="75" t="n">
        <v>22.205</v>
      </c>
      <c r="AP259" s="76" t="n">
        <v>0.557039224137931</v>
      </c>
      <c r="AQ259" s="76" t="n">
        <v>0.715035030651341</v>
      </c>
      <c r="AR259" s="76" t="n">
        <v>1.061399</v>
      </c>
      <c r="AS259" s="77" t="n">
        <v>17.237588362069</v>
      </c>
      <c r="AT259" s="78" t="n">
        <v>18.0425582758743</v>
      </c>
      <c r="AU259" s="78" t="n">
        <v>25.0862068965517</v>
      </c>
      <c r="AV259" s="78" t="n">
        <v>32.2015325670498</v>
      </c>
      <c r="AW259" s="78" t="n">
        <v>47.8</v>
      </c>
      <c r="AX259" s="78" t="n">
        <v>36.2413793103448</v>
      </c>
      <c r="AY259" s="48" t="n">
        <v>0.80636163027872</v>
      </c>
      <c r="AZ259" s="48" t="n">
        <v>18.8001035285033</v>
      </c>
      <c r="BA259" s="48" t="n">
        <v>3.57516533149668</v>
      </c>
      <c r="BB259" s="49" t="n">
        <f aca="false">AT259/V259</f>
        <v>0.80636163027872</v>
      </c>
      <c r="BC259" s="49" t="n">
        <f aca="false">AS259/V259</f>
        <v>0.770385753571185</v>
      </c>
      <c r="BD259" s="49" t="n">
        <f aca="false">SUM(AP259:AR259)/V259</f>
        <v>0.104288054342033</v>
      </c>
      <c r="BE259" s="50" t="n">
        <v>6.41</v>
      </c>
      <c r="BF259" s="51" t="n">
        <v>120.276779171341</v>
      </c>
      <c r="BG259" s="51" t="n">
        <v>531.144505270129</v>
      </c>
      <c r="BH259" s="51" t="n">
        <v>281.062935076037</v>
      </c>
      <c r="BI259" s="51" t="n">
        <v>145.430722025989</v>
      </c>
      <c r="BJ259" s="51" t="n">
        <v>7.41040234443808</v>
      </c>
      <c r="BK259" s="51" t="n">
        <v>15.9186539992749</v>
      </c>
      <c r="BL259" s="51" t="n">
        <v>14.0576569060224</v>
      </c>
      <c r="BM259" s="51"/>
      <c r="BN259" s="52" t="n">
        <f aca="false">(BG259*0.5-BH259*0.25+BI259*0.5)/SUM(BG259:BI259)*1000</f>
        <v>279.878027432758</v>
      </c>
      <c r="BO259" s="53" t="n">
        <v>6.13277144</v>
      </c>
      <c r="BP259" s="54" t="s">
        <v>77</v>
      </c>
      <c r="BQ259" s="55" t="n">
        <v>385.990544748193</v>
      </c>
      <c r="BR259" s="56" t="n">
        <v>17.2507667802028</v>
      </c>
      <c r="BS259" s="56" t="n">
        <v>30.7673355148757</v>
      </c>
      <c r="BT259" s="56" t="n">
        <v>21.3933378430221</v>
      </c>
      <c r="BU259" s="55"/>
      <c r="BV259" s="55"/>
      <c r="BW259" s="55"/>
      <c r="BX259" s="55"/>
      <c r="BY259" s="79" t="n">
        <v>0.0582210242587601</v>
      </c>
      <c r="BZ259" s="80" t="n">
        <v>0.5107454</v>
      </c>
      <c r="CA259" s="81" t="n">
        <v>3.6</v>
      </c>
      <c r="CB259" s="81" t="n">
        <v>0.073</v>
      </c>
      <c r="CC259" s="82" t="n">
        <v>5.237851</v>
      </c>
      <c r="CD259" s="82" t="n">
        <v>7.890792</v>
      </c>
      <c r="CE259" s="83" t="n">
        <v>85.890872</v>
      </c>
      <c r="CF259" s="84" t="n">
        <v>35.91994</v>
      </c>
      <c r="CG259" s="80" t="n">
        <v>0.071</v>
      </c>
      <c r="CH259" s="63" t="n">
        <v>37439.5972714084</v>
      </c>
      <c r="CI259" s="63" t="n">
        <v>1098.23858513591</v>
      </c>
      <c r="CJ259" s="64" t="n">
        <v>299589.57376934</v>
      </c>
      <c r="CK259" s="65" t="n">
        <v>0.366581043298076</v>
      </c>
    </row>
    <row r="260" customFormat="false" ht="15" hidden="false" customHeight="false" outlineLevel="0" collapsed="false">
      <c r="A260" s="7" t="s">
        <v>73</v>
      </c>
      <c r="B260" s="66" t="n">
        <v>258</v>
      </c>
      <c r="C260" s="8" t="s">
        <v>336</v>
      </c>
      <c r="D260" s="67" t="n">
        <v>41904</v>
      </c>
      <c r="E260" s="4" t="s">
        <v>78</v>
      </c>
      <c r="F260" s="7" t="n">
        <v>2054</v>
      </c>
      <c r="G260" s="68" t="n">
        <v>1</v>
      </c>
      <c r="H260" s="68" t="n">
        <v>92</v>
      </c>
      <c r="I260" s="66" t="n">
        <v>1</v>
      </c>
      <c r="J260" s="69" t="n">
        <v>624.953571428571</v>
      </c>
      <c r="K260" s="31" t="n">
        <v>396.622734816217</v>
      </c>
      <c r="L260" s="31" t="n">
        <v>908.09698443913</v>
      </c>
      <c r="M260" s="31" t="n">
        <v>148.078963481839</v>
      </c>
      <c r="N260" s="31" t="n">
        <v>410.837451037105</v>
      </c>
      <c r="O260" s="32"/>
      <c r="P260" s="33" t="n">
        <v>65.5888604036004</v>
      </c>
      <c r="Q260" s="33" t="n">
        <v>13.7092448906003</v>
      </c>
      <c r="R260" s="31" t="n">
        <v>93.703155833179</v>
      </c>
      <c r="S260" s="34" t="s">
        <v>76</v>
      </c>
      <c r="T260" s="35" t="n">
        <v>10.7828439471429</v>
      </c>
      <c r="U260" s="35" t="n">
        <v>9.49337914285714</v>
      </c>
      <c r="V260" s="70" t="n">
        <v>20.27622309</v>
      </c>
      <c r="W260" s="35" t="n">
        <v>18.4898165053523</v>
      </c>
      <c r="X260" s="35" t="n">
        <v>3.23522948267828</v>
      </c>
      <c r="Y260" s="35" t="n">
        <v>6.6328799494719</v>
      </c>
      <c r="Z260" s="35"/>
      <c r="AA260" s="35" t="n">
        <v>1.02354297270342</v>
      </c>
      <c r="AB260" s="35" t="n">
        <v>0.2295000168192</v>
      </c>
      <c r="AC260" s="71" t="n">
        <v>2.70371368988996</v>
      </c>
      <c r="AD260" s="38" t="n">
        <v>5.27329379849487</v>
      </c>
      <c r="AE260" s="38" t="n">
        <v>4.48566376215294</v>
      </c>
      <c r="AF260" s="38" t="n">
        <v>1.01146944595531</v>
      </c>
      <c r="AG260" s="72"/>
      <c r="AH260" s="72"/>
      <c r="AI260" s="73" t="n">
        <v>43.5211891445732</v>
      </c>
      <c r="AJ260" s="42" t="s">
        <v>16</v>
      </c>
      <c r="AK260" s="43" t="n">
        <v>739.92721548346</v>
      </c>
      <c r="AL260" s="43" t="n">
        <v>757.398146117109</v>
      </c>
      <c r="AM260" s="43" t="n">
        <v>687.357743439589</v>
      </c>
      <c r="AN260" s="74"/>
      <c r="AO260" s="75" t="n">
        <v>37.4714285714286</v>
      </c>
      <c r="AP260" s="76" t="n">
        <v>1.3142513986014</v>
      </c>
      <c r="AQ260" s="76" t="n">
        <v>1.2183193006993</v>
      </c>
      <c r="AR260" s="76" t="n">
        <v>1.761523996004</v>
      </c>
      <c r="AS260" s="77" t="n">
        <v>34.7023424075924</v>
      </c>
      <c r="AT260" s="78" t="n">
        <v>34.9459939836596</v>
      </c>
      <c r="AU260" s="78" t="n">
        <v>35.0734265734266</v>
      </c>
      <c r="AV260" s="78" t="n">
        <v>32.5132867132867</v>
      </c>
      <c r="AW260" s="78" t="n">
        <v>47.0097902097902</v>
      </c>
      <c r="AX260" s="78" t="n">
        <v>36.1328671328671</v>
      </c>
      <c r="AY260" s="48" t="n">
        <v>1.72349622651837</v>
      </c>
      <c r="AZ260" s="48" t="n">
        <v>24.0174071066891</v>
      </c>
      <c r="BA260" s="48" t="n">
        <v>-3.74118401668912</v>
      </c>
      <c r="BB260" s="49" t="n">
        <f aca="false">AT260/V260</f>
        <v>1.72349622651837</v>
      </c>
      <c r="BC260" s="49" t="n">
        <f aca="false">AS260/V260</f>
        <v>1.71147961104784</v>
      </c>
      <c r="BD260" s="49" t="n">
        <f aca="false">SUM(AP260:AR260)/V260</f>
        <v>0.211779811074504</v>
      </c>
      <c r="BE260" s="50" t="n">
        <v>6.69</v>
      </c>
      <c r="BF260" s="51" t="n">
        <v>128.788858986133</v>
      </c>
      <c r="BG260" s="51" t="n">
        <v>578.059035556196</v>
      </c>
      <c r="BH260" s="51" t="n">
        <v>222.99370589458</v>
      </c>
      <c r="BI260" s="51" t="n">
        <v>150.955920854128</v>
      </c>
      <c r="BJ260" s="51" t="n">
        <v>8.47790809399613</v>
      </c>
      <c r="BK260" s="51" t="n">
        <v>15.6889958327658</v>
      </c>
      <c r="BL260" s="51" t="n">
        <v>18.849309390224</v>
      </c>
      <c r="BM260" s="51"/>
      <c r="BN260" s="52" t="n">
        <f aca="false">(BG260*0.5-BH260*0.25+BI260*0.5)/SUM(BG260:BI260)*1000</f>
        <v>324.323783970601</v>
      </c>
      <c r="BO260" s="53" t="n">
        <v>5.4127576</v>
      </c>
      <c r="BP260" s="54" t="s">
        <v>77</v>
      </c>
      <c r="BQ260" s="55" t="n">
        <v>409.634980294613</v>
      </c>
      <c r="BR260" s="56" t="n">
        <v>20.2027260440156</v>
      </c>
      <c r="BS260" s="56" t="n">
        <v>29.2509648963618</v>
      </c>
      <c r="BT260" s="56" t="n">
        <v>11.7219438796377</v>
      </c>
      <c r="BU260" s="55"/>
      <c r="BV260" s="55"/>
      <c r="BW260" s="55"/>
      <c r="BX260" s="55"/>
      <c r="BY260" s="79" t="n">
        <v>0.0582210242587601</v>
      </c>
      <c r="BZ260" s="80" t="n">
        <v>0.6484527</v>
      </c>
      <c r="CA260" s="81" t="n">
        <v>3.48</v>
      </c>
      <c r="CB260" s="81" t="n">
        <v>0.119</v>
      </c>
      <c r="CC260" s="82" t="n">
        <v>4.026373</v>
      </c>
      <c r="CD260" s="82" t="n">
        <v>7.177988</v>
      </c>
      <c r="CE260" s="83" t="n">
        <v>87.360686</v>
      </c>
      <c r="CF260" s="84" t="n">
        <v>36.138613</v>
      </c>
      <c r="CG260" s="80" t="n">
        <v>0.1025</v>
      </c>
      <c r="CH260" s="63" t="n">
        <v>17582.361073563</v>
      </c>
      <c r="CI260" s="63" t="n">
        <v>1881.09478496428</v>
      </c>
      <c r="CJ260" s="64" t="n">
        <v>385655.713663496</v>
      </c>
      <c r="CK260" s="65" t="n">
        <v>0.48776530939864</v>
      </c>
    </row>
    <row r="261" customFormat="false" ht="15" hidden="false" customHeight="false" outlineLevel="0" collapsed="false">
      <c r="A261" s="7" t="s">
        <v>73</v>
      </c>
      <c r="B261" s="66" t="n">
        <v>259</v>
      </c>
      <c r="C261" s="8" t="s">
        <v>337</v>
      </c>
      <c r="D261" s="67" t="n">
        <v>41904</v>
      </c>
      <c r="E261" s="4" t="s">
        <v>78</v>
      </c>
      <c r="F261" s="7" t="n">
        <v>2082</v>
      </c>
      <c r="G261" s="68" t="n">
        <v>1</v>
      </c>
      <c r="H261" s="68" t="n">
        <v>111</v>
      </c>
      <c r="I261" s="66" t="n">
        <v>1</v>
      </c>
      <c r="J261" s="69" t="n">
        <v>656.285873015873</v>
      </c>
      <c r="K261" s="31" t="n">
        <v>396.622734816217</v>
      </c>
      <c r="L261" s="31" t="n">
        <v>908.09698443913</v>
      </c>
      <c r="M261" s="31" t="n">
        <v>148.078963481839</v>
      </c>
      <c r="N261" s="31" t="n">
        <v>410.837451037105</v>
      </c>
      <c r="O261" s="32"/>
      <c r="P261" s="33" t="n">
        <v>65.5888604036004</v>
      </c>
      <c r="Q261" s="33" t="n">
        <v>13.7092448906003</v>
      </c>
      <c r="R261" s="31" t="n">
        <v>93.703155833179</v>
      </c>
      <c r="S261" s="34" t="s">
        <v>76</v>
      </c>
      <c r="T261" s="35" t="n">
        <v>19.65681459</v>
      </c>
      <c r="U261" s="35" t="n">
        <v>6.8337776</v>
      </c>
      <c r="V261" s="70" t="n">
        <v>26.49059219</v>
      </c>
      <c r="W261" s="35" t="n">
        <v>24.0986008109539</v>
      </c>
      <c r="X261" s="35" t="n">
        <v>4.06982450302967</v>
      </c>
      <c r="Y261" s="35" t="n">
        <v>9.6817102628279</v>
      </c>
      <c r="Z261" s="35"/>
      <c r="AA261" s="35" t="n">
        <v>1.50912525034792</v>
      </c>
      <c r="AB261" s="35" t="n">
        <v>0.334540184957514</v>
      </c>
      <c r="AC261" s="71" t="n">
        <v>3.02490828117649</v>
      </c>
      <c r="AD261" s="38" t="n">
        <v>8.20583193961281</v>
      </c>
      <c r="AE261" s="38" t="n">
        <v>6.95561243699359</v>
      </c>
      <c r="AF261" s="38" t="n">
        <v>1.77369308608764</v>
      </c>
      <c r="AG261" s="72"/>
      <c r="AH261" s="72"/>
      <c r="AI261" s="73" t="n">
        <v>40.7685884160697</v>
      </c>
      <c r="AJ261" s="42" t="s">
        <v>16</v>
      </c>
      <c r="AK261" s="43" t="n">
        <v>690.235994697376</v>
      </c>
      <c r="AL261" s="43" t="n">
        <v>711.368618802468</v>
      </c>
      <c r="AM261" s="43" t="n">
        <v>564.184380735026</v>
      </c>
      <c r="AN261" s="74"/>
      <c r="AO261" s="75" t="n">
        <v>27.84</v>
      </c>
      <c r="AP261" s="76"/>
      <c r="AQ261" s="76"/>
      <c r="AR261" s="76"/>
      <c r="AS261" s="77"/>
      <c r="AT261" s="78"/>
      <c r="AU261" s="78"/>
      <c r="AV261" s="78"/>
      <c r="AW261" s="78"/>
      <c r="AX261" s="78"/>
      <c r="AY261" s="48"/>
      <c r="AZ261" s="48"/>
      <c r="BA261" s="48"/>
      <c r="BB261" s="49"/>
      <c r="BC261" s="49"/>
      <c r="BD261" s="49"/>
      <c r="BE261" s="50" t="n">
        <v>6.21</v>
      </c>
      <c r="BF261" s="51" t="n">
        <v>151.253997919266</v>
      </c>
      <c r="BG261" s="51" t="n">
        <v>548.741677855822</v>
      </c>
      <c r="BH261" s="51" t="n">
        <v>210.947790042792</v>
      </c>
      <c r="BI261" s="51" t="n">
        <v>195.091102242206</v>
      </c>
      <c r="BJ261" s="51" t="n">
        <v>8.20522543958643</v>
      </c>
      <c r="BK261" s="51" t="n">
        <v>17.7338773330247</v>
      </c>
      <c r="BL261" s="51" t="n">
        <v>14.3052027084601</v>
      </c>
      <c r="BM261" s="51"/>
      <c r="BN261" s="52" t="n">
        <f aca="false">(BG261*0.5-BH261*0.25+BI261*0.5)/SUM(BG261:BI261)*1000</f>
        <v>334.296122606727</v>
      </c>
      <c r="BO261" s="53" t="n">
        <v>6.25558014</v>
      </c>
      <c r="BP261" s="54" t="s">
        <v>77</v>
      </c>
      <c r="BQ261" s="55" t="n">
        <v>439.558333741948</v>
      </c>
      <c r="BR261" s="56" t="n">
        <v>16.5929976419281</v>
      </c>
      <c r="BS261" s="56" t="n">
        <v>25.6407065182185</v>
      </c>
      <c r="BT261" s="56"/>
      <c r="BU261" s="55"/>
      <c r="BV261" s="55"/>
      <c r="BW261" s="55"/>
      <c r="BX261" s="55"/>
      <c r="BY261" s="79" t="n">
        <v>0.0873315363881402</v>
      </c>
      <c r="BZ261" s="80" t="n">
        <v>0.6316108</v>
      </c>
      <c r="CA261" s="81" t="n">
        <v>3.55</v>
      </c>
      <c r="CB261" s="81" t="n">
        <v>0.191</v>
      </c>
      <c r="CC261" s="82" t="n">
        <v>4.812771</v>
      </c>
      <c r="CD261" s="82" t="n">
        <v>6.622884</v>
      </c>
      <c r="CE261" s="83" t="n">
        <v>85.048868</v>
      </c>
      <c r="CF261" s="84" t="n">
        <v>33.94147</v>
      </c>
      <c r="CG261" s="80" t="n">
        <v>0.071</v>
      </c>
      <c r="CH261" s="63" t="n">
        <v>32865.5016920501</v>
      </c>
      <c r="CI261" s="63" t="n">
        <v>2420.66435526258</v>
      </c>
      <c r="CJ261" s="64" t="n">
        <v>359608.795702031</v>
      </c>
      <c r="CK261" s="65" t="n">
        <v>0.673138250285826</v>
      </c>
    </row>
    <row r="262" customFormat="false" ht="15" hidden="false" customHeight="false" outlineLevel="0" collapsed="false">
      <c r="A262" s="7" t="s">
        <v>73</v>
      </c>
      <c r="B262" s="66" t="n">
        <v>260</v>
      </c>
      <c r="C262" s="8" t="s">
        <v>338</v>
      </c>
      <c r="D262" s="67" t="n">
        <v>41904</v>
      </c>
      <c r="E262" s="4" t="s">
        <v>78</v>
      </c>
      <c r="F262" s="7" t="n">
        <v>2086</v>
      </c>
      <c r="G262" s="68" t="n">
        <v>1</v>
      </c>
      <c r="H262" s="68" t="n">
        <v>143</v>
      </c>
      <c r="I262" s="66" t="n">
        <v>1</v>
      </c>
      <c r="J262" s="69" t="n">
        <v>614.380952380952</v>
      </c>
      <c r="K262" s="31" t="n">
        <v>396.622734816217</v>
      </c>
      <c r="L262" s="31" t="n">
        <v>908.09698443913</v>
      </c>
      <c r="M262" s="31" t="n">
        <v>148.078963481839</v>
      </c>
      <c r="N262" s="31" t="n">
        <v>410.837451037105</v>
      </c>
      <c r="O262" s="32"/>
      <c r="P262" s="33" t="n">
        <v>65.5888604036004</v>
      </c>
      <c r="Q262" s="33" t="n">
        <v>13.7092448906003</v>
      </c>
      <c r="R262" s="31" t="n">
        <v>93.703155833179</v>
      </c>
      <c r="S262" s="34" t="s">
        <v>76</v>
      </c>
      <c r="T262" s="35" t="n">
        <v>15.3510852014286</v>
      </c>
      <c r="U262" s="35" t="n">
        <v>4.02532342857143</v>
      </c>
      <c r="V262" s="70" t="n">
        <v>19.37640863</v>
      </c>
      <c r="W262" s="35" t="n">
        <v>17.5892819858868</v>
      </c>
      <c r="X262" s="35" t="n">
        <v>2.90605001884705</v>
      </c>
      <c r="Y262" s="35" t="n">
        <v>7.3021201613598</v>
      </c>
      <c r="Z262" s="35"/>
      <c r="AA262" s="35" t="n">
        <v>1.11723027257975</v>
      </c>
      <c r="AB262" s="35" t="n">
        <v>0.264073996879554</v>
      </c>
      <c r="AC262" s="71" t="n">
        <v>2.04754034235062</v>
      </c>
      <c r="AD262" s="38" t="n">
        <v>4.98913292153962</v>
      </c>
      <c r="AE262" s="38" t="n">
        <v>4.17543472904787</v>
      </c>
      <c r="AF262" s="38" t="n">
        <v>1.0844294433137</v>
      </c>
      <c r="AG262" s="72"/>
      <c r="AH262" s="72"/>
      <c r="AI262" s="73" t="n">
        <v>52.929837916217</v>
      </c>
      <c r="AJ262" s="42" t="s">
        <v>16</v>
      </c>
      <c r="AK262" s="43" t="n">
        <v>742.515085390227</v>
      </c>
      <c r="AL262" s="43" t="n">
        <v>762.614828030039</v>
      </c>
      <c r="AM262" s="43" t="n">
        <v>626.837309653761</v>
      </c>
      <c r="AN262" s="74"/>
      <c r="AO262" s="75" t="n">
        <v>26.9142857142857</v>
      </c>
      <c r="AP262" s="76" t="n">
        <v>0.99905320754717</v>
      </c>
      <c r="AQ262" s="76" t="n">
        <v>0.88809525606469</v>
      </c>
      <c r="AR262" s="76" t="n">
        <v>1.23939016172507</v>
      </c>
      <c r="AS262" s="77" t="n">
        <v>25.7515123989218</v>
      </c>
      <c r="AT262" s="78" t="n">
        <v>25.7363955525606</v>
      </c>
      <c r="AU262" s="78" t="n">
        <v>37.1198113207547</v>
      </c>
      <c r="AV262" s="78" t="n">
        <v>32.9971698113208</v>
      </c>
      <c r="AW262" s="78" t="n">
        <v>46.0495283018868</v>
      </c>
      <c r="AX262" s="78" t="n">
        <v>29.5047169811321</v>
      </c>
      <c r="AY262" s="48" t="n">
        <v>1.32823352583067</v>
      </c>
      <c r="AZ262" s="48" t="n">
        <v>21.3144261059708</v>
      </c>
      <c r="BA262" s="48" t="n">
        <v>-1.93801747597081</v>
      </c>
      <c r="BB262" s="49" t="n">
        <f aca="false">AT262/V262</f>
        <v>1.32823352583067</v>
      </c>
      <c r="BC262" s="49" t="n">
        <f aca="false">AS262/V262</f>
        <v>1.32901369343808</v>
      </c>
      <c r="BD262" s="49" t="n">
        <f aca="false">SUM(AP262:AR262)/V262</f>
        <v>0.161358004212204</v>
      </c>
      <c r="BE262" s="50" t="n">
        <v>6.28</v>
      </c>
      <c r="BF262" s="51" t="n">
        <v>179.125211274263</v>
      </c>
      <c r="BG262" s="51" t="n">
        <v>551.677586374702</v>
      </c>
      <c r="BH262" s="51" t="n">
        <v>225.079011701734</v>
      </c>
      <c r="BI262" s="51" t="n">
        <v>180.613658704229</v>
      </c>
      <c r="BJ262" s="51" t="n">
        <v>8.91129661121202</v>
      </c>
      <c r="BK262" s="51" t="n">
        <v>18.4254391026264</v>
      </c>
      <c r="BL262" s="51" t="n">
        <v>10.3178831273872</v>
      </c>
      <c r="BM262" s="51"/>
      <c r="BN262" s="52" t="n">
        <f aca="false">(BG262*0.5-BH262*0.25+BI262*0.5)/SUM(BG262:BI262)*1000</f>
        <v>323.674009526938</v>
      </c>
      <c r="BO262" s="53" t="n">
        <v>11.17886232</v>
      </c>
      <c r="BP262" s="54" t="s">
        <v>77</v>
      </c>
      <c r="BQ262" s="55" t="n">
        <v>442.058433687784</v>
      </c>
      <c r="BR262" s="56" t="n">
        <v>22.8142604818602</v>
      </c>
      <c r="BS262" s="56" t="n">
        <v>32.9553800057179</v>
      </c>
      <c r="BT262" s="56" t="n">
        <v>17.1763925832186</v>
      </c>
      <c r="BU262" s="55"/>
      <c r="BV262" s="55"/>
      <c r="BW262" s="55"/>
      <c r="BX262" s="55"/>
      <c r="BY262" s="79" t="n">
        <v>0.106738544474394</v>
      </c>
      <c r="BZ262" s="80" t="n">
        <v>0.895137</v>
      </c>
      <c r="CA262" s="81" t="n">
        <v>3.26</v>
      </c>
      <c r="CB262" s="81" t="n">
        <v>0.251</v>
      </c>
      <c r="CC262" s="82" t="n">
        <v>4.908414</v>
      </c>
      <c r="CD262" s="82" t="n">
        <v>9.56872</v>
      </c>
      <c r="CE262" s="83" t="n">
        <v>93.254714</v>
      </c>
      <c r="CF262" s="84" t="n">
        <v>35.513833</v>
      </c>
      <c r="CG262" s="80" t="n">
        <v>0.071</v>
      </c>
      <c r="CH262" s="63" t="n">
        <v>34369.8268803474</v>
      </c>
      <c r="CI262" s="63" t="n">
        <v>2831.44489523041</v>
      </c>
      <c r="CJ262" s="64" t="n">
        <v>416476.681891982</v>
      </c>
      <c r="CK262" s="65" t="n">
        <v>0.67985676469752</v>
      </c>
    </row>
    <row r="263" customFormat="false" ht="15" hidden="false" customHeight="false" outlineLevel="0" collapsed="false">
      <c r="A263" s="7" t="s">
        <v>73</v>
      </c>
      <c r="B263" s="66" t="n">
        <v>261</v>
      </c>
      <c r="C263" s="8" t="s">
        <v>339</v>
      </c>
      <c r="D263" s="67" t="n">
        <v>41904</v>
      </c>
      <c r="E263" s="4" t="s">
        <v>78</v>
      </c>
      <c r="F263" s="7" t="n">
        <v>2092</v>
      </c>
      <c r="G263" s="68" t="n">
        <v>1</v>
      </c>
      <c r="H263" s="68" t="n">
        <v>123</v>
      </c>
      <c r="I263" s="66" t="n">
        <v>1</v>
      </c>
      <c r="J263" s="69" t="n">
        <v>583.95</v>
      </c>
      <c r="K263" s="31" t="n">
        <v>396.622734816217</v>
      </c>
      <c r="L263" s="31" t="n">
        <v>908.09698443913</v>
      </c>
      <c r="M263" s="31" t="n">
        <v>148.078963481839</v>
      </c>
      <c r="N263" s="31" t="n">
        <v>410.837451037105</v>
      </c>
      <c r="O263" s="32"/>
      <c r="P263" s="33" t="n">
        <v>65.5888604036004</v>
      </c>
      <c r="Q263" s="33" t="n">
        <v>13.7092448906003</v>
      </c>
      <c r="R263" s="31" t="n">
        <v>93.703155833179</v>
      </c>
      <c r="S263" s="34" t="s">
        <v>76</v>
      </c>
      <c r="T263" s="35" t="n">
        <v>14.97653475</v>
      </c>
      <c r="U263" s="35" t="n">
        <v>4.1555694</v>
      </c>
      <c r="V263" s="70" t="n">
        <v>19.13210415</v>
      </c>
      <c r="W263" s="35" t="n">
        <v>17.390051224059</v>
      </c>
      <c r="X263" s="35" t="n">
        <v>2.90724372354908</v>
      </c>
      <c r="Y263" s="35" t="n">
        <v>7.14462382836662</v>
      </c>
      <c r="Z263" s="35"/>
      <c r="AA263" s="35" t="n">
        <v>1.11012112309364</v>
      </c>
      <c r="AB263" s="35" t="n">
        <v>0.249570432703936</v>
      </c>
      <c r="AC263" s="71" t="n">
        <v>2.095824717282</v>
      </c>
      <c r="AD263" s="38" t="n">
        <v>5.53493405527739</v>
      </c>
      <c r="AE263" s="38" t="n">
        <v>4.69266733645243</v>
      </c>
      <c r="AF263" s="38" t="n">
        <v>1.13406033822424</v>
      </c>
      <c r="AG263" s="72"/>
      <c r="AH263" s="72"/>
      <c r="AI263" s="73" t="n">
        <v>45.090046279048</v>
      </c>
      <c r="AJ263" s="42" t="s">
        <v>16</v>
      </c>
      <c r="AK263" s="43" t="n">
        <v>710.699146738787</v>
      </c>
      <c r="AL263" s="43" t="n">
        <v>730.152184373088</v>
      </c>
      <c r="AM263" s="43" t="n">
        <v>609.919069034977</v>
      </c>
      <c r="AN263" s="74"/>
      <c r="AO263" s="75" t="n">
        <v>20.525</v>
      </c>
      <c r="AP263" s="76" t="n">
        <v>0.699472137096774</v>
      </c>
      <c r="AQ263" s="76" t="n">
        <v>0.678582983870968</v>
      </c>
      <c r="AR263" s="76" t="n">
        <v>0.945647993951613</v>
      </c>
      <c r="AS263" s="77" t="n">
        <v>18.7020820564516</v>
      </c>
      <c r="AT263" s="78" t="n">
        <v>18.8781453440903</v>
      </c>
      <c r="AU263" s="78" t="n">
        <v>34.0790322580645</v>
      </c>
      <c r="AV263" s="78" t="n">
        <v>33.0612903225806</v>
      </c>
      <c r="AW263" s="78" t="n">
        <v>46.0729838709677</v>
      </c>
      <c r="AX263" s="78" t="n">
        <v>33.2338709677419</v>
      </c>
      <c r="AY263" s="48" t="n">
        <v>0.986726038917695</v>
      </c>
      <c r="AZ263" s="48" t="n">
        <v>18.1435361297683</v>
      </c>
      <c r="BA263" s="48" t="n">
        <v>0.988568020231693</v>
      </c>
      <c r="BB263" s="49" t="n">
        <f aca="false">AT263/V263</f>
        <v>0.986726038917695</v>
      </c>
      <c r="BC263" s="49" t="n">
        <f aca="false">AS263/V263</f>
        <v>0.977523533732781</v>
      </c>
      <c r="BD263" s="49" t="n">
        <f aca="false">SUM(AP263:AR263)/V263</f>
        <v>0.121455700674688</v>
      </c>
      <c r="BE263" s="50" t="n">
        <v>6.98</v>
      </c>
      <c r="BF263" s="51" t="n">
        <v>142.413921830375</v>
      </c>
      <c r="BG263" s="51" t="n">
        <v>586.830120190503</v>
      </c>
      <c r="BH263" s="51" t="n">
        <v>197.278971596497</v>
      </c>
      <c r="BI263" s="51" t="n">
        <v>172.118711929825</v>
      </c>
      <c r="BJ263" s="51" t="n">
        <v>9.8166928892917</v>
      </c>
      <c r="BK263" s="51" t="n">
        <v>17.0830900208004</v>
      </c>
      <c r="BL263" s="51" t="n">
        <v>11.8972889949733</v>
      </c>
      <c r="BM263" s="51"/>
      <c r="BN263" s="52" t="n">
        <f aca="false">(BG263*0.5-BH263*0.25+BI263*0.5)/SUM(BG263:BI263)*1000</f>
        <v>345.267803213564</v>
      </c>
      <c r="BO263" s="53" t="n">
        <v>2.8203062</v>
      </c>
      <c r="BP263" s="54" t="s">
        <v>77</v>
      </c>
      <c r="BQ263" s="55" t="n">
        <v>385.20475949669</v>
      </c>
      <c r="BR263" s="56" t="n">
        <v>20.1339464011171</v>
      </c>
      <c r="BS263" s="56" t="n">
        <v>30.337332706202</v>
      </c>
      <c r="BT263" s="56" t="n">
        <v>20.4047989077103</v>
      </c>
      <c r="BU263" s="55"/>
      <c r="BV263" s="55"/>
      <c r="BW263" s="55"/>
      <c r="BX263" s="55"/>
      <c r="BY263" s="79" t="n">
        <v>0.0679245283018868</v>
      </c>
      <c r="BZ263" s="80" t="n">
        <v>0.5652339</v>
      </c>
      <c r="CA263" s="81" t="n">
        <v>3.92</v>
      </c>
      <c r="CB263" s="81" t="n">
        <v>0.141</v>
      </c>
      <c r="CC263" s="82" t="n">
        <v>3.569412</v>
      </c>
      <c r="CD263" s="82" t="n">
        <v>5.424364</v>
      </c>
      <c r="CE263" s="83" t="n">
        <v>84.524462</v>
      </c>
      <c r="CF263" s="84" t="n">
        <v>31.806805</v>
      </c>
      <c r="CG263" s="80" t="n">
        <v>0.0395</v>
      </c>
      <c r="CH263" s="63" t="n">
        <v>40627.0614927064</v>
      </c>
      <c r="CI263" s="63" t="n">
        <v>2254.57798139716</v>
      </c>
      <c r="CJ263" s="64" t="n">
        <v>338933.064333304</v>
      </c>
      <c r="CK263" s="65" t="n">
        <v>0.665198594841143</v>
      </c>
    </row>
    <row r="264" customFormat="false" ht="15" hidden="false" customHeight="false" outlineLevel="0" collapsed="false">
      <c r="A264" s="7" t="s">
        <v>73</v>
      </c>
      <c r="B264" s="66" t="n">
        <v>262</v>
      </c>
      <c r="C264" s="8" t="s">
        <v>340</v>
      </c>
      <c r="D264" s="67" t="n">
        <v>41904</v>
      </c>
      <c r="E264" s="4" t="s">
        <v>78</v>
      </c>
      <c r="F264" s="7" t="n">
        <v>2099</v>
      </c>
      <c r="G264" s="68" t="n">
        <v>1</v>
      </c>
      <c r="H264" s="68" t="n">
        <v>123</v>
      </c>
      <c r="I264" s="66" t="n">
        <v>1</v>
      </c>
      <c r="J264" s="69" t="n">
        <v>554.22463768116</v>
      </c>
      <c r="K264" s="31" t="n">
        <v>396.622734816217</v>
      </c>
      <c r="L264" s="31" t="n">
        <v>908.09698443913</v>
      </c>
      <c r="M264" s="31" t="n">
        <v>148.078963481839</v>
      </c>
      <c r="N264" s="31" t="n">
        <v>410.837451037105</v>
      </c>
      <c r="O264" s="32"/>
      <c r="P264" s="33" t="n">
        <v>65.5888604036004</v>
      </c>
      <c r="Q264" s="33" t="n">
        <v>13.7092448906003</v>
      </c>
      <c r="R264" s="31" t="n">
        <v>93.703155833179</v>
      </c>
      <c r="S264" s="34" t="s">
        <v>76</v>
      </c>
      <c r="T264" s="35" t="n">
        <v>17.7089406247826</v>
      </c>
      <c r="U264" s="35" t="n">
        <v>5.30762356521739</v>
      </c>
      <c r="V264" s="70" t="n">
        <v>23.01656419</v>
      </c>
      <c r="W264" s="35" t="n">
        <v>20.9417329676944</v>
      </c>
      <c r="X264" s="35" t="n">
        <v>3.53425637600575</v>
      </c>
      <c r="Y264" s="35" t="n">
        <v>8.51119721969787</v>
      </c>
      <c r="Z264" s="35"/>
      <c r="AA264" s="35" t="n">
        <v>1.33676472595125</v>
      </c>
      <c r="AB264" s="35" t="n">
        <v>0.289710018791812</v>
      </c>
      <c r="AC264" s="71" t="n">
        <v>2.5988169403016</v>
      </c>
      <c r="AD264" s="38" t="n">
        <v>7.3713141503615</v>
      </c>
      <c r="AE264" s="38" t="n">
        <v>6.24287543718515</v>
      </c>
      <c r="AF264" s="38" t="n">
        <v>1.70500229116543</v>
      </c>
      <c r="AG264" s="72"/>
      <c r="AH264" s="72"/>
      <c r="AI264" s="73" t="n">
        <v>39.3023567958509</v>
      </c>
      <c r="AJ264" s="42" t="s">
        <v>16</v>
      </c>
      <c r="AK264" s="43" t="n">
        <v>679.738726878962</v>
      </c>
      <c r="AL264" s="43" t="n">
        <v>701.893083690081</v>
      </c>
      <c r="AM264" s="43" t="n">
        <v>517.578208886946</v>
      </c>
      <c r="AN264" s="74"/>
      <c r="AO264" s="75" t="n">
        <v>22.7260869565217</v>
      </c>
      <c r="AP264" s="76" t="n">
        <v>0.741986079051384</v>
      </c>
      <c r="AQ264" s="76" t="n">
        <v>0.622694782608696</v>
      </c>
      <c r="AR264" s="76" t="n">
        <v>1.06213466403162</v>
      </c>
      <c r="AS264" s="77" t="n">
        <v>20.2202259683794</v>
      </c>
      <c r="AT264" s="78" t="n">
        <v>19.5940821369049</v>
      </c>
      <c r="AU264" s="78" t="n">
        <v>32.6490909090909</v>
      </c>
      <c r="AV264" s="78" t="n">
        <v>27.4</v>
      </c>
      <c r="AW264" s="78" t="n">
        <v>46.7363636363636</v>
      </c>
      <c r="AX264" s="78" t="n">
        <v>31.6727272727273</v>
      </c>
      <c r="AY264" s="48" t="n">
        <v>0.851303521027606</v>
      </c>
      <c r="AZ264" s="48" t="n">
        <v>18.2643446980032</v>
      </c>
      <c r="BA264" s="48" t="n">
        <v>4.75221949199683</v>
      </c>
      <c r="BB264" s="49" t="n">
        <f aca="false">AT264/V264</f>
        <v>0.851303521027606</v>
      </c>
      <c r="BC264" s="49" t="n">
        <f aca="false">AS264/V264</f>
        <v>0.878507574000316</v>
      </c>
      <c r="BD264" s="49" t="n">
        <f aca="false">SUM(AP264:AR264)/V264</f>
        <v>0.105437784095772</v>
      </c>
      <c r="BE264" s="50" t="n">
        <v>6.76</v>
      </c>
      <c r="BF264" s="51" t="n">
        <v>128.869574974758</v>
      </c>
      <c r="BG264" s="51" t="n">
        <v>558.464678348168</v>
      </c>
      <c r="BH264" s="51" t="n">
        <v>212.228392969235</v>
      </c>
      <c r="BI264" s="51" t="n">
        <v>183.878171730037</v>
      </c>
      <c r="BJ264" s="51" t="n">
        <v>12.6545630303746</v>
      </c>
      <c r="BK264" s="51" t="n">
        <v>12.9128201569791</v>
      </c>
      <c r="BL264" s="51" t="n">
        <v>14.8862493870974</v>
      </c>
      <c r="BM264" s="51"/>
      <c r="BN264" s="52" t="n">
        <f aca="false">(BG264*0.5-BH264*0.25+BI264*0.5)/SUM(BG264:BI264)*1000</f>
        <v>333.253624717651</v>
      </c>
      <c r="BO264" s="53" t="n">
        <v>10.91260948</v>
      </c>
      <c r="BP264" s="54" t="s">
        <v>77</v>
      </c>
      <c r="BQ264" s="55" t="n">
        <v>647.722026144335</v>
      </c>
      <c r="BR264" s="56" t="n">
        <v>28.1415601736835</v>
      </c>
      <c r="BS264" s="56" t="n">
        <v>44.0661476444621</v>
      </c>
      <c r="BT264" s="56" t="n">
        <v>33.0570231164015</v>
      </c>
      <c r="BU264" s="55"/>
      <c r="BV264" s="55"/>
      <c r="BW264" s="55"/>
      <c r="BX264" s="55"/>
      <c r="BY264" s="79" t="n">
        <v>0.0679245283018868</v>
      </c>
      <c r="BZ264" s="80" t="n">
        <v>1.1121003</v>
      </c>
      <c r="CA264" s="81" t="n">
        <v>3.5</v>
      </c>
      <c r="CB264" s="81" t="n">
        <v>1.217</v>
      </c>
      <c r="CC264" s="82" t="n">
        <v>6.534345</v>
      </c>
      <c r="CD264" s="82" t="n">
        <v>9.089312</v>
      </c>
      <c r="CE264" s="83" t="n">
        <v>93.254714</v>
      </c>
      <c r="CF264" s="84" t="n">
        <v>35.784571</v>
      </c>
      <c r="CG264" s="80" t="n">
        <v>0.092</v>
      </c>
      <c r="CH264" s="63" t="n">
        <v>41890.1433985686</v>
      </c>
      <c r="CI264" s="63" t="n">
        <v>1010.03407072569</v>
      </c>
      <c r="CJ264" s="64" t="n">
        <v>111498.097570248</v>
      </c>
      <c r="CK264" s="65" t="n">
        <v>0.905875609302955</v>
      </c>
    </row>
    <row r="265" customFormat="false" ht="15" hidden="false" customHeight="false" outlineLevel="0" collapsed="false">
      <c r="A265" s="7" t="s">
        <v>73</v>
      </c>
      <c r="B265" s="66" t="n">
        <v>263</v>
      </c>
      <c r="C265" s="8" t="s">
        <v>341</v>
      </c>
      <c r="D265" s="67" t="n">
        <v>41904</v>
      </c>
      <c r="E265" s="4" t="s">
        <v>78</v>
      </c>
      <c r="F265" s="7" t="n">
        <v>2105</v>
      </c>
      <c r="G265" s="68" t="n">
        <v>1</v>
      </c>
      <c r="H265" s="68" t="n">
        <v>85</v>
      </c>
      <c r="I265" s="66" t="n">
        <v>1</v>
      </c>
      <c r="J265" s="69" t="n">
        <v>565.271153846154</v>
      </c>
      <c r="K265" s="31" t="n">
        <v>396.622734816217</v>
      </c>
      <c r="L265" s="31" t="n">
        <v>908.09698443913</v>
      </c>
      <c r="M265" s="31" t="n">
        <v>148.078963481839</v>
      </c>
      <c r="N265" s="31" t="n">
        <v>410.837451037105</v>
      </c>
      <c r="O265" s="32"/>
      <c r="P265" s="33" t="n">
        <v>65.5888604036004</v>
      </c>
      <c r="Q265" s="33" t="n">
        <v>13.7092448906003</v>
      </c>
      <c r="R265" s="31" t="n">
        <v>93.703155833179</v>
      </c>
      <c r="S265" s="34" t="s">
        <v>76</v>
      </c>
      <c r="T265" s="35" t="n">
        <v>18.7366264576923</v>
      </c>
      <c r="U265" s="35" t="n">
        <v>5.10977219230769</v>
      </c>
      <c r="V265" s="70" t="n">
        <v>23.84639865</v>
      </c>
      <c r="W265" s="35" t="n">
        <v>21.6963608707532</v>
      </c>
      <c r="X265" s="35" t="n">
        <v>3.65650771932217</v>
      </c>
      <c r="Y265" s="35" t="n">
        <v>8.88331940309591</v>
      </c>
      <c r="Z265" s="35"/>
      <c r="AA265" s="35" t="n">
        <v>1.39919736553608</v>
      </c>
      <c r="AB265" s="35" t="n">
        <v>0.300801140028572</v>
      </c>
      <c r="AC265" s="71" t="n">
        <v>2.6672524315533</v>
      </c>
      <c r="AD265" s="38" t="n">
        <v>7.30224466866835</v>
      </c>
      <c r="AE265" s="38" t="n">
        <v>6.15636184819542</v>
      </c>
      <c r="AF265" s="38" t="n">
        <v>1.54290222529076</v>
      </c>
      <c r="AG265" s="72"/>
      <c r="AH265" s="72"/>
      <c r="AI265" s="73" t="n">
        <v>41.1929692412548</v>
      </c>
      <c r="AJ265" s="42" t="s">
        <v>16</v>
      </c>
      <c r="AK265" s="43" t="n">
        <v>693.779980120044</v>
      </c>
      <c r="AL265" s="43" t="n">
        <v>716.249103484713</v>
      </c>
      <c r="AM265" s="43" t="n">
        <v>578.039390662964</v>
      </c>
      <c r="AN265" s="74"/>
      <c r="AO265" s="75" t="n">
        <v>21.3846153846154</v>
      </c>
      <c r="AP265" s="76" t="n">
        <v>0.57437920997921</v>
      </c>
      <c r="AQ265" s="76" t="n">
        <v>0.633909355509355</v>
      </c>
      <c r="AR265" s="76" t="n">
        <v>0.960516008316008</v>
      </c>
      <c r="AS265" s="77" t="n">
        <v>17.1695343035343</v>
      </c>
      <c r="AT265" s="78" t="n">
        <v>17.0920147966683</v>
      </c>
      <c r="AU265" s="78" t="n">
        <v>26.8594594594595</v>
      </c>
      <c r="AV265" s="78" t="n">
        <v>29.6432432432432</v>
      </c>
      <c r="AW265" s="78" t="n">
        <v>44.9162162162162</v>
      </c>
      <c r="AX265" s="78" t="n">
        <v>29.7567567567568</v>
      </c>
      <c r="AY265" s="48" t="n">
        <v>0.716754552648909</v>
      </c>
      <c r="AZ265" s="48" t="n">
        <v>16.76336461543</v>
      </c>
      <c r="BA265" s="48" t="n">
        <v>7.08303403457002</v>
      </c>
      <c r="BB265" s="49" t="n">
        <f aca="false">AT265/V265</f>
        <v>0.716754552648909</v>
      </c>
      <c r="BC265" s="49" t="n">
        <f aca="false">AS265/V265</f>
        <v>0.720005337306323</v>
      </c>
      <c r="BD265" s="49" t="n">
        <f aca="false">SUM(AP265:AR265)/V265</f>
        <v>0.0909489355452243</v>
      </c>
      <c r="BE265" s="50" t="n">
        <v>6.66</v>
      </c>
      <c r="BF265" s="51" t="n">
        <v>152.504350021109</v>
      </c>
      <c r="BG265" s="51" t="n">
        <v>499.587990883889</v>
      </c>
      <c r="BH265" s="51" t="n">
        <v>269.601629680053</v>
      </c>
      <c r="BI265" s="51" t="n">
        <v>180.470042097949</v>
      </c>
      <c r="BJ265" s="51" t="n">
        <v>9.15960746425185</v>
      </c>
      <c r="BK265" s="51" t="n">
        <v>22.9216064529959</v>
      </c>
      <c r="BL265" s="51" t="n">
        <v>13.2839990427517</v>
      </c>
      <c r="BM265" s="51"/>
      <c r="BN265" s="52" t="n">
        <f aca="false">(BG265*0.5-BH265*0.25+BI265*0.5)/SUM(BG265:BI265)*1000</f>
        <v>287.08032971173</v>
      </c>
      <c r="BO265" s="53" t="n">
        <v>6.52716082</v>
      </c>
      <c r="BP265" s="54" t="s">
        <v>77</v>
      </c>
      <c r="BQ265" s="55" t="n">
        <v>547.555605991808</v>
      </c>
      <c r="BR265" s="56" t="n">
        <v>22.9617735587008</v>
      </c>
      <c r="BS265" s="56" t="n">
        <v>35.235240697054</v>
      </c>
      <c r="BT265" s="56" t="n">
        <v>32.0357554393495</v>
      </c>
      <c r="BU265" s="55"/>
      <c r="BV265" s="55"/>
      <c r="BW265" s="55"/>
      <c r="BX265" s="55"/>
      <c r="BY265" s="79" t="n">
        <v>0.0654545454545455</v>
      </c>
      <c r="BZ265" s="80" t="n">
        <v>0.6236852</v>
      </c>
      <c r="CA265" s="81" t="n">
        <v>3.63</v>
      </c>
      <c r="CB265" s="81" t="n">
        <v>0.184</v>
      </c>
      <c r="CC265" s="82" t="n">
        <v>4.727755</v>
      </c>
      <c r="CD265" s="82" t="n">
        <v>7.632164</v>
      </c>
      <c r="CE265" s="83" t="n">
        <v>83.468264</v>
      </c>
      <c r="CF265" s="84" t="n">
        <v>38.158735</v>
      </c>
      <c r="CG265" s="80" t="n">
        <v>0.0815</v>
      </c>
      <c r="CH265" s="63" t="n">
        <v>19742.1217105208</v>
      </c>
      <c r="CI265" s="63" t="n">
        <v>1732.12287911738</v>
      </c>
      <c r="CJ265" s="64" t="n">
        <v>398857.700396925</v>
      </c>
      <c r="CK265" s="65" t="n">
        <v>0.434270888438068</v>
      </c>
    </row>
    <row r="266" customFormat="false" ht="15" hidden="false" customHeight="false" outlineLevel="0" collapsed="false">
      <c r="A266" s="7" t="s">
        <v>73</v>
      </c>
      <c r="B266" s="66" t="n">
        <v>264</v>
      </c>
      <c r="C266" s="8" t="s">
        <v>342</v>
      </c>
      <c r="D266" s="67" t="n">
        <v>41904</v>
      </c>
      <c r="E266" s="4" t="s">
        <v>78</v>
      </c>
      <c r="F266" s="7" t="n">
        <v>2107</v>
      </c>
      <c r="G266" s="68" t="n">
        <v>1</v>
      </c>
      <c r="H266" s="68" t="n">
        <v>107</v>
      </c>
      <c r="I266" s="66" t="n">
        <v>1</v>
      </c>
      <c r="J266" s="69" t="n">
        <v>644.453703703704</v>
      </c>
      <c r="K266" s="31" t="n">
        <v>396.622734816217</v>
      </c>
      <c r="L266" s="31" t="n">
        <v>908.09698443913</v>
      </c>
      <c r="M266" s="31" t="n">
        <v>148.078963481839</v>
      </c>
      <c r="N266" s="31" t="n">
        <v>410.837451037105</v>
      </c>
      <c r="O266" s="32"/>
      <c r="P266" s="33" t="n">
        <v>65.5888604036004</v>
      </c>
      <c r="Q266" s="33" t="n">
        <v>13.7092448906003</v>
      </c>
      <c r="R266" s="31" t="n">
        <v>93.703155833179</v>
      </c>
      <c r="S266" s="34" t="s">
        <v>76</v>
      </c>
      <c r="T266" s="35" t="n">
        <v>16.0916302144444</v>
      </c>
      <c r="U266" s="35" t="n">
        <v>4.90119955555556</v>
      </c>
      <c r="V266" s="70" t="n">
        <v>20.99282977</v>
      </c>
      <c r="W266" s="35" t="n">
        <v>19.1032433715843</v>
      </c>
      <c r="X266" s="35" t="n">
        <v>3.22867009410239</v>
      </c>
      <c r="Y266" s="35" t="n">
        <v>7.7484266974217</v>
      </c>
      <c r="Z266" s="35"/>
      <c r="AA266" s="35" t="n">
        <v>1.21870020859476</v>
      </c>
      <c r="AB266" s="35" t="n">
        <v>0.262798153629139</v>
      </c>
      <c r="AC266" s="71" t="n">
        <v>2.38190479827436</v>
      </c>
      <c r="AD266" s="38" t="n">
        <v>7.1567391952815</v>
      </c>
      <c r="AE266" s="38" t="n">
        <v>6.03301416201148</v>
      </c>
      <c r="AF266" s="38" t="n">
        <v>1.56871462863223</v>
      </c>
      <c r="AG266" s="72"/>
      <c r="AH266" s="72"/>
      <c r="AI266" s="73" t="n">
        <v>36.720375922376</v>
      </c>
      <c r="AJ266" s="42" t="s">
        <v>16</v>
      </c>
      <c r="AK266" s="43" t="n">
        <v>659.086494117677</v>
      </c>
      <c r="AL266" s="43" t="n">
        <v>684.189012061404</v>
      </c>
      <c r="AM266" s="43" t="n">
        <v>514.129786286402</v>
      </c>
      <c r="AN266" s="74"/>
      <c r="AO266" s="75" t="n">
        <v>20.3592592592593</v>
      </c>
      <c r="AP266" s="76" t="n">
        <v>0.53952037037037</v>
      </c>
      <c r="AQ266" s="76" t="n">
        <v>0.616885555555555</v>
      </c>
      <c r="AR266" s="76" t="n">
        <v>0.954849259259259</v>
      </c>
      <c r="AS266" s="77" t="n">
        <v>16.2365092592593</v>
      </c>
      <c r="AT266" s="78" t="n">
        <v>16.4990140268931</v>
      </c>
      <c r="AU266" s="78" t="n">
        <v>26.5</v>
      </c>
      <c r="AV266" s="78" t="n">
        <v>30.3</v>
      </c>
      <c r="AW266" s="78" t="n">
        <v>46.9</v>
      </c>
      <c r="AX266" s="78" t="n">
        <v>34</v>
      </c>
      <c r="AY266" s="48" t="n">
        <v>0.785935684119689</v>
      </c>
      <c r="AZ266" s="48" t="n">
        <v>17.937516987172</v>
      </c>
      <c r="BA266" s="48" t="n">
        <v>3.05531278282798</v>
      </c>
      <c r="BB266" s="49" t="n">
        <f aca="false">AT266/V266</f>
        <v>0.785935684119689</v>
      </c>
      <c r="BC266" s="49" t="n">
        <f aca="false">AS266/V266</f>
        <v>0.773431187560154</v>
      </c>
      <c r="BD266" s="49" t="n">
        <f aca="false">SUM(AP266:AR266)/V266</f>
        <v>0.100570299874593</v>
      </c>
      <c r="BE266" s="50" t="n">
        <v>6.76</v>
      </c>
      <c r="BF266" s="51" t="n">
        <v>156.130150498543</v>
      </c>
      <c r="BG266" s="51" t="n">
        <v>541.426260433773</v>
      </c>
      <c r="BH266" s="51" t="n">
        <v>220.108940024491</v>
      </c>
      <c r="BI266" s="51" t="n">
        <v>195.376845733651</v>
      </c>
      <c r="BJ266" s="51" t="n">
        <v>7.96630812759196</v>
      </c>
      <c r="BK266" s="51" t="n">
        <v>17.9993008180755</v>
      </c>
      <c r="BL266" s="51" t="n">
        <v>12.1472204843086</v>
      </c>
      <c r="BM266" s="51"/>
      <c r="BN266" s="52" t="n">
        <f aca="false">(BG266*0.5-BH266*0.25+BI266*0.5)/SUM(BG266:BI266)*1000</f>
        <v>327.484975578142</v>
      </c>
      <c r="BO266" s="53" t="n">
        <v>6.65672872</v>
      </c>
      <c r="BP266" s="54" t="s">
        <v>77</v>
      </c>
      <c r="BQ266" s="55" t="n">
        <v>379.549533611561</v>
      </c>
      <c r="BR266" s="56" t="n">
        <v>18.0799605279494</v>
      </c>
      <c r="BS266" s="56" t="n">
        <v>29.0392408216968</v>
      </c>
      <c r="BT266" s="56" t="n">
        <v>23.0043766853523</v>
      </c>
      <c r="BU266" s="55"/>
      <c r="BV266" s="55"/>
      <c r="BW266" s="55"/>
      <c r="BX266" s="55"/>
      <c r="BY266" s="79" t="n">
        <v>0.0654545454545455</v>
      </c>
      <c r="BZ266" s="80" t="n">
        <v>0.726718</v>
      </c>
      <c r="CA266" s="81" t="n">
        <v>3.73</v>
      </c>
      <c r="CB266" s="81" t="n">
        <v>0.434</v>
      </c>
      <c r="CC266" s="82" t="n">
        <v>5.546034</v>
      </c>
      <c r="CD266" s="82" t="n">
        <v>6.9509</v>
      </c>
      <c r="CE266" s="83" t="n">
        <v>94.835318</v>
      </c>
      <c r="CF266" s="84" t="n">
        <v>34.160143</v>
      </c>
      <c r="CG266" s="80" t="n">
        <v>0.092</v>
      </c>
      <c r="CH266" s="63" t="n">
        <v>46227.7277866478</v>
      </c>
      <c r="CI266" s="63" t="n">
        <v>2340.64784651561</v>
      </c>
      <c r="CJ266" s="64" t="n">
        <v>325310.795534785</v>
      </c>
      <c r="CK266" s="65" t="n">
        <v>0.719511273109694</v>
      </c>
    </row>
    <row r="267" customFormat="false" ht="15" hidden="false" customHeight="false" outlineLevel="0" collapsed="false">
      <c r="A267" s="7" t="s">
        <v>73</v>
      </c>
      <c r="B267" s="66" t="n">
        <v>265</v>
      </c>
      <c r="C267" s="8" t="s">
        <v>343</v>
      </c>
      <c r="D267" s="67" t="n">
        <v>41904</v>
      </c>
      <c r="E267" s="4" t="s">
        <v>78</v>
      </c>
      <c r="F267" s="7" t="n">
        <v>2109</v>
      </c>
      <c r="G267" s="68" t="n">
        <v>1</v>
      </c>
      <c r="H267" s="68" t="n">
        <v>102</v>
      </c>
      <c r="I267" s="66" t="n">
        <v>1</v>
      </c>
      <c r="J267" s="69" t="n">
        <v>606.965909090909</v>
      </c>
      <c r="K267" s="31" t="n">
        <v>396.622734816217</v>
      </c>
      <c r="L267" s="31" t="n">
        <v>908.09698443913</v>
      </c>
      <c r="M267" s="31" t="n">
        <v>148.078963481839</v>
      </c>
      <c r="N267" s="31" t="n">
        <v>410.837451037105</v>
      </c>
      <c r="O267" s="32"/>
      <c r="P267" s="33" t="n">
        <v>65.5888604036004</v>
      </c>
      <c r="Q267" s="33" t="n">
        <v>13.7092448906003</v>
      </c>
      <c r="R267" s="31" t="n">
        <v>93.703155833179</v>
      </c>
      <c r="S267" s="34" t="s">
        <v>76</v>
      </c>
      <c r="T267" s="35" t="n">
        <v>17.8918096221739</v>
      </c>
      <c r="U267" s="35" t="n">
        <v>5.28160234782609</v>
      </c>
      <c r="V267" s="70" t="n">
        <v>23.17341197</v>
      </c>
      <c r="W267" s="35" t="n">
        <v>21.0831711455961</v>
      </c>
      <c r="X267" s="35" t="n">
        <v>3.55560228552194</v>
      </c>
      <c r="Y267" s="35" t="n">
        <v>8.58151832111797</v>
      </c>
      <c r="Z267" s="35"/>
      <c r="AA267" s="35" t="n">
        <v>1.34741520515799</v>
      </c>
      <c r="AB267" s="35" t="n">
        <v>0.292374326534861</v>
      </c>
      <c r="AC267" s="71" t="n">
        <v>2.60912513404431</v>
      </c>
      <c r="AD267" s="38" t="n">
        <v>7.80261865738758</v>
      </c>
      <c r="AE267" s="38" t="n">
        <v>6.61094674009128</v>
      </c>
      <c r="AF267" s="38" t="n">
        <v>1.9154347961878</v>
      </c>
      <c r="AG267" s="72"/>
      <c r="AH267" s="72"/>
      <c r="AI267" s="73" t="n">
        <v>37.4713079509581</v>
      </c>
      <c r="AJ267" s="42" t="s">
        <v>16</v>
      </c>
      <c r="AK267" s="43" t="n">
        <v>663.294353568273</v>
      </c>
      <c r="AL267" s="43" t="n">
        <v>686.434896608416</v>
      </c>
      <c r="AM267" s="43" t="n">
        <v>461.291043717893</v>
      </c>
      <c r="AN267" s="74"/>
      <c r="AO267" s="75" t="n">
        <v>22.8695652173913</v>
      </c>
      <c r="AP267" s="76" t="n">
        <v>0.894708212560387</v>
      </c>
      <c r="AQ267" s="76" t="n">
        <v>0.739279871175523</v>
      </c>
      <c r="AR267" s="76" t="n">
        <v>1.0708038647343</v>
      </c>
      <c r="AS267" s="77" t="n">
        <v>22.5684492753623</v>
      </c>
      <c r="AT267" s="78" t="n">
        <v>22.402036097521</v>
      </c>
      <c r="AU267" s="78" t="n">
        <v>39.1222222222222</v>
      </c>
      <c r="AV267" s="78" t="n">
        <v>32.3259259259259</v>
      </c>
      <c r="AW267" s="78" t="n">
        <v>46.8222222222222</v>
      </c>
      <c r="AX267" s="78" t="n">
        <v>29.6296296296296</v>
      </c>
      <c r="AY267" s="48" t="n">
        <v>0.966712891762436</v>
      </c>
      <c r="AZ267" s="48" t="n">
        <v>19.6231156838478</v>
      </c>
      <c r="BA267" s="48" t="n">
        <v>3.55029628615218</v>
      </c>
      <c r="BB267" s="49" t="n">
        <f aca="false">AT267/V267</f>
        <v>0.966712891762436</v>
      </c>
      <c r="BC267" s="49" t="n">
        <f aca="false">AS267/V267</f>
        <v>0.973894103491499</v>
      </c>
      <c r="BD267" s="49" t="n">
        <f aca="false">SUM(AP267:AR267)/V267</f>
        <v>0.116719624713521</v>
      </c>
      <c r="BE267" s="50" t="n">
        <v>6.83</v>
      </c>
      <c r="BF267" s="51" t="n">
        <v>163.961356961841</v>
      </c>
      <c r="BG267" s="51" t="n">
        <v>545.235952459947</v>
      </c>
      <c r="BH267" s="51" t="n">
        <v>224.790268031049</v>
      </c>
      <c r="BI267" s="51" t="n">
        <v>182.600970053975</v>
      </c>
      <c r="BJ267" s="51" t="n">
        <v>10.30648208321</v>
      </c>
      <c r="BK267" s="51" t="n">
        <v>16.0469235806733</v>
      </c>
      <c r="BL267" s="51" t="n">
        <v>16.0442794130358</v>
      </c>
      <c r="BM267" s="51"/>
      <c r="BN267" s="52" t="n">
        <f aca="false">(BG267*0.5-BH267*0.25+BI267*0.5)/SUM(BG267:BI267)*1000</f>
        <v>323.02342123277</v>
      </c>
      <c r="BO267" s="53" t="n">
        <v>10.5269176</v>
      </c>
      <c r="BP267" s="54" t="s">
        <v>77</v>
      </c>
      <c r="BQ267" s="55" t="n">
        <v>449.838765167759</v>
      </c>
      <c r="BR267" s="56" t="n">
        <v>19.4118486198802</v>
      </c>
      <c r="BS267" s="56" t="n">
        <v>31.0829042283682</v>
      </c>
      <c r="BT267" s="56" t="n">
        <v>20.0802624908518</v>
      </c>
      <c r="BU267" s="55"/>
      <c r="BV267" s="55"/>
      <c r="BW267" s="55"/>
      <c r="BX267" s="55"/>
      <c r="BY267" s="79" t="n">
        <v>0.0654545454545455</v>
      </c>
      <c r="BZ267" s="80" t="n">
        <v>0.7237459</v>
      </c>
      <c r="CA267" s="81" t="n">
        <v>3.23</v>
      </c>
      <c r="CB267" s="81" t="n">
        <v>0.03</v>
      </c>
      <c r="CC267" s="82" t="n">
        <v>5.248478</v>
      </c>
      <c r="CD267" s="82" t="n">
        <v>7.499696</v>
      </c>
      <c r="CE267" s="83" t="n">
        <v>86.20847</v>
      </c>
      <c r="CF267" s="84" t="n">
        <v>37.523542</v>
      </c>
      <c r="CG267" s="80" t="n">
        <v>0.092</v>
      </c>
      <c r="CH267" s="63" t="n">
        <v>28086.4694145527</v>
      </c>
      <c r="CI267" s="63" t="n">
        <v>1761.51490889427</v>
      </c>
      <c r="CJ267" s="64" t="n">
        <v>249846.778132224</v>
      </c>
      <c r="CK267" s="65" t="n">
        <v>0.705038072559031</v>
      </c>
    </row>
    <row r="268" customFormat="false" ht="15" hidden="false" customHeight="false" outlineLevel="0" collapsed="false">
      <c r="A268" s="7" t="s">
        <v>73</v>
      </c>
      <c r="B268" s="66" t="n">
        <v>266</v>
      </c>
      <c r="C268" s="8" t="s">
        <v>344</v>
      </c>
      <c r="D268" s="67" t="n">
        <v>41904</v>
      </c>
      <c r="E268" s="4" t="s">
        <v>78</v>
      </c>
      <c r="F268" s="7" t="n">
        <v>2115</v>
      </c>
      <c r="G268" s="68" t="n">
        <v>1</v>
      </c>
      <c r="H268" s="68" t="n">
        <v>95</v>
      </c>
      <c r="I268" s="66" t="n">
        <v>1</v>
      </c>
      <c r="J268" s="69" t="n">
        <v>580.596428571429</v>
      </c>
      <c r="K268" s="31" t="n">
        <v>396.622734816217</v>
      </c>
      <c r="L268" s="31" t="n">
        <v>908.09698443913</v>
      </c>
      <c r="M268" s="31" t="n">
        <v>148.078963481839</v>
      </c>
      <c r="N268" s="31" t="n">
        <v>410.837451037105</v>
      </c>
      <c r="O268" s="32"/>
      <c r="P268" s="33" t="n">
        <v>65.5888604036004</v>
      </c>
      <c r="Q268" s="33" t="n">
        <v>13.7092448906003</v>
      </c>
      <c r="R268" s="31" t="n">
        <v>93.703155833179</v>
      </c>
      <c r="S268" s="34" t="s">
        <v>76</v>
      </c>
      <c r="T268" s="35" t="n">
        <v>25.23532741</v>
      </c>
      <c r="U268" s="35" t="n">
        <v>9.664031</v>
      </c>
      <c r="V268" s="70" t="n">
        <v>34.89935841</v>
      </c>
      <c r="W268" s="35" t="n">
        <v>31.7725231804954</v>
      </c>
      <c r="X268" s="35" t="n">
        <v>5.40811509694794</v>
      </c>
      <c r="Y268" s="35" t="n">
        <v>12.606809911455</v>
      </c>
      <c r="Z268" s="35"/>
      <c r="AA268" s="35" t="n">
        <v>1.97842625122745</v>
      </c>
      <c r="AB268" s="35" t="n">
        <v>0.428080950045453</v>
      </c>
      <c r="AC268" s="71" t="n">
        <v>4.09424441046549</v>
      </c>
      <c r="AD268" s="38" t="n">
        <v>10.488907572233</v>
      </c>
      <c r="AE268" s="38" t="n">
        <v>8.89122109500158</v>
      </c>
      <c r="AF268" s="38" t="n">
        <v>2.36927481385587</v>
      </c>
      <c r="AG268" s="72"/>
      <c r="AH268" s="72"/>
      <c r="AI268" s="73" t="n">
        <v>40.8127297430575</v>
      </c>
      <c r="AJ268" s="42" t="s">
        <v>16</v>
      </c>
      <c r="AK268" s="43" t="n">
        <v>699.452710591164</v>
      </c>
      <c r="AL268" s="43" t="n">
        <v>720.160056395529</v>
      </c>
      <c r="AM268" s="43" t="n">
        <v>561.903773979779</v>
      </c>
      <c r="AN268" s="74"/>
      <c r="AO268" s="75" t="n">
        <v>40.0285714285714</v>
      </c>
      <c r="AP268" s="76" t="n">
        <v>1.39382327979713</v>
      </c>
      <c r="AQ268" s="76" t="n">
        <v>1.21397893491124</v>
      </c>
      <c r="AR268" s="76" t="n">
        <v>1.79661966187659</v>
      </c>
      <c r="AS268" s="77" t="n">
        <v>36.9187777683855</v>
      </c>
      <c r="AT268" s="78" t="n">
        <v>36.084841553214</v>
      </c>
      <c r="AU268" s="78" t="n">
        <v>34.8207100591716</v>
      </c>
      <c r="AV268" s="78" t="n">
        <v>30.3278106508876</v>
      </c>
      <c r="AW268" s="78" t="n">
        <v>44.8834319526627</v>
      </c>
      <c r="AX268" s="78" t="n">
        <v>28.2781065088757</v>
      </c>
      <c r="AY268" s="48" t="n">
        <v>1.03396862284077</v>
      </c>
      <c r="AZ268" s="48" t="n">
        <v>24.2638768340142</v>
      </c>
      <c r="BA268" s="48" t="n">
        <v>10.6354815759858</v>
      </c>
      <c r="BB268" s="49" t="n">
        <f aca="false">AT268/V268</f>
        <v>1.03396862284077</v>
      </c>
      <c r="BC268" s="49" t="n">
        <f aca="false">AS268/V268</f>
        <v>1.05786408261898</v>
      </c>
      <c r="BD268" s="49" t="n">
        <f aca="false">SUM(AP268:AR268)/V268</f>
        <v>0.126203519985712</v>
      </c>
      <c r="BE268" s="50" t="n">
        <v>6.81</v>
      </c>
      <c r="BF268" s="51" t="n">
        <v>149.837871002046</v>
      </c>
      <c r="BG268" s="51" t="n">
        <v>538.697834264182</v>
      </c>
      <c r="BH268" s="51" t="n">
        <v>228.285984377725</v>
      </c>
      <c r="BI268" s="51" t="n">
        <v>187.088807765767</v>
      </c>
      <c r="BJ268" s="51" t="n">
        <v>9.41353927793108</v>
      </c>
      <c r="BK268" s="51" t="n">
        <v>18.8387037786667</v>
      </c>
      <c r="BL268" s="51" t="n">
        <v>12.7000061576192</v>
      </c>
      <c r="BM268" s="51"/>
      <c r="BN268" s="52" t="n">
        <f aca="false">(BG268*0.5-BH268*0.25+BI268*0.5)/SUM(BG268:BI268)*1000</f>
        <v>320.54354821188</v>
      </c>
      <c r="BO268" s="53" t="n">
        <v>7.47627178</v>
      </c>
      <c r="BP268" s="54" t="s">
        <v>77</v>
      </c>
      <c r="BQ268" s="55" t="n">
        <v>518.516121201512</v>
      </c>
      <c r="BR268" s="56" t="n">
        <v>14.8574685846642</v>
      </c>
      <c r="BS268" s="56" t="n">
        <v>22.6611282550323</v>
      </c>
      <c r="BT268" s="56" t="n">
        <v>14.369361174466</v>
      </c>
      <c r="BU268" s="55"/>
      <c r="BV268" s="55"/>
      <c r="BW268" s="55"/>
      <c r="BX268" s="55"/>
      <c r="BY268" s="79" t="n">
        <v>0.0467532467532468</v>
      </c>
      <c r="BZ268" s="80" t="n">
        <v>0.7802158</v>
      </c>
      <c r="CA268" s="81" t="n">
        <v>3.37</v>
      </c>
      <c r="CB268" s="81" t="n">
        <v>0.842</v>
      </c>
      <c r="CC268" s="82" t="n">
        <v>5.801082</v>
      </c>
      <c r="CD268" s="82" t="n">
        <v>7.96018</v>
      </c>
      <c r="CE268" s="83" t="n">
        <v>95.88413</v>
      </c>
      <c r="CF268" s="84" t="n">
        <v>37.37776</v>
      </c>
      <c r="CG268" s="80" t="n">
        <v>0.0395</v>
      </c>
      <c r="CH268" s="63" t="n">
        <v>79978.9499125741</v>
      </c>
      <c r="CI268" s="63" t="n">
        <v>2591.48590556557</v>
      </c>
      <c r="CJ268" s="64" t="n">
        <v>386943.493982555</v>
      </c>
      <c r="CK268" s="65" t="n">
        <v>0.669732388802588</v>
      </c>
    </row>
    <row r="269" customFormat="false" ht="15" hidden="false" customHeight="false" outlineLevel="0" collapsed="false">
      <c r="A269" s="7" t="s">
        <v>73</v>
      </c>
      <c r="B269" s="66" t="n">
        <v>267</v>
      </c>
      <c r="C269" s="8" t="s">
        <v>345</v>
      </c>
      <c r="D269" s="67" t="n">
        <v>41904</v>
      </c>
      <c r="E269" s="4" t="s">
        <v>78</v>
      </c>
      <c r="F269" s="7" t="n">
        <v>2124</v>
      </c>
      <c r="G269" s="68" t="n">
        <v>1</v>
      </c>
      <c r="H269" s="68" t="n">
        <v>106</v>
      </c>
      <c r="I269" s="66" t="n">
        <v>1</v>
      </c>
      <c r="J269" s="69" t="n">
        <v>596.985714285714</v>
      </c>
      <c r="K269" s="31" t="n">
        <v>396.622734816217</v>
      </c>
      <c r="L269" s="31" t="n">
        <v>908.09698443913</v>
      </c>
      <c r="M269" s="31" t="n">
        <v>148.078963481839</v>
      </c>
      <c r="N269" s="31" t="n">
        <v>410.837451037105</v>
      </c>
      <c r="O269" s="32"/>
      <c r="P269" s="33" t="n">
        <v>65.5888604036004</v>
      </c>
      <c r="Q269" s="33" t="n">
        <v>13.7092448906003</v>
      </c>
      <c r="R269" s="31" t="n">
        <v>93.703155833179</v>
      </c>
      <c r="S269" s="34" t="s">
        <v>76</v>
      </c>
      <c r="T269" s="35" t="n">
        <v>23.51410334</v>
      </c>
      <c r="U269" s="35" t="n">
        <v>9.786735</v>
      </c>
      <c r="V269" s="70" t="n">
        <v>33.30083834</v>
      </c>
      <c r="W269" s="35" t="n">
        <v>30.3222779781605</v>
      </c>
      <c r="X269" s="35" t="n">
        <v>5.17500309154161</v>
      </c>
      <c r="Y269" s="35" t="n">
        <v>11.9275582654131</v>
      </c>
      <c r="Z269" s="35"/>
      <c r="AA269" s="35" t="n">
        <v>1.86984673495862</v>
      </c>
      <c r="AB269" s="35" t="n">
        <v>0.405359818966947</v>
      </c>
      <c r="AC269" s="71" t="n">
        <v>3.95587977629657</v>
      </c>
      <c r="AD269" s="38" t="n">
        <v>12.7814636320669</v>
      </c>
      <c r="AE269" s="38" t="n">
        <v>10.9631317126656</v>
      </c>
      <c r="AF269" s="38" t="n">
        <v>2.5530262082011</v>
      </c>
      <c r="AG269" s="72"/>
      <c r="AH269" s="72"/>
      <c r="AI269" s="73" t="n">
        <v>31.7146635655996</v>
      </c>
      <c r="AJ269" s="42" t="s">
        <v>16</v>
      </c>
      <c r="AK269" s="43" t="n">
        <v>616.181926065383</v>
      </c>
      <c r="AL269" s="43" t="n">
        <v>638.446302729571</v>
      </c>
      <c r="AM269" s="43" t="n">
        <v>506.66189699984</v>
      </c>
      <c r="AN269" s="74"/>
      <c r="AO269" s="75" t="n">
        <v>40.9428571428572</v>
      </c>
      <c r="AP269" s="76" t="n">
        <v>1.50448337209302</v>
      </c>
      <c r="AQ269" s="76" t="n">
        <v>1.22245373754153</v>
      </c>
      <c r="AR269" s="76" t="n">
        <v>1.91662559800665</v>
      </c>
      <c r="AS269" s="77" t="n">
        <v>38.9443934385382</v>
      </c>
      <c r="AT269" s="78" t="n">
        <v>38.1380885775652</v>
      </c>
      <c r="AU269" s="78" t="n">
        <v>36.7459302325581</v>
      </c>
      <c r="AV269" s="78" t="n">
        <v>29.8575581395349</v>
      </c>
      <c r="AW269" s="78" t="n">
        <v>46.8122093023256</v>
      </c>
      <c r="AX269" s="78" t="n">
        <v>32</v>
      </c>
      <c r="AY269" s="48" t="n">
        <v>1.14525911294416</v>
      </c>
      <c r="AZ269" s="48" t="n">
        <v>25.4715182735632</v>
      </c>
      <c r="BA269" s="48" t="n">
        <v>7.8293200664368</v>
      </c>
      <c r="BB269" s="49" t="n">
        <f aca="false">AT269/V269</f>
        <v>1.14525911294416</v>
      </c>
      <c r="BC269" s="49" t="n">
        <f aca="false">AS269/V269</f>
        <v>1.16947186256748</v>
      </c>
      <c r="BD269" s="49" t="n">
        <f aca="false">SUM(AP269:AR269)/V269</f>
        <v>0.139442817031531</v>
      </c>
      <c r="BE269" s="50" t="n">
        <v>7.04</v>
      </c>
      <c r="BF269" s="51" t="n">
        <v>159.152815596049</v>
      </c>
      <c r="BG269" s="51" t="n">
        <v>561.255126207282</v>
      </c>
      <c r="BH269" s="51" t="n">
        <v>188.667584944415</v>
      </c>
      <c r="BI269" s="51" t="n">
        <v>197.137223810835</v>
      </c>
      <c r="BJ269" s="51" t="n">
        <v>10.7921938025074</v>
      </c>
      <c r="BK269" s="51" t="n">
        <v>17.5784663415757</v>
      </c>
      <c r="BL269" s="51" t="n">
        <v>19.5942805152755</v>
      </c>
      <c r="BM269" s="51"/>
      <c r="BN269" s="52" t="n">
        <f aca="false">(BG269*0.5-BH269*0.25+BI269*0.5)/SUM(BG269:BI269)*1000</f>
        <v>350.589510246878</v>
      </c>
      <c r="BO269" s="53" t="n">
        <v>4.75549498</v>
      </c>
      <c r="BP269" s="54" t="s">
        <v>77</v>
      </c>
      <c r="BQ269" s="55" t="n">
        <v>348.213324825073</v>
      </c>
      <c r="BR269" s="56" t="n">
        <v>10.4565933526908</v>
      </c>
      <c r="BS269" s="56" t="n">
        <v>17.9870186448106</v>
      </c>
      <c r="BT269" s="56" t="n">
        <v>9.13032975202407</v>
      </c>
      <c r="BU269" s="55"/>
      <c r="BV269" s="55"/>
      <c r="BW269" s="55"/>
      <c r="BX269" s="55"/>
      <c r="BY269" s="79" t="n">
        <v>0.14961038961039</v>
      </c>
      <c r="BZ269" s="80" t="n">
        <v>0.6127875</v>
      </c>
      <c r="CA269" s="81" t="n">
        <v>3.83</v>
      </c>
      <c r="CB269" s="81" t="n">
        <v>0.662</v>
      </c>
      <c r="CC269" s="82" t="n">
        <v>5.63105</v>
      </c>
      <c r="CD269" s="82" t="n">
        <v>6.925668</v>
      </c>
      <c r="CE269" s="83" t="n">
        <v>89.465696</v>
      </c>
      <c r="CF269" s="84" t="n">
        <v>36.711328</v>
      </c>
      <c r="CG269" s="80" t="n">
        <v>0.344</v>
      </c>
      <c r="CH269" s="63" t="n">
        <v>41894.05863916</v>
      </c>
      <c r="CI269" s="63" t="n">
        <v>5990.77517464513</v>
      </c>
      <c r="CJ269" s="64" t="n">
        <v>796243.167506187</v>
      </c>
      <c r="CK269" s="65" t="n">
        <v>0.75238010436034</v>
      </c>
    </row>
    <row r="270" customFormat="false" ht="15" hidden="false" customHeight="false" outlineLevel="0" collapsed="false">
      <c r="A270" s="7" t="s">
        <v>73</v>
      </c>
      <c r="B270" s="66" t="n">
        <v>268</v>
      </c>
      <c r="C270" s="8" t="s">
        <v>346</v>
      </c>
      <c r="D270" s="67" t="n">
        <v>41904</v>
      </c>
      <c r="E270" s="4" t="s">
        <v>78</v>
      </c>
      <c r="F270" s="7" t="n">
        <v>2130</v>
      </c>
      <c r="G270" s="68" t="n">
        <v>1</v>
      </c>
      <c r="H270" s="68" t="n">
        <v>111</v>
      </c>
      <c r="I270" s="66" t="n">
        <v>1</v>
      </c>
      <c r="J270" s="69" t="n">
        <v>655.45</v>
      </c>
      <c r="K270" s="31" t="n">
        <v>396.622734816217</v>
      </c>
      <c r="L270" s="31" t="n">
        <v>908.09698443913</v>
      </c>
      <c r="M270" s="31" t="n">
        <v>148.078963481839</v>
      </c>
      <c r="N270" s="31" t="n">
        <v>410.837451037105</v>
      </c>
      <c r="O270" s="32"/>
      <c r="P270" s="33" t="n">
        <v>65.5888604036004</v>
      </c>
      <c r="Q270" s="33" t="n">
        <v>13.7092448906003</v>
      </c>
      <c r="R270" s="31" t="n">
        <v>93.703155833179</v>
      </c>
      <c r="S270" s="34" t="s">
        <v>76</v>
      </c>
      <c r="T270" s="35" t="n">
        <v>23.5963987871429</v>
      </c>
      <c r="U270" s="35" t="n">
        <v>9.91530614285714</v>
      </c>
      <c r="V270" s="70" t="n">
        <v>33.51170493</v>
      </c>
      <c r="W270" s="35" t="n">
        <v>30.5158952689641</v>
      </c>
      <c r="X270" s="35" t="n">
        <v>5.21110229115407</v>
      </c>
      <c r="Y270" s="35" t="n">
        <v>11.9894973525214</v>
      </c>
      <c r="Z270" s="35"/>
      <c r="AA270" s="35" t="n">
        <v>1.88018922346813</v>
      </c>
      <c r="AB270" s="35" t="n">
        <v>0.407065629835089</v>
      </c>
      <c r="AC270" s="71" t="n">
        <v>3.98955511581644</v>
      </c>
      <c r="AD270" s="38" t="n">
        <v>11.2024649673667</v>
      </c>
      <c r="AE270" s="38" t="n">
        <v>9.62332387546291</v>
      </c>
      <c r="AF270" s="38" t="n">
        <v>2.05435193152151</v>
      </c>
      <c r="AG270" s="72"/>
      <c r="AH270" s="72"/>
      <c r="AI270" s="73" t="n">
        <v>36.3371482098708</v>
      </c>
      <c r="AJ270" s="42" t="s">
        <v>16</v>
      </c>
      <c r="AK270" s="43" t="n">
        <v>665.714860202827</v>
      </c>
      <c r="AL270" s="43" t="n">
        <v>684.645533396812</v>
      </c>
      <c r="AM270" s="43" t="n">
        <v>605.774015411518</v>
      </c>
      <c r="AN270" s="74"/>
      <c r="AO270" s="75" t="n">
        <v>46.0214285714286</v>
      </c>
      <c r="AP270" s="76" t="n">
        <v>1.33680796703297</v>
      </c>
      <c r="AQ270" s="76" t="n">
        <v>1.49865346153846</v>
      </c>
      <c r="AR270" s="76" t="n">
        <v>2.19715879120879</v>
      </c>
      <c r="AS270" s="77" t="n">
        <v>38.4606909340659</v>
      </c>
      <c r="AT270" s="78" t="n">
        <v>39.7327416829985</v>
      </c>
      <c r="AU270" s="78" t="n">
        <v>29.0475113122172</v>
      </c>
      <c r="AV270" s="78" t="n">
        <v>32.5642533936651</v>
      </c>
      <c r="AW270" s="78" t="n">
        <v>47.7420814479638</v>
      </c>
      <c r="AX270" s="78" t="n">
        <v>30.158371040724</v>
      </c>
      <c r="AY270" s="48" t="n">
        <v>1.18563772765346</v>
      </c>
      <c r="AZ270" s="48" t="n">
        <v>26.2149956518486</v>
      </c>
      <c r="BA270" s="48" t="n">
        <v>7.29670927815139</v>
      </c>
      <c r="BB270" s="49" t="n">
        <f aca="false">AT270/V270</f>
        <v>1.18563772765346</v>
      </c>
      <c r="BC270" s="49" t="n">
        <f aca="false">AS270/V270</f>
        <v>1.14767932620568</v>
      </c>
      <c r="BD270" s="49" t="n">
        <f aca="false">SUM(AP270:AR270)/V270</f>
        <v>0.150174997968395</v>
      </c>
      <c r="BE270" s="50" t="n">
        <v>6.4</v>
      </c>
      <c r="BF270" s="51" t="n">
        <v>200.096830592281</v>
      </c>
      <c r="BG270" s="51" t="n">
        <v>487.277817222728</v>
      </c>
      <c r="BH270" s="51" t="n">
        <v>273.992433527513</v>
      </c>
      <c r="BI270" s="51" t="n">
        <v>178.176292825314</v>
      </c>
      <c r="BJ270" s="51" t="n">
        <v>8.36518933016244</v>
      </c>
      <c r="BK270" s="51" t="n">
        <v>31.5151442925638</v>
      </c>
      <c r="BL270" s="51" t="n">
        <v>15.6979984236091</v>
      </c>
      <c r="BM270" s="51"/>
      <c r="BN270" s="52" t="n">
        <f aca="false">(BG270*0.5-BH270*0.25+BI270*0.5)/SUM(BG270:BI270)*1000</f>
        <v>281.260225447721</v>
      </c>
      <c r="BO270" s="53" t="n">
        <v>5.72540042</v>
      </c>
      <c r="BP270" s="54" t="s">
        <v>77</v>
      </c>
      <c r="BQ270" s="55" t="n">
        <v>370.759376408258</v>
      </c>
      <c r="BR270" s="56" t="n">
        <v>11.063578447671</v>
      </c>
      <c r="BS270" s="56" t="n">
        <v>17.7459906406536</v>
      </c>
      <c r="BT270" s="56" t="n">
        <v>9.3313313077236</v>
      </c>
      <c r="BU270" s="55"/>
      <c r="BV270" s="55"/>
      <c r="BW270" s="55"/>
      <c r="BX270" s="55"/>
      <c r="BY270" s="79" t="n">
        <v>0.102857142857143</v>
      </c>
      <c r="BZ270" s="80" t="n">
        <v>0.5018291</v>
      </c>
      <c r="CA270" s="81" t="n">
        <v>3.89</v>
      </c>
      <c r="CB270" s="81" t="n">
        <v>0.533</v>
      </c>
      <c r="CC270" s="82" t="n">
        <v>6.024249</v>
      </c>
      <c r="CD270" s="82" t="n">
        <v>7.386152</v>
      </c>
      <c r="CE270" s="83" t="n">
        <v>102.19916</v>
      </c>
      <c r="CF270" s="84" t="n">
        <v>39.064666</v>
      </c>
      <c r="CG270" s="80" t="n">
        <v>0.1235</v>
      </c>
      <c r="CH270" s="63" t="n">
        <v>7795.86702443072</v>
      </c>
      <c r="CI270" s="63" t="n">
        <v>3133.10280674001</v>
      </c>
      <c r="CJ270" s="64" t="n">
        <v>1053263.36050557</v>
      </c>
      <c r="CK270" s="65" t="n">
        <v>0.297466229646127</v>
      </c>
    </row>
    <row r="271" customFormat="false" ht="15" hidden="false" customHeight="false" outlineLevel="0" collapsed="false">
      <c r="A271" s="7" t="s">
        <v>73</v>
      </c>
      <c r="B271" s="66" t="n">
        <v>269</v>
      </c>
      <c r="C271" s="8" t="s">
        <v>347</v>
      </c>
      <c r="D271" s="67" t="n">
        <v>41904</v>
      </c>
      <c r="E271" s="4" t="s">
        <v>78</v>
      </c>
      <c r="F271" s="7" t="n">
        <v>2144</v>
      </c>
      <c r="G271" s="68" t="n">
        <v>1</v>
      </c>
      <c r="H271" s="68" t="n">
        <v>103</v>
      </c>
      <c r="I271" s="66" t="n">
        <v>1</v>
      </c>
      <c r="J271" s="69" t="n">
        <v>632.350694444444</v>
      </c>
      <c r="K271" s="31" t="n">
        <v>396.622734816217</v>
      </c>
      <c r="L271" s="31" t="n">
        <v>908.09698443913</v>
      </c>
      <c r="M271" s="31" t="n">
        <v>148.078963481839</v>
      </c>
      <c r="N271" s="31" t="n">
        <v>410.837451037105</v>
      </c>
      <c r="O271" s="32"/>
      <c r="P271" s="33" t="n">
        <v>65.5888604036004</v>
      </c>
      <c r="Q271" s="33" t="n">
        <v>13.7092448906003</v>
      </c>
      <c r="R271" s="31" t="n">
        <v>93.703155833179</v>
      </c>
      <c r="S271" s="34" t="s">
        <v>76</v>
      </c>
      <c r="T271" s="35" t="n">
        <v>18.27869036</v>
      </c>
      <c r="U271" s="35" t="n">
        <v>5.59687025</v>
      </c>
      <c r="V271" s="70" t="n">
        <v>23.87556061</v>
      </c>
      <c r="W271" s="35" t="n">
        <v>21.727727226147</v>
      </c>
      <c r="X271" s="35" t="n">
        <v>3.67424459789369</v>
      </c>
      <c r="Y271" s="35" t="n">
        <v>8.80674844247464</v>
      </c>
      <c r="Z271" s="35"/>
      <c r="AA271" s="35" t="n">
        <v>1.38595811503996</v>
      </c>
      <c r="AB271" s="35" t="n">
        <v>0.298260721307883</v>
      </c>
      <c r="AC271" s="71" t="n">
        <v>2.71382427406561</v>
      </c>
      <c r="AD271" s="38" t="n">
        <v>10.1499007458845</v>
      </c>
      <c r="AE271" s="38" t="n">
        <v>8.69832396019435</v>
      </c>
      <c r="AF271" s="38" t="n">
        <v>2.25128662328932</v>
      </c>
      <c r="AG271" s="72"/>
      <c r="AH271" s="72"/>
      <c r="AI271" s="73" t="n">
        <v>29.3855800933639</v>
      </c>
      <c r="AJ271" s="42" t="s">
        <v>16</v>
      </c>
      <c r="AK271" s="43" t="n">
        <v>574.883249374536</v>
      </c>
      <c r="AL271" s="43" t="n">
        <v>599.667104172459</v>
      </c>
      <c r="AM271" s="43" t="n">
        <v>387.279054698782</v>
      </c>
      <c r="AN271" s="74"/>
      <c r="AO271" s="75" t="n">
        <v>22.9208333333333</v>
      </c>
      <c r="AP271" s="76" t="n">
        <v>0.54064515625</v>
      </c>
      <c r="AQ271" s="76" t="n">
        <v>0.757199279513889</v>
      </c>
      <c r="AR271" s="76" t="n">
        <v>1.0303630859375</v>
      </c>
      <c r="AS271" s="77" t="n">
        <v>17.2780106770833</v>
      </c>
      <c r="AT271" s="78" t="n">
        <v>18.0087894076488</v>
      </c>
      <c r="AU271" s="78" t="n">
        <v>23.5875</v>
      </c>
      <c r="AV271" s="78" t="n">
        <v>33.0354166666667</v>
      </c>
      <c r="AW271" s="78" t="n">
        <v>44.953125</v>
      </c>
      <c r="AX271" s="78" t="n">
        <v>25.5885416666667</v>
      </c>
      <c r="AY271" s="48" t="n">
        <v>0.754277133082524</v>
      </c>
      <c r="AZ271" s="48" t="n">
        <v>18.0878096381845</v>
      </c>
      <c r="BA271" s="48" t="n">
        <v>5.78775097181546</v>
      </c>
      <c r="BB271" s="49" t="n">
        <f aca="false">AT271/V271</f>
        <v>0.754277133082524</v>
      </c>
      <c r="BC271" s="49" t="n">
        <f aca="false">AS271/V271</f>
        <v>0.723669318568656</v>
      </c>
      <c r="BD271" s="49" t="n">
        <f aca="false">SUM(AP271:AR271)/V271</f>
        <v>0.0975142556747441</v>
      </c>
      <c r="BE271" s="50" t="n">
        <v>5.98</v>
      </c>
      <c r="BF271" s="51" t="n">
        <v>166.417663429058</v>
      </c>
      <c r="BG271" s="51" t="n">
        <v>492.125341430309</v>
      </c>
      <c r="BH271" s="51" t="n">
        <v>227.702351895556</v>
      </c>
      <c r="BI271" s="51" t="n">
        <v>210.290963066704</v>
      </c>
      <c r="BJ271" s="51" t="n">
        <v>7.86033511721012</v>
      </c>
      <c r="BK271" s="51" t="n">
        <v>38.567977456977</v>
      </c>
      <c r="BL271" s="51" t="n">
        <v>18.477906655134</v>
      </c>
      <c r="BM271" s="51"/>
      <c r="BN271" s="52" t="n">
        <f aca="false">(BG271*0.5-BH271*0.25+BI271*0.5)/SUM(BG271:BI271)*1000</f>
        <v>316.392497077719</v>
      </c>
      <c r="BO271" s="53" t="n">
        <v>7.13964374</v>
      </c>
      <c r="BP271" s="54" t="s">
        <v>77</v>
      </c>
      <c r="BQ271" s="55" t="n">
        <v>391.012810080206</v>
      </c>
      <c r="BR271" s="56" t="n">
        <v>16.3771153468302</v>
      </c>
      <c r="BS271" s="56" t="n">
        <v>30.0100320865781</v>
      </c>
      <c r="BT271" s="56" t="n">
        <v>21.7123317525237</v>
      </c>
      <c r="BU271" s="55"/>
      <c r="BV271" s="55"/>
      <c r="BW271" s="55"/>
      <c r="BX271" s="55"/>
      <c r="BY271" s="79" t="n">
        <v>0.112207792207792</v>
      </c>
      <c r="BZ271" s="80" t="n">
        <v>0.6514248</v>
      </c>
      <c r="CA271" s="81" t="n">
        <v>3.56</v>
      </c>
      <c r="CB271" s="81" t="n">
        <v>0.03</v>
      </c>
      <c r="CC271" s="82" t="n">
        <v>5.652304</v>
      </c>
      <c r="CD271" s="82" t="n">
        <v>7.222144</v>
      </c>
      <c r="CE271" s="83" t="n">
        <v>89.258888</v>
      </c>
      <c r="CF271" s="84" t="n">
        <v>37.502716</v>
      </c>
      <c r="CG271" s="80" t="n">
        <v>0.092</v>
      </c>
      <c r="CH271" s="63" t="n">
        <v>44440.171353858</v>
      </c>
      <c r="CI271" s="63" t="n">
        <v>2463.34093603056</v>
      </c>
      <c r="CJ271" s="64" t="n">
        <v>490493.830269981</v>
      </c>
      <c r="CK271" s="65" t="n">
        <v>0.502216497743646</v>
      </c>
    </row>
    <row r="272" customFormat="false" ht="15" hidden="false" customHeight="false" outlineLevel="0" collapsed="false">
      <c r="A272" s="7" t="s">
        <v>73</v>
      </c>
      <c r="B272" s="66" t="n">
        <v>270</v>
      </c>
      <c r="C272" s="8" t="s">
        <v>348</v>
      </c>
      <c r="D272" s="67" t="n">
        <v>41904</v>
      </c>
      <c r="E272" s="4" t="s">
        <v>78</v>
      </c>
      <c r="F272" s="7" t="n">
        <v>4781</v>
      </c>
      <c r="G272" s="68" t="n">
        <v>1</v>
      </c>
      <c r="H272" s="68" t="n">
        <v>91</v>
      </c>
      <c r="I272" s="66" t="n">
        <v>2</v>
      </c>
      <c r="J272" s="69" t="n">
        <v>609.936904761905</v>
      </c>
      <c r="K272" s="31" t="n">
        <v>396.622734816217</v>
      </c>
      <c r="L272" s="31" t="n">
        <v>908.09698443913</v>
      </c>
      <c r="M272" s="31" t="n">
        <v>148.078963481839</v>
      </c>
      <c r="N272" s="31" t="n">
        <v>410.837451037105</v>
      </c>
      <c r="O272" s="32"/>
      <c r="P272" s="33" t="n">
        <v>65.5888604036004</v>
      </c>
      <c r="Q272" s="33" t="n">
        <v>13.7092448906003</v>
      </c>
      <c r="R272" s="31" t="n">
        <v>93.703155833179</v>
      </c>
      <c r="S272" s="34" t="s">
        <v>76</v>
      </c>
      <c r="T272" s="35" t="n">
        <v>23.14030078</v>
      </c>
      <c r="U272" s="35" t="n">
        <v>11.098999</v>
      </c>
      <c r="V272" s="70" t="n">
        <v>34.23929978</v>
      </c>
      <c r="W272" s="35" t="n">
        <v>31.196142171913</v>
      </c>
      <c r="X272" s="35" t="n">
        <v>5.36357728831262</v>
      </c>
      <c r="Y272" s="35" t="n">
        <v>12.0612261285367</v>
      </c>
      <c r="Z272" s="35"/>
      <c r="AA272" s="35" t="n">
        <v>1.8957444814556</v>
      </c>
      <c r="AB272" s="35" t="n">
        <v>0.406174092418539</v>
      </c>
      <c r="AC272" s="71" t="n">
        <v>4.18560583856313</v>
      </c>
      <c r="AD272" s="38" t="n">
        <v>9.67463526488047</v>
      </c>
      <c r="AE272" s="38" t="n">
        <v>8.20175068559116</v>
      </c>
      <c r="AF272" s="38" t="n">
        <v>1.91674455773167</v>
      </c>
      <c r="AG272" s="72"/>
      <c r="AH272" s="72"/>
      <c r="AI272" s="73" t="n">
        <v>41.9834010583299</v>
      </c>
      <c r="AJ272" s="42" t="s">
        <v>16</v>
      </c>
      <c r="AK272" s="43" t="n">
        <v>717.440621535968</v>
      </c>
      <c r="AL272" s="43" t="n">
        <v>737.090867184998</v>
      </c>
      <c r="AM272" s="43" t="n">
        <v>642.636909156075</v>
      </c>
      <c r="AN272" s="74"/>
      <c r="AO272" s="75" t="n">
        <v>47.2428571428571</v>
      </c>
      <c r="AP272" s="76" t="n">
        <v>1.5007092122281</v>
      </c>
      <c r="AQ272" s="76" t="n">
        <v>1.44438717225162</v>
      </c>
      <c r="AR272" s="76" t="n">
        <v>2.17451289241623</v>
      </c>
      <c r="AS272" s="77" t="n">
        <v>41.4077810405644</v>
      </c>
      <c r="AT272" s="78" t="n">
        <v>41.2024531147283</v>
      </c>
      <c r="AU272" s="78" t="n">
        <v>31.7658436213992</v>
      </c>
      <c r="AV272" s="78" t="n">
        <v>30.5736625514403</v>
      </c>
      <c r="AW272" s="78" t="n">
        <v>46.0283950617284</v>
      </c>
      <c r="AX272" s="78" t="n">
        <v>33.5473251028807</v>
      </c>
      <c r="AY272" s="48" t="n">
        <v>1.20336728202589</v>
      </c>
      <c r="AZ272" s="48" t="n">
        <v>26.1728556248725</v>
      </c>
      <c r="BA272" s="48" t="n">
        <v>8.06644415512747</v>
      </c>
      <c r="BB272" s="49" t="n">
        <f aca="false">AT272/V272</f>
        <v>1.20336728202589</v>
      </c>
      <c r="BC272" s="49" t="n">
        <f aca="false">AS272/V272</f>
        <v>1.20936413146952</v>
      </c>
      <c r="BD272" s="49" t="n">
        <f aca="false">SUM(AP272:AR272)/V272</f>
        <v>0.149524356800265</v>
      </c>
      <c r="BE272" s="50" t="n">
        <v>6.65</v>
      </c>
      <c r="BF272" s="51" t="n">
        <v>152.767720538987</v>
      </c>
      <c r="BG272" s="51" t="n">
        <v>554.333819733508</v>
      </c>
      <c r="BH272" s="51" t="n">
        <v>226.330027160038</v>
      </c>
      <c r="BI272" s="51" t="n">
        <v>172.071663985334</v>
      </c>
      <c r="BJ272" s="51" t="n">
        <v>10.1521596480492</v>
      </c>
      <c r="BK272" s="51" t="n">
        <v>18.3983150789393</v>
      </c>
      <c r="BL272" s="51" t="n">
        <v>13.738890016023</v>
      </c>
      <c r="BM272" s="51"/>
      <c r="BN272" s="52" t="n">
        <f aca="false">(BG272*0.5-BH272*0.25+BI272*0.5)/SUM(BG272:BI272)*1000</f>
        <v>321.831433349808</v>
      </c>
      <c r="BO272" s="53" t="n">
        <v>5.6182174</v>
      </c>
      <c r="BP272" s="54" t="s">
        <v>77</v>
      </c>
      <c r="BQ272" s="55" t="n">
        <v>380.084683398604</v>
      </c>
      <c r="BR272" s="56" t="n">
        <v>11.1008310871071</v>
      </c>
      <c r="BS272" s="56" t="n">
        <v>16.5294516980237</v>
      </c>
      <c r="BT272" s="56" t="n">
        <v>9.22480713321262</v>
      </c>
      <c r="BU272" s="55"/>
      <c r="BV272" s="55"/>
      <c r="BW272" s="55"/>
      <c r="BX272" s="55"/>
      <c r="BY272" s="79" t="n">
        <v>0.0935064935064935</v>
      </c>
      <c r="BZ272" s="80" t="n">
        <v>0.6534062</v>
      </c>
      <c r="CA272" s="81" t="n">
        <v>3.51</v>
      </c>
      <c r="CB272" s="81" t="n">
        <v>0.393</v>
      </c>
      <c r="CC272" s="82" t="n">
        <v>6.438702</v>
      </c>
      <c r="CD272" s="82" t="n">
        <v>10.7357</v>
      </c>
      <c r="CE272" s="83" t="n">
        <v>76.739618</v>
      </c>
      <c r="CF272" s="84" t="n">
        <v>37.856758</v>
      </c>
      <c r="CG272" s="80" t="n">
        <v>0.0605</v>
      </c>
      <c r="CH272" s="63" t="n">
        <v>40008.4097394887</v>
      </c>
      <c r="CI272" s="63" t="n">
        <v>4396.32366117446</v>
      </c>
      <c r="CJ272" s="64" t="n">
        <v>729834.370786351</v>
      </c>
      <c r="CK272" s="65" t="n">
        <v>0.60237278993009</v>
      </c>
    </row>
    <row r="273" customFormat="false" ht="15" hidden="false" customHeight="false" outlineLevel="0" collapsed="false">
      <c r="A273" s="7" t="s">
        <v>73</v>
      </c>
      <c r="B273" s="66" t="n">
        <v>271</v>
      </c>
      <c r="C273" s="8" t="s">
        <v>349</v>
      </c>
      <c r="D273" s="67" t="n">
        <v>41904</v>
      </c>
      <c r="E273" s="4" t="s">
        <v>78</v>
      </c>
      <c r="F273" s="7" t="n">
        <v>5824</v>
      </c>
      <c r="G273" s="68" t="n">
        <v>1</v>
      </c>
      <c r="H273" s="68" t="n">
        <v>117</v>
      </c>
      <c r="I273" s="66" t="n">
        <v>2</v>
      </c>
      <c r="J273" s="69" t="n">
        <v>547.836904761905</v>
      </c>
      <c r="K273" s="31" t="n">
        <v>396.622734816217</v>
      </c>
      <c r="L273" s="31" t="n">
        <v>908.09698443913</v>
      </c>
      <c r="M273" s="31" t="n">
        <v>148.078963481839</v>
      </c>
      <c r="N273" s="31" t="n">
        <v>410.837451037105</v>
      </c>
      <c r="O273" s="32"/>
      <c r="P273" s="33" t="n">
        <v>65.5888604036004</v>
      </c>
      <c r="Q273" s="33" t="n">
        <v>13.7092448906003</v>
      </c>
      <c r="R273" s="31" t="n">
        <v>93.703155833179</v>
      </c>
      <c r="S273" s="34" t="s">
        <v>76</v>
      </c>
      <c r="T273" s="35" t="n">
        <v>20.3029318528571</v>
      </c>
      <c r="U273" s="35" t="n">
        <v>6.02378585714286</v>
      </c>
      <c r="V273" s="70" t="n">
        <v>26.32671771</v>
      </c>
      <c r="W273" s="35" t="n">
        <v>23.9313141515368</v>
      </c>
      <c r="X273" s="35" t="n">
        <v>4.0068404105619</v>
      </c>
      <c r="Y273" s="35" t="n">
        <v>9.77787885656022</v>
      </c>
      <c r="Z273" s="35"/>
      <c r="AA273" s="35" t="n">
        <v>1.51727688395131</v>
      </c>
      <c r="AB273" s="35" t="n">
        <v>0.342217448869016</v>
      </c>
      <c r="AC273" s="71" t="n">
        <v>2.9077826796409</v>
      </c>
      <c r="AD273" s="38"/>
      <c r="AE273" s="38"/>
      <c r="AF273" s="38" t="n">
        <v>0.452304076433978</v>
      </c>
      <c r="AG273" s="72"/>
      <c r="AH273" s="72"/>
      <c r="AI273" s="73"/>
      <c r="AJ273" s="42"/>
      <c r="AK273" s="43"/>
      <c r="AL273" s="43"/>
      <c r="AM273" s="43"/>
      <c r="AN273" s="74"/>
      <c r="AO273" s="75" t="n">
        <v>33.3714285714286</v>
      </c>
      <c r="AP273" s="76" t="n">
        <v>1.25260108108108</v>
      </c>
      <c r="AQ273" s="76" t="n">
        <v>1.09440247104247</v>
      </c>
      <c r="AR273" s="76" t="n">
        <v>1.54022671814672</v>
      </c>
      <c r="AS273" s="77" t="n">
        <v>32.1375876447876</v>
      </c>
      <c r="AT273" s="78" t="n">
        <v>32.0462737879645</v>
      </c>
      <c r="AU273" s="78" t="n">
        <v>37.5351351351351</v>
      </c>
      <c r="AV273" s="78" t="n">
        <v>32.7945945945946</v>
      </c>
      <c r="AW273" s="78" t="n">
        <v>46.1540540540541</v>
      </c>
      <c r="AX273" s="78" t="n">
        <v>30.7567567567568</v>
      </c>
      <c r="AY273" s="48" t="n">
        <v>1.2172529116986</v>
      </c>
      <c r="AZ273" s="48" t="n">
        <v>22.459002292081</v>
      </c>
      <c r="BA273" s="48" t="n">
        <v>3.86771541791898</v>
      </c>
      <c r="BB273" s="49" t="n">
        <f aca="false">AT273/V273</f>
        <v>1.2172529116986</v>
      </c>
      <c r="BC273" s="49" t="n">
        <f aca="false">AS273/V273</f>
        <v>1.22072139788928</v>
      </c>
      <c r="BD273" s="49" t="n">
        <f aca="false">SUM(AP273:AR273)/V273</f>
        <v>0.147653433788814</v>
      </c>
      <c r="BE273" s="50" t="n">
        <v>7.2</v>
      </c>
      <c r="BF273" s="51" t="n">
        <v>120.318007314213</v>
      </c>
      <c r="BG273" s="51" t="n">
        <v>574.610507941874</v>
      </c>
      <c r="BH273" s="51" t="n">
        <v>205.631406815962</v>
      </c>
      <c r="BI273" s="51" t="n">
        <v>167.583167569157</v>
      </c>
      <c r="BJ273" s="51" t="n">
        <v>12.83398641447</v>
      </c>
      <c r="BK273" s="51" t="n">
        <v>15.7310329892108</v>
      </c>
      <c r="BL273" s="51" t="n">
        <v>18.6347738912161</v>
      </c>
      <c r="BM273" s="51"/>
      <c r="BN273" s="52" t="n">
        <f aca="false">(BG273*0.5-BH273*0.25+BI273*0.5)/SUM(BG273:BI273)*1000</f>
        <v>337.286902417333</v>
      </c>
      <c r="BO273" s="53" t="n">
        <v>4.3555889</v>
      </c>
      <c r="BP273" s="54" t="s">
        <v>77</v>
      </c>
      <c r="BQ273" s="55" t="n">
        <v>496.188774471924</v>
      </c>
      <c r="BR273" s="56" t="n">
        <v>18.8473466361304</v>
      </c>
      <c r="BS273" s="56"/>
      <c r="BT273" s="56" t="n">
        <v>15.4835091828454</v>
      </c>
      <c r="BU273" s="55"/>
      <c r="BV273" s="55"/>
      <c r="BW273" s="55"/>
      <c r="BX273" s="55"/>
      <c r="BY273" s="79" t="n">
        <v>0.0467532467532468</v>
      </c>
      <c r="BZ273" s="80" t="n">
        <v>0.5830665</v>
      </c>
      <c r="CA273" s="81" t="n">
        <v>3.5</v>
      </c>
      <c r="CB273" s="81" t="n">
        <v>0.323</v>
      </c>
      <c r="CC273" s="82" t="n">
        <v>5.620423</v>
      </c>
      <c r="CD273" s="82" t="n">
        <v>9.385788</v>
      </c>
      <c r="CE273" s="83" t="n">
        <v>76.318616</v>
      </c>
      <c r="CF273" s="84" t="n">
        <v>33.264625</v>
      </c>
      <c r="CG273" s="80" t="n">
        <v>0.0605</v>
      </c>
      <c r="CH273" s="63" t="n">
        <v>72171.2489299967</v>
      </c>
      <c r="CI273" s="63" t="n">
        <v>5543.65595934184</v>
      </c>
      <c r="CJ273" s="64" t="n">
        <v>609483.46204059</v>
      </c>
      <c r="CK273" s="65" t="n">
        <v>0.909566264649958</v>
      </c>
    </row>
    <row r="274" customFormat="false" ht="15" hidden="false" customHeight="false" outlineLevel="0" collapsed="false">
      <c r="A274" s="7" t="s">
        <v>73</v>
      </c>
      <c r="B274" s="66" t="n">
        <v>272</v>
      </c>
      <c r="C274" s="8" t="s">
        <v>350</v>
      </c>
      <c r="D274" s="67" t="n">
        <v>41904</v>
      </c>
      <c r="E274" s="4" t="s">
        <v>78</v>
      </c>
      <c r="F274" s="7" t="n">
        <v>108</v>
      </c>
      <c r="G274" s="68" t="n">
        <v>1</v>
      </c>
      <c r="H274" s="68" t="n">
        <v>99</v>
      </c>
      <c r="I274" s="66" t="n">
        <v>6</v>
      </c>
      <c r="J274" s="69" t="n">
        <v>802.28782051282</v>
      </c>
      <c r="K274" s="31" t="n">
        <v>396.622734816217</v>
      </c>
      <c r="L274" s="31" t="n">
        <v>908.09698443913</v>
      </c>
      <c r="M274" s="31" t="n">
        <v>148.078963481839</v>
      </c>
      <c r="N274" s="31" t="n">
        <v>410.837451037105</v>
      </c>
      <c r="O274" s="32"/>
      <c r="P274" s="33" t="n">
        <v>65.5888604036004</v>
      </c>
      <c r="Q274" s="33" t="n">
        <v>13.7092448906003</v>
      </c>
      <c r="R274" s="31" t="n">
        <v>93.703155833179</v>
      </c>
      <c r="S274" s="34" t="s">
        <v>76</v>
      </c>
      <c r="T274" s="35" t="n">
        <v>20.0705370915385</v>
      </c>
      <c r="U274" s="35" t="n">
        <v>6.71051203846154</v>
      </c>
      <c r="V274" s="70" t="n">
        <v>26.78104913</v>
      </c>
      <c r="W274" s="35" t="n">
        <v>24.3854261085295</v>
      </c>
      <c r="X274" s="35" t="n">
        <v>4.14794897989391</v>
      </c>
      <c r="Y274" s="35" t="n">
        <v>9.78531998640054</v>
      </c>
      <c r="Z274" s="35"/>
      <c r="AA274" s="35" t="n">
        <v>1.54679088742739</v>
      </c>
      <c r="AB274" s="35" t="n">
        <v>0.327447071090985</v>
      </c>
      <c r="AC274" s="71" t="n">
        <v>3.10880550035213</v>
      </c>
      <c r="AD274" s="38" t="n">
        <v>5.40840600711958</v>
      </c>
      <c r="AE274" s="38" t="n">
        <v>4.53852861453031</v>
      </c>
      <c r="AF274" s="38" t="n">
        <v>1.23664394063628</v>
      </c>
      <c r="AG274" s="72"/>
      <c r="AH274" s="72"/>
      <c r="AI274" s="73" t="n">
        <v>60.5440994370497</v>
      </c>
      <c r="AJ274" s="42" t="s">
        <v>16</v>
      </c>
      <c r="AK274" s="43" t="n">
        <v>798.05100312291</v>
      </c>
      <c r="AL274" s="43" t="n">
        <v>813.883563308216</v>
      </c>
      <c r="AM274" s="43" t="n">
        <v>701.866164065522</v>
      </c>
      <c r="AN274" s="74"/>
      <c r="AO274" s="75" t="n">
        <v>27.2192307692308</v>
      </c>
      <c r="AP274" s="76" t="n">
        <v>0.99078</v>
      </c>
      <c r="AQ274" s="76" t="n">
        <v>0.846518076923077</v>
      </c>
      <c r="AR274" s="76" t="n">
        <v>1.23575307692308</v>
      </c>
      <c r="AS274" s="77" t="n">
        <v>25.7493923076923</v>
      </c>
      <c r="AT274" s="78" t="n">
        <v>25.2978998187163</v>
      </c>
      <c r="AU274" s="78" t="n">
        <v>36.4</v>
      </c>
      <c r="AV274" s="78" t="n">
        <v>31.1</v>
      </c>
      <c r="AW274" s="78" t="n">
        <v>45.4</v>
      </c>
      <c r="AX274" s="78" t="n">
        <v>29</v>
      </c>
      <c r="AY274" s="48" t="n">
        <v>0.944619446979683</v>
      </c>
      <c r="AZ274" s="48" t="n">
        <v>23.3804093272149</v>
      </c>
      <c r="BA274" s="48" t="n">
        <v>3.40063980278514</v>
      </c>
      <c r="BB274" s="49" t="n">
        <f aca="false">AT274/V274</f>
        <v>0.944619446979683</v>
      </c>
      <c r="BC274" s="49" t="n">
        <f aca="false">AS274/V274</f>
        <v>0.961478102769618</v>
      </c>
      <c r="BD274" s="49" t="n">
        <f aca="false">SUM(AP274:AR274)/V274</f>
        <v>0.114747228121237</v>
      </c>
      <c r="BE274" s="50" t="n">
        <v>6.69</v>
      </c>
      <c r="BF274" s="51" t="n">
        <v>152.135597024446</v>
      </c>
      <c r="BG274" s="51" t="n">
        <v>564.591365028108</v>
      </c>
      <c r="BH274" s="51" t="n">
        <v>237.390852834152</v>
      </c>
      <c r="BI274" s="51" t="n">
        <v>144.416044894602</v>
      </c>
      <c r="BJ274" s="51" t="n">
        <v>12.1597699670739</v>
      </c>
      <c r="BK274" s="51" t="n">
        <v>16.7335757837568</v>
      </c>
      <c r="BL274" s="51" t="n">
        <v>19.7332671141979</v>
      </c>
      <c r="BM274" s="51"/>
      <c r="BN274" s="52" t="n">
        <f aca="false">(BG274*0.5-BH274*0.25+BI274*0.5)/SUM(BG274:BI274)*1000</f>
        <v>311.872922180802</v>
      </c>
      <c r="BO274" s="53" t="n">
        <v>11.30327136</v>
      </c>
      <c r="BP274" s="54" t="s">
        <v>77</v>
      </c>
      <c r="BQ274" s="55" t="n">
        <v>329.022857689937</v>
      </c>
      <c r="BR274" s="56" t="n">
        <v>12.2856597623491</v>
      </c>
      <c r="BS274" s="56" t="n">
        <v>16.5780499339717</v>
      </c>
      <c r="BT274" s="56" t="n">
        <v>13.0059356724353</v>
      </c>
      <c r="BU274" s="55"/>
      <c r="BV274" s="55"/>
      <c r="BW274" s="55"/>
      <c r="BX274" s="55"/>
      <c r="BY274" s="79" t="n">
        <v>0.102857142857143</v>
      </c>
      <c r="BZ274" s="80" t="n">
        <v>1.1497469</v>
      </c>
      <c r="CA274" s="81" t="n">
        <v>3.04</v>
      </c>
      <c r="CB274" s="81" t="n">
        <v>0.367</v>
      </c>
      <c r="CC274" s="82" t="n">
        <v>5.758574</v>
      </c>
      <c r="CD274" s="82" t="n">
        <v>9.114544</v>
      </c>
      <c r="CE274" s="83" t="n">
        <v>99.252146</v>
      </c>
      <c r="CF274" s="84" t="n">
        <v>40.480834</v>
      </c>
      <c r="CG274" s="80" t="n">
        <v>0.092</v>
      </c>
      <c r="CH274" s="63" t="n">
        <v>9602.55159152246</v>
      </c>
      <c r="CI274" s="63" t="n">
        <v>13522.0300731188</v>
      </c>
      <c r="CJ274" s="64" t="n">
        <v>840109.816917943</v>
      </c>
      <c r="CK274" s="65" t="n">
        <v>1.60955506063793</v>
      </c>
    </row>
    <row r="275" customFormat="false" ht="15" hidden="false" customHeight="false" outlineLevel="0" collapsed="false">
      <c r="A275" s="7" t="s">
        <v>73</v>
      </c>
      <c r="B275" s="66" t="n">
        <v>273</v>
      </c>
      <c r="C275" s="8" t="s">
        <v>351</v>
      </c>
      <c r="D275" s="67" t="n">
        <v>41904</v>
      </c>
      <c r="E275" s="4" t="s">
        <v>78</v>
      </c>
      <c r="F275" s="7" t="n">
        <v>224</v>
      </c>
      <c r="G275" s="68" t="n">
        <v>1</v>
      </c>
      <c r="H275" s="68" t="n">
        <v>94</v>
      </c>
      <c r="I275" s="66" t="n">
        <v>4</v>
      </c>
      <c r="J275" s="69" t="n">
        <v>686.64880952381</v>
      </c>
      <c r="K275" s="31" t="n">
        <v>396.622734816217</v>
      </c>
      <c r="L275" s="31" t="n">
        <v>908.09698443913</v>
      </c>
      <c r="M275" s="31" t="n">
        <v>148.078963481839</v>
      </c>
      <c r="N275" s="31" t="n">
        <v>410.837451037105</v>
      </c>
      <c r="O275" s="32"/>
      <c r="P275" s="33" t="n">
        <v>65.5888604036004</v>
      </c>
      <c r="Q275" s="33" t="n">
        <v>13.7092448906003</v>
      </c>
      <c r="R275" s="31" t="n">
        <v>93.703155833179</v>
      </c>
      <c r="S275" s="34" t="s">
        <v>76</v>
      </c>
      <c r="T275" s="35" t="n">
        <v>15.1624468814286</v>
      </c>
      <c r="U275" s="35" t="n">
        <v>3.90402642857143</v>
      </c>
      <c r="V275" s="70" t="n">
        <v>19.06647331</v>
      </c>
      <c r="W275" s="35" t="n">
        <v>17.3070798104765</v>
      </c>
      <c r="X275" s="35" t="n">
        <v>2.85755135045013</v>
      </c>
      <c r="Y275" s="35" t="n">
        <v>7.19610780723658</v>
      </c>
      <c r="Z275" s="35"/>
      <c r="AA275" s="35" t="n">
        <v>1.10095825251569</v>
      </c>
      <c r="AB275" s="35" t="n">
        <v>0.260330768341769</v>
      </c>
      <c r="AC275" s="71" t="n">
        <v>2.00887993924603</v>
      </c>
      <c r="AD275" s="38" t="n">
        <v>4.68224457896066</v>
      </c>
      <c r="AE275" s="38" t="n">
        <v>3.89916506508023</v>
      </c>
      <c r="AF275" s="38" t="n">
        <v>0.949560657485038</v>
      </c>
      <c r="AG275" s="72"/>
      <c r="AH275" s="72"/>
      <c r="AI275" s="73" t="n">
        <v>55.599566394192</v>
      </c>
      <c r="AJ275" s="42" t="s">
        <v>16</v>
      </c>
      <c r="AK275" s="43" t="n">
        <v>754.425241478459</v>
      </c>
      <c r="AL275" s="43" t="n">
        <v>774.7069345159</v>
      </c>
      <c r="AM275" s="43" t="n">
        <v>667.701279511405</v>
      </c>
      <c r="AN275" s="74"/>
      <c r="AO275" s="75" t="n">
        <v>24.15</v>
      </c>
      <c r="AP275" s="76" t="n">
        <v>1.354815</v>
      </c>
      <c r="AQ275" s="76" t="n">
        <v>1.07709</v>
      </c>
      <c r="AR275" s="76" t="n">
        <v>0.973245</v>
      </c>
      <c r="AS275" s="77" t="n">
        <v>29.982225</v>
      </c>
      <c r="AT275" s="78" t="n">
        <v>30.1122196815287</v>
      </c>
      <c r="AU275" s="78" t="n">
        <v>56.1</v>
      </c>
      <c r="AV275" s="78" t="n">
        <v>44.6</v>
      </c>
      <c r="AW275" s="78" t="n">
        <v>40.3</v>
      </c>
      <c r="AX275" s="78" t="n">
        <v>12</v>
      </c>
      <c r="AY275" s="48" t="n">
        <v>1.57932823715938</v>
      </c>
      <c r="AZ275" s="48" t="n">
        <v>23.2323070301121</v>
      </c>
      <c r="BA275" s="48" t="n">
        <v>-4.16583372011212</v>
      </c>
      <c r="BB275" s="49" t="n">
        <f aca="false">AT275/V275</f>
        <v>1.57932823715938</v>
      </c>
      <c r="BC275" s="49" t="n">
        <f aca="false">AS275/V275</f>
        <v>1.57251026514038</v>
      </c>
      <c r="BD275" s="49" t="n">
        <f aca="false">SUM(AP275:AR275)/V275</f>
        <v>0.17859359434941</v>
      </c>
      <c r="BE275" s="50" t="n">
        <v>6.5</v>
      </c>
      <c r="BF275" s="51" t="n">
        <v>140.075416051941</v>
      </c>
      <c r="BG275" s="51" t="n">
        <v>571.532874982235</v>
      </c>
      <c r="BH275" s="51" t="n">
        <v>212.338307727871</v>
      </c>
      <c r="BI275" s="51" t="n">
        <v>168.753734749445</v>
      </c>
      <c r="BJ275" s="51" t="n">
        <v>8.51340930274597</v>
      </c>
      <c r="BK275" s="51" t="n">
        <v>18.332336730697</v>
      </c>
      <c r="BL275" s="51" t="n">
        <v>15.5542121288972</v>
      </c>
      <c r="BM275" s="51"/>
      <c r="BN275" s="52" t="n">
        <f aca="false">(BG275*0.5-BH275*0.25+BI275*0.5)/SUM(BG275:BI275)*1000</f>
        <v>332.826406409147</v>
      </c>
      <c r="BO275" s="53" t="n">
        <v>7.86071122</v>
      </c>
      <c r="BP275" s="54" t="s">
        <v>77</v>
      </c>
      <c r="BQ275" s="55" t="n">
        <v>333.518927096203</v>
      </c>
      <c r="BR275" s="56" t="n">
        <v>17.492428813318</v>
      </c>
      <c r="BS275" s="56" t="n">
        <v>24.8747798169525</v>
      </c>
      <c r="BT275" s="56" t="n">
        <v>11.0758665625965</v>
      </c>
      <c r="BU275" s="55"/>
      <c r="BV275" s="55"/>
      <c r="BW275" s="55"/>
      <c r="BX275" s="55"/>
      <c r="BY275" s="79" t="n">
        <v>0.112207792207792</v>
      </c>
      <c r="BZ275" s="80" t="n">
        <v>0.5840572</v>
      </c>
      <c r="CA275" s="81" t="n">
        <v>3.16</v>
      </c>
      <c r="CB275" s="81" t="n">
        <v>0.03</v>
      </c>
      <c r="CC275" s="82" t="n">
        <v>3.367499</v>
      </c>
      <c r="CD275" s="82" t="n">
        <v>4.093376</v>
      </c>
      <c r="CE275" s="83" t="n">
        <v>79.679246</v>
      </c>
      <c r="CF275" s="84" t="n">
        <v>34.764097</v>
      </c>
      <c r="CG275" s="80" t="n">
        <v>0.806</v>
      </c>
      <c r="CH275" s="63" t="n">
        <v>35879.1475105785</v>
      </c>
      <c r="CI275" s="63" t="n">
        <v>8803.70814787972</v>
      </c>
      <c r="CJ275" s="64" t="n">
        <v>767359.905776186</v>
      </c>
      <c r="CK275" s="65" t="n">
        <v>1.14727236614933</v>
      </c>
    </row>
    <row r="276" customFormat="false" ht="15" hidden="false" customHeight="false" outlineLevel="0" collapsed="false">
      <c r="A276" s="7" t="s">
        <v>73</v>
      </c>
      <c r="B276" s="66" t="n">
        <v>274</v>
      </c>
      <c r="C276" s="8" t="s">
        <v>352</v>
      </c>
      <c r="D276" s="67" t="n">
        <v>41904</v>
      </c>
      <c r="E276" s="4" t="s">
        <v>78</v>
      </c>
      <c r="F276" s="7" t="n">
        <v>978</v>
      </c>
      <c r="G276" s="68" t="n">
        <v>1</v>
      </c>
      <c r="H276" s="68" t="n">
        <v>169</v>
      </c>
      <c r="I276" s="66" t="n">
        <v>2</v>
      </c>
      <c r="J276" s="69" t="n">
        <v>638.444444444444</v>
      </c>
      <c r="K276" s="31" t="n">
        <v>396.622734816217</v>
      </c>
      <c r="L276" s="31" t="n">
        <v>908.09698443913</v>
      </c>
      <c r="M276" s="31" t="n">
        <v>148.078963481839</v>
      </c>
      <c r="N276" s="31" t="n">
        <v>410.837451037105</v>
      </c>
      <c r="O276" s="32"/>
      <c r="P276" s="33" t="n">
        <v>65.5888604036004</v>
      </c>
      <c r="Q276" s="33" t="n">
        <v>13.7092448906003</v>
      </c>
      <c r="R276" s="31" t="n">
        <v>93.703155833179</v>
      </c>
      <c r="S276" s="34" t="s">
        <v>76</v>
      </c>
      <c r="T276" s="35" t="n">
        <v>16.7174094807407</v>
      </c>
      <c r="U276" s="35" t="n">
        <v>4.48100925925926</v>
      </c>
      <c r="V276" s="70" t="n">
        <v>21.19841874</v>
      </c>
      <c r="W276" s="35" t="n">
        <v>19.2835070011072</v>
      </c>
      <c r="X276" s="35" t="n">
        <v>3.24402352923498</v>
      </c>
      <c r="Y276" s="35" t="n">
        <v>7.91275854426141</v>
      </c>
      <c r="Z276" s="35"/>
      <c r="AA276" s="35" t="n">
        <v>1.24390630554408</v>
      </c>
      <c r="AB276" s="35" t="n">
        <v>0.269231621698306</v>
      </c>
      <c r="AC276" s="71" t="n">
        <v>2.35716625444801</v>
      </c>
      <c r="AD276" s="38" t="n">
        <v>4.62009927950728</v>
      </c>
      <c r="AE276" s="38" t="n">
        <v>3.83656759670833</v>
      </c>
      <c r="AF276" s="38" t="n">
        <v>1.06551664331752</v>
      </c>
      <c r="AG276" s="72"/>
      <c r="AH276" s="72"/>
      <c r="AI276" s="73" t="n">
        <v>58.2739905379303</v>
      </c>
      <c r="AJ276" s="42" t="s">
        <v>16</v>
      </c>
      <c r="AK276" s="43" t="n">
        <v>782.054532643538</v>
      </c>
      <c r="AL276" s="43" t="n">
        <v>801.044094495465</v>
      </c>
      <c r="AM276" s="43" t="n">
        <v>671.544724101063</v>
      </c>
      <c r="AN276" s="74"/>
      <c r="AO276" s="75" t="n">
        <v>19.9185185185185</v>
      </c>
      <c r="AP276" s="76" t="n">
        <v>0.848336129032258</v>
      </c>
      <c r="AQ276" s="76" t="n">
        <v>0.671318327359618</v>
      </c>
      <c r="AR276" s="76" t="n">
        <v>0.898196678614098</v>
      </c>
      <c r="AS276" s="77" t="n">
        <v>20.6924493428913</v>
      </c>
      <c r="AT276" s="78" t="n">
        <v>20.3839693189964</v>
      </c>
      <c r="AU276" s="78" t="n">
        <v>42.5903225806452</v>
      </c>
      <c r="AV276" s="78" t="n">
        <v>33.7032258064516</v>
      </c>
      <c r="AW276" s="78" t="n">
        <v>45.0935483870968</v>
      </c>
      <c r="AX276" s="78" t="n">
        <v>45.7741935483871</v>
      </c>
      <c r="AY276" s="48" t="n">
        <v>0.961579708798431</v>
      </c>
      <c r="AZ276" s="48" t="n">
        <v>19.8964103945628</v>
      </c>
      <c r="BA276" s="48" t="n">
        <v>1.30200834543721</v>
      </c>
      <c r="BB276" s="49" t="n">
        <f aca="false">AT276/V276</f>
        <v>0.961579708798431</v>
      </c>
      <c r="BC276" s="49" t="n">
        <f aca="false">AS276/V276</f>
        <v>0.976131738724738</v>
      </c>
      <c r="BD276" s="49" t="n">
        <f aca="false">SUM(AP276:AR276)/V276</f>
        <v>0.114058089174531</v>
      </c>
      <c r="BE276" s="50" t="n">
        <v>6.73</v>
      </c>
      <c r="BF276" s="51" t="n">
        <v>134.37227144106</v>
      </c>
      <c r="BG276" s="51" t="n">
        <v>560.077779401826</v>
      </c>
      <c r="BH276" s="51" t="n">
        <v>223.90304219479</v>
      </c>
      <c r="BI276" s="51" t="n">
        <v>163.194273378047</v>
      </c>
      <c r="BJ276" s="51" t="n">
        <v>11.4916541539899</v>
      </c>
      <c r="BK276" s="51" t="n">
        <v>21.7463328116359</v>
      </c>
      <c r="BL276" s="51" t="n">
        <v>14.6117936816017</v>
      </c>
      <c r="BM276" s="51"/>
      <c r="BN276" s="52" t="n">
        <f aca="false">(BG276*0.5-BH276*0.25+BI276*0.5)/SUM(BG276:BI276)*1000</f>
        <v>322.707245432182</v>
      </c>
      <c r="BO276" s="53" t="n">
        <v>11.7447664</v>
      </c>
      <c r="BP276" s="54" t="s">
        <v>77</v>
      </c>
      <c r="BQ276" s="55" t="n">
        <v>430.514089152651</v>
      </c>
      <c r="BR276" s="56" t="n">
        <v>20.3087831424096</v>
      </c>
      <c r="BS276" s="56" t="n">
        <v>27.8705106482163</v>
      </c>
      <c r="BT276" s="56" t="n">
        <v>21.1202284704894</v>
      </c>
      <c r="BU276" s="55"/>
      <c r="BV276" s="55"/>
      <c r="BW276" s="55"/>
      <c r="BX276" s="55"/>
      <c r="BY276" s="79" t="n">
        <v>0.0467532467532468</v>
      </c>
      <c r="BZ276" s="80" t="n">
        <v>1.3825614</v>
      </c>
      <c r="CA276" s="81" t="n">
        <v>2.66</v>
      </c>
      <c r="CB276" s="81" t="n">
        <v>0.659</v>
      </c>
      <c r="CC276" s="82" t="n">
        <v>7.75645</v>
      </c>
      <c r="CD276" s="82" t="n">
        <v>9.038848</v>
      </c>
      <c r="CE276" s="83" t="n">
        <v>87.257282</v>
      </c>
      <c r="CF276" s="84" t="n">
        <v>36.586372</v>
      </c>
      <c r="CG276" s="80" t="n">
        <v>0.0395</v>
      </c>
      <c r="CH276" s="63" t="n">
        <v>43362.9152945917</v>
      </c>
      <c r="CI276" s="63" t="n">
        <v>6092.43454856094</v>
      </c>
      <c r="CJ276" s="64" t="n">
        <v>735249.167903876</v>
      </c>
      <c r="CK276" s="65" t="n">
        <v>0.828621753619916</v>
      </c>
    </row>
    <row r="277" customFormat="false" ht="15" hidden="false" customHeight="false" outlineLevel="0" collapsed="false">
      <c r="A277" s="7" t="s">
        <v>73</v>
      </c>
      <c r="B277" s="66" t="n">
        <v>275</v>
      </c>
      <c r="C277" s="8" t="s">
        <v>353</v>
      </c>
      <c r="D277" s="67" t="n">
        <v>41904</v>
      </c>
      <c r="E277" s="4" t="s">
        <v>78</v>
      </c>
      <c r="F277" s="7" t="n">
        <v>994</v>
      </c>
      <c r="G277" s="68" t="n">
        <v>1</v>
      </c>
      <c r="H277" s="68" t="n">
        <v>170</v>
      </c>
      <c r="I277" s="66" t="n">
        <v>2</v>
      </c>
      <c r="J277" s="69" t="n">
        <v>626.95</v>
      </c>
      <c r="K277" s="31" t="n">
        <v>396.622734816217</v>
      </c>
      <c r="L277" s="31" t="n">
        <v>908.09698443913</v>
      </c>
      <c r="M277" s="31" t="n">
        <v>148.078963481839</v>
      </c>
      <c r="N277" s="31" t="n">
        <v>410.837451037105</v>
      </c>
      <c r="O277" s="32"/>
      <c r="P277" s="33" t="n">
        <v>65.5888604036004</v>
      </c>
      <c r="Q277" s="33" t="n">
        <v>13.7092448906003</v>
      </c>
      <c r="R277" s="31" t="n">
        <v>93.703155833179</v>
      </c>
      <c r="S277" s="34" t="s">
        <v>76</v>
      </c>
      <c r="T277" s="35" t="n">
        <v>18.3379584314286</v>
      </c>
      <c r="U277" s="35" t="n">
        <v>6.49770642857143</v>
      </c>
      <c r="V277" s="70" t="n">
        <v>24.83566486</v>
      </c>
      <c r="W277" s="35" t="n">
        <v>22.5850590313183</v>
      </c>
      <c r="X277" s="35" t="n">
        <v>3.80387789104828</v>
      </c>
      <c r="Y277" s="35" t="n">
        <v>9.07441395789035</v>
      </c>
      <c r="Z277" s="35"/>
      <c r="AA277" s="35" t="n">
        <v>1.40657126589223</v>
      </c>
      <c r="AB277" s="35" t="n">
        <v>0.317449926875989</v>
      </c>
      <c r="AC277" s="71" t="n">
        <v>2.81912409604456</v>
      </c>
      <c r="AD277" s="38" t="n">
        <v>5.4419763151517</v>
      </c>
      <c r="AE277" s="38" t="n">
        <v>4.5671369946058</v>
      </c>
      <c r="AF277" s="38" t="n">
        <v>1.03149959309592</v>
      </c>
      <c r="AG277" s="72"/>
      <c r="AH277" s="72"/>
      <c r="AI277" s="73" t="n">
        <v>58.3335737776249</v>
      </c>
      <c r="AJ277" s="42" t="s">
        <v>16</v>
      </c>
      <c r="AK277" s="43" t="n">
        <v>780.880586614918</v>
      </c>
      <c r="AL277" s="43" t="n">
        <v>797.780604058965</v>
      </c>
      <c r="AM277" s="43" t="n">
        <v>728.829467548534</v>
      </c>
      <c r="AN277" s="74"/>
      <c r="AO277" s="75" t="n">
        <v>31.5142857142857</v>
      </c>
      <c r="AP277" s="76" t="n">
        <v>1.16918</v>
      </c>
      <c r="AQ277" s="76" t="n">
        <v>0.828825714285714</v>
      </c>
      <c r="AR277" s="76" t="n">
        <v>1.46541428571429</v>
      </c>
      <c r="AS277" s="77" t="n">
        <v>30.1434142857143</v>
      </c>
      <c r="AT277" s="78" t="n">
        <v>28.5756287534122</v>
      </c>
      <c r="AU277" s="78" t="n">
        <v>37.1</v>
      </c>
      <c r="AV277" s="78" t="n">
        <v>26.3</v>
      </c>
      <c r="AW277" s="78" t="n">
        <v>46.5</v>
      </c>
      <c r="AX277" s="78" t="n">
        <v>34</v>
      </c>
      <c r="AY277" s="48" t="n">
        <v>1.15058843459575</v>
      </c>
      <c r="AZ277" s="48" t="n">
        <v>23.2327457289663</v>
      </c>
      <c r="BA277" s="48" t="n">
        <v>1.6029191310337</v>
      </c>
      <c r="BB277" s="49" t="n">
        <f aca="false">AT277/V277</f>
        <v>1.15058843459575</v>
      </c>
      <c r="BC277" s="49" t="n">
        <f aca="false">AS277/V277</f>
        <v>1.21371481116509</v>
      </c>
      <c r="BD277" s="49" t="n">
        <f aca="false">SUM(AP277:AR277)/V277</f>
        <v>0.139453484314734</v>
      </c>
      <c r="BE277" s="50" t="n">
        <v>7.07</v>
      </c>
      <c r="BF277" s="51" t="n">
        <v>110.512081346289</v>
      </c>
      <c r="BG277" s="51" t="n">
        <v>594.998926031494</v>
      </c>
      <c r="BH277" s="51" t="n">
        <v>190.916150468261</v>
      </c>
      <c r="BI277" s="51" t="n">
        <v>163.561160608379</v>
      </c>
      <c r="BJ277" s="51" t="n">
        <v>12.5893256028738</v>
      </c>
      <c r="BK277" s="51" t="n">
        <v>17.0267172879436</v>
      </c>
      <c r="BL277" s="51" t="n">
        <v>15.9325956229392</v>
      </c>
      <c r="BM277" s="51"/>
      <c r="BN277" s="52" t="n">
        <f aca="false">(BG277*0.5-BH277*0.25+BI277*0.5)/SUM(BG277:BI277)*1000</f>
        <v>349.193579307148</v>
      </c>
      <c r="BO277" s="53" t="n">
        <v>4.0409879</v>
      </c>
      <c r="BP277" s="54" t="s">
        <v>77</v>
      </c>
      <c r="BQ277" s="55" t="n">
        <v>364.838737280915</v>
      </c>
      <c r="BR277" s="56" t="n">
        <v>14.6901135660161</v>
      </c>
      <c r="BS277" s="56" t="n">
        <v>20.2486577829306</v>
      </c>
      <c r="BT277" s="56" t="n">
        <v>12.7674789041116</v>
      </c>
      <c r="BU277" s="55"/>
      <c r="BV277" s="55"/>
      <c r="BW277" s="55"/>
      <c r="BX277" s="55"/>
      <c r="BY277" s="79" t="n">
        <v>0.215064935064935</v>
      </c>
      <c r="BZ277" s="80" t="n">
        <v>0.597927</v>
      </c>
      <c r="CA277" s="81" t="n">
        <v>3.27</v>
      </c>
      <c r="CB277" s="81" t="n">
        <v>0.662</v>
      </c>
      <c r="CC277" s="82" t="n">
        <v>4.855279</v>
      </c>
      <c r="CD277" s="82" t="n">
        <v>8.344968</v>
      </c>
      <c r="CE277" s="83" t="n">
        <v>81.363254</v>
      </c>
      <c r="CF277" s="84" t="n">
        <v>37.700563</v>
      </c>
      <c r="CG277" s="80" t="n">
        <v>0.701</v>
      </c>
      <c r="CH277" s="63" t="n">
        <v>69056.3464609543</v>
      </c>
      <c r="CI277" s="63" t="n">
        <v>10723.5473302429</v>
      </c>
      <c r="CJ277" s="64" t="n">
        <v>818165.091818084</v>
      </c>
      <c r="CK277" s="65" t="n">
        <v>1.31068257952848</v>
      </c>
    </row>
    <row r="278" customFormat="false" ht="15" hidden="false" customHeight="false" outlineLevel="0" collapsed="false">
      <c r="A278" s="7" t="s">
        <v>73</v>
      </c>
      <c r="B278" s="66" t="n">
        <v>276</v>
      </c>
      <c r="C278" s="8" t="s">
        <v>354</v>
      </c>
      <c r="D278" s="67" t="n">
        <v>41904</v>
      </c>
      <c r="E278" s="4" t="s">
        <v>78</v>
      </c>
      <c r="F278" s="7" t="n">
        <v>1899</v>
      </c>
      <c r="G278" s="68" t="n">
        <v>1</v>
      </c>
      <c r="H278" s="68" t="n">
        <v>125</v>
      </c>
      <c r="I278" s="66" t="n">
        <v>2</v>
      </c>
      <c r="J278" s="69" t="n">
        <v>619.407692307692</v>
      </c>
      <c r="K278" s="31" t="n">
        <v>396.622734816217</v>
      </c>
      <c r="L278" s="31" t="n">
        <v>908.09698443913</v>
      </c>
      <c r="M278" s="31" t="n">
        <v>148.078963481839</v>
      </c>
      <c r="N278" s="31" t="n">
        <v>410.837451037105</v>
      </c>
      <c r="O278" s="32"/>
      <c r="P278" s="33" t="n">
        <v>65.5888604036004</v>
      </c>
      <c r="Q278" s="33" t="n">
        <v>13.7092448906003</v>
      </c>
      <c r="R278" s="31" t="n">
        <v>93.703155833179</v>
      </c>
      <c r="S278" s="34" t="s">
        <v>76</v>
      </c>
      <c r="T278" s="35" t="n">
        <v>15.5976108338462</v>
      </c>
      <c r="U278" s="35" t="n">
        <v>3.63699584615385</v>
      </c>
      <c r="V278" s="70" t="n">
        <v>19.23460668</v>
      </c>
      <c r="W278" s="35" t="n">
        <v>17.4861558905017</v>
      </c>
      <c r="X278" s="35" t="n">
        <v>2.92116812663791</v>
      </c>
      <c r="Y278" s="35" t="n">
        <v>7.26810644991422</v>
      </c>
      <c r="Z278" s="35"/>
      <c r="AA278" s="35" t="n">
        <v>1.13797691024676</v>
      </c>
      <c r="AB278" s="35" t="n">
        <v>0.250106286631074</v>
      </c>
      <c r="AC278" s="71" t="n">
        <v>2.08169226201228</v>
      </c>
      <c r="AD278" s="38" t="n">
        <v>4.39440061667479</v>
      </c>
      <c r="AE278" s="38" t="n">
        <v>3.64579377436888</v>
      </c>
      <c r="AF278" s="38" t="n">
        <v>0.997017028633137</v>
      </c>
      <c r="AG278" s="72"/>
      <c r="AH278" s="72"/>
      <c r="AI278" s="73" t="n">
        <v>56.9147668699191</v>
      </c>
      <c r="AJ278" s="42" t="s">
        <v>16</v>
      </c>
      <c r="AK278" s="43" t="n">
        <v>771.536757169875</v>
      </c>
      <c r="AL278" s="43" t="n">
        <v>791.503987657503</v>
      </c>
      <c r="AM278" s="43" t="n">
        <v>658.692349974171</v>
      </c>
      <c r="AN278" s="74"/>
      <c r="AO278" s="75" t="n">
        <v>18.5615384615385</v>
      </c>
      <c r="AP278" s="76" t="n">
        <v>0.848262307692308</v>
      </c>
      <c r="AQ278" s="76" t="n">
        <v>0.62738</v>
      </c>
      <c r="AR278" s="76" t="n">
        <v>0.86868</v>
      </c>
      <c r="AS278" s="77" t="n">
        <v>20.14855</v>
      </c>
      <c r="AT278" s="78" t="n">
        <v>19.8800106467418</v>
      </c>
      <c r="AU278" s="78" t="n">
        <v>45.7</v>
      </c>
      <c r="AV278" s="78" t="n">
        <v>33.8</v>
      </c>
      <c r="AW278" s="78" t="n">
        <v>46.8</v>
      </c>
      <c r="AX278" s="78" t="n">
        <v>27</v>
      </c>
      <c r="AY278" s="48" t="n">
        <v>1.03355431059648</v>
      </c>
      <c r="AZ278" s="48" t="n">
        <v>19.201134592355</v>
      </c>
      <c r="BA278" s="48" t="n">
        <v>0.0334720876450092</v>
      </c>
      <c r="BB278" s="49" t="n">
        <f aca="false">AT278/V278</f>
        <v>1.03355431059648</v>
      </c>
      <c r="BC278" s="49" t="n">
        <f aca="false">AS278/V278</f>
        <v>1.04751557103324</v>
      </c>
      <c r="BD278" s="49" t="n">
        <f aca="false">SUM(AP278:AR278)/V278</f>
        <v>0.121880439080146</v>
      </c>
      <c r="BE278" s="50" t="n">
        <v>6.69</v>
      </c>
      <c r="BF278" s="51" t="n">
        <v>108.673864570273</v>
      </c>
      <c r="BG278" s="51" t="n">
        <v>576.281758454758</v>
      </c>
      <c r="BH278" s="51" t="n">
        <v>225.001089725926</v>
      </c>
      <c r="BI278" s="51" t="n">
        <v>148.956604825825</v>
      </c>
      <c r="BJ278" s="51" t="n">
        <v>10.8204207353945</v>
      </c>
      <c r="BK278" s="51" t="n">
        <v>18.9467271207232</v>
      </c>
      <c r="BL278" s="51" t="n">
        <v>15.0182747592634</v>
      </c>
      <c r="BM278" s="51"/>
      <c r="BN278" s="52" t="n">
        <f aca="false">(BG278*0.5-BH278*0.25+BI278*0.5)/SUM(BG278:BI278)*1000</f>
        <v>322.412322746098</v>
      </c>
      <c r="BO278" s="53" t="n">
        <v>11.09922304</v>
      </c>
      <c r="BP278" s="54" t="s">
        <v>77</v>
      </c>
      <c r="BQ278" s="55" t="n">
        <v>445.635462572269</v>
      </c>
      <c r="BR278" s="56" t="n">
        <v>23.1684208565407</v>
      </c>
      <c r="BS278" s="56" t="n">
        <v>32.1982516666106</v>
      </c>
      <c r="BT278" s="56" t="n">
        <v>22.4162587480961</v>
      </c>
      <c r="BU278" s="55"/>
      <c r="BV278" s="55"/>
      <c r="BW278" s="55"/>
      <c r="BX278" s="55"/>
      <c r="BY278" s="79" t="n">
        <v>0.0561038961038961</v>
      </c>
      <c r="BZ278" s="80" t="n">
        <v>0.9565604</v>
      </c>
      <c r="CA278" s="81" t="n">
        <v>2.82</v>
      </c>
      <c r="CB278" s="81" t="n">
        <v>0.283</v>
      </c>
      <c r="CC278" s="82" t="n">
        <v>6.598107</v>
      </c>
      <c r="CD278" s="82" t="n">
        <v>8.471128</v>
      </c>
      <c r="CE278" s="83" t="n">
        <v>89.155484</v>
      </c>
      <c r="CF278" s="84" t="n">
        <v>37.367347</v>
      </c>
      <c r="CG278" s="80" t="n">
        <v>0.0605</v>
      </c>
      <c r="CH278" s="63" t="n">
        <v>48255.1825539607</v>
      </c>
      <c r="CI278" s="63" t="n">
        <v>9652.54599715164</v>
      </c>
      <c r="CJ278" s="64" t="n">
        <v>679305.587677308</v>
      </c>
      <c r="CK278" s="65" t="n">
        <v>1.4209431178324</v>
      </c>
    </row>
    <row r="279" customFormat="false" ht="15" hidden="false" customHeight="false" outlineLevel="0" collapsed="false">
      <c r="A279" s="7" t="s">
        <v>73</v>
      </c>
      <c r="B279" s="66" t="n">
        <v>277</v>
      </c>
      <c r="C279" s="8" t="s">
        <v>355</v>
      </c>
      <c r="D279" s="67" t="n">
        <v>41904</v>
      </c>
      <c r="E279" s="4" t="s">
        <v>78</v>
      </c>
      <c r="F279" s="7" t="n">
        <v>1901</v>
      </c>
      <c r="G279" s="68" t="n">
        <v>1</v>
      </c>
      <c r="H279" s="68" t="n">
        <v>163</v>
      </c>
      <c r="I279" s="66" t="n">
        <v>2</v>
      </c>
      <c r="J279" s="69" t="n">
        <v>625.803571428571</v>
      </c>
      <c r="K279" s="31" t="n">
        <v>396.622734816217</v>
      </c>
      <c r="L279" s="31" t="n">
        <v>908.09698443913</v>
      </c>
      <c r="M279" s="31" t="n">
        <v>148.078963481839</v>
      </c>
      <c r="N279" s="31" t="n">
        <v>410.837451037105</v>
      </c>
      <c r="O279" s="32"/>
      <c r="P279" s="33" t="n">
        <v>65.5888604036004</v>
      </c>
      <c r="Q279" s="33" t="n">
        <v>13.7092448906003</v>
      </c>
      <c r="R279" s="31" t="n">
        <v>93.703155833179</v>
      </c>
      <c r="S279" s="34" t="s">
        <v>76</v>
      </c>
      <c r="T279" s="35" t="n">
        <v>15.9840692242857</v>
      </c>
      <c r="U279" s="35" t="n">
        <v>4.74855953571429</v>
      </c>
      <c r="V279" s="70" t="n">
        <v>20.73262876</v>
      </c>
      <c r="W279" s="35" t="n">
        <v>18.8659285152004</v>
      </c>
      <c r="X279" s="35" t="n">
        <v>3.18673288009138</v>
      </c>
      <c r="Y279" s="35" t="n">
        <v>7.66848535740525</v>
      </c>
      <c r="Z279" s="35"/>
      <c r="AA279" s="35" t="n">
        <v>1.20668831872478</v>
      </c>
      <c r="AB279" s="35" t="n">
        <v>0.259907433379802</v>
      </c>
      <c r="AC279" s="71" t="n">
        <v>2.34518986042083</v>
      </c>
      <c r="AD279" s="38" t="n">
        <v>4.88041360424647</v>
      </c>
      <c r="AE279" s="38" t="n">
        <v>4.08820503514976</v>
      </c>
      <c r="AF279" s="38" t="n">
        <v>0.986660816420918</v>
      </c>
      <c r="AG279" s="72"/>
      <c r="AH279" s="72"/>
      <c r="AI279" s="73" t="n">
        <v>53.255206311542</v>
      </c>
      <c r="AJ279" s="42" t="s">
        <v>16</v>
      </c>
      <c r="AK279" s="43" t="n">
        <v>764.602276887224</v>
      </c>
      <c r="AL279" s="43" t="n">
        <v>783.302208960674</v>
      </c>
      <c r="AM279" s="43" t="n">
        <v>690.384838156681</v>
      </c>
      <c r="AN279" s="74"/>
      <c r="AO279" s="75" t="n">
        <v>16.9321428571429</v>
      </c>
      <c r="AP279" s="76" t="n">
        <v>0.731468571428571</v>
      </c>
      <c r="AQ279" s="76" t="n">
        <v>0.518123571428571</v>
      </c>
      <c r="AR279" s="76" t="n">
        <v>0.71115</v>
      </c>
      <c r="AS279" s="77" t="n">
        <v>17.7448857142857</v>
      </c>
      <c r="AT279" s="78" t="n">
        <v>16.7728512966333</v>
      </c>
      <c r="AU279" s="78" t="n">
        <v>43.2</v>
      </c>
      <c r="AV279" s="78" t="n">
        <v>30.6</v>
      </c>
      <c r="AW279" s="78" t="n">
        <v>42</v>
      </c>
      <c r="AX279" s="78" t="n">
        <v>19</v>
      </c>
      <c r="AY279" s="48" t="n">
        <v>0.809007458282068</v>
      </c>
      <c r="AZ279" s="48" t="n">
        <v>18.6069726256686</v>
      </c>
      <c r="BA279" s="48" t="n">
        <v>2.12565613433136</v>
      </c>
      <c r="BB279" s="49" t="n">
        <f aca="false">AT279/V279</f>
        <v>0.809007458282068</v>
      </c>
      <c r="BC279" s="49" t="n">
        <f aca="false">AS279/V279</f>
        <v>0.855891740487891</v>
      </c>
      <c r="BD279" s="49" t="n">
        <f aca="false">SUM(AP279:AR279)/V279</f>
        <v>0.0945727705615437</v>
      </c>
      <c r="BE279" s="50" t="n">
        <v>6.92</v>
      </c>
      <c r="BF279" s="51" t="n">
        <v>98.2922083583945</v>
      </c>
      <c r="BG279" s="51" t="n">
        <v>578.095601654286</v>
      </c>
      <c r="BH279" s="51" t="n">
        <v>205.184841750616</v>
      </c>
      <c r="BI279" s="51" t="n">
        <v>154.814465564962</v>
      </c>
      <c r="BJ279" s="51" t="n">
        <v>11.7954285564909</v>
      </c>
      <c r="BK279" s="51" t="n">
        <v>19.4752970065307</v>
      </c>
      <c r="BL279" s="51" t="n">
        <v>25.6592410890056</v>
      </c>
      <c r="BM279" s="51"/>
      <c r="BN279" s="52" t="n">
        <f aca="false">(BG279*0.5-BH279*0.25+BI279*0.5)/SUM(BG279:BI279)*1000</f>
        <v>335.956223787688</v>
      </c>
      <c r="BO279" s="53" t="n">
        <v>7.43770458</v>
      </c>
      <c r="BP279" s="54" t="s">
        <v>77</v>
      </c>
      <c r="BQ279" s="55" t="n">
        <v>333.437295917296</v>
      </c>
      <c r="BR279" s="56" t="n">
        <v>16.0827312241565</v>
      </c>
      <c r="BS279" s="56" t="n">
        <v>22.5635089442176</v>
      </c>
      <c r="BT279" s="56" t="n">
        <v>19.8795833827147</v>
      </c>
      <c r="BU279" s="55"/>
      <c r="BV279" s="55"/>
      <c r="BW279" s="55"/>
      <c r="BX279" s="55"/>
      <c r="BY279" s="79" t="n">
        <v>0.112207792207792</v>
      </c>
      <c r="BZ279" s="80" t="n">
        <v>0.6405271</v>
      </c>
      <c r="CA279" s="81" t="n">
        <v>3.3</v>
      </c>
      <c r="CB279" s="81" t="n">
        <v>0.03</v>
      </c>
      <c r="CC279" s="82" t="n">
        <v>6.066757</v>
      </c>
      <c r="CD279" s="82" t="n">
        <v>8.773912</v>
      </c>
      <c r="CE279" s="83" t="n">
        <v>75.476612</v>
      </c>
      <c r="CF279" s="84" t="n">
        <v>36.1282</v>
      </c>
      <c r="CG279" s="80" t="n">
        <v>0.806</v>
      </c>
      <c r="CH279" s="63" t="n">
        <v>43836.7159652003</v>
      </c>
      <c r="CI279" s="63" t="n">
        <v>7192.59003995902</v>
      </c>
      <c r="CJ279" s="64" t="n">
        <v>636399.440499076</v>
      </c>
      <c r="CK279" s="65" t="n">
        <v>1.1302005599374</v>
      </c>
    </row>
    <row r="280" customFormat="false" ht="15" hidden="false" customHeight="false" outlineLevel="0" collapsed="false">
      <c r="A280" s="7" t="s">
        <v>73</v>
      </c>
      <c r="B280" s="66" t="n">
        <v>278</v>
      </c>
      <c r="C280" s="8" t="s">
        <v>356</v>
      </c>
      <c r="D280" s="67" t="n">
        <v>41904</v>
      </c>
      <c r="E280" s="4" t="s">
        <v>78</v>
      </c>
      <c r="F280" s="7" t="n">
        <v>2032</v>
      </c>
      <c r="G280" s="68" t="n">
        <v>1</v>
      </c>
      <c r="H280" s="68" t="n">
        <v>166</v>
      </c>
      <c r="I280" s="66" t="n">
        <v>1</v>
      </c>
      <c r="J280" s="69" t="n">
        <v>605.726190476191</v>
      </c>
      <c r="K280" s="31" t="n">
        <v>396.622734816217</v>
      </c>
      <c r="L280" s="31" t="n">
        <v>908.09698443913</v>
      </c>
      <c r="M280" s="31" t="n">
        <v>148.078963481839</v>
      </c>
      <c r="N280" s="31" t="n">
        <v>410.837451037105</v>
      </c>
      <c r="O280" s="32"/>
      <c r="P280" s="33" t="n">
        <v>65.5888604036004</v>
      </c>
      <c r="Q280" s="33" t="n">
        <v>13.7092448906003</v>
      </c>
      <c r="R280" s="31" t="n">
        <v>93.703155833179</v>
      </c>
      <c r="S280" s="34" t="s">
        <v>76</v>
      </c>
      <c r="T280" s="35" t="n">
        <v>16.4556330214286</v>
      </c>
      <c r="U280" s="35" t="n">
        <v>4.39846242857143</v>
      </c>
      <c r="V280" s="70" t="n">
        <v>20.85409545</v>
      </c>
      <c r="W280" s="35" t="n">
        <v>18.9708134383261</v>
      </c>
      <c r="X280" s="35" t="n">
        <v>3.19205119770018</v>
      </c>
      <c r="Y280" s="35" t="n">
        <v>7.78502820714571</v>
      </c>
      <c r="Z280" s="35"/>
      <c r="AA280" s="35" t="n">
        <v>1.22438490646866</v>
      </c>
      <c r="AB280" s="35" t="n">
        <v>0.264613954495693</v>
      </c>
      <c r="AC280" s="71" t="n">
        <v>2.31974083034666</v>
      </c>
      <c r="AD280" s="38" t="n">
        <v>4.33232002372439</v>
      </c>
      <c r="AE280" s="38" t="n">
        <v>3.61655863091645</v>
      </c>
      <c r="AF280" s="38" t="n">
        <v>0.798768160342354</v>
      </c>
      <c r="AG280" s="72"/>
      <c r="AH280" s="72"/>
      <c r="AI280" s="73" t="n">
        <v>61.0790414943103</v>
      </c>
      <c r="AJ280" s="42" t="s">
        <v>16</v>
      </c>
      <c r="AK280" s="43" t="n">
        <v>792.255673034987</v>
      </c>
      <c r="AL280" s="43" t="n">
        <v>809.361963171804</v>
      </c>
      <c r="AM280" s="43" t="n">
        <v>749.763361904141</v>
      </c>
      <c r="AN280" s="74"/>
      <c r="AO280" s="75" t="n">
        <v>17.5107142857143</v>
      </c>
      <c r="AP280" s="76" t="n">
        <v>0.541717824675325</v>
      </c>
      <c r="AQ280" s="76" t="n">
        <v>0.510835292207792</v>
      </c>
      <c r="AR280" s="76" t="n">
        <v>0.758373116883117</v>
      </c>
      <c r="AS280" s="77" t="n">
        <v>15.1300530844156</v>
      </c>
      <c r="AT280" s="78" t="n">
        <v>14.6547674826288</v>
      </c>
      <c r="AU280" s="78" t="n">
        <v>30.9363636363636</v>
      </c>
      <c r="AV280" s="78" t="n">
        <v>29.1727272727273</v>
      </c>
      <c r="AW280" s="78" t="n">
        <v>43.3090909090909</v>
      </c>
      <c r="AX280" s="78" t="n">
        <v>30.5454545454545</v>
      </c>
      <c r="AY280" s="48" t="n">
        <v>0.702728512860472</v>
      </c>
      <c r="AZ280" s="48" t="n">
        <v>17.3565852325347</v>
      </c>
      <c r="BA280" s="48" t="n">
        <v>3.49751021746529</v>
      </c>
      <c r="BB280" s="49" t="n">
        <f aca="false">AT280/V280</f>
        <v>0.702728512860472</v>
      </c>
      <c r="BC280" s="49" t="n">
        <f aca="false">AS280/V280</f>
        <v>0.725519508659177</v>
      </c>
      <c r="BD280" s="49" t="n">
        <f aca="false">SUM(AP280:AR280)/V280</f>
        <v>0.0868379181493692</v>
      </c>
      <c r="BE280" s="50" t="n">
        <v>6.9</v>
      </c>
      <c r="BF280" s="51" t="n">
        <v>96.5737385312811</v>
      </c>
      <c r="BG280" s="51" t="n">
        <v>601.759040126825</v>
      </c>
      <c r="BH280" s="51" t="n">
        <v>197.270777983298</v>
      </c>
      <c r="BI280" s="51" t="n">
        <v>144.03285345259</v>
      </c>
      <c r="BJ280" s="51" t="n">
        <v>11.0814125768247</v>
      </c>
      <c r="BK280" s="51" t="n">
        <v>15.1744896945485</v>
      </c>
      <c r="BL280" s="51" t="n">
        <v>25.7063017878042</v>
      </c>
      <c r="BM280" s="51"/>
      <c r="BN280" s="52" t="n">
        <f aca="false">(BG280*0.5-BH280*0.25+BI280*0.5)/SUM(BG280:BI280)*1000</f>
        <v>343.114261704043</v>
      </c>
      <c r="BO280" s="53" t="n">
        <v>8.1470528</v>
      </c>
      <c r="BP280" s="54" t="s">
        <v>77</v>
      </c>
      <c r="BQ280" s="55" t="n">
        <v>385.616707081637</v>
      </c>
      <c r="BR280" s="56" t="n">
        <v>18.4911739761715</v>
      </c>
      <c r="BS280" s="56" t="n">
        <v>25.1146481492248</v>
      </c>
      <c r="BT280" s="56" t="n">
        <v>26.3133964792503</v>
      </c>
      <c r="BU280" s="55"/>
      <c r="BV280" s="55"/>
      <c r="BW280" s="55"/>
      <c r="BX280" s="55"/>
      <c r="BY280" s="79" t="n">
        <v>0.0561038961038961</v>
      </c>
      <c r="BZ280" s="80" t="n">
        <v>1.4152545</v>
      </c>
      <c r="CA280" s="81" t="n">
        <v>2.88</v>
      </c>
      <c r="CB280" s="81" t="n">
        <v>0.714</v>
      </c>
      <c r="CC280" s="82" t="n">
        <v>5.577915</v>
      </c>
      <c r="CD280" s="82" t="n">
        <v>8.105264</v>
      </c>
      <c r="CE280" s="83" t="n">
        <v>92.309306</v>
      </c>
      <c r="CF280" s="84" t="n">
        <v>35.909527</v>
      </c>
      <c r="CG280" s="80" t="n">
        <v>0.113</v>
      </c>
      <c r="CH280" s="63" t="n">
        <v>21962.3690986368</v>
      </c>
      <c r="CI280" s="63" t="n">
        <v>12415.1432203155</v>
      </c>
      <c r="CJ280" s="64" t="n">
        <v>793345.50844416</v>
      </c>
      <c r="CK280" s="65" t="n">
        <v>1.56491000304054</v>
      </c>
    </row>
    <row r="281" customFormat="false" ht="15" hidden="false" customHeight="false" outlineLevel="0" collapsed="false">
      <c r="A281" s="7" t="s">
        <v>73</v>
      </c>
      <c r="B281" s="66" t="n">
        <v>279</v>
      </c>
      <c r="C281" s="8" t="s">
        <v>357</v>
      </c>
      <c r="D281" s="67" t="n">
        <v>41904</v>
      </c>
      <c r="E281" s="4" t="s">
        <v>78</v>
      </c>
      <c r="F281" s="7" t="n">
        <v>5768</v>
      </c>
      <c r="G281" s="68" t="n">
        <v>1</v>
      </c>
      <c r="H281" s="68" t="n">
        <v>93</v>
      </c>
      <c r="I281" s="66" t="n">
        <v>2</v>
      </c>
      <c r="J281" s="69" t="n">
        <v>744.852</v>
      </c>
      <c r="K281" s="31" t="n">
        <v>396.622734816217</v>
      </c>
      <c r="L281" s="31" t="n">
        <v>908.09698443913</v>
      </c>
      <c r="M281" s="31" t="n">
        <v>148.078963481839</v>
      </c>
      <c r="N281" s="31" t="n">
        <v>410.837451037105</v>
      </c>
      <c r="O281" s="32"/>
      <c r="P281" s="33" t="n">
        <v>65.5888604036004</v>
      </c>
      <c r="Q281" s="33" t="n">
        <v>13.7092448906003</v>
      </c>
      <c r="R281" s="31" t="n">
        <v>93.703155833179</v>
      </c>
      <c r="S281" s="34" t="s">
        <v>76</v>
      </c>
      <c r="T281" s="35" t="n">
        <v>18.8846348023077</v>
      </c>
      <c r="U281" s="35" t="n">
        <v>5.41088130769231</v>
      </c>
      <c r="V281" s="70" t="n">
        <v>24.29551611</v>
      </c>
      <c r="W281" s="35" t="n">
        <v>22.1089492761857</v>
      </c>
      <c r="X281" s="35" t="n">
        <v>3.73404423862783</v>
      </c>
      <c r="Y281" s="35" t="n">
        <v>9.01038395924613</v>
      </c>
      <c r="Z281" s="35"/>
      <c r="AA281" s="35" t="n">
        <v>1.42033837884228</v>
      </c>
      <c r="AB281" s="35" t="n">
        <v>0.304300726282632</v>
      </c>
      <c r="AC281" s="71" t="n">
        <v>2.74125266964156</v>
      </c>
      <c r="AD281" s="38" t="n">
        <v>5.21692897671476</v>
      </c>
      <c r="AE281" s="38" t="n">
        <v>4.34763536819239</v>
      </c>
      <c r="AF281" s="38" t="n">
        <v>1.17936311808922</v>
      </c>
      <c r="AG281" s="72"/>
      <c r="AH281" s="72"/>
      <c r="AI281" s="73" t="n">
        <v>58.3294746086917</v>
      </c>
      <c r="AJ281" s="42" t="s">
        <v>16</v>
      </c>
      <c r="AK281" s="43" t="n">
        <v>785.271942645932</v>
      </c>
      <c r="AL281" s="43" t="n">
        <v>803.354048449721</v>
      </c>
      <c r="AM281" s="43" t="n">
        <v>684.159307517308</v>
      </c>
      <c r="AN281" s="74"/>
      <c r="AO281" s="75" t="n">
        <v>22.9423076923077</v>
      </c>
      <c r="AP281" s="76" t="n">
        <v>0.740701704781705</v>
      </c>
      <c r="AQ281" s="76" t="n">
        <v>0.618747837837838</v>
      </c>
      <c r="AR281" s="76" t="n">
        <v>1.04371378378378</v>
      </c>
      <c r="AS281" s="77" t="n">
        <v>20.2874486486486</v>
      </c>
      <c r="AT281" s="78" t="n">
        <v>19.4523900387992</v>
      </c>
      <c r="AU281" s="78" t="n">
        <v>32.2854054054054</v>
      </c>
      <c r="AV281" s="78" t="n">
        <v>26.9697297297297</v>
      </c>
      <c r="AW281" s="78" t="n">
        <v>45.492972972973</v>
      </c>
      <c r="AX281" s="78" t="n">
        <v>24.0702702702703</v>
      </c>
      <c r="AY281" s="48" t="n">
        <v>0.800657617262662</v>
      </c>
      <c r="AZ281" s="48" t="n">
        <v>20.5252479030984</v>
      </c>
      <c r="BA281" s="48" t="n">
        <v>3.77026820690163</v>
      </c>
      <c r="BB281" s="49" t="n">
        <f aca="false">AT281/V281</f>
        <v>0.800657617262661</v>
      </c>
      <c r="BC281" s="49" t="n">
        <f aca="false">AS281/V281</f>
        <v>0.835028511302065</v>
      </c>
      <c r="BD281" s="49" t="n">
        <f aca="false">SUM(AP281:AR281)/V281</f>
        <v>0.0989138619456694</v>
      </c>
      <c r="BE281" s="50" t="n">
        <v>6.66</v>
      </c>
      <c r="BF281" s="51" t="n">
        <v>112.102185135268</v>
      </c>
      <c r="BG281" s="51" t="n">
        <v>620.632621205503</v>
      </c>
      <c r="BH281" s="51" t="n">
        <v>210.911733061187</v>
      </c>
      <c r="BI281" s="51" t="n">
        <v>124.881811037888</v>
      </c>
      <c r="BJ281" s="51" t="n">
        <v>9.53457992366485</v>
      </c>
      <c r="BK281" s="51" t="n">
        <v>15.1214782075028</v>
      </c>
      <c r="BL281" s="51" t="n">
        <v>13.9426521861456</v>
      </c>
      <c r="BM281" s="51"/>
      <c r="BN281" s="52" t="n">
        <f aca="false">(BG281*0.5-BH281*0.25+BI281*0.5)/SUM(BG281:BI281)*1000</f>
        <v>334.609501983338</v>
      </c>
      <c r="BO281" s="53" t="n">
        <v>7.32768866</v>
      </c>
      <c r="BP281" s="54" t="s">
        <v>77</v>
      </c>
      <c r="BQ281" s="55" t="n">
        <v>328.515042938727</v>
      </c>
      <c r="BR281" s="56" t="n">
        <v>13.5216326111924</v>
      </c>
      <c r="BS281" s="56" t="n">
        <v>18.4961002682849</v>
      </c>
      <c r="BT281" s="56" t="n">
        <v>16.8881583334223</v>
      </c>
      <c r="BU281" s="55"/>
      <c r="BV281" s="55"/>
      <c r="BW281" s="55"/>
      <c r="BX281" s="55"/>
      <c r="BY281" s="79" t="n">
        <v>0.121558441558442</v>
      </c>
      <c r="BZ281" s="80" t="n">
        <v>0.8683881</v>
      </c>
      <c r="CA281" s="81" t="n">
        <v>2.71</v>
      </c>
      <c r="CB281" s="81" t="n">
        <v>0.03</v>
      </c>
      <c r="CC281" s="82" t="n">
        <v>5.73732</v>
      </c>
      <c r="CD281" s="82" t="n">
        <v>10.218444</v>
      </c>
      <c r="CE281" s="83" t="n">
        <v>87.153878</v>
      </c>
      <c r="CF281" s="84" t="n">
        <v>37.606846</v>
      </c>
      <c r="CG281" s="80" t="n">
        <v>0.0605</v>
      </c>
      <c r="CH281" s="63" t="n">
        <v>35554.9339027971</v>
      </c>
      <c r="CI281" s="63" t="n">
        <v>9426.06163506996</v>
      </c>
      <c r="CJ281" s="64" t="n">
        <v>664644.866163558</v>
      </c>
      <c r="CK281" s="65" t="n">
        <v>1.41821025256371</v>
      </c>
    </row>
    <row r="282" customFormat="false" ht="15" hidden="false" customHeight="false" outlineLevel="0" collapsed="false">
      <c r="A282" s="7" t="s">
        <v>73</v>
      </c>
      <c r="B282" s="66" t="n">
        <v>280</v>
      </c>
      <c r="C282" s="8" t="s">
        <v>358</v>
      </c>
      <c r="D282" s="67" t="n">
        <v>41918</v>
      </c>
      <c r="E282" s="4" t="s">
        <v>75</v>
      </c>
      <c r="F282" s="7" t="n">
        <v>164</v>
      </c>
      <c r="G282" s="68" t="n">
        <v>1</v>
      </c>
      <c r="H282" s="68" t="n">
        <v>115</v>
      </c>
      <c r="I282" s="66" t="n">
        <v>1</v>
      </c>
      <c r="J282" s="69" t="n">
        <v>715.75</v>
      </c>
      <c r="K282" s="31" t="n">
        <v>518.420224040644</v>
      </c>
      <c r="L282" s="31" t="n">
        <v>933.012315093912</v>
      </c>
      <c r="M282" s="31" t="n">
        <v>169.635817339258</v>
      </c>
      <c r="N282" s="31" t="n">
        <v>358.644910717818</v>
      </c>
      <c r="O282" s="32"/>
      <c r="P282" s="33" t="n">
        <v>74.3782475135517</v>
      </c>
      <c r="Q282" s="33" t="n">
        <v>13.5988183864676</v>
      </c>
      <c r="R282" s="31" t="n">
        <v>148.251970104582</v>
      </c>
      <c r="S282" s="34" t="s">
        <v>76</v>
      </c>
      <c r="T282" s="35" t="n">
        <v>10.7228996226246</v>
      </c>
      <c r="U282" s="35" t="n">
        <v>2.44720753737542</v>
      </c>
      <c r="V282" s="70" t="n">
        <v>13.17010716</v>
      </c>
      <c r="W282" s="35" t="n">
        <v>12.2993914938125</v>
      </c>
      <c r="X282" s="35" t="n">
        <v>2.27974263862881</v>
      </c>
      <c r="Y282" s="35" t="n">
        <v>4.34888643867157</v>
      </c>
      <c r="Z282" s="35"/>
      <c r="AA282" s="35" t="n">
        <v>0.879416372118464</v>
      </c>
      <c r="AB282" s="35" t="n">
        <v>0.163118411202022</v>
      </c>
      <c r="AC282" s="71" t="n">
        <v>2.10231299538078</v>
      </c>
      <c r="AD282" s="38" t="n">
        <v>3.07610472184871</v>
      </c>
      <c r="AE282" s="38" t="n">
        <v>2.60569408080495</v>
      </c>
      <c r="AF282" s="38" t="n">
        <v>0.654048597868125</v>
      </c>
      <c r="AG282" s="72"/>
      <c r="AH282" s="72"/>
      <c r="AI282" s="73" t="n">
        <v>53.0275871440388</v>
      </c>
      <c r="AJ282" s="42" t="s">
        <v>16</v>
      </c>
      <c r="AK282" s="43" t="n">
        <v>766.432825148804</v>
      </c>
      <c r="AL282" s="43" t="n">
        <v>788.144471853278</v>
      </c>
      <c r="AM282" s="43" t="n">
        <v>713.104195716797</v>
      </c>
      <c r="AN282" s="74"/>
      <c r="AO282" s="75" t="n">
        <v>22.3571428571429</v>
      </c>
      <c r="AP282" s="76" t="n">
        <v>1.13127142857143</v>
      </c>
      <c r="AQ282" s="76" t="n">
        <v>0.811564285714286</v>
      </c>
      <c r="AR282" s="76" t="n">
        <v>1.05972857142857</v>
      </c>
      <c r="AS282" s="77" t="n">
        <v>25.9119285714286</v>
      </c>
      <c r="AT282" s="78" t="n">
        <v>25.7828837124659</v>
      </c>
      <c r="AU282" s="78" t="n">
        <v>50.6</v>
      </c>
      <c r="AV282" s="78" t="n">
        <v>36.3</v>
      </c>
      <c r="AW282" s="78" t="n">
        <v>47.4</v>
      </c>
      <c r="AX282" s="78" t="n">
        <v>36</v>
      </c>
      <c r="AY282" s="48" t="n">
        <v>1.95768215089192</v>
      </c>
      <c r="AZ282" s="48" t="n">
        <v>22.5485409216196</v>
      </c>
      <c r="BA282" s="48" t="n">
        <v>-9.37843376161963</v>
      </c>
      <c r="BB282" s="49" t="n">
        <f aca="false">AT282/V282</f>
        <v>1.95768215089192</v>
      </c>
      <c r="BC282" s="49" t="n">
        <f aca="false">AS282/V282</f>
        <v>1.96748046592421</v>
      </c>
      <c r="BD282" s="49" t="n">
        <f aca="false">SUM(AP282:AR282)/V282</f>
        <v>0.227983284360329</v>
      </c>
      <c r="BE282" s="50" t="n">
        <v>6.87</v>
      </c>
      <c r="BF282" s="51" t="n">
        <v>111.219582993954</v>
      </c>
      <c r="BG282" s="51" t="n">
        <v>612.170153864277</v>
      </c>
      <c r="BH282" s="51" t="n">
        <v>195.932949130259</v>
      </c>
      <c r="BI282" s="51" t="n">
        <v>143.747761654169</v>
      </c>
      <c r="BJ282" s="51" t="n">
        <v>13.3559298614811</v>
      </c>
      <c r="BK282" s="51" t="n">
        <v>13.6807338486142</v>
      </c>
      <c r="BL282" s="51" t="n">
        <v>16.1373472630904</v>
      </c>
      <c r="BM282" s="51"/>
      <c r="BN282" s="52" t="n">
        <f aca="false">(BG282*0.5-BH282*0.25+BI282*0.5)/SUM(BG282:BI282)*1000</f>
        <v>345.616874128776</v>
      </c>
      <c r="BO282" s="53" t="n">
        <v>6.41802956</v>
      </c>
      <c r="BP282" s="54" t="s">
        <v>77</v>
      </c>
      <c r="BQ282" s="55" t="n">
        <v>518.48021259</v>
      </c>
      <c r="BR282" s="56" t="n">
        <v>39.3679570174431</v>
      </c>
      <c r="BS282" s="56" t="n">
        <v>53.4863211115165</v>
      </c>
      <c r="BT282" s="56" t="n">
        <v>20.1094733378997</v>
      </c>
      <c r="BU282" s="55"/>
      <c r="BV282" s="55"/>
      <c r="BW282" s="55"/>
      <c r="BX282" s="55"/>
      <c r="BY282" s="79" t="n">
        <v>0.14025974025974</v>
      </c>
      <c r="BZ282" s="80" t="n">
        <v>0.4998477</v>
      </c>
      <c r="CA282" s="81" t="n">
        <v>4.15</v>
      </c>
      <c r="CB282" s="81" t="n">
        <v>0.33</v>
      </c>
      <c r="CC282" s="82" t="n">
        <v>4.876533</v>
      </c>
      <c r="CD282" s="82" t="n">
        <v>6.149784</v>
      </c>
      <c r="CE282" s="83" t="n">
        <v>97.671542</v>
      </c>
      <c r="CF282" s="84" t="n">
        <v>34.076839</v>
      </c>
      <c r="CG282" s="80" t="n">
        <v>0.0815</v>
      </c>
      <c r="CH282" s="63" t="n">
        <v>145028.810277126</v>
      </c>
      <c r="CI282" s="63" t="n">
        <v>3084.26640492194</v>
      </c>
      <c r="CJ282" s="64" t="n">
        <v>355557.734868827</v>
      </c>
      <c r="CK282" s="65" t="n">
        <v>0.867444609539938</v>
      </c>
    </row>
    <row r="283" customFormat="false" ht="15" hidden="false" customHeight="false" outlineLevel="0" collapsed="false">
      <c r="A283" s="7" t="s">
        <v>73</v>
      </c>
      <c r="B283" s="66" t="n">
        <v>281</v>
      </c>
      <c r="C283" s="8" t="s">
        <v>359</v>
      </c>
      <c r="D283" s="67" t="n">
        <v>41904</v>
      </c>
      <c r="E283" s="4" t="s">
        <v>78</v>
      </c>
      <c r="F283" s="7" t="n">
        <v>992</v>
      </c>
      <c r="G283" s="68" t="n">
        <v>1</v>
      </c>
      <c r="H283" s="68" t="n">
        <v>77</v>
      </c>
      <c r="I283" s="66" t="n">
        <v>2</v>
      </c>
      <c r="J283" s="69" t="n">
        <v>694.392222222222</v>
      </c>
      <c r="K283" s="31" t="n">
        <v>396.622734816217</v>
      </c>
      <c r="L283" s="31" t="n">
        <v>908.09698443913</v>
      </c>
      <c r="M283" s="31" t="n">
        <v>148.078963481839</v>
      </c>
      <c r="N283" s="31" t="n">
        <v>410.837451037105</v>
      </c>
      <c r="O283" s="32"/>
      <c r="P283" s="33" t="n">
        <v>65.5888604036004</v>
      </c>
      <c r="Q283" s="33" t="n">
        <v>13.7092448906003</v>
      </c>
      <c r="R283" s="31" t="n">
        <v>93.703155833179</v>
      </c>
      <c r="S283" s="34" t="s">
        <v>76</v>
      </c>
      <c r="T283" s="35" t="n">
        <v>20.33336639</v>
      </c>
      <c r="U283" s="35" t="n">
        <v>10.9823994</v>
      </c>
      <c r="V283" s="70" t="n">
        <v>31.31576579</v>
      </c>
      <c r="W283" s="35" t="n">
        <v>28.5439659431834</v>
      </c>
      <c r="X283" s="35" t="n">
        <v>4.93354576582661</v>
      </c>
      <c r="Y283" s="35" t="n">
        <v>10.875291698918</v>
      </c>
      <c r="Z283" s="35"/>
      <c r="AA283" s="35" t="n">
        <v>1.70995936708652</v>
      </c>
      <c r="AB283" s="35" t="n">
        <v>0.364927996989081</v>
      </c>
      <c r="AC283" s="71" t="n">
        <v>3.91189325285943</v>
      </c>
      <c r="AD283" s="38" t="n">
        <v>6.57896287015033</v>
      </c>
      <c r="AE283" s="38" t="n">
        <v>5.50480098554735</v>
      </c>
      <c r="AF283" s="38" t="n">
        <v>1.53876512501539</v>
      </c>
      <c r="AG283" s="72"/>
      <c r="AH283" s="72"/>
      <c r="AI283" s="73" t="n">
        <v>55.4689248429734</v>
      </c>
      <c r="AJ283" s="42" t="s">
        <v>16</v>
      </c>
      <c r="AK283" s="43" t="n">
        <v>789.915312489303</v>
      </c>
      <c r="AL283" s="43" t="n">
        <v>807.146596359292</v>
      </c>
      <c r="AM283" s="43" t="n">
        <v>688.101580880426</v>
      </c>
      <c r="AN283" s="74"/>
      <c r="AO283" s="75" t="n">
        <v>45.2533333333333</v>
      </c>
      <c r="AP283" s="76" t="n">
        <v>1.49769872164948</v>
      </c>
      <c r="AQ283" s="76" t="n">
        <v>1.298980604811</v>
      </c>
      <c r="AR283" s="76" t="n">
        <v>2.07899411683849</v>
      </c>
      <c r="AS283" s="77" t="n">
        <v>40.5668141580756</v>
      </c>
      <c r="AT283" s="78" t="n">
        <v>39.5288211363408</v>
      </c>
      <c r="AU283" s="78" t="n">
        <v>33.0958762886598</v>
      </c>
      <c r="AV283" s="78" t="n">
        <v>28.7046391752577</v>
      </c>
      <c r="AW283" s="78" t="n">
        <v>45.9412371134021</v>
      </c>
      <c r="AX283" s="78" t="n">
        <v>39.1649484536083</v>
      </c>
      <c r="AY283" s="48" t="n">
        <v>1.26226583125626</v>
      </c>
      <c r="AZ283" s="48" t="n">
        <v>26.4994044725114</v>
      </c>
      <c r="BA283" s="48" t="n">
        <v>4.81636131748857</v>
      </c>
      <c r="BB283" s="49" t="n">
        <f aca="false">AT283/V283</f>
        <v>1.26226583125626</v>
      </c>
      <c r="BC283" s="49" t="n">
        <f aca="false">AS283/V283</f>
        <v>1.29541185197616</v>
      </c>
      <c r="BD283" s="49" t="n">
        <f aca="false">SUM(AP283:AR283)/V283</f>
        <v>0.155693891568697</v>
      </c>
      <c r="BE283" s="50" t="n">
        <v>7.44</v>
      </c>
      <c r="BF283" s="51" t="n">
        <v>67.0741398464608</v>
      </c>
      <c r="BG283" s="51" t="n">
        <v>607.799941700755</v>
      </c>
      <c r="BH283" s="51" t="n">
        <v>222.66849926555</v>
      </c>
      <c r="BI283" s="51" t="n">
        <v>124.642003876688</v>
      </c>
      <c r="BJ283" s="51" t="n">
        <v>10.9344963165995</v>
      </c>
      <c r="BK283" s="51" t="n">
        <v>17.8104383731851</v>
      </c>
      <c r="BL283" s="51" t="n">
        <v>11.1694960891137</v>
      </c>
      <c r="BM283" s="51"/>
      <c r="BN283" s="52" t="n">
        <f aca="false">(BG283*0.5-BH283*0.25+BI283*0.5)/SUM(BG283:BI283)*1000</f>
        <v>325.14967211293</v>
      </c>
      <c r="BO283" s="53" t="n">
        <v>4.69541762</v>
      </c>
      <c r="BP283" s="54" t="s">
        <v>77</v>
      </c>
      <c r="BQ283" s="55" t="n">
        <v>428.214346164265</v>
      </c>
      <c r="BR283" s="56" t="n">
        <v>13.6740818996994</v>
      </c>
      <c r="BS283" s="56" t="n">
        <v>18.586365736417</v>
      </c>
      <c r="BT283" s="56" t="n">
        <v>10.8329652606459</v>
      </c>
      <c r="BU283" s="55"/>
      <c r="BV283" s="55"/>
      <c r="BW283" s="55"/>
      <c r="BX283" s="55"/>
      <c r="BY283" s="79"/>
      <c r="BZ283" s="80" t="n">
        <v>0.8911742</v>
      </c>
      <c r="CA283" s="81"/>
      <c r="CB283" s="81" t="n">
        <v>0.03</v>
      </c>
      <c r="CC283" s="82" t="n">
        <v>6.821274</v>
      </c>
      <c r="CD283" s="82" t="n">
        <v>8.988384</v>
      </c>
      <c r="CE283" s="83" t="n">
        <v>93.993314</v>
      </c>
      <c r="CF283" s="84" t="n">
        <v>38.814754</v>
      </c>
      <c r="CG283" s="80" t="n">
        <v>0.1025</v>
      </c>
      <c r="CH283" s="63" t="n">
        <v>26777.8700785365</v>
      </c>
      <c r="CI283" s="63" t="n">
        <v>3042.53143313392</v>
      </c>
      <c r="CJ283" s="64" t="n">
        <v>534981.485397843</v>
      </c>
      <c r="CK283" s="65" t="n">
        <v>0.568717145579592</v>
      </c>
    </row>
    <row r="284" customFormat="false" ht="15" hidden="false" customHeight="false" outlineLevel="0" collapsed="false">
      <c r="A284" s="7" t="s">
        <v>73</v>
      </c>
      <c r="B284" s="66" t="n">
        <v>282</v>
      </c>
      <c r="C284" s="8" t="s">
        <v>360</v>
      </c>
      <c r="D284" s="67" t="n">
        <v>41904</v>
      </c>
      <c r="E284" s="4" t="s">
        <v>78</v>
      </c>
      <c r="F284" s="7" t="n">
        <v>3307</v>
      </c>
      <c r="G284" s="68" t="n">
        <v>1</v>
      </c>
      <c r="H284" s="68" t="n">
        <v>80</v>
      </c>
      <c r="I284" s="66" t="n">
        <v>4</v>
      </c>
      <c r="J284" s="69" t="n">
        <v>702.402083333333</v>
      </c>
      <c r="K284" s="31" t="n">
        <v>396.622734816217</v>
      </c>
      <c r="L284" s="31" t="n">
        <v>908.09698443913</v>
      </c>
      <c r="M284" s="31" t="n">
        <v>148.078963481839</v>
      </c>
      <c r="N284" s="31" t="n">
        <v>410.837451037105</v>
      </c>
      <c r="O284" s="32"/>
      <c r="P284" s="33" t="n">
        <v>65.5888604036004</v>
      </c>
      <c r="Q284" s="33" t="n">
        <v>13.7092448906003</v>
      </c>
      <c r="R284" s="31" t="n">
        <v>93.703155833179</v>
      </c>
      <c r="S284" s="34" t="s">
        <v>76</v>
      </c>
      <c r="T284" s="35" t="n">
        <v>16.2476564616667</v>
      </c>
      <c r="U284" s="35" t="n">
        <v>5.51430570833333</v>
      </c>
      <c r="V284" s="70" t="n">
        <v>21.76196217</v>
      </c>
      <c r="W284" s="35" t="n">
        <v>19.8070139559844</v>
      </c>
      <c r="X284" s="35" t="n">
        <v>3.3581459522256</v>
      </c>
      <c r="Y284" s="35" t="n">
        <v>7.95424918960459</v>
      </c>
      <c r="Z284" s="35"/>
      <c r="AA284" s="35" t="n">
        <v>1.24957369945378</v>
      </c>
      <c r="AB284" s="35" t="n">
        <v>0.270042501732967</v>
      </c>
      <c r="AC284" s="71" t="n">
        <v>2.50685595073639</v>
      </c>
      <c r="AD284" s="38" t="n">
        <v>4.36093117451292</v>
      </c>
      <c r="AE284" s="38" t="n">
        <v>3.61958817871181</v>
      </c>
      <c r="AF284" s="38" t="n">
        <v>1.00784294051883</v>
      </c>
      <c r="AG284" s="72"/>
      <c r="AH284" s="72"/>
      <c r="AI284" s="73" t="n">
        <v>61.9231285536461</v>
      </c>
      <c r="AJ284" s="42" t="s">
        <v>16</v>
      </c>
      <c r="AK284" s="43" t="n">
        <v>799.607630026823</v>
      </c>
      <c r="AL284" s="43" t="n">
        <v>817.257251054837</v>
      </c>
      <c r="AM284" s="43" t="n">
        <v>699.881138325483</v>
      </c>
      <c r="AN284" s="74"/>
      <c r="AO284" s="75" t="n">
        <v>23.9125</v>
      </c>
      <c r="AP284" s="76" t="n">
        <v>1.00193375</v>
      </c>
      <c r="AQ284" s="76" t="n">
        <v>0.70063625</v>
      </c>
      <c r="AR284" s="76" t="n">
        <v>1.12627875</v>
      </c>
      <c r="AS284" s="77" t="n">
        <v>24.59400625</v>
      </c>
      <c r="AT284" s="78" t="n">
        <v>23.7111780732484</v>
      </c>
      <c r="AU284" s="78" t="n">
        <v>41.9</v>
      </c>
      <c r="AV284" s="78" t="n">
        <v>29.3</v>
      </c>
      <c r="AW284" s="78" t="n">
        <v>47.1</v>
      </c>
      <c r="AX284" s="78" t="n">
        <v>32</v>
      </c>
      <c r="AY284" s="48" t="n">
        <v>1.08956985992446</v>
      </c>
      <c r="AZ284" s="48" t="n">
        <v>21.1248530402822</v>
      </c>
      <c r="BA284" s="48" t="n">
        <v>0.637109129717768</v>
      </c>
      <c r="BB284" s="49" t="n">
        <f aca="false">AT284/V284</f>
        <v>1.08956985992446</v>
      </c>
      <c r="BC284" s="49" t="n">
        <f aca="false">AS284/V284</f>
        <v>1.13013734965058</v>
      </c>
      <c r="BD284" s="49" t="n">
        <f aca="false">SUM(AP284:AR284)/V284</f>
        <v>0.129990518681248</v>
      </c>
      <c r="BE284" s="50" t="n">
        <v>6.91</v>
      </c>
      <c r="BF284" s="51" t="n">
        <v>130.093707479834</v>
      </c>
      <c r="BG284" s="51" t="n">
        <v>601.84238498472</v>
      </c>
      <c r="BH284" s="51" t="n">
        <v>214.82257099192</v>
      </c>
      <c r="BI284" s="51" t="n">
        <v>135.674360688817</v>
      </c>
      <c r="BJ284" s="51" t="n">
        <v>11.3382332098493</v>
      </c>
      <c r="BK284" s="51" t="n">
        <v>15.6499059351973</v>
      </c>
      <c r="BL284" s="51" t="n">
        <v>15.6974198113867</v>
      </c>
      <c r="BM284" s="51"/>
      <c r="BN284" s="52" t="n">
        <f aca="false">(BG284*0.5-BH284*0.25+BI284*0.5)/SUM(BG284:BI284)*1000</f>
        <v>330.819829209532</v>
      </c>
      <c r="BO284" s="53" t="n">
        <v>6.58207932</v>
      </c>
      <c r="BP284" s="54" t="s">
        <v>77</v>
      </c>
      <c r="BQ284" s="55" t="n">
        <v>348.880098532539</v>
      </c>
      <c r="BR284" s="56" t="n">
        <v>16.0316471376597</v>
      </c>
      <c r="BS284" s="56" t="n">
        <v>21.5525373418158</v>
      </c>
      <c r="BT284" s="56" t="n">
        <v>14.7137395474312</v>
      </c>
      <c r="BU284" s="55"/>
      <c r="BV284" s="55"/>
      <c r="BW284" s="55"/>
      <c r="BX284" s="55"/>
      <c r="BY284" s="79" t="n">
        <v>0.130909090909091</v>
      </c>
      <c r="BZ284" s="80" t="n">
        <v>1.00531</v>
      </c>
      <c r="CA284" s="81" t="n">
        <v>3.18</v>
      </c>
      <c r="CB284" s="81" t="n">
        <v>0.03</v>
      </c>
      <c r="CC284" s="82" t="n">
        <v>5.662931</v>
      </c>
      <c r="CD284" s="82" t="n">
        <v>8.698216</v>
      </c>
      <c r="CE284" s="83" t="n">
        <v>79.679246</v>
      </c>
      <c r="CF284" s="84" t="n">
        <v>33.774862</v>
      </c>
      <c r="CG284" s="80" t="n">
        <v>0.134</v>
      </c>
      <c r="CH284" s="63" t="n">
        <v>31344.6701722243</v>
      </c>
      <c r="CI284" s="63" t="n">
        <v>3378.07742796587</v>
      </c>
      <c r="CJ284" s="64" t="n">
        <v>388343.803629233</v>
      </c>
      <c r="CK284" s="65" t="n">
        <v>0.869867729675701</v>
      </c>
    </row>
    <row r="285" customFormat="false" ht="15" hidden="false" customHeight="false" outlineLevel="0" collapsed="false">
      <c r="A285" s="7" t="s">
        <v>73</v>
      </c>
      <c r="B285" s="66" t="n">
        <v>283</v>
      </c>
      <c r="C285" s="8" t="s">
        <v>361</v>
      </c>
      <c r="D285" s="67" t="n">
        <v>41918</v>
      </c>
      <c r="E285" s="4" t="s">
        <v>75</v>
      </c>
      <c r="F285" s="7" t="n">
        <v>167</v>
      </c>
      <c r="G285" s="68" t="n">
        <v>1</v>
      </c>
      <c r="H285" s="68" t="n">
        <v>101</v>
      </c>
      <c r="I285" s="66" t="n">
        <v>1</v>
      </c>
      <c r="J285" s="69" t="n">
        <v>627.863095238095</v>
      </c>
      <c r="K285" s="31" t="n">
        <v>518.420224040644</v>
      </c>
      <c r="L285" s="31" t="n">
        <v>933.012315093912</v>
      </c>
      <c r="M285" s="31" t="n">
        <v>169.635817339258</v>
      </c>
      <c r="N285" s="31" t="n">
        <v>358.644910717818</v>
      </c>
      <c r="O285" s="32"/>
      <c r="P285" s="33" t="n">
        <v>74.3782475135517</v>
      </c>
      <c r="Q285" s="33" t="n">
        <v>13.5988183864676</v>
      </c>
      <c r="R285" s="31" t="n">
        <v>148.251970104582</v>
      </c>
      <c r="S285" s="34" t="s">
        <v>76</v>
      </c>
      <c r="T285" s="35" t="n">
        <v>21.0025743820598</v>
      </c>
      <c r="U285" s="35" t="n">
        <v>6.6846146179402</v>
      </c>
      <c r="V285" s="70" t="n">
        <v>27.687189</v>
      </c>
      <c r="W285" s="35" t="n">
        <v>25.8639536529978</v>
      </c>
      <c r="X285" s="35" t="n">
        <v>4.82135325709591</v>
      </c>
      <c r="Y285" s="35" t="n">
        <v>8.90689745304243</v>
      </c>
      <c r="Z285" s="35"/>
      <c r="AA285" s="35" t="n">
        <v>1.78575360315466</v>
      </c>
      <c r="AB285" s="35" t="n">
        <v>0.332864654770503</v>
      </c>
      <c r="AC285" s="71" t="n">
        <v>4.51391410812748</v>
      </c>
      <c r="AD285" s="38" t="n">
        <v>7.35835551703169</v>
      </c>
      <c r="AE285" s="38" t="n">
        <v>6.37168271674811</v>
      </c>
      <c r="AF285" s="38" t="n">
        <v>1.66359242378772</v>
      </c>
      <c r="AG285" s="72"/>
      <c r="AH285" s="72"/>
      <c r="AI285" s="73" t="n">
        <v>45.2362832972738</v>
      </c>
      <c r="AJ285" s="42" t="s">
        <v>16</v>
      </c>
      <c r="AK285" s="43" t="n">
        <v>734.232481418331</v>
      </c>
      <c r="AL285" s="43" t="n">
        <v>753.646221214536</v>
      </c>
      <c r="AM285" s="43" t="n">
        <v>654.953218509907</v>
      </c>
      <c r="AN285" s="74"/>
      <c r="AO285" s="75" t="n">
        <v>38.3142857142857</v>
      </c>
      <c r="AP285" s="76" t="n">
        <v>1.27412289840124</v>
      </c>
      <c r="AQ285" s="76" t="n">
        <v>1.26175720474471</v>
      </c>
      <c r="AR285" s="76" t="n">
        <v>1.7220819082001</v>
      </c>
      <c r="AS285" s="77" t="n">
        <v>34.4375577617328</v>
      </c>
      <c r="AT285" s="78" t="n">
        <v>34.5890993119442</v>
      </c>
      <c r="AU285" s="78" t="n">
        <v>33.2545126353791</v>
      </c>
      <c r="AV285" s="78" t="n">
        <v>32.9317689530686</v>
      </c>
      <c r="AW285" s="78" t="n">
        <v>44.9462093862816</v>
      </c>
      <c r="AX285" s="78" t="n">
        <v>40.5306859205776</v>
      </c>
      <c r="AY285" s="48" t="n">
        <v>1.24928172780358</v>
      </c>
      <c r="AZ285" s="48" t="n">
        <v>24.1796928961921</v>
      </c>
      <c r="BA285" s="48" t="n">
        <v>3.50749610380786</v>
      </c>
      <c r="BB285" s="49" t="n">
        <f aca="false">AT285/V285</f>
        <v>1.24928172780358</v>
      </c>
      <c r="BC285" s="49" t="n">
        <f aca="false">AS285/V285</f>
        <v>1.24380838234365</v>
      </c>
      <c r="BD285" s="49" t="n">
        <f aca="false">SUM(AP285:AR285)/V285</f>
        <v>0.15378816575948</v>
      </c>
      <c r="BE285" s="50" t="n">
        <v>7.2</v>
      </c>
      <c r="BF285" s="51" t="n">
        <v>104.949145375624</v>
      </c>
      <c r="BG285" s="51" t="n">
        <v>587.11972468493</v>
      </c>
      <c r="BH285" s="51" t="n">
        <v>250.019268495935</v>
      </c>
      <c r="BI285" s="51" t="n">
        <v>112.10538576083</v>
      </c>
      <c r="BJ285" s="51" t="n">
        <v>12.3538483825486</v>
      </c>
      <c r="BK285" s="51" t="n">
        <v>17.0266882309292</v>
      </c>
      <c r="BL285" s="51" t="n">
        <v>16.3999600667188</v>
      </c>
      <c r="BM285" s="51"/>
      <c r="BN285" s="52" t="n">
        <f aca="false">(BG285*0.5-BH285*0.25+BI285*0.5)/SUM(BG285:BI285)*1000</f>
        <v>302.459244919617</v>
      </c>
      <c r="BO285" s="53" t="n">
        <v>4.74233442</v>
      </c>
      <c r="BP285" s="54" t="s">
        <v>77</v>
      </c>
      <c r="BQ285" s="55" t="n">
        <v>470.00903827</v>
      </c>
      <c r="BR285" s="56" t="n">
        <v>16.9756864183648</v>
      </c>
      <c r="BS285" s="56" t="n">
        <v>24.1125849218485</v>
      </c>
      <c r="BT285" s="56" t="n">
        <v>13.5883572460558</v>
      </c>
      <c r="BU285" s="55"/>
      <c r="BV285" s="55"/>
      <c r="BW285" s="55"/>
      <c r="BX285" s="55"/>
      <c r="BY285" s="79" t="n">
        <v>0.177662337662338</v>
      </c>
      <c r="BZ285" s="80" t="n">
        <v>0.2431052</v>
      </c>
      <c r="CA285" s="81" t="n">
        <v>4.35</v>
      </c>
      <c r="CB285" s="81" t="n">
        <v>0.345</v>
      </c>
      <c r="CC285" s="82" t="n">
        <v>6.37494</v>
      </c>
      <c r="CD285" s="82" t="n">
        <v>5.847</v>
      </c>
      <c r="CE285" s="83" t="n">
        <v>86.732876</v>
      </c>
      <c r="CF285" s="84" t="n">
        <v>39.606142</v>
      </c>
      <c r="CG285" s="80" t="n">
        <v>0.0815</v>
      </c>
      <c r="CH285" s="63" t="n">
        <v>30659.0300925323</v>
      </c>
      <c r="CI285" s="63" t="n">
        <v>4872.22727954659</v>
      </c>
      <c r="CJ285" s="64" t="n">
        <v>897631.285979273</v>
      </c>
      <c r="CK285" s="65" t="n">
        <v>0.542787150542689</v>
      </c>
    </row>
    <row r="286" customFormat="false" ht="15" hidden="false" customHeight="false" outlineLevel="0" collapsed="false">
      <c r="A286" s="7" t="s">
        <v>73</v>
      </c>
      <c r="B286" s="66" t="n">
        <v>284</v>
      </c>
      <c r="C286" s="8" t="s">
        <v>362</v>
      </c>
      <c r="D286" s="67" t="n">
        <v>41967</v>
      </c>
      <c r="E286" s="4" t="s">
        <v>75</v>
      </c>
      <c r="F286" s="7" t="n">
        <v>34</v>
      </c>
      <c r="G286" s="68" t="n">
        <v>1</v>
      </c>
      <c r="H286" s="68" t="n">
        <v>87</v>
      </c>
      <c r="I286" s="66" t="n">
        <v>1</v>
      </c>
      <c r="J286" s="69" t="n">
        <v>543.379761904762</v>
      </c>
      <c r="K286" s="31" t="n">
        <v>513.632904815817</v>
      </c>
      <c r="L286" s="31" t="n">
        <v>933.628367353346</v>
      </c>
      <c r="M286" s="31" t="n">
        <v>162.349366989108</v>
      </c>
      <c r="N286" s="31" t="n">
        <v>372.425394559109</v>
      </c>
      <c r="O286" s="32"/>
      <c r="P286" s="33" t="n">
        <v>59.5795280825956</v>
      </c>
      <c r="Q286" s="33" t="n">
        <v>14.4921618529293</v>
      </c>
      <c r="R286" s="31" t="n">
        <v>153.254682429871</v>
      </c>
      <c r="S286" s="34" t="s">
        <v>76</v>
      </c>
      <c r="T286" s="35" t="n">
        <v>25.7237010385714</v>
      </c>
      <c r="U286" s="35" t="n">
        <v>7.32105107142857</v>
      </c>
      <c r="V286" s="70" t="n">
        <v>33.04475211</v>
      </c>
      <c r="W286" s="35" t="n">
        <v>30.8814689463764</v>
      </c>
      <c r="X286" s="35" t="n">
        <v>5.55461780695531</v>
      </c>
      <c r="Y286" s="35" t="n">
        <v>11.0854489541081</v>
      </c>
      <c r="Z286" s="35"/>
      <c r="AA286" s="35" t="n">
        <v>1.77751546300812</v>
      </c>
      <c r="AB286" s="35" t="n">
        <v>0.424545555829736</v>
      </c>
      <c r="AC286" s="71" t="n">
        <v>5.47583447052173</v>
      </c>
      <c r="AD286" s="38" t="n">
        <v>9.46562673678208</v>
      </c>
      <c r="AE286" s="38" t="n">
        <v>8.28764038578728</v>
      </c>
      <c r="AF286" s="38" t="n">
        <v>1.75507439758929</v>
      </c>
      <c r="AG286" s="72"/>
      <c r="AH286" s="72"/>
      <c r="AI286" s="73" t="n">
        <v>44.8512885237713</v>
      </c>
      <c r="AJ286" s="42" t="s">
        <v>16</v>
      </c>
      <c r="AK286" s="43" t="n">
        <v>713.551286289795</v>
      </c>
      <c r="AL286" s="43" t="n">
        <v>731.630629353215</v>
      </c>
      <c r="AM286" s="43" t="n">
        <v>684.033274910177</v>
      </c>
      <c r="AN286" s="74"/>
      <c r="AO286" s="75" t="n">
        <v>39.0428571428571</v>
      </c>
      <c r="AP286" s="76" t="n">
        <v>1.32973148404993</v>
      </c>
      <c r="AQ286" s="76" t="n">
        <v>1.22333022191401</v>
      </c>
      <c r="AR286" s="76" t="n">
        <v>1.84524882108183</v>
      </c>
      <c r="AS286" s="77" t="n">
        <v>35.5631151178918</v>
      </c>
      <c r="AT286" s="78" t="n">
        <v>35.6248120550898</v>
      </c>
      <c r="AU286" s="78" t="n">
        <v>34.0582524271845</v>
      </c>
      <c r="AV286" s="78" t="n">
        <v>31.3330097087379</v>
      </c>
      <c r="AW286" s="78" t="n">
        <v>47.2621359223301</v>
      </c>
      <c r="AX286" s="78" t="n">
        <v>41.4757281553398</v>
      </c>
      <c r="AY286" s="48" t="n">
        <v>1.07807775154437</v>
      </c>
      <c r="AZ286" s="48" t="n">
        <v>23.0272021170282</v>
      </c>
      <c r="BA286" s="48" t="n">
        <v>10.0175499929718</v>
      </c>
      <c r="BB286" s="49" t="n">
        <f aca="false">AT286/V286</f>
        <v>1.07807775154437</v>
      </c>
      <c r="BC286" s="49" t="n">
        <f aca="false">AS286/V286</f>
        <v>1.07621067936926</v>
      </c>
      <c r="BD286" s="49" t="n">
        <f aca="false">SUM(AP286:AR286)/V286</f>
        <v>0.133101634789227</v>
      </c>
      <c r="BE286" s="50" t="n">
        <v>6.3</v>
      </c>
      <c r="BF286" s="51" t="n">
        <v>130.138920827028</v>
      </c>
      <c r="BG286" s="51" t="n">
        <v>585.173566238041</v>
      </c>
      <c r="BH286" s="51" t="n">
        <v>214.182973894178</v>
      </c>
      <c r="BI286" s="51" t="n">
        <v>154.537075486521</v>
      </c>
      <c r="BJ286" s="51" t="n">
        <v>10.8423493118102</v>
      </c>
      <c r="BK286" s="51" t="n">
        <v>16.258013936044</v>
      </c>
      <c r="BL286" s="51" t="n">
        <v>14.0308967552963</v>
      </c>
      <c r="BM286" s="51"/>
      <c r="BN286" s="52" t="n">
        <f aca="false">(BG286*0.5-BH286*0.25+BI286*0.5)/SUM(BG286:BI286)*1000</f>
        <v>331.598379745485</v>
      </c>
      <c r="BO286" s="53" t="n">
        <v>10.93429856</v>
      </c>
      <c r="BP286" s="54" t="s">
        <v>77</v>
      </c>
      <c r="BQ286" s="55" t="n">
        <v>473.12285053</v>
      </c>
      <c r="BR286" s="56" t="n">
        <v>14.3176395742071</v>
      </c>
      <c r="BS286" s="56" t="n">
        <v>20.9403576406381</v>
      </c>
      <c r="BT286" s="56" t="n">
        <v>13.2807114827264</v>
      </c>
      <c r="BU286" s="55"/>
      <c r="BV286" s="55"/>
      <c r="BW286" s="55"/>
      <c r="BX286" s="55"/>
      <c r="BY286" s="79" t="n">
        <v>0.147692307692308</v>
      </c>
      <c r="BZ286" s="80" t="n">
        <v>0.836025</v>
      </c>
      <c r="CA286" s="81" t="n">
        <v>3.48</v>
      </c>
      <c r="CB286" s="81" t="n">
        <v>0.935</v>
      </c>
      <c r="CC286" s="82" t="n">
        <v>5.721006</v>
      </c>
      <c r="CD286" s="82" t="n">
        <v>5.304264</v>
      </c>
      <c r="CE286" s="83" t="n">
        <v>80.56796</v>
      </c>
      <c r="CF286" s="84" t="n">
        <v>37.456351</v>
      </c>
      <c r="CG286" s="80" t="n">
        <v>0.8585</v>
      </c>
      <c r="CH286" s="63" t="n">
        <v>64663.183024685</v>
      </c>
      <c r="CI286" s="63" t="n">
        <v>5214.66195018335</v>
      </c>
      <c r="CJ286" s="64" t="n">
        <v>524566.172012944</v>
      </c>
      <c r="CK286" s="65" t="n">
        <v>0.994090398580769</v>
      </c>
    </row>
    <row r="287" customFormat="false" ht="15" hidden="false" customHeight="false" outlineLevel="0" collapsed="false">
      <c r="A287" s="7" t="s">
        <v>73</v>
      </c>
      <c r="B287" s="66" t="n">
        <v>285</v>
      </c>
      <c r="C287" s="8" t="s">
        <v>363</v>
      </c>
      <c r="D287" s="67" t="n">
        <v>41918</v>
      </c>
      <c r="E287" s="4" t="s">
        <v>75</v>
      </c>
      <c r="F287" s="7" t="n">
        <v>411</v>
      </c>
      <c r="G287" s="68" t="n">
        <v>1</v>
      </c>
      <c r="H287" s="68" t="n">
        <v>118</v>
      </c>
      <c r="I287" s="66" t="n">
        <v>5</v>
      </c>
      <c r="J287" s="69" t="n">
        <v>772.791666666667</v>
      </c>
      <c r="K287" s="31" t="n">
        <v>518.420224040644</v>
      </c>
      <c r="L287" s="31" t="n">
        <v>933.012315093912</v>
      </c>
      <c r="M287" s="31" t="n">
        <v>169.635817339258</v>
      </c>
      <c r="N287" s="31" t="n">
        <v>358.644910717818</v>
      </c>
      <c r="O287" s="32"/>
      <c r="P287" s="33" t="n">
        <v>74.3782475135517</v>
      </c>
      <c r="Q287" s="33" t="n">
        <v>13.5988183864676</v>
      </c>
      <c r="R287" s="31" t="n">
        <v>148.251970104582</v>
      </c>
      <c r="S287" s="34" t="s">
        <v>76</v>
      </c>
      <c r="T287" s="35" t="n">
        <v>17.6382865629568</v>
      </c>
      <c r="U287" s="35" t="n">
        <v>6.92370888704319</v>
      </c>
      <c r="V287" s="70" t="n">
        <v>24.56199545</v>
      </c>
      <c r="W287" s="35" t="n">
        <v>22.9492350314474</v>
      </c>
      <c r="X287" s="35" t="n">
        <v>4.29566568080397</v>
      </c>
      <c r="Y287" s="35" t="n">
        <v>7.74947318686176</v>
      </c>
      <c r="Z287" s="35"/>
      <c r="AA287" s="35" t="n">
        <v>1.54352213849084</v>
      </c>
      <c r="AB287" s="35" t="n">
        <v>0.288804505990761</v>
      </c>
      <c r="AC287" s="71" t="n">
        <v>4.06523541881622</v>
      </c>
      <c r="AD287" s="38" t="n">
        <v>6.52475171147048</v>
      </c>
      <c r="AE287" s="38" t="n">
        <v>5.61159384361012</v>
      </c>
      <c r="AF287" s="38" t="n">
        <v>1.26029336313156</v>
      </c>
      <c r="AG287" s="72"/>
      <c r="AH287" s="72"/>
      <c r="AI287" s="73" t="n">
        <v>44.2629112588367</v>
      </c>
      <c r="AJ287" s="42" t="s">
        <v>16</v>
      </c>
      <c r="AK287" s="43" t="n">
        <v>734.355796753049</v>
      </c>
      <c r="AL287" s="43" t="n">
        <v>755.477956632518</v>
      </c>
      <c r="AM287" s="43" t="n">
        <v>706.612791408924</v>
      </c>
      <c r="AN287" s="74"/>
      <c r="AO287" s="75" t="n">
        <v>37.5571428571429</v>
      </c>
      <c r="AP287" s="76" t="n">
        <v>1.37555506578947</v>
      </c>
      <c r="AQ287" s="76" t="n">
        <v>1.31900932800752</v>
      </c>
      <c r="AR287" s="76" t="n">
        <v>1.75143535244361</v>
      </c>
      <c r="AS287" s="77" t="n">
        <v>35.6561831296993</v>
      </c>
      <c r="AT287" s="78" t="n">
        <v>36.4171841860124</v>
      </c>
      <c r="AU287" s="78" t="n">
        <v>36.6256578947368</v>
      </c>
      <c r="AV287" s="78" t="n">
        <v>35.1200657894737</v>
      </c>
      <c r="AW287" s="78" t="n">
        <v>46.6338815789474</v>
      </c>
      <c r="AX287" s="78" t="n">
        <v>37.2467105263158</v>
      </c>
      <c r="AY287" s="48" t="n">
        <v>1.48266390897049</v>
      </c>
      <c r="AZ287" s="48" t="n">
        <v>26.9188842099999</v>
      </c>
      <c r="BA287" s="48" t="n">
        <v>-2.35688875999994</v>
      </c>
      <c r="BB287" s="49" t="n">
        <f aca="false">AT287/V287</f>
        <v>1.48266390897049</v>
      </c>
      <c r="BC287" s="49" t="n">
        <f aca="false">AS287/V287</f>
        <v>1.45168104123638</v>
      </c>
      <c r="BD287" s="49" t="n">
        <f aca="false">SUM(AP287:AR287)/V287</f>
        <v>0.181011341496711</v>
      </c>
      <c r="BE287" s="50" t="n">
        <v>6.8</v>
      </c>
      <c r="BF287" s="51" t="n">
        <v>94.636182350473</v>
      </c>
      <c r="BG287" s="51" t="n">
        <v>626.916702579124</v>
      </c>
      <c r="BH287" s="51" t="n">
        <v>193.140159962492</v>
      </c>
      <c r="BI287" s="51" t="n">
        <v>139.843164435245</v>
      </c>
      <c r="BJ287" s="51" t="n">
        <v>11.4101566932976</v>
      </c>
      <c r="BK287" s="51" t="n">
        <v>11.7397563805507</v>
      </c>
      <c r="BL287" s="51" t="n">
        <v>11.9749355711821</v>
      </c>
      <c r="BM287" s="51"/>
      <c r="BN287" s="52" t="n">
        <f aca="false">(BG287*0.5-BH287*0.25+BI287*0.5)/SUM(BG287:BI287)*1000</f>
        <v>349.093534846457</v>
      </c>
      <c r="BO287" s="53" t="n">
        <v>5.43266742</v>
      </c>
      <c r="BP287" s="54" t="s">
        <v>77</v>
      </c>
      <c r="BQ287" s="55" t="n">
        <v>511.71587973</v>
      </c>
      <c r="BR287" s="56" t="n">
        <v>20.8336444313607</v>
      </c>
      <c r="BS287" s="56" t="n">
        <v>29.5147346854185</v>
      </c>
      <c r="BT287" s="56" t="n">
        <v>14.0514949512913</v>
      </c>
      <c r="BU287" s="55"/>
      <c r="BV287" s="55"/>
      <c r="BW287" s="55"/>
      <c r="BX287" s="55"/>
      <c r="BY287" s="79" t="n">
        <v>0.0841558441558442</v>
      </c>
      <c r="BZ287" s="80" t="n">
        <v>0.3908796</v>
      </c>
      <c r="CA287" s="81" t="n">
        <v>3.74</v>
      </c>
      <c r="CB287" s="81" t="n">
        <v>0.809</v>
      </c>
      <c r="CC287" s="82" t="n">
        <v>3.739444</v>
      </c>
      <c r="CD287" s="82" t="n">
        <v>7.714168</v>
      </c>
      <c r="CE287" s="83" t="n">
        <v>81.156446</v>
      </c>
      <c r="CF287" s="84" t="n">
        <v>34.836988</v>
      </c>
      <c r="CG287" s="80" t="n">
        <v>0.743</v>
      </c>
      <c r="CH287" s="63" t="n">
        <v>72215.5796610794</v>
      </c>
      <c r="CI287" s="63" t="n">
        <v>3969.29690610504</v>
      </c>
      <c r="CJ287" s="64" t="n">
        <v>671954.14083519</v>
      </c>
      <c r="CK287" s="65" t="n">
        <v>0.590709494128796</v>
      </c>
    </row>
    <row r="288" customFormat="false" ht="15" hidden="false" customHeight="false" outlineLevel="0" collapsed="false">
      <c r="A288" s="7" t="s">
        <v>73</v>
      </c>
      <c r="B288" s="66" t="n">
        <v>286</v>
      </c>
      <c r="C288" s="8" t="s">
        <v>364</v>
      </c>
      <c r="D288" s="67" t="n">
        <v>41918</v>
      </c>
      <c r="E288" s="4" t="s">
        <v>75</v>
      </c>
      <c r="F288" s="7" t="n">
        <v>540</v>
      </c>
      <c r="G288" s="68" t="n">
        <v>1</v>
      </c>
      <c r="H288" s="68" t="n">
        <v>86</v>
      </c>
      <c r="I288" s="66" t="n">
        <v>3</v>
      </c>
      <c r="J288" s="69" t="n">
        <v>702.488095238095</v>
      </c>
      <c r="K288" s="31" t="n">
        <v>518.420224040644</v>
      </c>
      <c r="L288" s="31" t="n">
        <v>933.012315093912</v>
      </c>
      <c r="M288" s="31" t="n">
        <v>169.635817339258</v>
      </c>
      <c r="N288" s="31" t="n">
        <v>358.644910717818</v>
      </c>
      <c r="O288" s="32"/>
      <c r="P288" s="33" t="n">
        <v>74.3782475135517</v>
      </c>
      <c r="Q288" s="33" t="n">
        <v>13.5988183864676</v>
      </c>
      <c r="R288" s="31" t="n">
        <v>148.251970104582</v>
      </c>
      <c r="S288" s="34" t="s">
        <v>76</v>
      </c>
      <c r="T288" s="35" t="n">
        <v>18.6398020984718</v>
      </c>
      <c r="U288" s="35" t="n">
        <v>6.21858129152824</v>
      </c>
      <c r="V288" s="70" t="n">
        <v>24.85838339</v>
      </c>
      <c r="W288" s="35" t="n">
        <v>23.222449502712</v>
      </c>
      <c r="X288" s="35" t="n">
        <v>4.33279873051567</v>
      </c>
      <c r="Y288" s="35" t="n">
        <v>7.9636795682901</v>
      </c>
      <c r="Z288" s="35"/>
      <c r="AA288" s="35" t="n">
        <v>1.59442463212229</v>
      </c>
      <c r="AB288" s="35" t="n">
        <v>0.297439289917256</v>
      </c>
      <c r="AC288" s="71" t="n">
        <v>4.06600742566392</v>
      </c>
      <c r="AD288" s="38" t="n">
        <v>6.50955250652396</v>
      </c>
      <c r="AE288" s="38" t="n">
        <v>5.55549326108225</v>
      </c>
      <c r="AF288" s="38" t="n">
        <v>1.36888458058294</v>
      </c>
      <c r="AG288" s="72"/>
      <c r="AH288" s="72"/>
      <c r="AI288" s="73" t="n">
        <v>45.6927399570337</v>
      </c>
      <c r="AJ288" s="42" t="s">
        <v>16</v>
      </c>
      <c r="AK288" s="43" t="n">
        <v>738.134519675056</v>
      </c>
      <c r="AL288" s="43" t="n">
        <v>760.77057416215</v>
      </c>
      <c r="AM288" s="43" t="n">
        <v>684.064581412019</v>
      </c>
      <c r="AN288" s="74"/>
      <c r="AO288" s="75" t="n">
        <v>52.7214285714286</v>
      </c>
      <c r="AP288" s="76" t="n">
        <v>1.70909826951399</v>
      </c>
      <c r="AQ288" s="76" t="n">
        <v>1.58426262297496</v>
      </c>
      <c r="AR288" s="76" t="n">
        <v>2.28021809131075</v>
      </c>
      <c r="AS288" s="77" t="n">
        <v>46.7250454712813</v>
      </c>
      <c r="AT288" s="78" t="n">
        <v>45.4152101911109</v>
      </c>
      <c r="AU288" s="78" t="n">
        <v>32.4175257731959</v>
      </c>
      <c r="AV288" s="78" t="n">
        <v>30.0496907216495</v>
      </c>
      <c r="AW288" s="78" t="n">
        <v>43.2503092783505</v>
      </c>
      <c r="AX288" s="78" t="n">
        <v>40.4969072164949</v>
      </c>
      <c r="AY288" s="48" t="n">
        <v>1.82695750880488</v>
      </c>
      <c r="AZ288" s="48" t="n">
        <v>29.1609507669277</v>
      </c>
      <c r="BA288" s="48" t="n">
        <v>-4.30256737692765</v>
      </c>
      <c r="BB288" s="49" t="n">
        <f aca="false">AT288/V288</f>
        <v>1.82695750880488</v>
      </c>
      <c r="BC288" s="49" t="n">
        <f aca="false">AS288/V288</f>
        <v>1.87964940190269</v>
      </c>
      <c r="BD288" s="49" t="n">
        <f aca="false">SUM(AP288:AR288)/V288</f>
        <v>0.224213252179618</v>
      </c>
      <c r="BE288" s="50" t="n">
        <v>6.86</v>
      </c>
      <c r="BF288" s="51" t="n">
        <v>97.3607434021058</v>
      </c>
      <c r="BG288" s="51" t="n">
        <v>607.411257698765</v>
      </c>
      <c r="BH288" s="51" t="n">
        <v>223.949331103889</v>
      </c>
      <c r="BI288" s="51" t="n">
        <v>122.261016794942</v>
      </c>
      <c r="BJ288" s="51" t="n">
        <v>12.0273805370086</v>
      </c>
      <c r="BK288" s="51" t="n">
        <v>13.6178518859123</v>
      </c>
      <c r="BL288" s="51" t="n">
        <v>15.7580376013734</v>
      </c>
      <c r="BM288" s="51"/>
      <c r="BN288" s="52" t="n">
        <f aca="false">(BG288*0.5-BH288*0.25+BI288*0.5)/SUM(BG288:BI288)*1000</f>
        <v>323.869344672972</v>
      </c>
      <c r="BO288" s="53" t="n">
        <v>8.09746214</v>
      </c>
      <c r="BP288" s="54" t="s">
        <v>77</v>
      </c>
      <c r="BQ288" s="55" t="n">
        <v>607.05932033</v>
      </c>
      <c r="BR288" s="56" t="n">
        <v>24.4207079280227</v>
      </c>
      <c r="BS288" s="56" t="n">
        <v>34.3612851035171</v>
      </c>
      <c r="BT288" s="56" t="n">
        <v>13.3668724151104</v>
      </c>
      <c r="BU288" s="55"/>
      <c r="BV288" s="55"/>
      <c r="BW288" s="55"/>
      <c r="BX288" s="55"/>
      <c r="BY288" s="79" t="n">
        <v>0.0841558441558442</v>
      </c>
      <c r="BZ288" s="80" t="n">
        <v>0.5048012</v>
      </c>
      <c r="CA288" s="81" t="n">
        <v>3.9</v>
      </c>
      <c r="CB288" s="81" t="n">
        <v>0.376</v>
      </c>
      <c r="CC288" s="82" t="n">
        <v>5.52478</v>
      </c>
      <c r="CD288" s="82" t="n">
        <v>5.872232</v>
      </c>
      <c r="CE288" s="83" t="n">
        <v>84.310268</v>
      </c>
      <c r="CF288" s="84" t="n">
        <v>37.908823</v>
      </c>
      <c r="CG288" s="80" t="n">
        <v>0.071</v>
      </c>
      <c r="CH288" s="63" t="n">
        <v>44311.0279104734</v>
      </c>
      <c r="CI288" s="63" t="n">
        <v>5992.99892488694</v>
      </c>
      <c r="CJ288" s="64" t="n">
        <v>820357.411947267</v>
      </c>
      <c r="CK288" s="65" t="n">
        <v>0.73053511038091</v>
      </c>
    </row>
    <row r="289" customFormat="false" ht="15" hidden="false" customHeight="false" outlineLevel="0" collapsed="false">
      <c r="A289" s="7" t="s">
        <v>73</v>
      </c>
      <c r="B289" s="66" t="n">
        <v>287</v>
      </c>
      <c r="C289" s="8" t="s">
        <v>365</v>
      </c>
      <c r="D289" s="67" t="n">
        <v>41918</v>
      </c>
      <c r="E289" s="4" t="s">
        <v>75</v>
      </c>
      <c r="F289" s="7" t="n">
        <v>21</v>
      </c>
      <c r="G289" s="68" t="n">
        <v>1</v>
      </c>
      <c r="H289" s="68" t="n">
        <v>128</v>
      </c>
      <c r="I289" s="66" t="n">
        <v>1</v>
      </c>
      <c r="J289" s="69" t="n">
        <v>586.285714285714</v>
      </c>
      <c r="K289" s="31" t="n">
        <v>518.420224040644</v>
      </c>
      <c r="L289" s="31" t="n">
        <v>933.012315093912</v>
      </c>
      <c r="M289" s="31" t="n">
        <v>169.635817339258</v>
      </c>
      <c r="N289" s="31" t="n">
        <v>358.644910717818</v>
      </c>
      <c r="O289" s="32"/>
      <c r="P289" s="33" t="n">
        <v>74.3782475135517</v>
      </c>
      <c r="Q289" s="33" t="n">
        <v>13.5988183864676</v>
      </c>
      <c r="R289" s="31" t="n">
        <v>148.251970104582</v>
      </c>
      <c r="S289" s="34" t="s">
        <v>76</v>
      </c>
      <c r="T289" s="35" t="n">
        <v>14.8836789231561</v>
      </c>
      <c r="U289" s="35" t="n">
        <v>4.33652844684385</v>
      </c>
      <c r="V289" s="70" t="n">
        <v>19.22020737</v>
      </c>
      <c r="W289" s="35" t="n">
        <v>17.9531027752003</v>
      </c>
      <c r="X289" s="35" t="n">
        <v>3.34127697838656</v>
      </c>
      <c r="Y289" s="35" t="n">
        <v>6.22959413086852</v>
      </c>
      <c r="Z289" s="35"/>
      <c r="AA289" s="35" t="n">
        <v>1.25209087731802</v>
      </c>
      <c r="AB289" s="35" t="n">
        <v>0.233055962612316</v>
      </c>
      <c r="AC289" s="71" t="n">
        <v>3.11491697325221</v>
      </c>
      <c r="AD289" s="38" t="n">
        <v>5.68484841368813</v>
      </c>
      <c r="AE289" s="38" t="n">
        <v>4.96888281958427</v>
      </c>
      <c r="AF289" s="38" t="n">
        <v>1.13905849963601</v>
      </c>
      <c r="AG289" s="72"/>
      <c r="AH289" s="72"/>
      <c r="AI289" s="73" t="n">
        <v>40.9959854076596</v>
      </c>
      <c r="AJ289" s="42" t="s">
        <v>16</v>
      </c>
      <c r="AK289" s="43" t="n">
        <v>704.225438141663</v>
      </c>
      <c r="AL289" s="43" t="n">
        <v>723.229857156052</v>
      </c>
      <c r="AM289" s="43" t="n">
        <v>659.094858940417</v>
      </c>
      <c r="AN289" s="74"/>
      <c r="AO289" s="75" t="n">
        <v>29.6571428571429</v>
      </c>
      <c r="AP289" s="76" t="n">
        <v>1.17808638655462</v>
      </c>
      <c r="AQ289" s="76" t="n">
        <v>0.953215462184874</v>
      </c>
      <c r="AR289" s="76" t="n">
        <v>1.36510084033613</v>
      </c>
      <c r="AS289" s="77" t="n">
        <v>29.5341529411765</v>
      </c>
      <c r="AT289" s="78" t="n">
        <v>29.1022909382861</v>
      </c>
      <c r="AU289" s="78" t="n">
        <v>39.7235294117647</v>
      </c>
      <c r="AV289" s="78" t="n">
        <v>32.1411764705882</v>
      </c>
      <c r="AW289" s="78" t="n">
        <v>46.0294117647059</v>
      </c>
      <c r="AX289" s="78" t="n">
        <v>33.6470588235294</v>
      </c>
      <c r="AY289" s="48" t="n">
        <v>1.51415072574663</v>
      </c>
      <c r="AZ289" s="48" t="n">
        <v>22.1875956621207</v>
      </c>
      <c r="BA289" s="48" t="n">
        <v>-2.96738829212073</v>
      </c>
      <c r="BB289" s="49" t="n">
        <f aca="false">AT289/V289</f>
        <v>1.51415072574663</v>
      </c>
      <c r="BC289" s="49" t="n">
        <f aca="false">AS289/V289</f>
        <v>1.5366198903387</v>
      </c>
      <c r="BD289" s="49" t="n">
        <f aca="false">SUM(AP289:AR289)/V289</f>
        <v>0.181912849417692</v>
      </c>
      <c r="BE289" s="50" t="n">
        <v>6.43</v>
      </c>
      <c r="BF289" s="51" t="n">
        <v>90.2313628782285</v>
      </c>
      <c r="BG289" s="51" t="n">
        <v>577.197805378935</v>
      </c>
      <c r="BH289" s="51" t="n">
        <v>257.613953431057</v>
      </c>
      <c r="BI289" s="51" t="n">
        <v>126.77162189676</v>
      </c>
      <c r="BJ289" s="51" t="n">
        <v>9.44302242939336</v>
      </c>
      <c r="BK289" s="51" t="n">
        <v>11.483329080576</v>
      </c>
      <c r="BL289" s="51" t="n">
        <v>12.5151434051701</v>
      </c>
      <c r="BM289" s="51"/>
      <c r="BN289" s="52" t="n">
        <f aca="false">(BG289*0.5-BH289*0.25+BI289*0.5)/SUM(BG289:BI289)*1000</f>
        <v>299.070502933105</v>
      </c>
      <c r="BO289" s="53" t="n">
        <v>6.98714426</v>
      </c>
      <c r="BP289" s="54" t="s">
        <v>77</v>
      </c>
      <c r="BQ289" s="55" t="n">
        <v>462.07771721</v>
      </c>
      <c r="BR289" s="56" t="n">
        <v>24.0412451496875</v>
      </c>
      <c r="BS289" s="56" t="n">
        <v>35.5876378241835</v>
      </c>
      <c r="BT289" s="56" t="n">
        <v>15.8777093593723</v>
      </c>
      <c r="BU289" s="55"/>
      <c r="BV289" s="55"/>
      <c r="BW289" s="55"/>
      <c r="BX289" s="55"/>
      <c r="BY289" s="79" t="n">
        <v>0.168311688311688</v>
      </c>
      <c r="BZ289" s="80" t="n">
        <v>0.4978663</v>
      </c>
      <c r="CA289" s="81" t="n">
        <v>3.33</v>
      </c>
      <c r="CB289" s="81" t="n">
        <v>0.207</v>
      </c>
      <c r="CC289" s="82" t="n">
        <v>4.812771</v>
      </c>
      <c r="CD289" s="82" t="n">
        <v>7.20322</v>
      </c>
      <c r="CE289" s="83" t="n">
        <v>84.524462</v>
      </c>
      <c r="CF289" s="84" t="n">
        <v>37.752628</v>
      </c>
      <c r="CG289" s="80" t="n">
        <v>0.134</v>
      </c>
      <c r="CH289" s="63" t="n">
        <v>76241.898281839</v>
      </c>
      <c r="CI289" s="63" t="n">
        <v>5157.01168220536</v>
      </c>
      <c r="CJ289" s="64" t="n">
        <v>668493.319804652</v>
      </c>
      <c r="CK289" s="65" t="n">
        <v>0.771438027789469</v>
      </c>
    </row>
    <row r="290" customFormat="false" ht="15" hidden="false" customHeight="false" outlineLevel="0" collapsed="false">
      <c r="A290" s="7" t="s">
        <v>73</v>
      </c>
      <c r="B290" s="66" t="n">
        <v>288</v>
      </c>
      <c r="C290" s="8" t="s">
        <v>366</v>
      </c>
      <c r="D290" s="67" t="n">
        <v>41918</v>
      </c>
      <c r="E290" s="4" t="s">
        <v>75</v>
      </c>
      <c r="F290" s="7" t="n">
        <v>253</v>
      </c>
      <c r="G290" s="68" t="n">
        <v>1</v>
      </c>
      <c r="H290" s="68" t="n">
        <v>106</v>
      </c>
      <c r="I290" s="66" t="n">
        <v>2</v>
      </c>
      <c r="J290" s="69" t="n">
        <v>801.642857142857</v>
      </c>
      <c r="K290" s="31" t="n">
        <v>518.420224040644</v>
      </c>
      <c r="L290" s="31" t="n">
        <v>933.012315093912</v>
      </c>
      <c r="M290" s="31" t="n">
        <v>169.635817339258</v>
      </c>
      <c r="N290" s="31" t="n">
        <v>358.644910717818</v>
      </c>
      <c r="O290" s="32"/>
      <c r="P290" s="33" t="n">
        <v>74.3782475135517</v>
      </c>
      <c r="Q290" s="33" t="n">
        <v>13.5988183864676</v>
      </c>
      <c r="R290" s="31" t="n">
        <v>148.251970104582</v>
      </c>
      <c r="S290" s="34" t="s">
        <v>76</v>
      </c>
      <c r="T290" s="35" t="n">
        <v>14.8431119071761</v>
      </c>
      <c r="U290" s="35" t="n">
        <v>4.93025415282392</v>
      </c>
      <c r="V290" s="70" t="n">
        <v>19.77336606</v>
      </c>
      <c r="W290" s="35" t="n">
        <v>18.4720013888683</v>
      </c>
      <c r="X290" s="35" t="n">
        <v>3.44618071600523</v>
      </c>
      <c r="Y290" s="35" t="n">
        <v>6.33712157914605</v>
      </c>
      <c r="Z290" s="35"/>
      <c r="AA290" s="35" t="n">
        <v>1.26893534786567</v>
      </c>
      <c r="AB290" s="35" t="n">
        <v>0.236701427802974</v>
      </c>
      <c r="AC290" s="71" t="n">
        <v>3.233271876234</v>
      </c>
      <c r="AD290" s="38" t="n">
        <v>3.22644199974179</v>
      </c>
      <c r="AE290" s="38" t="n">
        <v>2.68634474611107</v>
      </c>
      <c r="AF290" s="38" t="n">
        <v>0.533790282828736</v>
      </c>
      <c r="AG290" s="72"/>
      <c r="AH290" s="72"/>
      <c r="AI290" s="73" t="n">
        <v>73.3629886487706</v>
      </c>
      <c r="AJ290" s="42" t="s">
        <v>16</v>
      </c>
      <c r="AK290" s="43" t="n">
        <v>836.828894486072</v>
      </c>
      <c r="AL290" s="43" t="n">
        <v>854.572079681094</v>
      </c>
      <c r="AM290" s="43" t="n">
        <v>845.106705997851</v>
      </c>
      <c r="AN290" s="74"/>
      <c r="AO290" s="75" t="n">
        <v>49.9357142857143</v>
      </c>
      <c r="AP290" s="76" t="n">
        <v>1.47328050899888</v>
      </c>
      <c r="AQ290" s="76" t="n">
        <v>1.63284870781777</v>
      </c>
      <c r="AR290" s="76" t="n">
        <v>2.29844852784027</v>
      </c>
      <c r="AS290" s="77" t="n">
        <v>42.0734933492688</v>
      </c>
      <c r="AT290" s="78" t="n">
        <v>42.9909522802673</v>
      </c>
      <c r="AU290" s="78" t="n">
        <v>29.5035433070866</v>
      </c>
      <c r="AV290" s="78" t="n">
        <v>32.6990157480315</v>
      </c>
      <c r="AW290" s="78" t="n">
        <v>46.0281496062992</v>
      </c>
      <c r="AX290" s="78" t="n">
        <v>31.5826771653543</v>
      </c>
      <c r="AY290" s="48" t="n">
        <v>2.17418481758828</v>
      </c>
      <c r="AZ290" s="48" t="n">
        <v>29.4185981262129</v>
      </c>
      <c r="BA290" s="48" t="n">
        <v>-9.64523206621293</v>
      </c>
      <c r="BB290" s="49" t="n">
        <f aca="false">AT290/V290</f>
        <v>2.17418481758828</v>
      </c>
      <c r="BC290" s="49" t="n">
        <f aca="false">AS290/V290</f>
        <v>2.12778609477019</v>
      </c>
      <c r="BD290" s="49" t="n">
        <f aca="false">SUM(AP290:AR290)/V290</f>
        <v>0.273326136190335</v>
      </c>
      <c r="BE290" s="50" t="n">
        <v>6.02</v>
      </c>
      <c r="BF290" s="51" t="n">
        <v>117.143812149528</v>
      </c>
      <c r="BG290" s="51" t="n">
        <v>541.634010097055</v>
      </c>
      <c r="BH290" s="51" t="n">
        <v>273.400806904559</v>
      </c>
      <c r="BI290" s="51" t="n">
        <v>136.682852740012</v>
      </c>
      <c r="BJ290" s="51" t="n">
        <v>8.43093176643455</v>
      </c>
      <c r="BK290" s="51" t="n">
        <v>23.9180896648766</v>
      </c>
      <c r="BL290" s="51" t="n">
        <v>10.958184448953</v>
      </c>
      <c r="BM290" s="51"/>
      <c r="BN290" s="52" t="n">
        <f aca="false">(BG290*0.5-BH290*0.25+BI290*0.5)/SUM(BG290:BI290)*1000</f>
        <v>284.546812886129</v>
      </c>
      <c r="BO290" s="53" t="n">
        <v>9.02524186</v>
      </c>
      <c r="BP290" s="54" t="s">
        <v>77</v>
      </c>
      <c r="BQ290" s="55" t="n">
        <v>481.43240002</v>
      </c>
      <c r="BR290" s="56" t="n">
        <v>24.3475187056745</v>
      </c>
      <c r="BS290" s="56" t="n">
        <v>30.4980914582917</v>
      </c>
      <c r="BT290" s="56" t="n">
        <v>11.1984586170932</v>
      </c>
      <c r="BU290" s="55"/>
      <c r="BV290" s="55"/>
      <c r="BW290" s="55"/>
      <c r="BX290" s="55"/>
      <c r="BY290" s="79" t="n">
        <v>0.177662337662338</v>
      </c>
      <c r="BZ290" s="80" t="n">
        <v>0.5691967</v>
      </c>
      <c r="CA290" s="81" t="n">
        <v>4.14</v>
      </c>
      <c r="CB290" s="81" t="n">
        <v>0.265</v>
      </c>
      <c r="CC290" s="82" t="n">
        <v>5.503526</v>
      </c>
      <c r="CD290" s="82" t="n">
        <v>8.14942</v>
      </c>
      <c r="CE290" s="83" t="n">
        <v>92.309306</v>
      </c>
      <c r="CF290" s="84" t="n">
        <v>40.043488</v>
      </c>
      <c r="CG290" s="80" t="n">
        <v>0.113</v>
      </c>
      <c r="CH290" s="63" t="n">
        <v>5124.09307509744</v>
      </c>
      <c r="CI290" s="63" t="n">
        <v>5165.62772119308</v>
      </c>
      <c r="CJ290" s="64" t="n">
        <v>1094861.43209535</v>
      </c>
      <c r="CK290" s="65" t="n">
        <v>0.47180652909721</v>
      </c>
    </row>
    <row r="291" customFormat="false" ht="15" hidden="false" customHeight="false" outlineLevel="0" collapsed="false">
      <c r="A291" s="7" t="s">
        <v>73</v>
      </c>
      <c r="B291" s="66" t="n">
        <v>289</v>
      </c>
      <c r="C291" s="8" t="s">
        <v>367</v>
      </c>
      <c r="D291" s="67" t="n">
        <v>41918</v>
      </c>
      <c r="E291" s="4" t="s">
        <v>75</v>
      </c>
      <c r="F291" s="7" t="n">
        <v>527</v>
      </c>
      <c r="G291" s="68" t="n">
        <v>1</v>
      </c>
      <c r="H291" s="68" t="n">
        <v>128</v>
      </c>
      <c r="I291" s="66" t="n">
        <v>3</v>
      </c>
      <c r="J291" s="69" t="n">
        <v>729.964285714286</v>
      </c>
      <c r="K291" s="31" t="n">
        <v>518.420224040644</v>
      </c>
      <c r="L291" s="31" t="n">
        <v>933.012315093912</v>
      </c>
      <c r="M291" s="31" t="n">
        <v>169.635817339258</v>
      </c>
      <c r="N291" s="31" t="n">
        <v>358.644910717818</v>
      </c>
      <c r="O291" s="32"/>
      <c r="P291" s="33" t="n">
        <v>74.3782475135517</v>
      </c>
      <c r="Q291" s="33" t="n">
        <v>13.5988183864676</v>
      </c>
      <c r="R291" s="31" t="n">
        <v>148.251970104582</v>
      </c>
      <c r="S291" s="34" t="s">
        <v>76</v>
      </c>
      <c r="T291" s="35" t="n">
        <v>21.0858237021595</v>
      </c>
      <c r="U291" s="35" t="n">
        <v>8.03133689784053</v>
      </c>
      <c r="V291" s="70" t="n">
        <v>29.1171606</v>
      </c>
      <c r="W291" s="35" t="n">
        <v>27.2044739620031</v>
      </c>
      <c r="X291" s="35" t="n">
        <v>5.08903320169741</v>
      </c>
      <c r="Y291" s="35" t="n">
        <v>9.21365546234529</v>
      </c>
      <c r="Z291" s="35"/>
      <c r="AA291" s="35" t="n">
        <v>1.83699714284826</v>
      </c>
      <c r="AB291" s="35" t="n">
        <v>0.343516912172977</v>
      </c>
      <c r="AC291" s="71" t="n">
        <v>4.80835689252902</v>
      </c>
      <c r="AD291" s="38" t="n">
        <v>8.25911926757771</v>
      </c>
      <c r="AE291" s="38" t="n">
        <v>7.21540955780983</v>
      </c>
      <c r="AF291" s="38" t="n">
        <v>1.90554755389605</v>
      </c>
      <c r="AG291" s="72"/>
      <c r="AH291" s="72"/>
      <c r="AI291" s="73" t="n">
        <v>41.5924387387768</v>
      </c>
      <c r="AJ291" s="42" t="s">
        <v>16</v>
      </c>
      <c r="AK291" s="43" t="n">
        <v>716.348740832315</v>
      </c>
      <c r="AL291" s="43" t="n">
        <v>734.771215650495</v>
      </c>
      <c r="AM291" s="43" t="n">
        <v>625.558042486248</v>
      </c>
      <c r="AN291" s="74"/>
      <c r="AO291" s="75" t="n">
        <v>58.1</v>
      </c>
      <c r="AP291" s="76" t="n">
        <v>2.32648427586207</v>
      </c>
      <c r="AQ291" s="76" t="n">
        <v>1.83179282758621</v>
      </c>
      <c r="AR291" s="76" t="n">
        <v>2.74612655172414</v>
      </c>
      <c r="AS291" s="77" t="n">
        <v>58.137264137931</v>
      </c>
      <c r="AT291" s="78" t="n">
        <v>57.3431010696244</v>
      </c>
      <c r="AU291" s="78" t="n">
        <v>40.0427586206897</v>
      </c>
      <c r="AV291" s="78" t="n">
        <v>31.528275862069</v>
      </c>
      <c r="AW291" s="78" t="n">
        <v>47.2655172413793</v>
      </c>
      <c r="AX291" s="78" t="n">
        <v>48.0896551724138</v>
      </c>
      <c r="AY291" s="48" t="n">
        <v>1.96939192860805</v>
      </c>
      <c r="AZ291" s="48" t="n">
        <v>34.7011566309432</v>
      </c>
      <c r="BA291" s="48" t="n">
        <v>-5.58399603094316</v>
      </c>
      <c r="BB291" s="49" t="n">
        <f aca="false">AT291/V291</f>
        <v>1.96939192860805</v>
      </c>
      <c r="BC291" s="49" t="n">
        <f aca="false">AS291/V291</f>
        <v>1.99666667147246</v>
      </c>
      <c r="BD291" s="49" t="n">
        <f aca="false">SUM(AP291:AR291)/V291</f>
        <v>0.237124895178564</v>
      </c>
      <c r="BE291" s="50" t="n">
        <v>6.6</v>
      </c>
      <c r="BF291" s="51" t="n">
        <v>111.002163261827</v>
      </c>
      <c r="BG291" s="51" t="n">
        <v>563.083634770738</v>
      </c>
      <c r="BH291" s="51" t="n">
        <v>246.691826786895</v>
      </c>
      <c r="BI291" s="51" t="n">
        <v>144.163958526334</v>
      </c>
      <c r="BJ291" s="51" t="n">
        <v>10.667623662054</v>
      </c>
      <c r="BK291" s="51" t="n">
        <v>16.8000668868629</v>
      </c>
      <c r="BL291" s="51" t="n">
        <v>13.6177649890071</v>
      </c>
      <c r="BM291" s="51"/>
      <c r="BN291" s="52" t="n">
        <f aca="false">(BG291*0.5-BH291*0.25+BI291*0.5)/SUM(BG291:BI291)*1000</f>
        <v>306.04756843586</v>
      </c>
      <c r="BO291" s="53" t="n">
        <v>8.79969332</v>
      </c>
      <c r="BP291" s="54" t="s">
        <v>77</v>
      </c>
      <c r="BQ291" s="55" t="n">
        <v>434.08369532</v>
      </c>
      <c r="BR291" s="56" t="n">
        <v>14.9081739556707</v>
      </c>
      <c r="BS291" s="56" t="n">
        <v>21.7160586680055</v>
      </c>
      <c r="BT291" s="56" t="n">
        <v>7.56993757266367</v>
      </c>
      <c r="BU291" s="55"/>
      <c r="BV291" s="55"/>
      <c r="BW291" s="55"/>
      <c r="BX291" s="55"/>
      <c r="BY291" s="79" t="n">
        <v>0.205714285714286</v>
      </c>
      <c r="BZ291" s="80" t="n">
        <v>0.7544576</v>
      </c>
      <c r="CA291" s="81" t="n">
        <v>3.87</v>
      </c>
      <c r="CB291" s="81" t="n">
        <v>0.315</v>
      </c>
      <c r="CC291" s="82" t="n">
        <v>5.822336</v>
      </c>
      <c r="CD291" s="82" t="n">
        <v>5.228816</v>
      </c>
      <c r="CE291" s="83" t="n">
        <v>80.314442</v>
      </c>
      <c r="CF291" s="84" t="n">
        <v>41.511721</v>
      </c>
      <c r="CG291" s="80" t="n">
        <v>0.0815</v>
      </c>
      <c r="CH291" s="63" t="n">
        <v>27146.493722892</v>
      </c>
      <c r="CI291" s="63" t="n">
        <v>5055.85798049375</v>
      </c>
      <c r="CJ291" s="64" t="n">
        <v>831388.296870306</v>
      </c>
      <c r="CK291" s="65" t="n">
        <v>0.608122341813822</v>
      </c>
    </row>
    <row r="292" customFormat="false" ht="15" hidden="false" customHeight="false" outlineLevel="0" collapsed="false">
      <c r="A292" s="7" t="s">
        <v>73</v>
      </c>
      <c r="B292" s="66" t="n">
        <v>290</v>
      </c>
      <c r="C292" s="8" t="s">
        <v>368</v>
      </c>
      <c r="D292" s="67" t="n">
        <v>41967</v>
      </c>
      <c r="E292" s="4" t="s">
        <v>75</v>
      </c>
      <c r="F292" s="7" t="n">
        <v>364</v>
      </c>
      <c r="G292" s="68" t="n">
        <v>1</v>
      </c>
      <c r="H292" s="68" t="n">
        <v>123</v>
      </c>
      <c r="I292" s="66" t="n">
        <v>1</v>
      </c>
      <c r="J292" s="69" t="n">
        <v>657.059523809524</v>
      </c>
      <c r="K292" s="31" t="n">
        <v>513.632904815817</v>
      </c>
      <c r="L292" s="31" t="n">
        <v>933.628367353346</v>
      </c>
      <c r="M292" s="31" t="n">
        <v>162.349366989108</v>
      </c>
      <c r="N292" s="31" t="n">
        <v>372.425394559109</v>
      </c>
      <c r="O292" s="32"/>
      <c r="P292" s="33" t="n">
        <v>59.5795280825956</v>
      </c>
      <c r="Q292" s="33" t="n">
        <v>14.4921618529293</v>
      </c>
      <c r="R292" s="31" t="n">
        <v>153.254682429871</v>
      </c>
      <c r="S292" s="34" t="s">
        <v>76</v>
      </c>
      <c r="T292" s="35" t="n">
        <v>18.03083902</v>
      </c>
      <c r="U292" s="35" t="n">
        <v>5.1160425</v>
      </c>
      <c r="V292" s="70" t="n">
        <v>23.14688152</v>
      </c>
      <c r="W292" s="35" t="n">
        <v>21.6315153271078</v>
      </c>
      <c r="X292" s="35" t="n">
        <v>3.89053241409617</v>
      </c>
      <c r="Y292" s="35" t="n">
        <v>7.76705751917194</v>
      </c>
      <c r="Z292" s="35"/>
      <c r="AA292" s="35" t="n">
        <v>1.24541471259902</v>
      </c>
      <c r="AB292" s="35" t="n">
        <v>0.297471845487755</v>
      </c>
      <c r="AC292" s="71" t="n">
        <v>3.83497929941256</v>
      </c>
      <c r="AD292" s="38" t="n">
        <v>6.09807631814464</v>
      </c>
      <c r="AE292" s="38" t="n">
        <v>5.25129513282474</v>
      </c>
      <c r="AF292" s="38" t="n">
        <v>1.06286907779485</v>
      </c>
      <c r="AG292" s="72"/>
      <c r="AH292" s="72"/>
      <c r="AI292" s="73" t="n">
        <v>48.7812598544621</v>
      </c>
      <c r="AJ292" s="42" t="s">
        <v>16</v>
      </c>
      <c r="AK292" s="43" t="n">
        <v>736.548687438711</v>
      </c>
      <c r="AL292" s="43" t="n">
        <v>757.238683771542</v>
      </c>
      <c r="AM292" s="43" t="n">
        <v>726.806265912638</v>
      </c>
      <c r="AN292" s="74"/>
      <c r="AO292" s="75" t="n">
        <v>31.3571428571429</v>
      </c>
      <c r="AP292" s="76" t="n">
        <v>0.91097170212766</v>
      </c>
      <c r="AQ292" s="76" t="n">
        <v>1.08847981762918</v>
      </c>
      <c r="AR292" s="76" t="n">
        <v>1.45752003039514</v>
      </c>
      <c r="AS292" s="77" t="n">
        <v>26.207432674772</v>
      </c>
      <c r="AT292" s="78" t="n">
        <v>27.3846821458579</v>
      </c>
      <c r="AU292" s="78" t="n">
        <v>29.0514893617021</v>
      </c>
      <c r="AV292" s="78" t="n">
        <v>34.7123404255319</v>
      </c>
      <c r="AW292" s="78" t="n">
        <v>46.4812765957447</v>
      </c>
      <c r="AX292" s="78" t="n">
        <v>36.8340425531915</v>
      </c>
      <c r="AY292" s="48" t="n">
        <v>1.18308300503445</v>
      </c>
      <c r="AZ292" s="48" t="n">
        <v>21.9338900640308</v>
      </c>
      <c r="BA292" s="48" t="n">
        <v>1.21299145596922</v>
      </c>
      <c r="BB292" s="49" t="n">
        <f aca="false">AT292/V292</f>
        <v>1.18308300503445</v>
      </c>
      <c r="BC292" s="49" t="n">
        <f aca="false">AS292/V292</f>
        <v>1.13222304491115</v>
      </c>
      <c r="BD292" s="49" t="n">
        <f aca="false">SUM(AP292:AR292)/V292</f>
        <v>0.149349343114103</v>
      </c>
      <c r="BE292" s="50" t="n">
        <v>6.83</v>
      </c>
      <c r="BF292" s="51" t="n">
        <v>104.833434560155</v>
      </c>
      <c r="BG292" s="51" t="n">
        <v>571.714349509824</v>
      </c>
      <c r="BH292" s="51" t="n">
        <v>218.213043085099</v>
      </c>
      <c r="BI292" s="51" t="n">
        <v>155.212778235438</v>
      </c>
      <c r="BJ292" s="51" t="n">
        <v>10.6499547462096</v>
      </c>
      <c r="BK292" s="51" t="n">
        <v>20.2921587976659</v>
      </c>
      <c r="BL292" s="51" t="n">
        <v>18.9425912476545</v>
      </c>
      <c r="BM292" s="51"/>
      <c r="BN292" s="52" t="n">
        <f aca="false">(BG292*0.5-BH292*0.25+BI292*0.5)/SUM(BG292:BI292)*1000</f>
        <v>326.840729698284</v>
      </c>
      <c r="BO292" s="53" t="n">
        <v>7.30387242</v>
      </c>
      <c r="BP292" s="54" t="s">
        <v>77</v>
      </c>
      <c r="BQ292" s="55" t="n">
        <v>436.64707977</v>
      </c>
      <c r="BR292" s="56" t="n">
        <v>18.8641860629354</v>
      </c>
      <c r="BS292" s="56" t="n">
        <v>26.6569725309552</v>
      </c>
      <c r="BT292" s="56" t="n">
        <v>15.9449387597163</v>
      </c>
      <c r="BU292" s="55"/>
      <c r="BV292" s="55"/>
      <c r="BW292" s="55"/>
      <c r="BX292" s="55"/>
      <c r="BY292" s="79" t="n">
        <v>0.166153846153846</v>
      </c>
      <c r="BZ292" s="80" t="n">
        <v>0.5673434</v>
      </c>
      <c r="CA292" s="81" t="n">
        <v>4.3</v>
      </c>
      <c r="CB292" s="81" t="n">
        <v>0.241</v>
      </c>
      <c r="CC292" s="82" t="n">
        <v>5.26015</v>
      </c>
      <c r="CD292" s="82" t="n">
        <v>5.970368</v>
      </c>
      <c r="CE292" s="83" t="n">
        <v>100.57722</v>
      </c>
      <c r="CF292" s="84" t="n">
        <v>37.045431</v>
      </c>
      <c r="CG292" s="80" t="n">
        <v>0.0605</v>
      </c>
      <c r="CH292" s="63" t="n">
        <v>56979.7508332301</v>
      </c>
      <c r="CI292" s="63" t="n">
        <v>4092.35715733002</v>
      </c>
      <c r="CJ292" s="64" t="n">
        <v>694120.694234125</v>
      </c>
      <c r="CK292" s="65" t="n">
        <v>0.589574290368252</v>
      </c>
    </row>
    <row r="293" customFormat="false" ht="15" hidden="false" customHeight="false" outlineLevel="0" collapsed="false">
      <c r="A293" s="7" t="s">
        <v>73</v>
      </c>
      <c r="B293" s="66" t="n">
        <v>291</v>
      </c>
      <c r="C293" s="8" t="s">
        <v>369</v>
      </c>
      <c r="D293" s="67" t="n">
        <v>41967</v>
      </c>
      <c r="E293" s="4" t="s">
        <v>75</v>
      </c>
      <c r="F293" s="7" t="n">
        <v>379</v>
      </c>
      <c r="G293" s="68" t="n">
        <v>1</v>
      </c>
      <c r="H293" s="68" t="n">
        <v>112</v>
      </c>
      <c r="I293" s="66" t="n">
        <v>1</v>
      </c>
      <c r="J293" s="69" t="n">
        <v>640.809523809524</v>
      </c>
      <c r="K293" s="31" t="n">
        <v>513.632904815817</v>
      </c>
      <c r="L293" s="31" t="n">
        <v>933.628367353346</v>
      </c>
      <c r="M293" s="31" t="n">
        <v>162.349366989108</v>
      </c>
      <c r="N293" s="31" t="n">
        <v>372.425394559109</v>
      </c>
      <c r="O293" s="32"/>
      <c r="P293" s="33" t="n">
        <v>59.5795280825956</v>
      </c>
      <c r="Q293" s="33" t="n">
        <v>14.4921618529293</v>
      </c>
      <c r="R293" s="31" t="n">
        <v>153.254682429871</v>
      </c>
      <c r="S293" s="34" t="s">
        <v>76</v>
      </c>
      <c r="T293" s="35" t="n">
        <v>17.2339054971429</v>
      </c>
      <c r="U293" s="35" t="n">
        <v>3.79240714285714</v>
      </c>
      <c r="V293" s="70" t="n">
        <v>21.02631264</v>
      </c>
      <c r="W293" s="35" t="n">
        <v>19.6462769715265</v>
      </c>
      <c r="X293" s="35" t="n">
        <v>3.51193963749696</v>
      </c>
      <c r="Y293" s="35" t="n">
        <v>7.19810510099639</v>
      </c>
      <c r="Z293" s="35"/>
      <c r="AA293" s="35" t="n">
        <v>1.15365450993268</v>
      </c>
      <c r="AB293" s="35" t="n">
        <v>0.276565595503068</v>
      </c>
      <c r="AC293" s="71" t="n">
        <v>3.43558066577675</v>
      </c>
      <c r="AD293" s="38" t="n">
        <v>3.95908120613456</v>
      </c>
      <c r="AE293" s="38" t="n">
        <v>3.2779324915883</v>
      </c>
      <c r="AF293" s="38" t="n">
        <v>0.698550909208061</v>
      </c>
      <c r="AG293" s="72"/>
      <c r="AH293" s="72"/>
      <c r="AI293" s="73" t="n">
        <v>69.8560047403251</v>
      </c>
      <c r="AJ293" s="42" t="s">
        <v>16</v>
      </c>
      <c r="AK293" s="43" t="n">
        <v>811.708249852478</v>
      </c>
      <c r="AL293" s="43" t="n">
        <v>833.152485005732</v>
      </c>
      <c r="AM293" s="43" t="n">
        <v>801.092563850006</v>
      </c>
      <c r="AN293" s="74"/>
      <c r="AO293" s="75" t="n">
        <v>27.3785714285714</v>
      </c>
      <c r="AP293" s="76" t="n">
        <v>0.653473583433373</v>
      </c>
      <c r="AQ293" s="76" t="n">
        <v>0.75123118847539</v>
      </c>
      <c r="AR293" s="76" t="n">
        <v>1.05116458883553</v>
      </c>
      <c r="AS293" s="77" t="n">
        <v>20.7535323229292</v>
      </c>
      <c r="AT293" s="78" t="n">
        <v>19.4779718899725</v>
      </c>
      <c r="AU293" s="78" t="n">
        <v>23.8680672268908</v>
      </c>
      <c r="AV293" s="78" t="n">
        <v>27.4386554621849</v>
      </c>
      <c r="AW293" s="78" t="n">
        <v>38.3936974789916</v>
      </c>
      <c r="AX293" s="78" t="n">
        <v>26.672268907563</v>
      </c>
      <c r="AY293" s="48" t="n">
        <v>0.926361755551854</v>
      </c>
      <c r="AZ293" s="48" t="n">
        <v>19.590034419923</v>
      </c>
      <c r="BA293" s="48" t="n">
        <v>1.43627822007705</v>
      </c>
      <c r="BB293" s="49" t="n">
        <f aca="false">AT293/V293</f>
        <v>0.926361755551854</v>
      </c>
      <c r="BC293" s="49" t="n">
        <f aca="false">AS293/V293</f>
        <v>0.987026716393825</v>
      </c>
      <c r="BD293" s="49" t="n">
        <f aca="false">SUM(AP293:AR293)/V293</f>
        <v>0.116799811873448</v>
      </c>
      <c r="BE293" s="50" t="n">
        <v>6.62</v>
      </c>
      <c r="BF293" s="51" t="n">
        <v>124.971035431546</v>
      </c>
      <c r="BG293" s="51" t="n">
        <v>573.244278714181</v>
      </c>
      <c r="BH293" s="51" t="n">
        <v>210.744290681404</v>
      </c>
      <c r="BI293" s="51" t="n">
        <v>163.095855617106</v>
      </c>
      <c r="BJ293" s="51" t="n">
        <v>11.030430021947</v>
      </c>
      <c r="BK293" s="51" t="n">
        <v>19.9678657976951</v>
      </c>
      <c r="BL293" s="51" t="n">
        <v>16.9421547895572</v>
      </c>
      <c r="BM293" s="51"/>
      <c r="BN293" s="52" t="n">
        <f aca="false">(BG293*0.5-BH293*0.25+BI293*0.5)/SUM(BG293:BI293)*1000</f>
        <v>333.110740883597</v>
      </c>
      <c r="BO293" s="53" t="n">
        <v>10.73201956</v>
      </c>
      <c r="BP293" s="54" t="s">
        <v>77</v>
      </c>
      <c r="BQ293" s="55" t="n">
        <v>365.1997314</v>
      </c>
      <c r="BR293" s="56" t="n">
        <v>17.3687007157523</v>
      </c>
      <c r="BS293" s="56" t="n">
        <v>22.3113419837667</v>
      </c>
      <c r="BT293" s="56" t="n">
        <v>18.749371518911</v>
      </c>
      <c r="BU293" s="55"/>
      <c r="BV293" s="55"/>
      <c r="BW293" s="55"/>
      <c r="BX293" s="55"/>
      <c r="BY293" s="79" t="n">
        <v>0.0646153846153846</v>
      </c>
      <c r="BZ293" s="80" t="n">
        <v>0.6839038</v>
      </c>
      <c r="CA293" s="81" t="n">
        <v>3.69</v>
      </c>
      <c r="CB293" s="81" t="n">
        <v>0.214</v>
      </c>
      <c r="CC293" s="82" t="n">
        <v>4.568866</v>
      </c>
      <c r="CD293" s="82" t="n">
        <v>5.976652</v>
      </c>
      <c r="CE293" s="83" t="n">
        <v>84.525916</v>
      </c>
      <c r="CF293" s="84" t="n">
        <v>36.901609</v>
      </c>
      <c r="CG293" s="80" t="n">
        <v>0.071</v>
      </c>
      <c r="CH293" s="63" t="n">
        <v>91825.0382729062</v>
      </c>
      <c r="CI293" s="63" t="n">
        <v>5123.90287218375</v>
      </c>
      <c r="CJ293" s="64" t="n">
        <v>440824.661370529</v>
      </c>
      <c r="CK293" s="65" t="n">
        <v>1.16234487795067</v>
      </c>
    </row>
    <row r="294" customFormat="false" ht="15" hidden="false" customHeight="false" outlineLevel="0" collapsed="false">
      <c r="A294" s="7" t="s">
        <v>73</v>
      </c>
      <c r="B294" s="66" t="n">
        <v>292</v>
      </c>
      <c r="C294" s="8" t="s">
        <v>370</v>
      </c>
      <c r="D294" s="67" t="n">
        <v>41967</v>
      </c>
      <c r="E294" s="4" t="s">
        <v>75</v>
      </c>
      <c r="F294" s="7" t="n">
        <v>366</v>
      </c>
      <c r="G294" s="68" t="n">
        <v>1</v>
      </c>
      <c r="H294" s="68" t="n">
        <v>109</v>
      </c>
      <c r="I294" s="66" t="n">
        <v>1</v>
      </c>
      <c r="J294" s="69" t="n">
        <v>626.810714285714</v>
      </c>
      <c r="K294" s="31" t="n">
        <v>513.632904815817</v>
      </c>
      <c r="L294" s="31" t="n">
        <v>933.628367353346</v>
      </c>
      <c r="M294" s="31" t="n">
        <v>162.349366989108</v>
      </c>
      <c r="N294" s="31" t="n">
        <v>372.425394559109</v>
      </c>
      <c r="O294" s="32"/>
      <c r="P294" s="33" t="n">
        <v>59.5795280825956</v>
      </c>
      <c r="Q294" s="33" t="n">
        <v>14.4921618529293</v>
      </c>
      <c r="R294" s="31" t="n">
        <v>153.254682429871</v>
      </c>
      <c r="S294" s="34" t="s">
        <v>76</v>
      </c>
      <c r="T294" s="35" t="n">
        <v>23.7045789414286</v>
      </c>
      <c r="U294" s="35" t="n">
        <v>8.42411142857143</v>
      </c>
      <c r="V294" s="70" t="n">
        <v>32.12869037</v>
      </c>
      <c r="W294" s="35" t="n">
        <v>30.0307204246226</v>
      </c>
      <c r="X294" s="35" t="n">
        <v>5.43449636540807</v>
      </c>
      <c r="Y294" s="35" t="n">
        <v>10.5602780760715</v>
      </c>
      <c r="Z294" s="35"/>
      <c r="AA294" s="35" t="n">
        <v>1.69411755432219</v>
      </c>
      <c r="AB294" s="35" t="n">
        <v>0.403081796970819</v>
      </c>
      <c r="AC294" s="71" t="n">
        <v>5.39745505899292</v>
      </c>
      <c r="AD294" s="38" t="n">
        <v>9.05782505901927</v>
      </c>
      <c r="AE294" s="38" t="n">
        <v>7.81996412512291</v>
      </c>
      <c r="AF294" s="38" t="n">
        <v>1.8678038684012</v>
      </c>
      <c r="AG294" s="72"/>
      <c r="AH294" s="72"/>
      <c r="AI294" s="73" t="n">
        <v>44.5009474508953</v>
      </c>
      <c r="AJ294" s="42" t="s">
        <v>16</v>
      </c>
      <c r="AK294" s="43" t="n">
        <v>718.076742166965</v>
      </c>
      <c r="AL294" s="43" t="n">
        <v>739.601181238688</v>
      </c>
      <c r="AM294" s="43" t="n">
        <v>656.305986274968</v>
      </c>
      <c r="AN294" s="74"/>
      <c r="AO294" s="75" t="n">
        <v>45.4785714285714</v>
      </c>
      <c r="AP294" s="76" t="n">
        <v>1.82823857142857</v>
      </c>
      <c r="AQ294" s="76" t="n">
        <v>1.34616571428571</v>
      </c>
      <c r="AR294" s="76" t="n">
        <v>2.069275</v>
      </c>
      <c r="AS294" s="77" t="n">
        <v>45.6150071428571</v>
      </c>
      <c r="AT294" s="78" t="n">
        <v>43.8745103503185</v>
      </c>
      <c r="AU294" s="78" t="n">
        <v>40.2</v>
      </c>
      <c r="AV294" s="78" t="n">
        <v>29.6</v>
      </c>
      <c r="AW294" s="78" t="n">
        <v>45.5</v>
      </c>
      <c r="AX294" s="78" t="n">
        <v>42</v>
      </c>
      <c r="AY294" s="48" t="n">
        <v>1.36558664063338</v>
      </c>
      <c r="AZ294" s="48" t="n">
        <v>28.3716594840194</v>
      </c>
      <c r="BA294" s="48" t="n">
        <v>3.75703088598065</v>
      </c>
      <c r="BB294" s="49" t="n">
        <f aca="false">AT294/V294</f>
        <v>1.36558664063338</v>
      </c>
      <c r="BC294" s="49" t="n">
        <f aca="false">AS294/V294</f>
        <v>1.41975930601423</v>
      </c>
      <c r="BD294" s="49" t="n">
        <f aca="false">SUM(AP294:AR294)/V294</f>
        <v>0.163208622117089</v>
      </c>
      <c r="BE294" s="50" t="n">
        <v>6.41</v>
      </c>
      <c r="BF294" s="51" t="n">
        <v>159.719747971725</v>
      </c>
      <c r="BG294" s="51" t="n">
        <v>545.329601684125</v>
      </c>
      <c r="BH294" s="51" t="n">
        <v>234.748343952492</v>
      </c>
      <c r="BI294" s="51" t="n">
        <v>168.686029817494</v>
      </c>
      <c r="BJ294" s="51" t="n">
        <v>13.126417359681</v>
      </c>
      <c r="BK294" s="51" t="n">
        <v>18.1515339991888</v>
      </c>
      <c r="BL294" s="51" t="n">
        <v>14.9829488089097</v>
      </c>
      <c r="BM294" s="51"/>
      <c r="BN294" s="52" t="n">
        <f aca="false">(BG294*0.5-BH294*0.25+BI294*0.5)/SUM(BG294:BI294)*1000</f>
        <v>314.430920103074</v>
      </c>
      <c r="BO294" s="53" t="n">
        <v>11.33525828</v>
      </c>
      <c r="BP294" s="54" t="s">
        <v>77</v>
      </c>
      <c r="BQ294" s="55" t="n">
        <v>381.77418462</v>
      </c>
      <c r="BR294" s="56" t="n">
        <v>11.8826562870574</v>
      </c>
      <c r="BS294" s="56" t="n">
        <v>17.1887071053317</v>
      </c>
      <c r="BT294" s="56" t="n">
        <v>8.70150302696721</v>
      </c>
      <c r="BU294" s="55"/>
      <c r="BV294" s="55"/>
      <c r="BW294" s="55"/>
      <c r="BX294" s="55"/>
      <c r="BY294" s="79" t="n">
        <v>0.0369230769230769</v>
      </c>
      <c r="BZ294" s="80" t="n">
        <v>0.9041832</v>
      </c>
      <c r="CA294" s="81" t="n">
        <v>3.29</v>
      </c>
      <c r="CB294" s="81" t="n">
        <v>0.77</v>
      </c>
      <c r="CC294" s="82" t="n">
        <v>6.09807</v>
      </c>
      <c r="CD294" s="82" t="n">
        <v>6.768436</v>
      </c>
      <c r="CE294" s="83" t="n">
        <v>78.687748</v>
      </c>
      <c r="CF294" s="84" t="n">
        <v>37.774814</v>
      </c>
      <c r="CG294" s="80" t="n">
        <v>0.0815</v>
      </c>
      <c r="CH294" s="63" t="n">
        <v>42758.1018192194</v>
      </c>
      <c r="CI294" s="63" t="n">
        <v>4137.3839291103</v>
      </c>
      <c r="CJ294" s="64" t="n">
        <v>563679.337803293</v>
      </c>
      <c r="CK294" s="65" t="n">
        <v>0.733996024270474</v>
      </c>
    </row>
    <row r="295" customFormat="false" ht="15" hidden="false" customHeight="false" outlineLevel="0" collapsed="false">
      <c r="A295" s="7" t="s">
        <v>73</v>
      </c>
      <c r="B295" s="66" t="n">
        <v>293</v>
      </c>
      <c r="C295" s="8" t="s">
        <v>371</v>
      </c>
      <c r="D295" s="67" t="n">
        <v>41967</v>
      </c>
      <c r="E295" s="4" t="s">
        <v>75</v>
      </c>
      <c r="F295" s="7" t="n">
        <v>374</v>
      </c>
      <c r="G295" s="68" t="n">
        <v>1</v>
      </c>
      <c r="H295" s="68" t="n">
        <v>91</v>
      </c>
      <c r="I295" s="66" t="n">
        <v>1</v>
      </c>
      <c r="J295" s="69" t="n">
        <v>605.601190476191</v>
      </c>
      <c r="K295" s="31" t="n">
        <v>513.632904815817</v>
      </c>
      <c r="L295" s="31" t="n">
        <v>933.628367353346</v>
      </c>
      <c r="M295" s="31" t="n">
        <v>162.349366989108</v>
      </c>
      <c r="N295" s="31" t="n">
        <v>372.425394559109</v>
      </c>
      <c r="O295" s="32"/>
      <c r="P295" s="33" t="n">
        <v>59.5795280825956</v>
      </c>
      <c r="Q295" s="33" t="n">
        <v>14.4921618529293</v>
      </c>
      <c r="R295" s="31" t="n">
        <v>153.254682429871</v>
      </c>
      <c r="S295" s="34" t="s">
        <v>76</v>
      </c>
      <c r="T295" s="35" t="n">
        <v>17.1898322671429</v>
      </c>
      <c r="U295" s="35" t="n">
        <v>5.34637964285714</v>
      </c>
      <c r="V295" s="70" t="n">
        <v>22.53621191</v>
      </c>
      <c r="W295" s="35" t="n">
        <v>21.0623191831395</v>
      </c>
      <c r="X295" s="35" t="n">
        <v>3.79736286553307</v>
      </c>
      <c r="Y295" s="35" t="n">
        <v>7.50120512328526</v>
      </c>
      <c r="Z295" s="35"/>
      <c r="AA295" s="35" t="n">
        <v>1.20301334440348</v>
      </c>
      <c r="AB295" s="35" t="n">
        <v>0.286912124448147</v>
      </c>
      <c r="AC295" s="71" t="n">
        <v>3.75434030975666</v>
      </c>
      <c r="AD295" s="38" t="n">
        <v>6.36159034076358</v>
      </c>
      <c r="AE295" s="38" t="n">
        <v>5.49620816714713</v>
      </c>
      <c r="AF295" s="38" t="n">
        <v>1.19552136724587</v>
      </c>
      <c r="AG295" s="72"/>
      <c r="AH295" s="72"/>
      <c r="AI295" s="73" t="n">
        <v>45.1006916634794</v>
      </c>
      <c r="AJ295" s="42" t="s">
        <v>16</v>
      </c>
      <c r="AK295" s="43" t="n">
        <v>717.716962985215</v>
      </c>
      <c r="AL295" s="43" t="n">
        <v>739.050191037516</v>
      </c>
      <c r="AM295" s="43" t="n">
        <v>685.170627727713</v>
      </c>
      <c r="AN295" s="74"/>
      <c r="AO295" s="75" t="n">
        <v>33.1142857142857</v>
      </c>
      <c r="AP295" s="76" t="n">
        <v>1.2749</v>
      </c>
      <c r="AQ295" s="76" t="n">
        <v>1.08614857142857</v>
      </c>
      <c r="AR295" s="76" t="n">
        <v>1.53319142857143</v>
      </c>
      <c r="AS295" s="77" t="n">
        <v>32.3692142857143</v>
      </c>
      <c r="AT295" s="78" t="n">
        <v>32.2158972520473</v>
      </c>
      <c r="AU295" s="78" t="n">
        <v>38.5</v>
      </c>
      <c r="AV295" s="78" t="n">
        <v>32.8</v>
      </c>
      <c r="AW295" s="78" t="n">
        <v>46.3</v>
      </c>
      <c r="AX295" s="78" t="n">
        <v>30</v>
      </c>
      <c r="AY295" s="48" t="n">
        <v>1.42951696499411</v>
      </c>
      <c r="AZ295" s="48" t="n">
        <v>22.8866641298794</v>
      </c>
      <c r="BA295" s="48" t="n">
        <v>-0.35045221987945</v>
      </c>
      <c r="BB295" s="49" t="n">
        <f aca="false">AT295/V295</f>
        <v>1.42951696499411</v>
      </c>
      <c r="BC295" s="49" t="n">
        <f aca="false">AS295/V295</f>
        <v>1.43632010627976</v>
      </c>
      <c r="BD295" s="49" t="n">
        <f aca="false">SUM(AP295:AR295)/V295</f>
        <v>0.172799227108439</v>
      </c>
      <c r="BE295" s="50" t="n">
        <v>6.66</v>
      </c>
      <c r="BF295" s="51" t="n">
        <v>130.23275938181</v>
      </c>
      <c r="BG295" s="51" t="n">
        <v>568.670737441883</v>
      </c>
      <c r="BH295" s="51" t="n">
        <v>216.746116237148</v>
      </c>
      <c r="BI295" s="51" t="n">
        <v>164.596546308334</v>
      </c>
      <c r="BJ295" s="51" t="n">
        <v>9.06448218966788</v>
      </c>
      <c r="BK295" s="51" t="n">
        <v>18.7487760960383</v>
      </c>
      <c r="BL295" s="51" t="n">
        <v>17.1982173488195</v>
      </c>
      <c r="BM295" s="51"/>
      <c r="BN295" s="52" t="n">
        <f aca="false">(BG295*0.5-BH295*0.25+BI295*0.5)/SUM(BG295:BI295)*1000</f>
        <v>328.887058666727</v>
      </c>
      <c r="BO295" s="53" t="n">
        <v>7.5859398</v>
      </c>
      <c r="BP295" s="54" t="s">
        <v>77</v>
      </c>
      <c r="BQ295" s="55" t="n">
        <v>463.61301775</v>
      </c>
      <c r="BR295" s="56" t="n">
        <v>20.5719141975356</v>
      </c>
      <c r="BS295" s="56" t="n">
        <v>29.7834839590756</v>
      </c>
      <c r="BT295" s="56" t="n">
        <v>14.3908150104538</v>
      </c>
      <c r="BU295" s="55"/>
      <c r="BV295" s="55"/>
      <c r="BW295" s="55"/>
      <c r="BX295" s="55"/>
      <c r="BY295" s="79" t="n">
        <v>0.0830769230769231</v>
      </c>
      <c r="BZ295" s="80" t="n">
        <v>0.5140022</v>
      </c>
      <c r="CA295" s="81" t="n">
        <v>4.2</v>
      </c>
      <c r="CB295" s="81" t="n">
        <v>0.669</v>
      </c>
      <c r="CC295" s="82" t="n">
        <v>4.778346</v>
      </c>
      <c r="CD295" s="82" t="n">
        <v>6.686744</v>
      </c>
      <c r="CE295" s="83" t="n">
        <v>78.270736</v>
      </c>
      <c r="CF295" s="84" t="n">
        <v>35.22711</v>
      </c>
      <c r="CG295" s="80" t="n">
        <v>0.071</v>
      </c>
      <c r="CH295" s="63" t="n">
        <v>60404.5949708508</v>
      </c>
      <c r="CI295" s="63" t="n">
        <v>2910.46666921069</v>
      </c>
      <c r="CJ295" s="64" t="n">
        <v>426290.617257879</v>
      </c>
      <c r="CK295" s="65" t="n">
        <v>0.682742371373855</v>
      </c>
    </row>
    <row r="296" customFormat="false" ht="15" hidden="false" customHeight="false" outlineLevel="0" collapsed="false">
      <c r="A296" s="7" t="s">
        <v>73</v>
      </c>
      <c r="B296" s="66" t="n">
        <v>294</v>
      </c>
      <c r="C296" s="8" t="s">
        <v>372</v>
      </c>
      <c r="D296" s="67" t="n">
        <v>41967</v>
      </c>
      <c r="E296" s="4" t="s">
        <v>75</v>
      </c>
      <c r="F296" s="7" t="n">
        <v>8</v>
      </c>
      <c r="G296" s="68" t="n">
        <v>1</v>
      </c>
      <c r="H296" s="68" t="n">
        <v>122</v>
      </c>
      <c r="I296" s="66" t="n">
        <v>1</v>
      </c>
      <c r="J296" s="69" t="n">
        <v>627.142857142857</v>
      </c>
      <c r="K296" s="31" t="n">
        <v>513.632904815817</v>
      </c>
      <c r="L296" s="31" t="n">
        <v>933.628367353346</v>
      </c>
      <c r="M296" s="31" t="n">
        <v>162.349366989108</v>
      </c>
      <c r="N296" s="31" t="n">
        <v>372.425394559109</v>
      </c>
      <c r="O296" s="32"/>
      <c r="P296" s="33" t="n">
        <v>59.5795280825956</v>
      </c>
      <c r="Q296" s="33" t="n">
        <v>14.4921618529293</v>
      </c>
      <c r="R296" s="31" t="n">
        <v>153.254682429871</v>
      </c>
      <c r="S296" s="34" t="s">
        <v>76</v>
      </c>
      <c r="T296" s="35" t="n">
        <v>14.9188717542857</v>
      </c>
      <c r="U296" s="35" t="n">
        <v>3.46395428571429</v>
      </c>
      <c r="V296" s="70" t="n">
        <v>18.38282604</v>
      </c>
      <c r="W296" s="35" t="n">
        <v>17.1768991670887</v>
      </c>
      <c r="X296" s="35" t="n">
        <v>3.07425500073806</v>
      </c>
      <c r="Y296" s="35" t="n">
        <v>6.26839418899041</v>
      </c>
      <c r="Z296" s="35"/>
      <c r="AA296" s="35" t="n">
        <v>1.00473823159749</v>
      </c>
      <c r="AB296" s="35" t="n">
        <v>0.240693873385786</v>
      </c>
      <c r="AC296" s="71" t="n">
        <v>3.01198915481979</v>
      </c>
      <c r="AD296" s="38" t="n">
        <v>4.2437170102605</v>
      </c>
      <c r="AE296" s="38" t="n">
        <v>3.58673440181008</v>
      </c>
      <c r="AF296" s="38" t="n">
        <v>0.842958335620864</v>
      </c>
      <c r="AG296" s="72"/>
      <c r="AH296" s="72"/>
      <c r="AI296" s="73" t="n">
        <v>56.7177012048244</v>
      </c>
      <c r="AJ296" s="42" t="s">
        <v>16</v>
      </c>
      <c r="AK296" s="43" t="n">
        <v>769.147735988666</v>
      </c>
      <c r="AL296" s="43" t="n">
        <v>791.188481289897</v>
      </c>
      <c r="AM296" s="43" t="n">
        <v>725.800775986869</v>
      </c>
      <c r="AN296" s="74"/>
      <c r="AO296" s="75" t="n">
        <v>26.0714285714286</v>
      </c>
      <c r="AP296" s="76" t="n">
        <v>0.987982993197279</v>
      </c>
      <c r="AQ296" s="76" t="n">
        <v>0.843621768707483</v>
      </c>
      <c r="AR296" s="76" t="n">
        <v>1.22567993197279</v>
      </c>
      <c r="AS296" s="77" t="n">
        <v>25.2483163265306</v>
      </c>
      <c r="AT296" s="78" t="n">
        <v>25.1808344230686</v>
      </c>
      <c r="AU296" s="78" t="n">
        <v>37.8952380952381</v>
      </c>
      <c r="AV296" s="78" t="n">
        <v>32.3580952380952</v>
      </c>
      <c r="AW296" s="78" t="n">
        <v>47.012380952381</v>
      </c>
      <c r="AX296" s="78" t="n">
        <v>49.4952380952381</v>
      </c>
      <c r="AY296" s="48" t="n">
        <v>1.36980213859809</v>
      </c>
      <c r="AZ296" s="48" t="n">
        <v>21.1488315777322</v>
      </c>
      <c r="BA296" s="48" t="n">
        <v>-2.76600553773215</v>
      </c>
      <c r="BB296" s="49" t="n">
        <f aca="false">AT296/V296</f>
        <v>1.36980213859809</v>
      </c>
      <c r="BC296" s="49" t="n">
        <f aca="false">AS296/V296</f>
        <v>1.37347305966948</v>
      </c>
      <c r="BD296" s="49" t="n">
        <f aca="false">SUM(AP296:AR296)/V296</f>
        <v>0.16631200704533</v>
      </c>
      <c r="BE296" s="50" t="n">
        <v>6.58</v>
      </c>
      <c r="BF296" s="51" t="n">
        <v>127.927170809129</v>
      </c>
      <c r="BG296" s="51" t="n">
        <v>601.783832401085</v>
      </c>
      <c r="BH296" s="51" t="n">
        <v>228.21638661342</v>
      </c>
      <c r="BI296" s="51" t="n">
        <v>124.122786298651</v>
      </c>
      <c r="BJ296" s="51" t="n">
        <v>11.149514006725</v>
      </c>
      <c r="BK296" s="51" t="n">
        <v>14.2054361550216</v>
      </c>
      <c r="BL296" s="51" t="n">
        <v>15.5469201469879</v>
      </c>
      <c r="BM296" s="51"/>
      <c r="BN296" s="52" t="n">
        <f aca="false">(BG296*0.5-BH296*0.25+BI296*0.5)/SUM(BG296:BI296)*1000</f>
        <v>320.607731909905</v>
      </c>
      <c r="BO296" s="53" t="n">
        <v>12.25345584</v>
      </c>
      <c r="BP296" s="54" t="s">
        <v>77</v>
      </c>
      <c r="BQ296" s="55" t="n">
        <v>525.61335957</v>
      </c>
      <c r="BR296" s="56" t="n">
        <v>28.5926308841902</v>
      </c>
      <c r="BS296" s="56" t="n">
        <v>38.6760108245991</v>
      </c>
      <c r="BT296" s="56" t="n">
        <v>20.8735481413784</v>
      </c>
      <c r="BU296" s="55"/>
      <c r="BV296" s="55"/>
      <c r="BW296" s="55"/>
      <c r="BX296" s="55"/>
      <c r="BY296" s="79" t="n">
        <v>0.0738461538461539</v>
      </c>
      <c r="BZ296" s="80" t="n">
        <v>0.5307948</v>
      </c>
      <c r="CA296" s="81" t="n">
        <v>3.9</v>
      </c>
      <c r="CB296" s="81" t="n">
        <v>0.415</v>
      </c>
      <c r="CC296" s="82" t="n">
        <v>5.961908</v>
      </c>
      <c r="CD296" s="82" t="n">
        <v>7.114056</v>
      </c>
      <c r="CE296" s="83" t="n">
        <v>92.96858</v>
      </c>
      <c r="CF296" s="84" t="n">
        <v>38.031639</v>
      </c>
      <c r="CG296" s="80" t="n">
        <v>0.1025</v>
      </c>
      <c r="CH296" s="63" t="n">
        <v>75935.1698269761</v>
      </c>
      <c r="CI296" s="63" t="n">
        <v>2926.78349580344</v>
      </c>
      <c r="CJ296" s="64" t="n">
        <v>370094.415865185</v>
      </c>
      <c r="CK296" s="65" t="n">
        <v>0.790820766360762</v>
      </c>
    </row>
    <row r="297" customFormat="false" ht="15" hidden="false" customHeight="false" outlineLevel="0" collapsed="false">
      <c r="A297" s="7" t="s">
        <v>73</v>
      </c>
      <c r="B297" s="66" t="n">
        <v>295</v>
      </c>
      <c r="C297" s="8" t="s">
        <v>373</v>
      </c>
      <c r="D297" s="67" t="n">
        <v>41967</v>
      </c>
      <c r="E297" s="4" t="s">
        <v>75</v>
      </c>
      <c r="F297" s="7" t="n">
        <v>143</v>
      </c>
      <c r="G297" s="68" t="n">
        <v>1</v>
      </c>
      <c r="H297" s="68" t="n">
        <v>106</v>
      </c>
      <c r="I297" s="66" t="n">
        <v>3</v>
      </c>
      <c r="J297" s="69" t="n">
        <v>661.416666666667</v>
      </c>
      <c r="K297" s="31" t="n">
        <v>513.632904815817</v>
      </c>
      <c r="L297" s="31" t="n">
        <v>933.628367353346</v>
      </c>
      <c r="M297" s="31" t="n">
        <v>162.349366989108</v>
      </c>
      <c r="N297" s="31" t="n">
        <v>372.425394559109</v>
      </c>
      <c r="O297" s="32"/>
      <c r="P297" s="33" t="n">
        <v>59.5795280825956</v>
      </c>
      <c r="Q297" s="33" t="n">
        <v>14.4921618529293</v>
      </c>
      <c r="R297" s="31" t="n">
        <v>153.254682429871</v>
      </c>
      <c r="S297" s="34" t="s">
        <v>76</v>
      </c>
      <c r="T297" s="35" t="n">
        <v>18.40546219</v>
      </c>
      <c r="U297" s="35" t="n">
        <v>5.4170625</v>
      </c>
      <c r="V297" s="70" t="n">
        <v>23.82252469</v>
      </c>
      <c r="W297" s="35" t="n">
        <v>22.2635464528543</v>
      </c>
      <c r="X297" s="35" t="n">
        <v>4.00802762527179</v>
      </c>
      <c r="Y297" s="35" t="n">
        <v>7.96846975773684</v>
      </c>
      <c r="Z297" s="35"/>
      <c r="AA297" s="35" t="n">
        <v>1.27780453944309</v>
      </c>
      <c r="AB297" s="35" t="n">
        <v>0.305028896881944</v>
      </c>
      <c r="AC297" s="71" t="n">
        <v>3.95544738269511</v>
      </c>
      <c r="AD297" s="38" t="n">
        <v>7.82356356720533</v>
      </c>
      <c r="AE297" s="38" t="n">
        <v>6.87130353055147</v>
      </c>
      <c r="AF297" s="38" t="n">
        <v>1.53686726887769</v>
      </c>
      <c r="AG297" s="72"/>
      <c r="AH297" s="72"/>
      <c r="AI297" s="73" t="n">
        <v>38.9884857791095</v>
      </c>
      <c r="AJ297" s="42" t="s">
        <v>16</v>
      </c>
      <c r="AK297" s="43" t="n">
        <v>671.589654370704</v>
      </c>
      <c r="AL297" s="43" t="n">
        <v>691.365275289708</v>
      </c>
      <c r="AM297" s="43" t="n">
        <v>616.552725538294</v>
      </c>
      <c r="AN297" s="74"/>
      <c r="AO297" s="75" t="n">
        <v>42.2785714285714</v>
      </c>
      <c r="AP297" s="76" t="n">
        <v>1.71780359808102</v>
      </c>
      <c r="AQ297" s="76" t="n">
        <v>1.30013969083156</v>
      </c>
      <c r="AR297" s="76" t="n">
        <v>1.92660925906183</v>
      </c>
      <c r="AS297" s="77" t="n">
        <v>42.6784825426439</v>
      </c>
      <c r="AT297" s="78" t="n">
        <v>41.4001725790067</v>
      </c>
      <c r="AU297" s="78" t="n">
        <v>40.6305970149254</v>
      </c>
      <c r="AV297" s="78" t="n">
        <v>30.7517412935323</v>
      </c>
      <c r="AW297" s="78" t="n">
        <v>45.5694029850746</v>
      </c>
      <c r="AX297" s="78" t="n">
        <v>41.3880597014925</v>
      </c>
      <c r="AY297" s="48" t="n">
        <v>1.73785831341316</v>
      </c>
      <c r="AZ297" s="48" t="n">
        <v>27.7319824566939</v>
      </c>
      <c r="BA297" s="48" t="n">
        <v>-3.90945776669385</v>
      </c>
      <c r="BB297" s="49" t="n">
        <f aca="false">AT297/V297</f>
        <v>1.73785831341316</v>
      </c>
      <c r="BC297" s="49" t="n">
        <f aca="false">AS297/V297</f>
        <v>1.7915180316954</v>
      </c>
      <c r="BD297" s="49" t="n">
        <f aca="false">SUM(AP297:AR297)/V297</f>
        <v>0.207557872740919</v>
      </c>
      <c r="BE297" s="50" t="n">
        <v>6.76</v>
      </c>
      <c r="BF297" s="51" t="n">
        <v>122.709360818648</v>
      </c>
      <c r="BG297" s="51" t="n">
        <v>635.258782748035</v>
      </c>
      <c r="BH297" s="51" t="n">
        <v>245.877623381931</v>
      </c>
      <c r="BI297" s="51" t="n">
        <v>85.1869566966276</v>
      </c>
      <c r="BJ297" s="51" t="n">
        <v>9.85468761181928</v>
      </c>
      <c r="BK297" s="51" t="n">
        <v>8.62694692188332</v>
      </c>
      <c r="BL297" s="51" t="n">
        <v>10.2198782615947</v>
      </c>
      <c r="BM297" s="51"/>
      <c r="BN297" s="52" t="n">
        <f aca="false">(BG297*0.5-BH297*0.25+BI297*0.5)/SUM(BG297:BI297)*1000</f>
        <v>309.165104942681</v>
      </c>
      <c r="BO297" s="53" t="n">
        <v>10.02818804</v>
      </c>
      <c r="BP297" s="54" t="s">
        <v>77</v>
      </c>
      <c r="BQ297" s="55" t="n">
        <v>496.78999519</v>
      </c>
      <c r="BR297" s="56" t="n">
        <v>20.8537928559074</v>
      </c>
      <c r="BS297" s="56" t="n">
        <v>32.2753478942415</v>
      </c>
      <c r="BT297" s="56" t="n">
        <v>11.9997083162381</v>
      </c>
      <c r="BU297" s="55"/>
      <c r="BV297" s="55"/>
      <c r="BW297" s="55"/>
      <c r="BX297" s="55"/>
      <c r="BY297" s="79" t="n">
        <v>0.230769230769231</v>
      </c>
      <c r="BZ297" s="80" t="n">
        <v>0.5189952</v>
      </c>
      <c r="CA297" s="81" t="n">
        <v>4.1</v>
      </c>
      <c r="CB297" s="81" t="n">
        <v>0.285</v>
      </c>
      <c r="CC297" s="82" t="n">
        <v>6.002197</v>
      </c>
      <c r="CD297" s="82" t="n">
        <v>5.492784</v>
      </c>
      <c r="CE297" s="83" t="n">
        <v>79.733936</v>
      </c>
      <c r="CF297" s="84" t="n">
        <v>37.743995</v>
      </c>
      <c r="CG297" s="80" t="n">
        <v>0.092</v>
      </c>
      <c r="CH297" s="63" t="n">
        <v>71187.4928266587</v>
      </c>
      <c r="CI297" s="63" t="n">
        <v>6262.46620729734</v>
      </c>
      <c r="CJ297" s="64" t="n">
        <v>712117.662058678</v>
      </c>
      <c r="CK297" s="65" t="n">
        <v>0.879414532310998</v>
      </c>
    </row>
    <row r="298" customFormat="false" ht="15" hidden="false" customHeight="false" outlineLevel="0" collapsed="false">
      <c r="A298" s="7" t="s">
        <v>73</v>
      </c>
      <c r="B298" s="66" t="n">
        <v>296</v>
      </c>
      <c r="C298" s="8" t="s">
        <v>374</v>
      </c>
      <c r="D298" s="67" t="n">
        <v>41967</v>
      </c>
      <c r="E298" s="4" t="s">
        <v>75</v>
      </c>
      <c r="F298" s="7" t="n">
        <v>365</v>
      </c>
      <c r="G298" s="68" t="n">
        <v>1</v>
      </c>
      <c r="H298" s="68" t="n">
        <v>85</v>
      </c>
      <c r="I298" s="66" t="n">
        <v>1</v>
      </c>
      <c r="J298" s="69" t="n">
        <v>556.090476190476</v>
      </c>
      <c r="K298" s="31" t="n">
        <v>513.632904815817</v>
      </c>
      <c r="L298" s="31" t="n">
        <v>933.628367353346</v>
      </c>
      <c r="M298" s="31" t="n">
        <v>162.349366989108</v>
      </c>
      <c r="N298" s="31" t="n">
        <v>372.425394559109</v>
      </c>
      <c r="O298" s="32"/>
      <c r="P298" s="33" t="n">
        <v>59.5795280825956</v>
      </c>
      <c r="Q298" s="33" t="n">
        <v>14.4921618529293</v>
      </c>
      <c r="R298" s="31" t="n">
        <v>153.254682429871</v>
      </c>
      <c r="S298" s="34" t="s">
        <v>76</v>
      </c>
      <c r="T298" s="35" t="n">
        <v>23.4264250071429</v>
      </c>
      <c r="U298" s="35" t="n">
        <v>8.53995964285714</v>
      </c>
      <c r="V298" s="70" t="n">
        <v>31.96638465</v>
      </c>
      <c r="W298" s="35" t="n">
        <v>29.8796611442224</v>
      </c>
      <c r="X298" s="35" t="n">
        <v>5.41114989459649</v>
      </c>
      <c r="Y298" s="35" t="n">
        <v>10.4805061674065</v>
      </c>
      <c r="Z298" s="35"/>
      <c r="AA298" s="35" t="n">
        <v>1.68142071875158</v>
      </c>
      <c r="AB298" s="35" t="n">
        <v>0.399869692095055</v>
      </c>
      <c r="AC298" s="71" t="n">
        <v>5.37909364901424</v>
      </c>
      <c r="AD298" s="38" t="n">
        <v>9.0514240148353</v>
      </c>
      <c r="AE298" s="38" t="n">
        <v>7.84191582073906</v>
      </c>
      <c r="AF298" s="38" t="n">
        <v>1.54652516031254</v>
      </c>
      <c r="AG298" s="72"/>
      <c r="AH298" s="72"/>
      <c r="AI298" s="73" t="n">
        <v>44.1775450403901</v>
      </c>
      <c r="AJ298" s="42" t="s">
        <v>16</v>
      </c>
      <c r="AK298" s="43" t="n">
        <v>716.845551539864</v>
      </c>
      <c r="AL298" s="43" t="n">
        <v>737.550041719419</v>
      </c>
      <c r="AM298" s="43" t="n">
        <v>714.196577356527</v>
      </c>
      <c r="AN298" s="74"/>
      <c r="AO298" s="75" t="n">
        <v>47.35</v>
      </c>
      <c r="AP298" s="76" t="n">
        <v>1.44131613207547</v>
      </c>
      <c r="AQ298" s="76" t="n">
        <v>1.30251809433962</v>
      </c>
      <c r="AR298" s="76" t="n">
        <v>2.23718922641509</v>
      </c>
      <c r="AS298" s="77" t="n">
        <v>40.5597419811321</v>
      </c>
      <c r="AT298" s="78" t="n">
        <v>39.7154778810239</v>
      </c>
      <c r="AU298" s="78" t="n">
        <v>30.4396226415094</v>
      </c>
      <c r="AV298" s="78" t="n">
        <v>27.5083018867924</v>
      </c>
      <c r="AW298" s="78" t="n">
        <v>47.2479245283019</v>
      </c>
      <c r="AX298" s="78" t="n">
        <v>41.5207547169811</v>
      </c>
      <c r="AY298" s="48" t="n">
        <v>1.24241381425734</v>
      </c>
      <c r="AZ298" s="48" t="n">
        <v>24.9162686231352</v>
      </c>
      <c r="BA298" s="48" t="n">
        <v>7.05011602686479</v>
      </c>
      <c r="BB298" s="49" t="n">
        <f aca="false">AT298/V298</f>
        <v>1.24241381425734</v>
      </c>
      <c r="BC298" s="49" t="n">
        <f aca="false">AS298/V298</f>
        <v>1.26882481160196</v>
      </c>
      <c r="BD298" s="49" t="n">
        <f aca="false">SUM(AP298:AR298)/V298</f>
        <v>0.155820669348987</v>
      </c>
      <c r="BE298" s="50" t="n">
        <v>7.02</v>
      </c>
      <c r="BF298" s="51" t="n">
        <v>103.411447758994</v>
      </c>
      <c r="BG298" s="51" t="n">
        <v>654.485225596755</v>
      </c>
      <c r="BH298" s="51" t="n">
        <v>224.635208963764</v>
      </c>
      <c r="BI298" s="51" t="n">
        <v>84.6624762569568</v>
      </c>
      <c r="BJ298" s="51" t="n">
        <v>8.92517029213807</v>
      </c>
      <c r="BK298" s="51" t="n">
        <v>12.4793193370587</v>
      </c>
      <c r="BL298" s="51" t="n">
        <v>9.83747517521809</v>
      </c>
      <c r="BM298" s="51"/>
      <c r="BN298" s="52" t="n">
        <f aca="false">(BG298*0.5-BH298*0.25+BI298*0.5)/SUM(BG298:BI298)*1000</f>
        <v>325.192577257962</v>
      </c>
      <c r="BO298" s="53" t="n">
        <v>7.012203</v>
      </c>
      <c r="BP298" s="54" t="s">
        <v>77</v>
      </c>
      <c r="BQ298" s="55" t="n">
        <v>434.9683978</v>
      </c>
      <c r="BR298" s="56" t="n">
        <v>13.6070563675708</v>
      </c>
      <c r="BS298" s="56" t="n">
        <v>19.7374273735934</v>
      </c>
      <c r="BT298" s="56" t="n">
        <v>10.9521129042697</v>
      </c>
      <c r="BU298" s="55"/>
      <c r="BV298" s="55"/>
      <c r="BW298" s="55"/>
      <c r="BX298" s="55"/>
      <c r="BY298" s="79" t="n">
        <v>0.138461538461538</v>
      </c>
      <c r="BZ298" s="80" t="n">
        <v>0.4428471</v>
      </c>
      <c r="CA298" s="81" t="n">
        <v>3.6</v>
      </c>
      <c r="CB298" s="81" t="n">
        <v>0.666</v>
      </c>
      <c r="CC298" s="82" t="n">
        <v>5.378291</v>
      </c>
      <c r="CD298" s="82" t="n">
        <v>5.448796</v>
      </c>
      <c r="CE298" s="83" t="n">
        <v>78.899912</v>
      </c>
      <c r="CF298" s="84" t="n">
        <v>37.785087</v>
      </c>
      <c r="CG298" s="80" t="n">
        <v>0.113</v>
      </c>
      <c r="CH298" s="63" t="n">
        <v>101574.395341782</v>
      </c>
      <c r="CI298" s="63" t="n">
        <v>2954.83958255859</v>
      </c>
      <c r="CJ298" s="64" t="n">
        <v>448543.866903132</v>
      </c>
      <c r="CK298" s="65" t="n">
        <v>0.658762676426634</v>
      </c>
    </row>
    <row r="299" customFormat="false" ht="13.8" hidden="false" customHeight="false" outlineLevel="0" collapsed="false">
      <c r="A299" s="7" t="s">
        <v>73</v>
      </c>
      <c r="B299" s="66" t="n">
        <v>297</v>
      </c>
      <c r="C299" s="8" t="s">
        <v>375</v>
      </c>
      <c r="D299" s="67" t="n">
        <v>41981</v>
      </c>
      <c r="E299" s="4" t="s">
        <v>78</v>
      </c>
      <c r="F299" s="7" t="n">
        <v>39</v>
      </c>
      <c r="G299" s="68" t="n">
        <v>1</v>
      </c>
      <c r="H299" s="68" t="n">
        <v>90</v>
      </c>
      <c r="I299" s="66" t="n">
        <v>8</v>
      </c>
      <c r="J299" s="69" t="n">
        <v>680.3</v>
      </c>
      <c r="K299" s="31" t="n">
        <v>486.5827922535</v>
      </c>
      <c r="L299" s="31" t="n">
        <v>938.680485306648</v>
      </c>
      <c r="M299" s="31" t="n">
        <v>169.59554201402</v>
      </c>
      <c r="N299" s="31" t="n">
        <v>370.140663279484</v>
      </c>
      <c r="O299" s="32"/>
      <c r="P299" s="33" t="n">
        <v>42.4489886333556</v>
      </c>
      <c r="Q299" s="33" t="n">
        <v>15.7877401527792</v>
      </c>
      <c r="R299" s="31" t="n">
        <v>161.615024503579</v>
      </c>
      <c r="S299" s="34" t="s">
        <v>76</v>
      </c>
      <c r="T299" s="35" t="n">
        <v>11.69341816</v>
      </c>
      <c r="U299" s="35" t="n">
        <v>3.2005016</v>
      </c>
      <c r="V299" s="70" t="n">
        <v>14.89391976</v>
      </c>
      <c r="W299" s="35" t="n">
        <v>13.8728796466471</v>
      </c>
      <c r="X299" s="35" t="n">
        <v>2.47873982253889</v>
      </c>
      <c r="Y299" s="35" t="n">
        <v>5.12711211163808</v>
      </c>
      <c r="Z299" s="35"/>
      <c r="AA299" s="35" t="n">
        <v>0.581208354796304</v>
      </c>
      <c r="AB299" s="35" t="n">
        <v>0.229581993774143</v>
      </c>
      <c r="AC299" s="71" t="n">
        <v>2.36073037517233</v>
      </c>
      <c r="AD299" s="38" t="n">
        <v>4.36262331224589</v>
      </c>
      <c r="AE299" s="38" t="n">
        <v>3.70752757729694</v>
      </c>
      <c r="AF299" s="38" t="n">
        <v>0.950976969794244</v>
      </c>
      <c r="AG299" s="72"/>
      <c r="AH299" s="72"/>
      <c r="AI299" s="73" t="n">
        <v>52.6247574778473</v>
      </c>
      <c r="AJ299" s="42" t="s">
        <v>16</v>
      </c>
      <c r="AK299" s="43" t="n">
        <v>707.086960145816</v>
      </c>
      <c r="AL299" s="43" t="n">
        <v>732.749964554547</v>
      </c>
      <c r="AM299" s="43" t="n">
        <v>616.346596303846</v>
      </c>
      <c r="AN299" s="74"/>
      <c r="AO299" s="75" t="n">
        <v>19.4133333333333</v>
      </c>
      <c r="AP299" s="76" t="n">
        <v>0.8500128</v>
      </c>
      <c r="AQ299" s="76" t="n">
        <v>0.625400533333333</v>
      </c>
      <c r="AR299" s="76" t="n">
        <v>0.840112</v>
      </c>
      <c r="AS299" s="77" t="n">
        <v>20.5155253333333</v>
      </c>
      <c r="AT299" s="78" t="n">
        <v>19.7412393715499</v>
      </c>
      <c r="AU299" s="78" t="n">
        <v>43.785</v>
      </c>
      <c r="AV299" s="78" t="n">
        <v>32.215</v>
      </c>
      <c r="AW299" s="78" t="n">
        <v>43.275</v>
      </c>
      <c r="AX299" s="78" t="n">
        <v>29.6</v>
      </c>
      <c r="AY299" s="48" t="n">
        <v>1.3254562727381</v>
      </c>
      <c r="AZ299" s="48" t="n">
        <v>19.6667543989528</v>
      </c>
      <c r="BA299" s="48" t="n">
        <v>-4.77283463895284</v>
      </c>
      <c r="BB299" s="49" t="n">
        <f aca="false">AT299/V299</f>
        <v>1.3254562727381</v>
      </c>
      <c r="BC299" s="49" t="n">
        <f aca="false">AS299/V299</f>
        <v>1.37744298773726</v>
      </c>
      <c r="BD299" s="49" t="n">
        <f aca="false">SUM(AP299:AR299)/V299</f>
        <v>0.155467826512135</v>
      </c>
      <c r="BE299" s="50" t="n">
        <v>6.61</v>
      </c>
      <c r="BF299" s="51" t="n">
        <v>138.910514811898</v>
      </c>
      <c r="BG299" s="51" t="n">
        <v>656.425827841707</v>
      </c>
      <c r="BH299" s="51" t="n">
        <v>206.592043828324</v>
      </c>
      <c r="BI299" s="51" t="n">
        <v>98.8359671205487</v>
      </c>
      <c r="BJ299" s="51" t="n">
        <v>9.72874174381</v>
      </c>
      <c r="BK299" s="51" t="n">
        <v>13.6844244058788</v>
      </c>
      <c r="BL299" s="51" t="n">
        <v>9.75787068162269</v>
      </c>
      <c r="BM299" s="51"/>
      <c r="BN299" s="52" t="n">
        <f aca="false">(BG299*0.5-BH299*0.25+BI299*0.5)/SUM(BG299:BI299)*1000</f>
        <v>338.911041758624</v>
      </c>
      <c r="BO299" s="53" t="n">
        <v>8.25759554</v>
      </c>
      <c r="BP299" s="54" t="s">
        <v>77</v>
      </c>
      <c r="BQ299" s="55" t="n">
        <v>337.59481197472</v>
      </c>
      <c r="BR299" s="56" t="n">
        <v>22.6666194940425</v>
      </c>
      <c r="BS299" s="56" t="n">
        <v>33.2103413311784</v>
      </c>
      <c r="BT299" s="56" t="n">
        <v>17.1009937937962</v>
      </c>
      <c r="BU299" s="55"/>
      <c r="BV299" s="55"/>
      <c r="BW299" s="55"/>
      <c r="BX299" s="55"/>
      <c r="BY299" s="79" t="n">
        <v>0.0461538461538462</v>
      </c>
      <c r="BZ299" s="80" t="n">
        <v>0.4467027</v>
      </c>
      <c r="CA299" s="81" t="n">
        <v>3.89</v>
      </c>
      <c r="CB299" s="81" t="n">
        <v>1.252</v>
      </c>
      <c r="CC299" s="82" t="n">
        <v>5.368228</v>
      </c>
      <c r="CD299" s="82" t="n">
        <v>4.619308</v>
      </c>
      <c r="CE299" s="83" t="n">
        <v>79.631512</v>
      </c>
      <c r="CF299" s="84" t="n">
        <v>33.059507</v>
      </c>
      <c r="CG299" s="80" t="n">
        <v>0.7115</v>
      </c>
      <c r="CH299" s="63" t="n">
        <v>23376.3163524657</v>
      </c>
      <c r="CI299" s="63" t="n">
        <v>10164.6937808705</v>
      </c>
      <c r="CJ299" s="64" t="n">
        <v>845267.904441192</v>
      </c>
      <c r="CK299" s="65" t="n">
        <v>1.20254107927952</v>
      </c>
    </row>
    <row r="300" customFormat="false" ht="15" hidden="false" customHeight="false" outlineLevel="0" collapsed="false">
      <c r="A300" s="7" t="s">
        <v>73</v>
      </c>
      <c r="B300" s="66" t="n">
        <v>298</v>
      </c>
      <c r="C300" s="8" t="s">
        <v>376</v>
      </c>
      <c r="D300" s="67" t="n">
        <v>41981</v>
      </c>
      <c r="E300" s="4" t="s">
        <v>78</v>
      </c>
      <c r="F300" s="7" t="n">
        <v>69</v>
      </c>
      <c r="G300" s="68" t="n">
        <v>1</v>
      </c>
      <c r="H300" s="68" t="n">
        <v>123</v>
      </c>
      <c r="I300" s="66" t="n">
        <v>7</v>
      </c>
      <c r="J300" s="69" t="n">
        <v>715.238095238095</v>
      </c>
      <c r="K300" s="31" t="n">
        <v>486.5827922535</v>
      </c>
      <c r="L300" s="31" t="n">
        <v>938.680485306648</v>
      </c>
      <c r="M300" s="31" t="n">
        <v>169.59554201402</v>
      </c>
      <c r="N300" s="31" t="n">
        <v>370.140663279484</v>
      </c>
      <c r="O300" s="32"/>
      <c r="P300" s="33" t="n">
        <v>42.4489886333556</v>
      </c>
      <c r="Q300" s="33" t="n">
        <v>15.7877401527792</v>
      </c>
      <c r="R300" s="31" t="n">
        <v>161.615024503579</v>
      </c>
      <c r="S300" s="34" t="s">
        <v>76</v>
      </c>
      <c r="T300" s="35" t="n">
        <v>15.2004605427273</v>
      </c>
      <c r="U300" s="35" t="n">
        <v>4.67484972727273</v>
      </c>
      <c r="V300" s="70" t="n">
        <v>19.87531027</v>
      </c>
      <c r="W300" s="35" t="n">
        <v>18.5286052571165</v>
      </c>
      <c r="X300" s="35" t="n">
        <v>3.34845792257407</v>
      </c>
      <c r="Y300" s="35" t="n">
        <v>6.74705388472761</v>
      </c>
      <c r="Z300" s="35"/>
      <c r="AA300" s="35" t="n">
        <v>0.787060201401191</v>
      </c>
      <c r="AB300" s="35" t="n">
        <v>0.291351220925256</v>
      </c>
      <c r="AC300" s="71" t="n">
        <v>3.22653085205222</v>
      </c>
      <c r="AD300" s="38" t="n">
        <v>6.22464464391784</v>
      </c>
      <c r="AE300" s="38" t="n">
        <v>5.34495441946255</v>
      </c>
      <c r="AF300" s="38" t="n">
        <v>1.31643950806851</v>
      </c>
      <c r="AG300" s="72"/>
      <c r="AH300" s="72"/>
      <c r="AI300" s="73" t="n">
        <v>46.8060809238223</v>
      </c>
      <c r="AJ300" s="42" t="s">
        <v>16</v>
      </c>
      <c r="AK300" s="43" t="n">
        <v>686.815221530736</v>
      </c>
      <c r="AL300" s="43" t="n">
        <v>711.529586534332</v>
      </c>
      <c r="AM300" s="43" t="n">
        <v>606.852008145733</v>
      </c>
      <c r="AN300" s="74"/>
      <c r="AO300" s="75" t="n">
        <v>23.8863636363636</v>
      </c>
      <c r="AP300" s="76" t="n">
        <v>0.807838904327114</v>
      </c>
      <c r="AQ300" s="76" t="n">
        <v>0.690753999603017</v>
      </c>
      <c r="AR300" s="76" t="n">
        <v>1.10341440055578</v>
      </c>
      <c r="AS300" s="77" t="n">
        <v>21.6721290194522</v>
      </c>
      <c r="AT300" s="78" t="n">
        <v>21.1469422734353</v>
      </c>
      <c r="AU300" s="78" t="n">
        <v>33.8200873362445</v>
      </c>
      <c r="AV300" s="78" t="n">
        <v>28.9183406113537</v>
      </c>
      <c r="AW300" s="78" t="n">
        <v>46.1943231441048</v>
      </c>
      <c r="AX300" s="78" t="n">
        <v>35.056768558952</v>
      </c>
      <c r="AY300" s="48" t="n">
        <v>1.06398048564579</v>
      </c>
      <c r="AZ300" s="48" t="n">
        <v>21.0866972208612</v>
      </c>
      <c r="BA300" s="48" t="n">
        <v>-1.21138695086118</v>
      </c>
      <c r="BB300" s="49" t="n">
        <f aca="false">AT300/V300</f>
        <v>1.06398048564579</v>
      </c>
      <c r="BC300" s="49" t="n">
        <f aca="false">AS300/V300</f>
        <v>1.09040456350331</v>
      </c>
      <c r="BD300" s="49" t="n">
        <f aca="false">SUM(AP300:AR300)/V300</f>
        <v>0.130916562767496</v>
      </c>
      <c r="BE300" s="50" t="n">
        <v>6.65</v>
      </c>
      <c r="BF300" s="51" t="n">
        <v>141.820218701014</v>
      </c>
      <c r="BG300" s="51" t="n">
        <v>713.418283108986</v>
      </c>
      <c r="BH300" s="51" t="n">
        <v>164.428874784236</v>
      </c>
      <c r="BI300" s="51" t="n">
        <v>90.9982063183692</v>
      </c>
      <c r="BJ300" s="51" t="n">
        <v>8.33481964491087</v>
      </c>
      <c r="BK300" s="51" t="n">
        <v>8.18720937629997</v>
      </c>
      <c r="BL300" s="51" t="n">
        <v>9.65748238908795</v>
      </c>
      <c r="BM300" s="51"/>
      <c r="BN300" s="52" t="n">
        <f aca="false">(BG300*0.5-BH300*0.25+BI300*0.5)/SUM(BG300:BI300)*1000</f>
        <v>372.712756190425</v>
      </c>
      <c r="BO300" s="53" t="n">
        <v>7.08062996</v>
      </c>
      <c r="BP300" s="54" t="s">
        <v>77</v>
      </c>
      <c r="BQ300" s="55" t="n">
        <v>471.245443482956</v>
      </c>
      <c r="BR300" s="56" t="n">
        <v>23.710092425287</v>
      </c>
      <c r="BS300" s="56" t="n">
        <v>35.7446847831426</v>
      </c>
      <c r="BT300" s="56" t="n">
        <v>22.2843301593977</v>
      </c>
      <c r="BU300" s="55"/>
      <c r="BV300" s="55"/>
      <c r="BW300" s="55"/>
      <c r="BX300" s="55"/>
      <c r="BY300" s="79" t="n">
        <v>0.110769230769231</v>
      </c>
      <c r="BZ300" s="80" t="n">
        <v>0.732306</v>
      </c>
      <c r="CA300" s="81" t="n">
        <v>4.03</v>
      </c>
      <c r="CB300" s="81" t="n">
        <v>0.511</v>
      </c>
      <c r="CC300" s="82" t="n">
        <v>4.16038</v>
      </c>
      <c r="CD300" s="82" t="n">
        <v>6.001788</v>
      </c>
      <c r="CE300" s="83" t="n">
        <v>77.7513</v>
      </c>
      <c r="CF300" s="84" t="n">
        <v>35.412024</v>
      </c>
      <c r="CG300" s="80" t="n">
        <v>0.0815</v>
      </c>
      <c r="CH300" s="63" t="n">
        <v>83922.6902570665</v>
      </c>
      <c r="CI300" s="63" t="n">
        <v>7931.06488693907</v>
      </c>
      <c r="CJ300" s="64" t="n">
        <v>747232.245774173</v>
      </c>
      <c r="CK300" s="65" t="n">
        <v>1.06139221531079</v>
      </c>
    </row>
    <row r="301" customFormat="false" ht="15" hidden="false" customHeight="false" outlineLevel="0" collapsed="false">
      <c r="A301" s="7" t="s">
        <v>73</v>
      </c>
      <c r="B301" s="66" t="n">
        <v>299</v>
      </c>
      <c r="C301" s="8" t="s">
        <v>377</v>
      </c>
      <c r="D301" s="67" t="n">
        <v>41981</v>
      </c>
      <c r="E301" s="4" t="s">
        <v>78</v>
      </c>
      <c r="F301" s="7" t="n">
        <v>757</v>
      </c>
      <c r="G301" s="68" t="n">
        <v>1</v>
      </c>
      <c r="H301" s="68" t="n">
        <v>176</v>
      </c>
      <c r="I301" s="66" t="n">
        <v>6</v>
      </c>
      <c r="J301" s="69" t="n">
        <v>695.518518518519</v>
      </c>
      <c r="K301" s="31" t="n">
        <v>486.5827922535</v>
      </c>
      <c r="L301" s="31" t="n">
        <v>938.680485306648</v>
      </c>
      <c r="M301" s="31" t="n">
        <v>169.59554201402</v>
      </c>
      <c r="N301" s="31" t="n">
        <v>370.140663279484</v>
      </c>
      <c r="O301" s="32"/>
      <c r="P301" s="33" t="n">
        <v>42.4489886333556</v>
      </c>
      <c r="Q301" s="33" t="n">
        <v>15.7877401527792</v>
      </c>
      <c r="R301" s="31" t="n">
        <v>161.615024503579</v>
      </c>
      <c r="S301" s="34" t="s">
        <v>76</v>
      </c>
      <c r="T301" s="35" t="n">
        <v>16.5199940755556</v>
      </c>
      <c r="U301" s="35" t="n">
        <v>1.98841944444444</v>
      </c>
      <c r="V301" s="70" t="n">
        <v>18.50841352</v>
      </c>
      <c r="W301" s="35" t="n">
        <v>17.2758861428901</v>
      </c>
      <c r="X301" s="35" t="n">
        <v>3.06103282256257</v>
      </c>
      <c r="Y301" s="35" t="n">
        <v>6.65917297800026</v>
      </c>
      <c r="Z301" s="35"/>
      <c r="AA301" s="35" t="n">
        <v>0.735315634221197</v>
      </c>
      <c r="AB301" s="35" t="n">
        <v>0.303663591990218</v>
      </c>
      <c r="AC301" s="71" t="n">
        <v>2.87693347562257</v>
      </c>
      <c r="AD301" s="38" t="n">
        <v>5.49669713418482</v>
      </c>
      <c r="AE301" s="38" t="n">
        <v>4.70006626282334</v>
      </c>
      <c r="AF301" s="38" t="n">
        <v>1.06558082974024</v>
      </c>
      <c r="AG301" s="72"/>
      <c r="AH301" s="72"/>
      <c r="AI301" s="73" t="n">
        <v>55.2447378083989</v>
      </c>
      <c r="AJ301" s="42" t="s">
        <v>16</v>
      </c>
      <c r="AK301" s="43" t="n">
        <v>703.016299682026</v>
      </c>
      <c r="AL301" s="43" t="n">
        <v>727.940655318705</v>
      </c>
      <c r="AM301" s="43" t="n">
        <v>651.888466570514</v>
      </c>
      <c r="AN301" s="74"/>
      <c r="AO301" s="75" t="n">
        <v>24.1444444444444</v>
      </c>
      <c r="AP301" s="76" t="n">
        <v>0.842641111111111</v>
      </c>
      <c r="AQ301" s="76" t="n">
        <v>0.767793333333334</v>
      </c>
      <c r="AR301" s="76" t="n">
        <v>1.05028333333333</v>
      </c>
      <c r="AS301" s="77" t="n">
        <v>22.2973944444445</v>
      </c>
      <c r="AT301" s="78" t="n">
        <v>21.8870157820241</v>
      </c>
      <c r="AU301" s="78" t="n">
        <v>34.9</v>
      </c>
      <c r="AV301" s="78" t="n">
        <v>31.8</v>
      </c>
      <c r="AW301" s="78" t="n">
        <v>43.5</v>
      </c>
      <c r="AX301" s="78" t="n">
        <v>46</v>
      </c>
      <c r="AY301" s="48" t="n">
        <v>1.18254413099065</v>
      </c>
      <c r="AZ301" s="48" t="n">
        <v>21.3200415737156</v>
      </c>
      <c r="BA301" s="48" t="n">
        <v>-2.81162805371557</v>
      </c>
      <c r="BB301" s="49" t="n">
        <f aca="false">AT301/V301</f>
        <v>1.18254413099065</v>
      </c>
      <c r="BC301" s="49" t="n">
        <f aca="false">AS301/V301</f>
        <v>1.20471667765312</v>
      </c>
      <c r="BD301" s="49" t="n">
        <f aca="false">SUM(AP301:AR301)/V301</f>
        <v>0.143757203981996</v>
      </c>
      <c r="BE301" s="50" t="n">
        <v>6.86</v>
      </c>
      <c r="BF301" s="51" t="n">
        <v>111.243176489164</v>
      </c>
      <c r="BG301" s="51" t="n">
        <v>718.311799520605</v>
      </c>
      <c r="BH301" s="51" t="n">
        <v>176.482307218071</v>
      </c>
      <c r="BI301" s="51" t="n">
        <v>75.1536970974845</v>
      </c>
      <c r="BJ301" s="51" t="n">
        <v>7.49878142519077</v>
      </c>
      <c r="BK301" s="51" t="n">
        <v>8.28022025450756</v>
      </c>
      <c r="BL301" s="51" t="n">
        <v>9.29807010603197</v>
      </c>
      <c r="BM301" s="51"/>
      <c r="BN301" s="52" t="n">
        <f aca="false">(BG301*0.5-BH301*0.25+BI301*0.5)/SUM(BG301:BI301)*1000</f>
        <v>363.537264696038</v>
      </c>
      <c r="BO301" s="53" t="n">
        <v>2.66389036</v>
      </c>
      <c r="BP301" s="54" t="s">
        <v>77</v>
      </c>
      <c r="BQ301" s="55" t="n">
        <v>298.916749317446</v>
      </c>
      <c r="BR301" s="56" t="n">
        <v>16.1503172054396</v>
      </c>
      <c r="BS301" s="56" t="n">
        <v>23.7691659206444</v>
      </c>
      <c r="BT301" s="56" t="n">
        <v>13.6572638451217</v>
      </c>
      <c r="BU301" s="55"/>
      <c r="BV301" s="55"/>
      <c r="BW301" s="55"/>
      <c r="BX301" s="55"/>
      <c r="BY301" s="79" t="n">
        <v>0.101538461538462</v>
      </c>
      <c r="BZ301" s="80" t="n">
        <v>0.3055764</v>
      </c>
      <c r="CA301" s="81" t="n">
        <v>3.51</v>
      </c>
      <c r="CB301" s="81" t="n">
        <v>0.134</v>
      </c>
      <c r="CC301" s="82" t="n">
        <v>4.73645</v>
      </c>
      <c r="CD301" s="82" t="n">
        <v>4.129156</v>
      </c>
      <c r="CE301" s="83" t="n">
        <v>87.445</v>
      </c>
      <c r="CF301" s="84" t="n">
        <v>34.066261</v>
      </c>
      <c r="CG301" s="80" t="n">
        <v>0.134</v>
      </c>
      <c r="CH301" s="63" t="n">
        <v>19491.8714487254</v>
      </c>
      <c r="CI301" s="63" t="n">
        <v>12415.1432203155</v>
      </c>
      <c r="CJ301" s="64" t="n">
        <v>869101.249147236</v>
      </c>
      <c r="CK301" s="65" t="n">
        <v>1.4285036677254</v>
      </c>
    </row>
    <row r="302" customFormat="false" ht="15" hidden="false" customHeight="false" outlineLevel="0" collapsed="false">
      <c r="A302" s="7" t="s">
        <v>73</v>
      </c>
      <c r="B302" s="66" t="n">
        <v>300</v>
      </c>
      <c r="C302" s="8" t="s">
        <v>378</v>
      </c>
      <c r="D302" s="67" t="n">
        <v>41981</v>
      </c>
      <c r="E302" s="4" t="s">
        <v>78</v>
      </c>
      <c r="F302" s="7" t="n">
        <v>802</v>
      </c>
      <c r="G302" s="68" t="n">
        <v>1</v>
      </c>
      <c r="H302" s="68" t="n">
        <v>143</v>
      </c>
      <c r="I302" s="66" t="n">
        <v>4</v>
      </c>
      <c r="J302" s="69" t="n">
        <v>690.975</v>
      </c>
      <c r="K302" s="31" t="n">
        <v>486.5827922535</v>
      </c>
      <c r="L302" s="31" t="n">
        <v>938.680485306648</v>
      </c>
      <c r="M302" s="31" t="n">
        <v>169.59554201402</v>
      </c>
      <c r="N302" s="31" t="n">
        <v>370.140663279484</v>
      </c>
      <c r="O302" s="32"/>
      <c r="P302" s="33" t="n">
        <v>42.4489886333556</v>
      </c>
      <c r="Q302" s="33" t="n">
        <v>15.7877401527792</v>
      </c>
      <c r="R302" s="31" t="n">
        <v>161.615024503579</v>
      </c>
      <c r="S302" s="34" t="s">
        <v>76</v>
      </c>
      <c r="T302" s="35" t="n">
        <v>17.91209493</v>
      </c>
      <c r="U302" s="35" t="n">
        <v>6.8613905</v>
      </c>
      <c r="V302" s="70" t="n">
        <v>24.77348543</v>
      </c>
      <c r="W302" s="35" t="n">
        <v>23.0861246554823</v>
      </c>
      <c r="X302" s="35" t="n">
        <v>4.19971494118326</v>
      </c>
      <c r="Y302" s="35" t="n">
        <v>8.24426392861029</v>
      </c>
      <c r="Z302" s="35"/>
      <c r="AA302" s="35" t="n">
        <v>0.980388243689043</v>
      </c>
      <c r="AB302" s="35" t="n">
        <v>0.348680325833581</v>
      </c>
      <c r="AC302" s="71" t="n">
        <v>4.07940177367677</v>
      </c>
      <c r="AD302" s="38" t="n">
        <v>6.85100585249952</v>
      </c>
      <c r="AE302" s="38" t="n">
        <v>5.83348626268319</v>
      </c>
      <c r="AF302" s="38" t="n">
        <v>1.55053688714219</v>
      </c>
      <c r="AG302" s="72"/>
      <c r="AH302" s="72"/>
      <c r="AI302" s="73" t="n">
        <v>50.8947639719747</v>
      </c>
      <c r="AJ302" s="42" t="s">
        <v>16</v>
      </c>
      <c r="AK302" s="43" t="n">
        <v>723.454098864783</v>
      </c>
      <c r="AL302" s="43" t="n">
        <v>747.316349117179</v>
      </c>
      <c r="AM302" s="43" t="n">
        <v>630.799492618581</v>
      </c>
      <c r="AN302" s="74"/>
      <c r="AO302" s="75" t="n">
        <v>30.25</v>
      </c>
      <c r="AP302" s="76" t="n">
        <v>0.949096603773585</v>
      </c>
      <c r="AQ302" s="76" t="n">
        <v>0.92565</v>
      </c>
      <c r="AR302" s="76" t="n">
        <v>1.34958377358491</v>
      </c>
      <c r="AS302" s="77" t="n">
        <v>26.3364490566038</v>
      </c>
      <c r="AT302" s="78" t="n">
        <v>26.0189237387333</v>
      </c>
      <c r="AU302" s="78" t="n">
        <v>31.3750943396226</v>
      </c>
      <c r="AV302" s="78" t="n">
        <v>30.6</v>
      </c>
      <c r="AW302" s="78" t="n">
        <v>44.6143396226415</v>
      </c>
      <c r="AX302" s="78" t="n">
        <v>45.5358490566038</v>
      </c>
      <c r="AY302" s="48" t="n">
        <v>1.05027303534872</v>
      </c>
      <c r="AZ302" s="48" t="n">
        <v>22.6194868014909</v>
      </c>
      <c r="BA302" s="48" t="n">
        <v>2.15399862850914</v>
      </c>
      <c r="BB302" s="49" t="n">
        <f aca="false">AT302/V302</f>
        <v>1.05027303534872</v>
      </c>
      <c r="BC302" s="49" t="n">
        <f aca="false">AS302/V302</f>
        <v>1.06309017885352</v>
      </c>
      <c r="BD302" s="49" t="n">
        <f aca="false">SUM(AP302:AR302)/V302</f>
        <v>0.130152472346661</v>
      </c>
      <c r="BE302" s="50" t="n">
        <v>6.52</v>
      </c>
      <c r="BF302" s="51" t="n">
        <v>145.157349535728</v>
      </c>
      <c r="BG302" s="51" t="n">
        <v>734.647566599798</v>
      </c>
      <c r="BH302" s="51" t="n">
        <v>167.296040895747</v>
      </c>
      <c r="BI302" s="51" t="n">
        <v>67.7699495941107</v>
      </c>
      <c r="BJ302" s="51" t="n">
        <v>7.61730280107614</v>
      </c>
      <c r="BK302" s="51" t="n">
        <v>8.44942030347333</v>
      </c>
      <c r="BL302" s="51" t="n">
        <v>9.2445954276855</v>
      </c>
      <c r="BM302" s="51"/>
      <c r="BN302" s="52" t="n">
        <f aca="false">(BG302*0.5-BH302*0.25+BI302*0.5)/SUM(BG302:BI302)*1000</f>
        <v>370.609181696519</v>
      </c>
      <c r="BO302" s="53" t="n">
        <v>9.30428748</v>
      </c>
      <c r="BP302" s="54" t="s">
        <v>77</v>
      </c>
      <c r="BQ302" s="55" t="n">
        <v>489.094619981643</v>
      </c>
      <c r="BR302" s="56" t="n">
        <v>19.7426648488211</v>
      </c>
      <c r="BS302" s="56" t="n">
        <v>28.3489753187999</v>
      </c>
      <c r="BT302" s="56" t="n">
        <v>18.7976499294453</v>
      </c>
      <c r="BU302" s="55"/>
      <c r="BV302" s="55"/>
      <c r="BW302" s="55"/>
      <c r="BX302" s="55"/>
      <c r="BY302" s="79" t="n">
        <v>0.0830769230769231</v>
      </c>
      <c r="BZ302" s="80" t="n">
        <v>0.7846594</v>
      </c>
      <c r="CA302" s="81" t="n">
        <v>3.36</v>
      </c>
      <c r="CB302" s="81" t="n">
        <v>0.117</v>
      </c>
      <c r="CC302" s="82" t="n">
        <v>6.600822</v>
      </c>
      <c r="CD302" s="82" t="n">
        <v>7.572788</v>
      </c>
      <c r="CE302" s="83" t="n">
        <v>90.049496</v>
      </c>
      <c r="CF302" s="84" t="n">
        <v>35.43257</v>
      </c>
      <c r="CG302" s="80" t="n">
        <v>0.071</v>
      </c>
      <c r="CH302" s="63" t="n">
        <v>25519.5066175388</v>
      </c>
      <c r="CI302" s="63" t="n">
        <v>5891.39035593304</v>
      </c>
      <c r="CJ302" s="64" t="n">
        <v>700931.788398528</v>
      </c>
      <c r="CK302" s="65" t="n">
        <v>0.840508370920593</v>
      </c>
    </row>
    <row r="303" customFormat="false" ht="15" hidden="false" customHeight="false" outlineLevel="0" collapsed="false">
      <c r="A303" s="7" t="s">
        <v>73</v>
      </c>
      <c r="B303" s="66" t="n">
        <v>301</v>
      </c>
      <c r="C303" s="8" t="s">
        <v>379</v>
      </c>
      <c r="D303" s="67" t="n">
        <v>41981</v>
      </c>
      <c r="E303" s="4" t="s">
        <v>78</v>
      </c>
      <c r="F303" s="7" t="n">
        <v>904</v>
      </c>
      <c r="G303" s="68" t="n">
        <v>1</v>
      </c>
      <c r="H303" s="68" t="n">
        <v>112</v>
      </c>
      <c r="I303" s="66" t="n">
        <v>4</v>
      </c>
      <c r="J303" s="69" t="n">
        <v>829.308333333333</v>
      </c>
      <c r="K303" s="31" t="n">
        <v>486.5827922535</v>
      </c>
      <c r="L303" s="31" t="n">
        <v>938.680485306648</v>
      </c>
      <c r="M303" s="31" t="n">
        <v>169.59554201402</v>
      </c>
      <c r="N303" s="31" t="n">
        <v>370.140663279484</v>
      </c>
      <c r="O303" s="32"/>
      <c r="P303" s="33" t="n">
        <v>42.4489886333556</v>
      </c>
      <c r="Q303" s="33" t="n">
        <v>15.7877401527792</v>
      </c>
      <c r="R303" s="31" t="n">
        <v>161.615024503579</v>
      </c>
      <c r="S303" s="34" t="s">
        <v>76</v>
      </c>
      <c r="T303" s="35" t="n">
        <v>12.8784856161905</v>
      </c>
      <c r="U303" s="35" t="n">
        <v>1.66990352380952</v>
      </c>
      <c r="V303" s="70" t="n">
        <v>14.54838914</v>
      </c>
      <c r="W303" s="35" t="n">
        <v>13.569080430468</v>
      </c>
      <c r="X303" s="35" t="n">
        <v>2.39360231690627</v>
      </c>
      <c r="Y303" s="35" t="n">
        <v>5.23231580960953</v>
      </c>
      <c r="Z303" s="35"/>
      <c r="AA303" s="35" t="n">
        <v>0.572092739326014</v>
      </c>
      <c r="AB303" s="35" t="n">
        <v>0.241858355271056</v>
      </c>
      <c r="AC303" s="71" t="n">
        <v>2.2406217847906</v>
      </c>
      <c r="AD303" s="38" t="n">
        <v>4.69436103589859</v>
      </c>
      <c r="AE303" s="38" t="n">
        <v>3.99489246287458</v>
      </c>
      <c r="AF303" s="38" t="n">
        <v>1.06767053740453</v>
      </c>
      <c r="AG303" s="72"/>
      <c r="AH303" s="72"/>
      <c r="AI303" s="73" t="n">
        <v>51.5210384164157</v>
      </c>
      <c r="AJ303" s="42" t="s">
        <v>16</v>
      </c>
      <c r="AK303" s="43" t="n">
        <v>677.327778991579</v>
      </c>
      <c r="AL303" s="43" t="n">
        <v>705.588563400033</v>
      </c>
      <c r="AM303" s="43" t="n">
        <v>553.948235317346</v>
      </c>
      <c r="AN303" s="74"/>
      <c r="AO303" s="75" t="n">
        <v>14.8095238095238</v>
      </c>
      <c r="AP303" s="76" t="n">
        <v>0.561762261904762</v>
      </c>
      <c r="AQ303" s="76" t="n">
        <v>0.535734523809524</v>
      </c>
      <c r="AR303" s="76" t="n">
        <v>0.669094285714286</v>
      </c>
      <c r="AS303" s="77" t="n">
        <v>14.350243452381</v>
      </c>
      <c r="AT303" s="78" t="n">
        <v>14.6030722088262</v>
      </c>
      <c r="AU303" s="78" t="n">
        <v>37.9325</v>
      </c>
      <c r="AV303" s="78" t="n">
        <v>36.175</v>
      </c>
      <c r="AW303" s="78" t="n">
        <v>45.18</v>
      </c>
      <c r="AX303" s="78" t="n">
        <v>38.675</v>
      </c>
      <c r="AY303" s="48" t="n">
        <v>1.00375870265086</v>
      </c>
      <c r="AZ303" s="48" t="n">
        <v>19.8328230724051</v>
      </c>
      <c r="BA303" s="48" t="n">
        <v>-5.28443393240506</v>
      </c>
      <c r="BB303" s="49" t="n">
        <f aca="false">AT303/V303</f>
        <v>1.00375870265086</v>
      </c>
      <c r="BC303" s="49" t="n">
        <f aca="false">AS303/V303</f>
        <v>0.986380231810389</v>
      </c>
      <c r="BD303" s="49" t="n">
        <f aca="false">SUM(AP303:AR303)/V303</f>
        <v>0.121428637523272</v>
      </c>
      <c r="BE303" s="50" t="n">
        <v>6.75</v>
      </c>
      <c r="BF303" s="51" t="n">
        <v>205.794060263331</v>
      </c>
      <c r="BG303" s="51" t="n">
        <v>664.238544945814</v>
      </c>
      <c r="BH303" s="51" t="n">
        <v>198.284804550929</v>
      </c>
      <c r="BI303" s="51" t="n">
        <v>92.9760098489637</v>
      </c>
      <c r="BJ303" s="51" t="n">
        <v>11.505846365484</v>
      </c>
      <c r="BK303" s="51" t="n">
        <v>12.2217603255225</v>
      </c>
      <c r="BL303" s="51" t="n">
        <v>15.7979095851778</v>
      </c>
      <c r="BM303" s="51"/>
      <c r="BN303" s="52" t="n">
        <f aca="false">(BG303*0.5-BH303*0.25+BI303*0.5)/SUM(BG303:BI303)*1000</f>
        <v>344.360331633262</v>
      </c>
      <c r="BO303" s="53" t="n">
        <v>10.63321596</v>
      </c>
      <c r="BP303" s="54" t="s">
        <v>77</v>
      </c>
      <c r="BQ303" s="55" t="n">
        <v>382.430465019463</v>
      </c>
      <c r="BR303" s="56" t="n">
        <v>26.2867910212816</v>
      </c>
      <c r="BS303" s="56" t="n">
        <v>39.9439060851854</v>
      </c>
      <c r="BT303" s="56" t="n">
        <v>26.1883567752489</v>
      </c>
      <c r="BU303" s="55"/>
      <c r="BV303" s="55"/>
      <c r="BW303" s="55"/>
      <c r="BX303" s="55"/>
      <c r="BY303" s="79" t="n">
        <v>0.0461538461538462</v>
      </c>
      <c r="BZ303" s="80" t="n">
        <v>0.5811726</v>
      </c>
      <c r="CA303" s="81" t="n">
        <v>3.16</v>
      </c>
      <c r="CB303" s="81" t="n">
        <v>0.837</v>
      </c>
      <c r="CC303" s="82" t="n">
        <v>5.961908</v>
      </c>
      <c r="CD303" s="82" t="n">
        <v>4.958644</v>
      </c>
      <c r="CE303" s="83" t="n">
        <v>82.023844</v>
      </c>
      <c r="CF303" s="84" t="n">
        <v>33.562884</v>
      </c>
      <c r="CG303" s="80" t="n">
        <v>0.0815</v>
      </c>
      <c r="CH303" s="63" t="n">
        <v>76947.8176228874</v>
      </c>
      <c r="CI303" s="63" t="n">
        <v>5265.43805688396</v>
      </c>
      <c r="CJ303" s="64" t="n">
        <v>458786.020972871</v>
      </c>
      <c r="CK303" s="65" t="n">
        <v>1.14768929657412</v>
      </c>
    </row>
    <row r="304" customFormat="false" ht="15" hidden="false" customHeight="false" outlineLevel="0" collapsed="false">
      <c r="A304" s="7" t="s">
        <v>73</v>
      </c>
      <c r="B304" s="66" t="n">
        <v>302</v>
      </c>
      <c r="C304" s="8" t="s">
        <v>380</v>
      </c>
      <c r="D304" s="67" t="n">
        <v>41981</v>
      </c>
      <c r="E304" s="4" t="s">
        <v>78</v>
      </c>
      <c r="F304" s="7" t="n">
        <v>908</v>
      </c>
      <c r="G304" s="68" t="n">
        <v>1</v>
      </c>
      <c r="H304" s="68" t="n">
        <v>112</v>
      </c>
      <c r="I304" s="66" t="n">
        <v>4</v>
      </c>
      <c r="J304" s="69" t="n">
        <v>748.184210526316</v>
      </c>
      <c r="K304" s="31" t="n">
        <v>486.5827922535</v>
      </c>
      <c r="L304" s="31" t="n">
        <v>938.680485306648</v>
      </c>
      <c r="M304" s="31" t="n">
        <v>169.59554201402</v>
      </c>
      <c r="N304" s="31" t="n">
        <v>370.140663279484</v>
      </c>
      <c r="O304" s="32"/>
      <c r="P304" s="33" t="n">
        <v>42.4489886333556</v>
      </c>
      <c r="Q304" s="33" t="n">
        <v>15.7877401527792</v>
      </c>
      <c r="R304" s="31" t="n">
        <v>161.615024503579</v>
      </c>
      <c r="S304" s="34" t="s">
        <v>76</v>
      </c>
      <c r="T304" s="35" t="n">
        <v>12.5119588221053</v>
      </c>
      <c r="U304" s="35" t="n">
        <v>3.39879715789474</v>
      </c>
      <c r="V304" s="70" t="n">
        <v>15.91075598</v>
      </c>
      <c r="W304" s="35" t="n">
        <v>14.8233245391197</v>
      </c>
      <c r="X304" s="35" t="n">
        <v>2.65244489652733</v>
      </c>
      <c r="Y304" s="35" t="n">
        <v>5.47544788467182</v>
      </c>
      <c r="Z304" s="35"/>
      <c r="AA304" s="35" t="n">
        <v>0.622814588758363</v>
      </c>
      <c r="AB304" s="35" t="n">
        <v>0.244008584864926</v>
      </c>
      <c r="AC304" s="71" t="n">
        <v>2.5295489198893</v>
      </c>
      <c r="AD304" s="38" t="n">
        <v>4.95060098398768</v>
      </c>
      <c r="AE304" s="38" t="n">
        <v>4.2264954308413</v>
      </c>
      <c r="AF304" s="38" t="n">
        <v>1.24677666483682</v>
      </c>
      <c r="AG304" s="72"/>
      <c r="AH304" s="72"/>
      <c r="AI304" s="73" t="n">
        <v>49.2886794258216</v>
      </c>
      <c r="AJ304" s="42" t="s">
        <v>16</v>
      </c>
      <c r="AK304" s="43" t="n">
        <v>688.851931975411</v>
      </c>
      <c r="AL304" s="43" t="n">
        <v>714.875335847413</v>
      </c>
      <c r="AM304" s="43" t="n">
        <v>529.95190721242</v>
      </c>
      <c r="AN304" s="74"/>
      <c r="AO304" s="75" t="n">
        <v>21.4368421052632</v>
      </c>
      <c r="AP304" s="76" t="n">
        <v>0.771537563720622</v>
      </c>
      <c r="AQ304" s="76" t="n">
        <v>0.654713515392254</v>
      </c>
      <c r="AR304" s="76" t="n">
        <v>0.996192972525654</v>
      </c>
      <c r="AS304" s="77" t="n">
        <v>20.1478002979146</v>
      </c>
      <c r="AT304" s="78" t="n">
        <v>19.8454554650145</v>
      </c>
      <c r="AU304" s="78" t="n">
        <v>35.9911949685535</v>
      </c>
      <c r="AV304" s="78" t="n">
        <v>30.5415094339623</v>
      </c>
      <c r="AW304" s="78" t="n">
        <v>46.4710691823899</v>
      </c>
      <c r="AX304" s="78" t="n">
        <v>35.2830188679245</v>
      </c>
      <c r="AY304" s="48" t="n">
        <v>1.24729808501623</v>
      </c>
      <c r="AZ304" s="48" t="n">
        <v>20.8540730782593</v>
      </c>
      <c r="BA304" s="48" t="n">
        <v>-4.94331709825933</v>
      </c>
      <c r="BB304" s="49" t="n">
        <f aca="false">AT304/V304</f>
        <v>1.24729808501623</v>
      </c>
      <c r="BC304" s="49" t="n">
        <f aca="false">AS304/V304</f>
        <v>1.26630062853334</v>
      </c>
      <c r="BD304" s="49" t="n">
        <f aca="false">SUM(AP304:AR304)/V304</f>
        <v>0.152251976881775</v>
      </c>
      <c r="BE304" s="50" t="n">
        <v>6.48</v>
      </c>
      <c r="BF304" s="51" t="n">
        <v>154.400798759147</v>
      </c>
      <c r="BG304" s="51" t="n">
        <v>657.11900535738</v>
      </c>
      <c r="BH304" s="51" t="n">
        <v>198.775996314385</v>
      </c>
      <c r="BI304" s="51" t="n">
        <v>103.801069445445</v>
      </c>
      <c r="BJ304" s="51" t="n">
        <v>9.71783316136586</v>
      </c>
      <c r="BK304" s="51" t="n">
        <v>12.0021622285153</v>
      </c>
      <c r="BL304" s="51" t="n">
        <v>13.6088091147994</v>
      </c>
      <c r="BM304" s="51"/>
      <c r="BN304" s="52" t="n">
        <f aca="false">(BG304*0.5-BH304*0.25+BI304*0.5)/SUM(BG304:BI304)*1000</f>
        <v>344.657072460203</v>
      </c>
      <c r="BO304" s="53" t="n">
        <v>6.71520574</v>
      </c>
      <c r="BP304" s="54" t="s">
        <v>77</v>
      </c>
      <c r="BQ304" s="55" t="n">
        <v>370.252629610971</v>
      </c>
      <c r="BR304" s="56" t="n">
        <v>23.2705868958322</v>
      </c>
      <c r="BS304" s="56" t="n">
        <v>34.9399453202209</v>
      </c>
      <c r="BT304" s="56" t="n">
        <v>18.6567967796803</v>
      </c>
      <c r="BU304" s="55"/>
      <c r="BV304" s="55"/>
      <c r="BW304" s="55"/>
      <c r="BX304" s="55"/>
      <c r="BY304" s="79" t="n">
        <v>0.0553846153846154</v>
      </c>
      <c r="BZ304" s="80" t="n">
        <v>0.6355016</v>
      </c>
      <c r="CA304" s="81" t="n">
        <v>3.63</v>
      </c>
      <c r="CB304" s="81" t="n">
        <v>0.699</v>
      </c>
      <c r="CC304" s="82" t="n">
        <v>4.338438</v>
      </c>
      <c r="CD304" s="82" t="n">
        <v>6.045776</v>
      </c>
      <c r="CE304" s="83" t="n">
        <v>80.048524</v>
      </c>
      <c r="CF304" s="84" t="n">
        <v>33.829982</v>
      </c>
      <c r="CG304" s="80" t="n">
        <v>0.1025</v>
      </c>
      <c r="CH304" s="63" t="n">
        <v>46914.1054155456</v>
      </c>
      <c r="CI304" s="63" t="n">
        <v>3223.58185481929</v>
      </c>
      <c r="CJ304" s="64" t="n">
        <v>480764.451962469</v>
      </c>
      <c r="CK304" s="65" t="n">
        <v>0.670511690633677</v>
      </c>
    </row>
    <row r="305" customFormat="false" ht="15" hidden="false" customHeight="false" outlineLevel="0" collapsed="false">
      <c r="A305" s="7" t="s">
        <v>73</v>
      </c>
      <c r="B305" s="66" t="n">
        <v>303</v>
      </c>
      <c r="C305" s="8" t="s">
        <v>381</v>
      </c>
      <c r="D305" s="67" t="n">
        <v>41981</v>
      </c>
      <c r="E305" s="4" t="s">
        <v>78</v>
      </c>
      <c r="F305" s="7" t="n">
        <v>920</v>
      </c>
      <c r="G305" s="68" t="n">
        <v>1</v>
      </c>
      <c r="H305" s="68" t="n">
        <v>102</v>
      </c>
      <c r="I305" s="66" t="n">
        <v>3</v>
      </c>
      <c r="J305" s="69" t="n">
        <v>826.546296296296</v>
      </c>
      <c r="K305" s="31" t="n">
        <v>486.5827922535</v>
      </c>
      <c r="L305" s="31" t="n">
        <v>938.680485306648</v>
      </c>
      <c r="M305" s="31" t="n">
        <v>169.59554201402</v>
      </c>
      <c r="N305" s="31" t="n">
        <v>370.140663279484</v>
      </c>
      <c r="O305" s="32"/>
      <c r="P305" s="33" t="n">
        <v>42.4489886333556</v>
      </c>
      <c r="Q305" s="33" t="n">
        <v>15.7877401527792</v>
      </c>
      <c r="R305" s="31" t="n">
        <v>161.615024503579</v>
      </c>
      <c r="S305" s="34" t="s">
        <v>76</v>
      </c>
      <c r="T305" s="35" t="n">
        <v>15.5516893237037</v>
      </c>
      <c r="U305" s="35" t="n">
        <v>4.8772612962963</v>
      </c>
      <c r="V305" s="70" t="n">
        <v>20.42895062</v>
      </c>
      <c r="W305" s="35" t="n">
        <v>19.0541645391987</v>
      </c>
      <c r="X305" s="35" t="n">
        <v>3.45946776541628</v>
      </c>
      <c r="Y305" s="35" t="n">
        <v>6.90768153992577</v>
      </c>
      <c r="Z305" s="35"/>
      <c r="AA305" s="35" t="n">
        <v>0.815049482919736</v>
      </c>
      <c r="AB305" s="35" t="n">
        <v>0.293571352308156</v>
      </c>
      <c r="AC305" s="71" t="n">
        <v>3.34845106948584</v>
      </c>
      <c r="AD305" s="38" t="n">
        <v>6.07181517313917</v>
      </c>
      <c r="AE305" s="38" t="n">
        <v>5.20086246652962</v>
      </c>
      <c r="AF305" s="38" t="n">
        <v>1.56575347677632</v>
      </c>
      <c r="AG305" s="72"/>
      <c r="AH305" s="72"/>
      <c r="AI305" s="73" t="n">
        <v>48.349849910925</v>
      </c>
      <c r="AJ305" s="42" t="s">
        <v>16</v>
      </c>
      <c r="AK305" s="43" t="n">
        <v>702.783795111098</v>
      </c>
      <c r="AL305" s="43" t="n">
        <v>727.048517092928</v>
      </c>
      <c r="AM305" s="43" t="n">
        <v>547.400472283948</v>
      </c>
      <c r="AN305" s="74"/>
      <c r="AO305" s="75" t="n">
        <v>22.1444444444444</v>
      </c>
      <c r="AP305" s="76" t="n">
        <v>0.700477139208174</v>
      </c>
      <c r="AQ305" s="76" t="n">
        <v>0.628685868454662</v>
      </c>
      <c r="AR305" s="76" t="n">
        <v>1.03950349297573</v>
      </c>
      <c r="AS305" s="77" t="n">
        <v>19.3649348659004</v>
      </c>
      <c r="AT305" s="78" t="n">
        <v>19.0109077140428</v>
      </c>
      <c r="AU305" s="78" t="n">
        <v>31.632183908046</v>
      </c>
      <c r="AV305" s="78" t="n">
        <v>28.3902298850575</v>
      </c>
      <c r="AW305" s="78" t="n">
        <v>46.9419540229885</v>
      </c>
      <c r="AX305" s="78" t="n">
        <v>41.3218390804598</v>
      </c>
      <c r="AY305" s="48" t="n">
        <v>0.9305866007347</v>
      </c>
      <c r="AZ305" s="48" t="n">
        <v>21.4591439867104</v>
      </c>
      <c r="BA305" s="48" t="n">
        <v>-1.03019336671041</v>
      </c>
      <c r="BB305" s="49" t="n">
        <f aca="false">AT305/V305</f>
        <v>0.9305866007347</v>
      </c>
      <c r="BC305" s="49" t="n">
        <f aca="false">AS305/V305</f>
        <v>0.947916279504933</v>
      </c>
      <c r="BD305" s="49" t="n">
        <f aca="false">SUM(AP305:AR305)/V305</f>
        <v>0.115946557642547</v>
      </c>
      <c r="BE305" s="50" t="n">
        <v>6.4</v>
      </c>
      <c r="BF305" s="51" t="n">
        <v>76.3626594792565</v>
      </c>
      <c r="BG305" s="51" t="n">
        <v>693.527533182508</v>
      </c>
      <c r="BH305" s="51" t="n">
        <v>170.543833040339</v>
      </c>
      <c r="BI305" s="51" t="n">
        <v>100.695746115077</v>
      </c>
      <c r="BJ305" s="51" t="n">
        <v>8.64992667424051</v>
      </c>
      <c r="BK305" s="51" t="n">
        <v>9.78402254361267</v>
      </c>
      <c r="BL305" s="51" t="n">
        <v>11.823814066114</v>
      </c>
      <c r="BM305" s="51"/>
      <c r="BN305" s="52" t="n">
        <f aca="false">(BG305*0.5-BH305*0.25+BI305*0.5)/SUM(BG305:BI305)*1000</f>
        <v>367.42098362962</v>
      </c>
      <c r="BO305" s="53" t="n">
        <v>8.84110336</v>
      </c>
      <c r="BP305" s="54" t="s">
        <v>77</v>
      </c>
      <c r="BQ305" s="55" t="n">
        <v>333.089409559447</v>
      </c>
      <c r="BR305" s="56" t="n">
        <v>16.3047733461821</v>
      </c>
      <c r="BS305" s="56" t="n">
        <v>24.0440443594017</v>
      </c>
      <c r="BT305" s="56" t="n">
        <v>17.5209629424166</v>
      </c>
      <c r="BU305" s="55"/>
      <c r="BV305" s="55"/>
      <c r="BW305" s="55"/>
      <c r="BX305" s="55"/>
      <c r="BY305" s="79" t="n">
        <v>0.0923076923076923</v>
      </c>
      <c r="BZ305" s="80" t="n">
        <v>0.8597322</v>
      </c>
      <c r="CA305" s="81" t="n">
        <v>3.34</v>
      </c>
      <c r="CB305" s="81" t="n">
        <v>0.762</v>
      </c>
      <c r="CC305" s="82" t="n">
        <v>4.987826</v>
      </c>
      <c r="CD305" s="82" t="n">
        <v>6.862696</v>
      </c>
      <c r="CE305" s="83" t="n">
        <v>85.462364</v>
      </c>
      <c r="CF305" s="84" t="n">
        <v>37.446078</v>
      </c>
      <c r="CG305" s="80" t="n">
        <v>0.1025</v>
      </c>
      <c r="CH305" s="63" t="n">
        <v>62419.3882237621</v>
      </c>
      <c r="CI305" s="63" t="n">
        <v>4559.40503919569</v>
      </c>
      <c r="CJ305" s="64" t="n">
        <v>445025.958117487</v>
      </c>
      <c r="CK305" s="65" t="n">
        <v>1.02452563856781</v>
      </c>
    </row>
    <row r="306" customFormat="false" ht="15" hidden="false" customHeight="false" outlineLevel="0" collapsed="false">
      <c r="A306" s="7" t="s">
        <v>73</v>
      </c>
      <c r="B306" s="66" t="n">
        <v>304</v>
      </c>
      <c r="C306" s="8" t="s">
        <v>382</v>
      </c>
      <c r="D306" s="67" t="n">
        <v>41981</v>
      </c>
      <c r="E306" s="4" t="s">
        <v>78</v>
      </c>
      <c r="F306" s="7" t="n">
        <v>944</v>
      </c>
      <c r="G306" s="68" t="n">
        <v>1</v>
      </c>
      <c r="H306" s="68" t="n">
        <v>120</v>
      </c>
      <c r="I306" s="66" t="n">
        <v>3</v>
      </c>
      <c r="J306" s="69" t="n">
        <v>708.424242424242</v>
      </c>
      <c r="K306" s="31" t="n">
        <v>486.5827922535</v>
      </c>
      <c r="L306" s="31" t="n">
        <v>938.680485306648</v>
      </c>
      <c r="M306" s="31" t="n">
        <v>169.59554201402</v>
      </c>
      <c r="N306" s="31" t="n">
        <v>370.140663279484</v>
      </c>
      <c r="O306" s="32"/>
      <c r="P306" s="33" t="n">
        <v>42.4489886333556</v>
      </c>
      <c r="Q306" s="33" t="n">
        <v>15.7877401527792</v>
      </c>
      <c r="R306" s="31" t="n">
        <v>161.615024503579</v>
      </c>
      <c r="S306" s="34" t="s">
        <v>76</v>
      </c>
      <c r="T306" s="35" t="n">
        <v>14.6167097365217</v>
      </c>
      <c r="U306" s="35" t="n">
        <v>4.15637704347826</v>
      </c>
      <c r="V306" s="70" t="n">
        <v>18.77308678</v>
      </c>
      <c r="W306" s="35" t="n">
        <v>17.5021588525779</v>
      </c>
      <c r="X306" s="35" t="n">
        <v>3.15448655848259</v>
      </c>
      <c r="Y306" s="35" t="n">
        <v>6.41610493886748</v>
      </c>
      <c r="Z306" s="35"/>
      <c r="AA306" s="35" t="n">
        <v>0.742900959315462</v>
      </c>
      <c r="AB306" s="35" t="n">
        <v>0.279357484505537</v>
      </c>
      <c r="AC306" s="71" t="n">
        <v>3.03005750627129</v>
      </c>
      <c r="AD306" s="38" t="n">
        <v>5.73707360802698</v>
      </c>
      <c r="AE306" s="38" t="n">
        <v>4.89065705575122</v>
      </c>
      <c r="AF306" s="38" t="n">
        <v>1.33765841371368</v>
      </c>
      <c r="AG306" s="72"/>
      <c r="AH306" s="72"/>
      <c r="AI306" s="73" t="n">
        <v>48.693376378277</v>
      </c>
      <c r="AJ306" s="42" t="s">
        <v>16</v>
      </c>
      <c r="AK306" s="43" t="n">
        <v>694.399025836337</v>
      </c>
      <c r="AL306" s="43" t="n">
        <v>720.568354055885</v>
      </c>
      <c r="AM306" s="43" t="n">
        <v>575.950510831424</v>
      </c>
      <c r="AN306" s="74"/>
      <c r="AO306" s="75" t="n">
        <v>24.9434782608696</v>
      </c>
      <c r="AP306" s="76" t="n">
        <v>0.880669698167445</v>
      </c>
      <c r="AQ306" s="76" t="n">
        <v>0.751472100850401</v>
      </c>
      <c r="AR306" s="76" t="n">
        <v>1.142212031381</v>
      </c>
      <c r="AS306" s="77" t="n">
        <v>23.1874367768595</v>
      </c>
      <c r="AT306" s="78" t="n">
        <v>22.714583210011</v>
      </c>
      <c r="AU306" s="78" t="n">
        <v>35.3066115702479</v>
      </c>
      <c r="AV306" s="78" t="n">
        <v>30.1269972451791</v>
      </c>
      <c r="AW306" s="78" t="n">
        <v>45.7920110192837</v>
      </c>
      <c r="AX306" s="78" t="n">
        <v>41.8402203856749</v>
      </c>
      <c r="AY306" s="48" t="n">
        <v>1.20995462686563</v>
      </c>
      <c r="AZ306" s="48" t="n">
        <v>21.5148607755692</v>
      </c>
      <c r="BA306" s="48" t="n">
        <v>-2.74177399556925</v>
      </c>
      <c r="BB306" s="49" t="n">
        <f aca="false">AT306/V306</f>
        <v>1.20995462686563</v>
      </c>
      <c r="BC306" s="49" t="n">
        <f aca="false">AS306/V306</f>
        <v>1.23514247010046</v>
      </c>
      <c r="BD306" s="49" t="n">
        <f aca="false">SUM(AP306:AR306)/V306</f>
        <v>0.147783572457275</v>
      </c>
      <c r="BE306" s="50" t="n">
        <v>6.89</v>
      </c>
      <c r="BF306" s="51" t="n">
        <v>85.820957345347</v>
      </c>
      <c r="BG306" s="51" t="n">
        <v>560.637898543363</v>
      </c>
      <c r="BH306" s="51" t="n">
        <v>235.752392518937</v>
      </c>
      <c r="BI306" s="51" t="n">
        <v>144.312531492464</v>
      </c>
      <c r="BJ306" s="51" t="n">
        <v>14.7827615118047</v>
      </c>
      <c r="BK306" s="51" t="n">
        <v>18.5662247642474</v>
      </c>
      <c r="BL306" s="51" t="n">
        <v>20.9730667910741</v>
      </c>
      <c r="BM306" s="51"/>
      <c r="BN306" s="52" t="n">
        <f aca="false">(BG306*0.5-BH306*0.25+BI306*0.5)/SUM(BG306:BI306)*1000</f>
        <v>312.040221258176</v>
      </c>
      <c r="BO306" s="53" t="n">
        <v>8.97422978</v>
      </c>
      <c r="BP306" s="54" t="s">
        <v>77</v>
      </c>
      <c r="BQ306" s="55" t="n">
        <v>418.297548729224</v>
      </c>
      <c r="BR306" s="56" t="n">
        <v>22.2817671718675</v>
      </c>
      <c r="BS306" s="56" t="n">
        <v>33.1679410959982</v>
      </c>
      <c r="BT306" s="56" t="n">
        <v>18.4153741612511</v>
      </c>
      <c r="BU306" s="55"/>
      <c r="BV306" s="55"/>
      <c r="BW306" s="55"/>
      <c r="BX306" s="55"/>
      <c r="BY306" s="79" t="n">
        <v>0.0738461538461539</v>
      </c>
      <c r="BZ306" s="80" t="n">
        <v>0.5930262</v>
      </c>
      <c r="CA306" s="81" t="n">
        <v>3.4</v>
      </c>
      <c r="CB306" s="81" t="n">
        <v>0.093</v>
      </c>
      <c r="CC306" s="82" t="n">
        <v>6.066648</v>
      </c>
      <c r="CD306" s="82" t="n">
        <v>4.990064</v>
      </c>
      <c r="CE306" s="83" t="n">
        <v>87.547424</v>
      </c>
      <c r="CF306" s="84" t="n">
        <v>37.394713</v>
      </c>
      <c r="CG306" s="80" t="n">
        <v>0.092</v>
      </c>
      <c r="CH306" s="63" t="n">
        <v>66120.4214560726</v>
      </c>
      <c r="CI306" s="63" t="n">
        <v>5539.02926061207</v>
      </c>
      <c r="CJ306" s="64" t="n">
        <v>603290.639703989</v>
      </c>
      <c r="CK306" s="65" t="n">
        <v>0.918136118161863</v>
      </c>
    </row>
    <row r="307" customFormat="false" ht="15" hidden="false" customHeight="false" outlineLevel="0" collapsed="false">
      <c r="A307" s="7" t="s">
        <v>73</v>
      </c>
      <c r="B307" s="66" t="n">
        <v>305</v>
      </c>
      <c r="C307" s="8" t="s">
        <v>383</v>
      </c>
      <c r="D307" s="67" t="n">
        <v>41981</v>
      </c>
      <c r="E307" s="4" t="s">
        <v>78</v>
      </c>
      <c r="F307" s="7" t="n">
        <v>956</v>
      </c>
      <c r="G307" s="68" t="n">
        <v>1</v>
      </c>
      <c r="H307" s="68" t="n">
        <v>101</v>
      </c>
      <c r="I307" s="66" t="n">
        <v>3</v>
      </c>
      <c r="J307" s="69" t="n">
        <v>698.694047619048</v>
      </c>
      <c r="K307" s="31" t="n">
        <v>486.5827922535</v>
      </c>
      <c r="L307" s="31" t="n">
        <v>938.680485306648</v>
      </c>
      <c r="M307" s="31" t="n">
        <v>169.59554201402</v>
      </c>
      <c r="N307" s="31" t="n">
        <v>370.140663279484</v>
      </c>
      <c r="O307" s="32"/>
      <c r="P307" s="33" t="n">
        <v>42.4489886333556</v>
      </c>
      <c r="Q307" s="33" t="n">
        <v>15.7877401527792</v>
      </c>
      <c r="R307" s="31" t="n">
        <v>161.615024503579</v>
      </c>
      <c r="S307" s="34" t="s">
        <v>76</v>
      </c>
      <c r="T307" s="35" t="n">
        <v>22.2029632671429</v>
      </c>
      <c r="U307" s="35" t="n">
        <v>8.95753214285714</v>
      </c>
      <c r="V307" s="70" t="n">
        <v>31.16049541</v>
      </c>
      <c r="W307" s="35" t="n">
        <v>29.0217105141054</v>
      </c>
      <c r="X307" s="35" t="n">
        <v>5.26911808390056</v>
      </c>
      <c r="Y307" s="35" t="n">
        <v>10.3387823780251</v>
      </c>
      <c r="Z307" s="35"/>
      <c r="AA307" s="35" t="n">
        <v>1.2246598796375</v>
      </c>
      <c r="AB307" s="35" t="n">
        <v>0.440624560717544</v>
      </c>
      <c r="AC307" s="71" t="n">
        <v>5.11139335041978</v>
      </c>
      <c r="AD307" s="38" t="n">
        <v>10.6404112291732</v>
      </c>
      <c r="AE307" s="38" t="n">
        <v>9.24097524681958</v>
      </c>
      <c r="AF307" s="38" t="n">
        <v>2.45857863254374</v>
      </c>
      <c r="AG307" s="72"/>
      <c r="AH307" s="72"/>
      <c r="AI307" s="73" t="n">
        <v>41.4104822856346</v>
      </c>
      <c r="AJ307" s="42" t="s">
        <v>16</v>
      </c>
      <c r="AK307" s="43" t="n">
        <v>658.528817043182</v>
      </c>
      <c r="AL307" s="43" t="n">
        <v>681.584059549895</v>
      </c>
      <c r="AM307" s="43" t="n">
        <v>533.398456175091</v>
      </c>
      <c r="AN307" s="74"/>
      <c r="AO307" s="75" t="n">
        <v>39.1</v>
      </c>
      <c r="AP307" s="76" t="n">
        <v>1.71018068181818</v>
      </c>
      <c r="AQ307" s="76" t="n">
        <v>1.31929176136364</v>
      </c>
      <c r="AR307" s="76" t="n">
        <v>1.83832204545454</v>
      </c>
      <c r="AS307" s="77" t="n">
        <v>41.2927102272727</v>
      </c>
      <c r="AT307" s="78" t="n">
        <v>40.9687889714823</v>
      </c>
      <c r="AU307" s="78" t="n">
        <v>43.7386363636364</v>
      </c>
      <c r="AV307" s="78" t="n">
        <v>33.7414772727273</v>
      </c>
      <c r="AW307" s="78" t="n">
        <v>47.0159090909091</v>
      </c>
      <c r="AX307" s="78" t="n">
        <v>37.6193181818182</v>
      </c>
      <c r="AY307" s="48" t="n">
        <v>1.31476693269564</v>
      </c>
      <c r="AZ307" s="48" t="n">
        <v>27.6329121834661</v>
      </c>
      <c r="BA307" s="48" t="n">
        <v>3.5275832265339</v>
      </c>
      <c r="BB307" s="49" t="n">
        <f aca="false">AT307/V307</f>
        <v>1.31476693269564</v>
      </c>
      <c r="BC307" s="49" t="n">
        <f aca="false">AS307/V307</f>
        <v>1.32516218641444</v>
      </c>
      <c r="BD307" s="49" t="n">
        <f aca="false">SUM(AP307:AR307)/V307</f>
        <v>0.156216851644605</v>
      </c>
      <c r="BE307" s="50" t="n">
        <v>6.5</v>
      </c>
      <c r="BF307" s="51" t="n">
        <v>90.3735936084342</v>
      </c>
      <c r="BG307" s="51" t="n">
        <v>578.213090143006</v>
      </c>
      <c r="BH307" s="51" t="n">
        <v>257.253607867794</v>
      </c>
      <c r="BI307" s="51" t="n">
        <v>122.19994444684</v>
      </c>
      <c r="BJ307" s="51" t="n">
        <v>7.97070670838796</v>
      </c>
      <c r="BK307" s="51" t="n">
        <v>13.4041440299005</v>
      </c>
      <c r="BL307" s="51" t="n">
        <v>15.9833824259631</v>
      </c>
      <c r="BM307" s="51"/>
      <c r="BN307" s="52" t="n">
        <f aca="false">(BG307*0.5-BH307*0.25+BI307*0.5)/SUM(BG307:BI307)*1000</f>
        <v>298.530932010217</v>
      </c>
      <c r="BO307" s="53" t="n">
        <v>6.79447724</v>
      </c>
      <c r="BP307" s="54" t="s">
        <v>77</v>
      </c>
      <c r="BQ307" s="55" t="n">
        <v>386.809838349414</v>
      </c>
      <c r="BR307" s="56" t="n">
        <v>12.4134688251869</v>
      </c>
      <c r="BS307" s="56" t="n">
        <v>19.5548766576506</v>
      </c>
      <c r="BT307" s="56" t="n">
        <v>9.44157364814141</v>
      </c>
      <c r="BU307" s="55"/>
      <c r="BV307" s="55"/>
      <c r="BW307" s="55"/>
      <c r="BX307" s="55"/>
      <c r="BY307" s="79" t="n">
        <v>0.101538461538462</v>
      </c>
      <c r="BZ307" s="80" t="n">
        <v>0.6611844</v>
      </c>
      <c r="CA307" s="81" t="n">
        <v>3.24</v>
      </c>
      <c r="CB307" s="81" t="n">
        <v>0.698</v>
      </c>
      <c r="CC307" s="82" t="n">
        <v>5.375364</v>
      </c>
      <c r="CD307" s="82" t="n">
        <v>5.89496</v>
      </c>
      <c r="CE307" s="83" t="n">
        <v>72.747156</v>
      </c>
      <c r="CF307" s="84" t="n">
        <v>36.881063</v>
      </c>
      <c r="CG307" s="80" t="n">
        <v>0.0815</v>
      </c>
      <c r="CH307" s="63" t="n">
        <v>37423.8568584918</v>
      </c>
      <c r="CI307" s="63" t="n">
        <v>4900.52739780919</v>
      </c>
      <c r="CJ307" s="64" t="n">
        <v>552498.260319411</v>
      </c>
      <c r="CK307" s="65" t="n">
        <v>0.886976077531193</v>
      </c>
    </row>
    <row r="308" customFormat="false" ht="15" hidden="false" customHeight="false" outlineLevel="0" collapsed="false">
      <c r="A308" s="7" t="s">
        <v>73</v>
      </c>
      <c r="B308" s="66" t="n">
        <v>306</v>
      </c>
      <c r="C308" s="8" t="s">
        <v>384</v>
      </c>
      <c r="D308" s="67" t="n">
        <v>41981</v>
      </c>
      <c r="E308" s="4" t="s">
        <v>78</v>
      </c>
      <c r="F308" s="7" t="n">
        <v>980</v>
      </c>
      <c r="G308" s="68" t="n">
        <v>1</v>
      </c>
      <c r="H308" s="68" t="n">
        <v>119</v>
      </c>
      <c r="I308" s="66" t="n">
        <v>2</v>
      </c>
      <c r="J308" s="69" t="n">
        <v>646.404761904762</v>
      </c>
      <c r="K308" s="31" t="n">
        <v>486.5827922535</v>
      </c>
      <c r="L308" s="31" t="n">
        <v>938.680485306648</v>
      </c>
      <c r="M308" s="31" t="n">
        <v>169.59554201402</v>
      </c>
      <c r="N308" s="31" t="n">
        <v>370.140663279484</v>
      </c>
      <c r="O308" s="32"/>
      <c r="P308" s="33" t="n">
        <v>42.4489886333556</v>
      </c>
      <c r="Q308" s="33" t="n">
        <v>15.7877401527792</v>
      </c>
      <c r="R308" s="31" t="n">
        <v>161.615024503579</v>
      </c>
      <c r="S308" s="34" t="s">
        <v>76</v>
      </c>
      <c r="T308" s="35" t="n">
        <v>15.6653719914286</v>
      </c>
      <c r="U308" s="35" t="n">
        <v>3.52847742857143</v>
      </c>
      <c r="V308" s="70" t="n">
        <v>19.19384942</v>
      </c>
      <c r="W308" s="35" t="n">
        <v>17.9022521345151</v>
      </c>
      <c r="X308" s="35" t="n">
        <v>3.20973588887068</v>
      </c>
      <c r="Y308" s="35" t="n">
        <v>6.6726429997551</v>
      </c>
      <c r="Z308" s="35"/>
      <c r="AA308" s="35" t="n">
        <v>0.761034468769548</v>
      </c>
      <c r="AB308" s="35" t="n">
        <v>0.294877652923421</v>
      </c>
      <c r="AC308" s="71" t="n">
        <v>3.06250171756649</v>
      </c>
      <c r="AD308" s="38" t="n">
        <v>6.66742555917635</v>
      </c>
      <c r="AE308" s="38" t="n">
        <v>5.67055632077049</v>
      </c>
      <c r="AF308" s="38" t="n">
        <v>1.38053802288751</v>
      </c>
      <c r="AG308" s="72"/>
      <c r="AH308" s="72"/>
      <c r="AI308" s="73" t="n">
        <v>44.2266134516616</v>
      </c>
      <c r="AJ308" s="42" t="s">
        <v>16</v>
      </c>
      <c r="AK308" s="43" t="n">
        <v>652.626973710188</v>
      </c>
      <c r="AL308" s="43" t="n">
        <v>683.248996932749</v>
      </c>
      <c r="AM308" s="43" t="n">
        <v>569.890461182698</v>
      </c>
      <c r="AN308" s="74"/>
      <c r="AO308" s="75" t="n">
        <v>21.347619047619</v>
      </c>
      <c r="AP308" s="76" t="n">
        <v>0.765905132275132</v>
      </c>
      <c r="AQ308" s="76" t="n">
        <v>0.69182514898357</v>
      </c>
      <c r="AR308" s="76" t="n">
        <v>0.98026768588137</v>
      </c>
      <c r="AS308" s="77" t="n">
        <v>20.0276246031746</v>
      </c>
      <c r="AT308" s="78" t="n">
        <v>19.9782988567846</v>
      </c>
      <c r="AU308" s="78" t="n">
        <v>35.8777777777778</v>
      </c>
      <c r="AV308" s="78" t="n">
        <v>32.4076023391813</v>
      </c>
      <c r="AW308" s="78" t="n">
        <v>45.919298245614</v>
      </c>
      <c r="AX308" s="78" t="n">
        <v>43.4327485380117</v>
      </c>
      <c r="AY308" s="48" t="n">
        <v>1.04086983385246</v>
      </c>
      <c r="AZ308" s="48" t="n">
        <v>19.4844296283101</v>
      </c>
      <c r="BA308" s="48" t="n">
        <v>-0.290580208310089</v>
      </c>
      <c r="BB308" s="49" t="n">
        <f aca="false">AT308/V308</f>
        <v>1.04086983385246</v>
      </c>
      <c r="BC308" s="49" t="n">
        <f aca="false">AS308/V308</f>
        <v>1.04343970638354</v>
      </c>
      <c r="BD308" s="49" t="n">
        <f aca="false">SUM(AP308:AR308)/V308</f>
        <v>0.127019750639477</v>
      </c>
      <c r="BE308" s="50" t="n">
        <v>6.53</v>
      </c>
      <c r="BF308" s="51" t="n">
        <v>104.68327767688</v>
      </c>
      <c r="BG308" s="51" t="n">
        <v>680.833186704165</v>
      </c>
      <c r="BH308" s="51" t="n">
        <v>193.347141834103</v>
      </c>
      <c r="BI308" s="51" t="n">
        <v>90.6256560255757</v>
      </c>
      <c r="BJ308" s="51" t="n">
        <v>7.94655675186877</v>
      </c>
      <c r="BK308" s="51" t="n">
        <v>11.6134890005431</v>
      </c>
      <c r="BL308" s="51" t="n">
        <v>10.6588453056345</v>
      </c>
      <c r="BM308" s="51"/>
      <c r="BN308" s="52" t="n">
        <f aca="false">(BG308*0.5-BH308*0.25+BI308*0.5)/SUM(BG308:BI308)*1000</f>
        <v>349.699982488052</v>
      </c>
      <c r="BO308" s="53" t="n">
        <v>8.28692848</v>
      </c>
      <c r="BP308" s="54" t="s">
        <v>77</v>
      </c>
      <c r="BQ308" s="55" t="n">
        <v>475.449812932338</v>
      </c>
      <c r="BR308" s="56" t="n">
        <v>24.770946282246</v>
      </c>
      <c r="BS308" s="56" t="n">
        <v>38.87031039458</v>
      </c>
      <c r="BT308" s="56" t="n">
        <v>23.7983131767436</v>
      </c>
      <c r="BU308" s="55"/>
      <c r="BV308" s="55"/>
      <c r="BW308" s="55"/>
      <c r="BX308" s="55"/>
      <c r="BY308" s="79" t="n">
        <v>0.0553846153846154</v>
      </c>
      <c r="BZ308" s="80" t="n">
        <v>0.7994764</v>
      </c>
      <c r="CA308" s="81" t="n">
        <v>2.94</v>
      </c>
      <c r="CB308" s="81" t="n">
        <v>0.321</v>
      </c>
      <c r="CC308" s="82" t="n">
        <v>6.506556</v>
      </c>
      <c r="CD308" s="82" t="n">
        <v>6.253148</v>
      </c>
      <c r="CE308" s="83" t="n">
        <v>82.54328</v>
      </c>
      <c r="CF308" s="84" t="n">
        <v>36.028404</v>
      </c>
      <c r="CG308" s="80" t="n">
        <v>0.0815</v>
      </c>
      <c r="CH308" s="63" t="n">
        <v>38599.0742591426</v>
      </c>
      <c r="CI308" s="63" t="n">
        <v>4438.46301032605</v>
      </c>
      <c r="CJ308" s="64" t="n">
        <v>650582.022160329</v>
      </c>
      <c r="CK308" s="65" t="n">
        <v>0.682229581996079</v>
      </c>
    </row>
    <row r="309" customFormat="false" ht="15" hidden="false" customHeight="false" outlineLevel="0" collapsed="false">
      <c r="A309" s="7" t="s">
        <v>73</v>
      </c>
      <c r="B309" s="66" t="n">
        <v>307</v>
      </c>
      <c r="C309" s="8" t="s">
        <v>385</v>
      </c>
      <c r="D309" s="67" t="n">
        <v>41981</v>
      </c>
      <c r="E309" s="4" t="s">
        <v>78</v>
      </c>
      <c r="F309" s="7" t="n">
        <v>1762</v>
      </c>
      <c r="G309" s="68" t="n">
        <v>1</v>
      </c>
      <c r="H309" s="68" t="n">
        <v>90</v>
      </c>
      <c r="I309" s="66" t="n">
        <v>2</v>
      </c>
      <c r="J309" s="69" t="n">
        <v>661.083333333333</v>
      </c>
      <c r="K309" s="31" t="n">
        <v>486.5827922535</v>
      </c>
      <c r="L309" s="31" t="n">
        <v>938.680485306648</v>
      </c>
      <c r="M309" s="31" t="n">
        <v>169.59554201402</v>
      </c>
      <c r="N309" s="31" t="n">
        <v>370.140663279484</v>
      </c>
      <c r="O309" s="32"/>
      <c r="P309" s="33" t="n">
        <v>42.4489886333556</v>
      </c>
      <c r="Q309" s="33" t="n">
        <v>15.7877401527792</v>
      </c>
      <c r="R309" s="31" t="n">
        <v>161.615024503579</v>
      </c>
      <c r="S309" s="34" t="s">
        <v>76</v>
      </c>
      <c r="T309" s="35" t="n">
        <v>19.41800357</v>
      </c>
      <c r="U309" s="35" t="n">
        <v>6.7781025</v>
      </c>
      <c r="V309" s="70" t="n">
        <v>26.19610607</v>
      </c>
      <c r="W309" s="35" t="n">
        <v>24.4329727124643</v>
      </c>
      <c r="X309" s="35" t="n">
        <v>4.4559348314976</v>
      </c>
      <c r="Y309" s="35" t="n">
        <v>8.76728568897802</v>
      </c>
      <c r="Z309" s="35"/>
      <c r="AA309" s="35" t="n">
        <v>1.04737131774207</v>
      </c>
      <c r="AB309" s="35" t="n">
        <v>0.367073687449873</v>
      </c>
      <c r="AC309" s="71" t="n">
        <v>4.33467363445944</v>
      </c>
      <c r="AD309" s="38" t="n">
        <v>8.48439387015274</v>
      </c>
      <c r="AE309" s="38" t="n">
        <v>7.28194345856714</v>
      </c>
      <c r="AF309" s="38" t="n">
        <v>2.03224585226567</v>
      </c>
      <c r="AG309" s="72"/>
      <c r="AH309" s="72"/>
      <c r="AI309" s="73" t="n">
        <v>43.2645741189835</v>
      </c>
      <c r="AJ309" s="42" t="s">
        <v>16</v>
      </c>
      <c r="AK309" s="43" t="n">
        <v>676.120036791684</v>
      </c>
      <c r="AL309" s="43" t="n">
        <v>701.962444592249</v>
      </c>
      <c r="AM309" s="43" t="n">
        <v>543.923793970154</v>
      </c>
      <c r="AN309" s="74"/>
      <c r="AO309" s="75" t="n">
        <v>28.4083333333333</v>
      </c>
      <c r="AP309" s="76" t="n">
        <v>0.869650104166666</v>
      </c>
      <c r="AQ309" s="76" t="n">
        <v>0.841774427083333</v>
      </c>
      <c r="AR309" s="76" t="n">
        <v>1.27245659722222</v>
      </c>
      <c r="AS309" s="77" t="n">
        <v>24.4080848958333</v>
      </c>
      <c r="AT309" s="78" t="n">
        <v>23.9850397270878</v>
      </c>
      <c r="AU309" s="78" t="n">
        <v>30.6125</v>
      </c>
      <c r="AV309" s="78" t="n">
        <v>29.63125</v>
      </c>
      <c r="AW309" s="78" t="n">
        <v>44.7916666666667</v>
      </c>
      <c r="AX309" s="78" t="n">
        <v>39.75</v>
      </c>
      <c r="AY309" s="48" t="n">
        <v>0.915595610393242</v>
      </c>
      <c r="AZ309" s="48" t="n">
        <v>20.7914871677634</v>
      </c>
      <c r="BA309" s="48" t="n">
        <v>5.40461890223664</v>
      </c>
      <c r="BB309" s="49" t="n">
        <f aca="false">AT309/V309</f>
        <v>0.915595610393242</v>
      </c>
      <c r="BC309" s="49" t="n">
        <f aca="false">AS309/V309</f>
        <v>0.931744772700614</v>
      </c>
      <c r="BD309" s="49" t="n">
        <f aca="false">SUM(AP309:AR309)/V309</f>
        <v>0.113905521702303</v>
      </c>
      <c r="BE309" s="50" t="n">
        <v>6.53</v>
      </c>
      <c r="BF309" s="51" t="n">
        <v>86.5144900429785</v>
      </c>
      <c r="BG309" s="51" t="n">
        <v>683.623225993542</v>
      </c>
      <c r="BH309" s="51" t="n">
        <v>194.20201324105</v>
      </c>
      <c r="BI309" s="51" t="n">
        <v>93.3251800510328</v>
      </c>
      <c r="BJ309" s="51" t="n">
        <v>8.450076053211</v>
      </c>
      <c r="BK309" s="51" t="n">
        <v>7.87813560534271</v>
      </c>
      <c r="BL309" s="51" t="n">
        <v>7.54624467771196</v>
      </c>
      <c r="BM309" s="51"/>
      <c r="BN309" s="52" t="n">
        <f aca="false">(BG309*0.5-BH309*0.25+BI309*0.5)/SUM(BG309:BI309)*1000</f>
        <v>350.021678374058</v>
      </c>
      <c r="BO309" s="53" t="n">
        <v>6.13205576</v>
      </c>
      <c r="BP309" s="54" t="s">
        <v>77</v>
      </c>
      <c r="BQ309" s="55" t="n">
        <v>453.554339420476</v>
      </c>
      <c r="BR309" s="56" t="n">
        <v>17.3138075639376</v>
      </c>
      <c r="BS309" s="56" t="n">
        <v>26.4447300920683</v>
      </c>
      <c r="BT309" s="56" t="n">
        <v>18.909884852442</v>
      </c>
      <c r="BU309" s="55"/>
      <c r="BV309" s="55"/>
      <c r="BW309" s="55"/>
      <c r="BX309" s="55"/>
      <c r="BY309" s="79" t="n">
        <v>0.110769230769231</v>
      </c>
      <c r="BZ309" s="80" t="n">
        <v>0.727367</v>
      </c>
      <c r="CA309" s="81" t="n">
        <v>3.55</v>
      </c>
      <c r="CB309" s="81" t="n">
        <v>0.552</v>
      </c>
      <c r="CC309" s="82" t="n">
        <v>4.233698</v>
      </c>
      <c r="CD309" s="82" t="n">
        <v>6.655324</v>
      </c>
      <c r="CE309" s="83" t="n">
        <v>70.662096</v>
      </c>
      <c r="CF309" s="84" t="n">
        <v>34.826463</v>
      </c>
      <c r="CG309" s="80" t="n">
        <v>0.932</v>
      </c>
      <c r="CH309" s="63" t="n">
        <v>55631.6494465354</v>
      </c>
      <c r="CI309" s="63" t="n">
        <v>5557.63718836591</v>
      </c>
      <c r="CJ309" s="64" t="n">
        <v>888807.906706947</v>
      </c>
      <c r="CK309" s="65" t="n">
        <v>0.625291150813124</v>
      </c>
    </row>
    <row r="310" customFormat="false" ht="15" hidden="false" customHeight="false" outlineLevel="0" collapsed="false">
      <c r="A310" s="7" t="s">
        <v>73</v>
      </c>
      <c r="B310" s="66" t="n">
        <v>308</v>
      </c>
      <c r="C310" s="8" t="s">
        <v>386</v>
      </c>
      <c r="D310" s="67" t="n">
        <v>41981</v>
      </c>
      <c r="E310" s="4" t="s">
        <v>78</v>
      </c>
      <c r="F310" s="7" t="n">
        <v>1944</v>
      </c>
      <c r="G310" s="68" t="n">
        <v>1</v>
      </c>
      <c r="H310" s="68" t="n">
        <v>113</v>
      </c>
      <c r="I310" s="66" t="n">
        <v>2</v>
      </c>
      <c r="J310" s="69" t="n">
        <v>582.195652173913</v>
      </c>
      <c r="K310" s="31" t="n">
        <v>486.5827922535</v>
      </c>
      <c r="L310" s="31" t="n">
        <v>938.680485306648</v>
      </c>
      <c r="M310" s="31" t="n">
        <v>169.59554201402</v>
      </c>
      <c r="N310" s="31" t="n">
        <v>370.140663279484</v>
      </c>
      <c r="O310" s="32"/>
      <c r="P310" s="33" t="n">
        <v>42.4489886333556</v>
      </c>
      <c r="Q310" s="33" t="n">
        <v>15.7877401527792</v>
      </c>
      <c r="R310" s="31" t="n">
        <v>161.615024503579</v>
      </c>
      <c r="S310" s="34" t="s">
        <v>76</v>
      </c>
      <c r="T310" s="35" t="n">
        <v>11.6922493486957</v>
      </c>
      <c r="U310" s="35" t="n">
        <v>1.45698939130435</v>
      </c>
      <c r="V310" s="70" t="n">
        <v>13.14923874</v>
      </c>
      <c r="W310" s="35" t="n">
        <v>12.2663207164126</v>
      </c>
      <c r="X310" s="35" t="n">
        <v>2.16488451182566</v>
      </c>
      <c r="Y310" s="35" t="n">
        <v>4.73471620953653</v>
      </c>
      <c r="Z310" s="35"/>
      <c r="AA310" s="35" t="n">
        <v>0.518179330917892</v>
      </c>
      <c r="AB310" s="35" t="n">
        <v>0.218471708317968</v>
      </c>
      <c r="AC310" s="71" t="n">
        <v>2.02714100811264</v>
      </c>
      <c r="AD310" s="38" t="n">
        <v>3.54200397881989</v>
      </c>
      <c r="AE310" s="38" t="n">
        <v>2.98477678602647</v>
      </c>
      <c r="AF310" s="38" t="n">
        <v>0.82424131295767</v>
      </c>
      <c r="AG310" s="72"/>
      <c r="AH310" s="72"/>
      <c r="AI310" s="73" t="n">
        <v>61.6802549134225</v>
      </c>
      <c r="AJ310" s="42" t="s">
        <v>16</v>
      </c>
      <c r="AK310" s="43" t="n">
        <v>730.630491326839</v>
      </c>
      <c r="AL310" s="43" t="n">
        <v>756.668942951021</v>
      </c>
      <c r="AM310" s="43" t="n">
        <v>619.267767654459</v>
      </c>
      <c r="AN310" s="74"/>
      <c r="AO310" s="75" t="n">
        <v>12.4826086956522</v>
      </c>
      <c r="AP310" s="76" t="n">
        <v>0.575841231884058</v>
      </c>
      <c r="AQ310" s="76" t="n">
        <v>0.461371086956522</v>
      </c>
      <c r="AR310" s="76" t="n">
        <v>0.590358043478261</v>
      </c>
      <c r="AS310" s="77" t="n">
        <v>13.6306619565217</v>
      </c>
      <c r="AT310" s="78" t="n">
        <v>13.7715960269547</v>
      </c>
      <c r="AU310" s="78" t="n">
        <v>46.1314814814815</v>
      </c>
      <c r="AV310" s="78" t="n">
        <v>36.9611111111111</v>
      </c>
      <c r="AW310" s="78" t="n">
        <v>47.2944444444444</v>
      </c>
      <c r="AX310" s="78" t="n">
        <v>41.3148148148148</v>
      </c>
      <c r="AY310" s="48" t="n">
        <v>1.04733029031266</v>
      </c>
      <c r="AZ310" s="48" t="n">
        <v>16.1750178186966</v>
      </c>
      <c r="BA310" s="48" t="n">
        <v>-3.02577907869661</v>
      </c>
      <c r="BB310" s="49" t="n">
        <f aca="false">AT310/V310</f>
        <v>1.04733029031266</v>
      </c>
      <c r="BC310" s="49" t="n">
        <f aca="false">AS310/V310</f>
        <v>1.03661225003522</v>
      </c>
      <c r="BD310" s="49" t="n">
        <f aca="false">SUM(AP310:AR310)/V310</f>
        <v>0.123776774800489</v>
      </c>
      <c r="BE310" s="50" t="n">
        <v>6.82</v>
      </c>
      <c r="BF310" s="51" t="n">
        <v>154.782763472299</v>
      </c>
      <c r="BG310" s="51" t="n">
        <v>580.640544036589</v>
      </c>
      <c r="BH310" s="51" t="n">
        <v>217.532614151443</v>
      </c>
      <c r="BI310" s="51" t="n">
        <v>155.283988303563</v>
      </c>
      <c r="BJ310" s="51" t="n">
        <v>9.80168978312631</v>
      </c>
      <c r="BK310" s="51" t="n">
        <v>14.9852263510006</v>
      </c>
      <c r="BL310" s="51" t="n">
        <v>16.7808129961692</v>
      </c>
      <c r="BM310" s="51"/>
      <c r="BN310" s="52" t="n">
        <f aca="false">(BG310*0.5-BH310*0.25+BI310*0.5)/SUM(BG310:BI310)*1000</f>
        <v>328.886425348095</v>
      </c>
      <c r="BO310" s="53" t="n">
        <v>9.47491752</v>
      </c>
      <c r="BP310" s="54" t="s">
        <v>77</v>
      </c>
      <c r="BQ310" s="55" t="n">
        <v>385.091975633281</v>
      </c>
      <c r="BR310" s="56" t="n">
        <v>29.2862562805123</v>
      </c>
      <c r="BS310" s="56" t="n">
        <v>41.4900773536781</v>
      </c>
      <c r="BT310" s="56" t="n">
        <v>27.9627702467858</v>
      </c>
      <c r="BU310" s="55"/>
      <c r="BV310" s="55"/>
      <c r="BW310" s="55"/>
      <c r="BX310" s="55"/>
      <c r="BY310" s="79" t="n">
        <v>0.0369230769230769</v>
      </c>
      <c r="BZ310" s="80" t="n">
        <v>0.7589766</v>
      </c>
      <c r="CA310" s="81" t="n">
        <v>3.25</v>
      </c>
      <c r="CB310" s="81" t="n">
        <v>0.678</v>
      </c>
      <c r="CC310" s="82" t="n">
        <v>6.93599</v>
      </c>
      <c r="CD310" s="82" t="n">
        <v>5.555624</v>
      </c>
      <c r="CE310" s="83" t="n">
        <v>83.070032</v>
      </c>
      <c r="CF310" s="84" t="n">
        <v>35.381205</v>
      </c>
      <c r="CG310" s="80" t="n">
        <v>0.071</v>
      </c>
      <c r="CH310" s="63" t="n">
        <v>129982.901066582</v>
      </c>
      <c r="CI310" s="63" t="n">
        <v>5139.86432664552</v>
      </c>
      <c r="CJ310" s="64" t="n">
        <v>433619.990402849</v>
      </c>
      <c r="CK310" s="65" t="n">
        <v>1.18533841621794</v>
      </c>
    </row>
    <row r="311" customFormat="false" ht="15" hidden="false" customHeight="false" outlineLevel="0" collapsed="false">
      <c r="A311" s="7" t="s">
        <v>73</v>
      </c>
      <c r="B311" s="66" t="n">
        <v>309</v>
      </c>
      <c r="C311" s="8" t="s">
        <v>387</v>
      </c>
      <c r="D311" s="67" t="n">
        <v>41981</v>
      </c>
      <c r="E311" s="4" t="s">
        <v>78</v>
      </c>
      <c r="F311" s="7" t="n">
        <v>1956</v>
      </c>
      <c r="G311" s="68" t="n">
        <v>1</v>
      </c>
      <c r="H311" s="68" t="n">
        <v>104</v>
      </c>
      <c r="I311" s="66" t="n">
        <v>2</v>
      </c>
      <c r="J311" s="69" t="n">
        <v>691.188888888889</v>
      </c>
      <c r="K311" s="31" t="n">
        <v>486.5827922535</v>
      </c>
      <c r="L311" s="31" t="n">
        <v>938.680485306648</v>
      </c>
      <c r="M311" s="31" t="n">
        <v>169.59554201402</v>
      </c>
      <c r="N311" s="31" t="n">
        <v>370.140663279484</v>
      </c>
      <c r="O311" s="32"/>
      <c r="P311" s="33" t="n">
        <v>42.4489886333556</v>
      </c>
      <c r="Q311" s="33" t="n">
        <v>15.7877401527792</v>
      </c>
      <c r="R311" s="31" t="n">
        <v>161.615024503579</v>
      </c>
      <c r="S311" s="34" t="s">
        <v>76</v>
      </c>
      <c r="T311" s="35" t="n">
        <v>13.1506574566667</v>
      </c>
      <c r="U311" s="35" t="n">
        <v>3.84347133333333</v>
      </c>
      <c r="V311" s="70" t="n">
        <v>16.99412879</v>
      </c>
      <c r="W311" s="35" t="n">
        <v>15.808760246883</v>
      </c>
      <c r="X311" s="35" t="n">
        <v>2.80341720315482</v>
      </c>
      <c r="Y311" s="35" t="n">
        <v>5.84880106485739</v>
      </c>
      <c r="Z311" s="35"/>
      <c r="AA311" s="35" t="n">
        <v>0.651655831068565</v>
      </c>
      <c r="AB311" s="35" t="n">
        <v>0.268382723847333</v>
      </c>
      <c r="AC311" s="71" t="n">
        <v>2.65207985896428</v>
      </c>
      <c r="AD311" s="38" t="n">
        <v>5.22676818867394</v>
      </c>
      <c r="AE311" s="38" t="n">
        <v>4.41475297661047</v>
      </c>
      <c r="AF311" s="38" t="n">
        <v>1.30960949926834</v>
      </c>
      <c r="AG311" s="72"/>
      <c r="AH311" s="72"/>
      <c r="AI311" s="73" t="n">
        <v>51.3477380590363</v>
      </c>
      <c r="AJ311" s="42" t="s">
        <v>16</v>
      </c>
      <c r="AK311" s="43" t="n">
        <v>692.436826079041</v>
      </c>
      <c r="AL311" s="43" t="n">
        <v>720.740089186885</v>
      </c>
      <c r="AM311" s="43" t="n">
        <v>532.852442442541</v>
      </c>
      <c r="AN311" s="74"/>
      <c r="AO311" s="75" t="n">
        <v>26.84</v>
      </c>
      <c r="AP311" s="76" t="n">
        <v>1.22715554185022</v>
      </c>
      <c r="AQ311" s="76" t="n">
        <v>0.969905374449339</v>
      </c>
      <c r="AR311" s="76" t="n">
        <v>1.25758997356828</v>
      </c>
      <c r="AS311" s="77" t="n">
        <v>29.1433331277533</v>
      </c>
      <c r="AT311" s="78" t="n">
        <v>29.2445520628525</v>
      </c>
      <c r="AU311" s="78" t="n">
        <v>45.7211453744493</v>
      </c>
      <c r="AV311" s="78" t="n">
        <v>36.136563876652</v>
      </c>
      <c r="AW311" s="78" t="n">
        <v>46.8550660792952</v>
      </c>
      <c r="AX311" s="78" t="n">
        <v>35.0837004405286</v>
      </c>
      <c r="AY311" s="48" t="n">
        <v>1.72086209444647</v>
      </c>
      <c r="AZ311" s="48" t="n">
        <v>23.208884181358</v>
      </c>
      <c r="BA311" s="48" t="n">
        <v>-6.21475539135803</v>
      </c>
      <c r="BB311" s="49" t="n">
        <f aca="false">AT311/V311</f>
        <v>1.72086209444647</v>
      </c>
      <c r="BC311" s="49" t="n">
        <f aca="false">AS311/V311</f>
        <v>1.71490598240625</v>
      </c>
      <c r="BD311" s="49" t="n">
        <f aca="false">SUM(AP311:AR311)/V311</f>
        <v>0.203284965799523</v>
      </c>
      <c r="BE311" s="50" t="n">
        <v>6.63</v>
      </c>
      <c r="BF311" s="51" t="n">
        <v>58.5745305895894</v>
      </c>
      <c r="BG311" s="51" t="n">
        <v>679.691371170682</v>
      </c>
      <c r="BH311" s="51" t="n">
        <v>190.189900146424</v>
      </c>
      <c r="BI311" s="51" t="n">
        <v>87.1329182472276</v>
      </c>
      <c r="BJ311" s="51" t="n">
        <v>11.1830987948546</v>
      </c>
      <c r="BK311" s="51" t="n">
        <v>13.2217060617544</v>
      </c>
      <c r="BL311" s="51" t="n">
        <v>13.6058812009477</v>
      </c>
      <c r="BM311" s="51"/>
      <c r="BN311" s="52" t="n">
        <f aca="false">(BG311*0.5-BH311*0.25+BI311*0.5)/SUM(BG311:BI311)*1000</f>
        <v>350.950564092729</v>
      </c>
      <c r="BO311" s="53" t="n">
        <v>5.94294726</v>
      </c>
      <c r="BP311" s="54" t="s">
        <v>77</v>
      </c>
      <c r="BQ311" s="55" t="n">
        <v>383.421584455053</v>
      </c>
      <c r="BR311" s="56" t="n">
        <v>22.5620029830934</v>
      </c>
      <c r="BS311" s="56" t="n">
        <v>33.6511619977122</v>
      </c>
      <c r="BT311" s="56" t="n">
        <v>13.110872193597</v>
      </c>
      <c r="BU311" s="55"/>
      <c r="BV311" s="55"/>
      <c r="BW311" s="55"/>
      <c r="BX311" s="55"/>
      <c r="BY311" s="79" t="n">
        <v>0.0553846153846154</v>
      </c>
      <c r="BZ311" s="80" t="n">
        <v>0.7066232</v>
      </c>
      <c r="CA311" s="81" t="n">
        <v>4.12</v>
      </c>
      <c r="CB311" s="81" t="n">
        <v>0.906</v>
      </c>
      <c r="CC311" s="82" t="n">
        <v>5.490578</v>
      </c>
      <c r="CD311" s="82" t="n">
        <v>5.850972</v>
      </c>
      <c r="CE311" s="83" t="n">
        <v>80.670384</v>
      </c>
      <c r="CF311" s="84" t="n">
        <v>33.932712</v>
      </c>
      <c r="CG311" s="80" t="n">
        <v>0.1235</v>
      </c>
      <c r="CH311" s="63" t="n">
        <v>74645.4033942754</v>
      </c>
      <c r="CI311" s="63" t="n">
        <v>10690.9907123812</v>
      </c>
      <c r="CJ311" s="64" t="n">
        <v>1002340.1201011</v>
      </c>
      <c r="CK311" s="65" t="n">
        <v>1.06660309190287</v>
      </c>
    </row>
    <row r="312" customFormat="false" ht="15" hidden="false" customHeight="false" outlineLevel="0" collapsed="false">
      <c r="A312" s="7" t="s">
        <v>73</v>
      </c>
      <c r="B312" s="66" t="n">
        <v>310</v>
      </c>
      <c r="C312" s="8" t="s">
        <v>388</v>
      </c>
      <c r="D312" s="67" t="n">
        <v>41981</v>
      </c>
      <c r="E312" s="4" t="s">
        <v>78</v>
      </c>
      <c r="F312" s="7" t="n">
        <v>1976</v>
      </c>
      <c r="G312" s="68" t="n">
        <v>1</v>
      </c>
      <c r="H312" s="68" t="n">
        <v>81</v>
      </c>
      <c r="I312" s="66" t="n">
        <v>2</v>
      </c>
      <c r="J312" s="69" t="n">
        <v>669.931547619048</v>
      </c>
      <c r="K312" s="31" t="n">
        <v>486.5827922535</v>
      </c>
      <c r="L312" s="31" t="n">
        <v>938.680485306648</v>
      </c>
      <c r="M312" s="31" t="n">
        <v>169.59554201402</v>
      </c>
      <c r="N312" s="31" t="n">
        <v>370.140663279484</v>
      </c>
      <c r="O312" s="32"/>
      <c r="P312" s="33" t="n">
        <v>42.4489886333556</v>
      </c>
      <c r="Q312" s="33" t="n">
        <v>15.7877401527792</v>
      </c>
      <c r="R312" s="31" t="n">
        <v>161.615024503579</v>
      </c>
      <c r="S312" s="34" t="s">
        <v>76</v>
      </c>
      <c r="T312" s="35" t="n">
        <v>17.5836619414286</v>
      </c>
      <c r="U312" s="35" t="n">
        <v>6.28326242857143</v>
      </c>
      <c r="V312" s="70" t="n">
        <v>23.86692437</v>
      </c>
      <c r="W312" s="35" t="n">
        <v>22.2613629352039</v>
      </c>
      <c r="X312" s="35" t="n">
        <v>4.06518341578863</v>
      </c>
      <c r="Y312" s="35" t="n">
        <v>7.96780115160487</v>
      </c>
      <c r="Z312" s="35"/>
      <c r="AA312" s="35" t="n">
        <v>0.955225582693582</v>
      </c>
      <c r="AB312" s="35" t="n">
        <v>0.332090889866346</v>
      </c>
      <c r="AC312" s="71" t="n">
        <v>3.96007544490482</v>
      </c>
      <c r="AD312" s="38" t="n">
        <v>7.31981335949052</v>
      </c>
      <c r="AE312" s="38" t="n">
        <v>6.25296425906898</v>
      </c>
      <c r="AF312" s="38" t="n">
        <v>1.82534459349622</v>
      </c>
      <c r="AG312" s="72"/>
      <c r="AH312" s="72"/>
      <c r="AI312" s="73" t="n">
        <v>45.3687646879375</v>
      </c>
      <c r="AJ312" s="42" t="s">
        <v>16</v>
      </c>
      <c r="AK312" s="43" t="n">
        <v>693.307221072385</v>
      </c>
      <c r="AL312" s="43" t="n">
        <v>719.111346539317</v>
      </c>
      <c r="AM312" s="43" t="n">
        <v>550.980999674745</v>
      </c>
      <c r="AN312" s="74"/>
      <c r="AO312" s="75" t="n">
        <v>26.8964285714286</v>
      </c>
      <c r="AP312" s="76" t="n">
        <v>0.8232868707483</v>
      </c>
      <c r="AQ312" s="76" t="n">
        <v>0.829690782312925</v>
      </c>
      <c r="AR312" s="76" t="n">
        <v>1.22590079081633</v>
      </c>
      <c r="AS312" s="77" t="n">
        <v>23.1078744897959</v>
      </c>
      <c r="AT312" s="78" t="n">
        <v>23.0711972080138</v>
      </c>
      <c r="AU312" s="78" t="n">
        <v>30.6095238095238</v>
      </c>
      <c r="AV312" s="78" t="n">
        <v>30.847619047619</v>
      </c>
      <c r="AW312" s="78" t="n">
        <v>45.5785714285714</v>
      </c>
      <c r="AX312" s="78" t="n">
        <v>43.1666666666667</v>
      </c>
      <c r="AY312" s="48" t="n">
        <v>0.966659836447698</v>
      </c>
      <c r="AZ312" s="48" t="n">
        <v>20.1990345649603</v>
      </c>
      <c r="BA312" s="48" t="n">
        <v>3.66788980503971</v>
      </c>
      <c r="BB312" s="49" t="n">
        <f aca="false">AT312/V312</f>
        <v>0.966659836447698</v>
      </c>
      <c r="BC312" s="49" t="n">
        <f aca="false">AS312/V312</f>
        <v>0.968196577471114</v>
      </c>
      <c r="BD312" s="49" t="n">
        <f aca="false">SUM(AP312:AR312)/V312</f>
        <v>0.120622096054245</v>
      </c>
      <c r="BE312" s="50" t="n">
        <v>6.95</v>
      </c>
      <c r="BF312" s="51" t="n">
        <v>76.4397061390384</v>
      </c>
      <c r="BG312" s="51" t="n">
        <v>668.780253785956</v>
      </c>
      <c r="BH312" s="51" t="n">
        <v>180.010575513068</v>
      </c>
      <c r="BI312" s="51" t="n">
        <v>116.15102235232</v>
      </c>
      <c r="BJ312" s="51" t="n">
        <v>7.41600222712338</v>
      </c>
      <c r="BK312" s="51" t="n">
        <v>10.5777742593025</v>
      </c>
      <c r="BL312" s="51" t="n">
        <v>12.0892474841211</v>
      </c>
      <c r="BM312" s="51"/>
      <c r="BN312" s="52" t="n">
        <f aca="false">(BG312*0.5-BH312*0.25+BI312*0.5)/SUM(BG312:BI312)*1000</f>
        <v>360.086976843468</v>
      </c>
      <c r="BO312" s="53" t="n">
        <v>5.83310032</v>
      </c>
      <c r="BP312" s="54" t="s">
        <v>77</v>
      </c>
      <c r="BQ312" s="55" t="n">
        <v>376.326847293084</v>
      </c>
      <c r="BR312" s="56" t="n">
        <v>15.7677144092397</v>
      </c>
      <c r="BS312" s="56" t="n">
        <v>23.5080881546326</v>
      </c>
      <c r="BT312" s="56" t="n">
        <v>16.3115439524034</v>
      </c>
      <c r="BU312" s="55"/>
      <c r="BV312" s="55"/>
      <c r="BW312" s="55"/>
      <c r="BX312" s="55"/>
      <c r="BY312" s="79" t="n">
        <v>0.0738461538461539</v>
      </c>
      <c r="BZ312" s="80" t="n">
        <v>1.1580478</v>
      </c>
      <c r="CA312" s="81" t="n">
        <v>3.23</v>
      </c>
      <c r="CB312" s="81" t="n">
        <v>0.097</v>
      </c>
      <c r="CC312" s="82" t="n">
        <v>5.721006</v>
      </c>
      <c r="CD312" s="82" t="n">
        <v>6.02064</v>
      </c>
      <c r="CE312" s="83" t="n">
        <v>72.22772</v>
      </c>
      <c r="CF312" s="84" t="n">
        <v>36.66533</v>
      </c>
      <c r="CG312" s="80" t="n">
        <v>0.113</v>
      </c>
      <c r="CH312" s="63" t="n">
        <v>25461.4042437794</v>
      </c>
      <c r="CI312" s="63" t="n">
        <v>8196.72121029001</v>
      </c>
      <c r="CJ312" s="64" t="n">
        <v>1003144.85460482</v>
      </c>
      <c r="CK312" s="65" t="n">
        <v>0.817102452618279</v>
      </c>
    </row>
    <row r="313" customFormat="false" ht="15" hidden="false" customHeight="false" outlineLevel="0" collapsed="false">
      <c r="A313" s="7" t="s">
        <v>73</v>
      </c>
      <c r="B313" s="66" t="n">
        <v>311</v>
      </c>
      <c r="C313" s="8" t="s">
        <v>389</v>
      </c>
      <c r="D313" s="67" t="n">
        <v>41981</v>
      </c>
      <c r="E313" s="4" t="s">
        <v>78</v>
      </c>
      <c r="F313" s="7" t="n">
        <v>1986</v>
      </c>
      <c r="G313" s="68" t="n">
        <v>1</v>
      </c>
      <c r="H313" s="68" t="n">
        <v>87</v>
      </c>
      <c r="I313" s="66" t="n">
        <v>1</v>
      </c>
      <c r="J313" s="69" t="n">
        <v>706.813725490196</v>
      </c>
      <c r="K313" s="31" t="n">
        <v>486.5827922535</v>
      </c>
      <c r="L313" s="31" t="n">
        <v>938.680485306648</v>
      </c>
      <c r="M313" s="31" t="n">
        <v>169.59554201402</v>
      </c>
      <c r="N313" s="31" t="n">
        <v>370.140663279484</v>
      </c>
      <c r="O313" s="32"/>
      <c r="P313" s="33" t="n">
        <v>42.4489886333556</v>
      </c>
      <c r="Q313" s="33" t="n">
        <v>15.7877401527792</v>
      </c>
      <c r="R313" s="31" t="n">
        <v>161.615024503579</v>
      </c>
      <c r="S313" s="34" t="s">
        <v>76</v>
      </c>
      <c r="T313" s="35" t="n">
        <v>18.9349833617647</v>
      </c>
      <c r="U313" s="35" t="n">
        <v>7.37472058823529</v>
      </c>
      <c r="V313" s="70" t="n">
        <v>26.30970395</v>
      </c>
      <c r="W313" s="35" t="n">
        <v>24.5087651881671</v>
      </c>
      <c r="X313" s="35" t="n">
        <v>4.44935899498976</v>
      </c>
      <c r="Y313" s="35" t="n">
        <v>8.7543010857076</v>
      </c>
      <c r="Z313" s="35"/>
      <c r="AA313" s="35" t="n">
        <v>1.03614087242442</v>
      </c>
      <c r="AB313" s="35" t="n">
        <v>0.373061310916274</v>
      </c>
      <c r="AC313" s="71" t="n">
        <v>4.31439893772069</v>
      </c>
      <c r="AD313" s="38" t="n">
        <v>9.12144515607151</v>
      </c>
      <c r="AE313" s="38" t="n">
        <v>7.82762214980704</v>
      </c>
      <c r="AF313" s="38" t="n">
        <v>2.20336111127551</v>
      </c>
      <c r="AG313" s="72"/>
      <c r="AH313" s="72"/>
      <c r="AI313" s="73" t="n">
        <v>40.8993645779861</v>
      </c>
      <c r="AJ313" s="42" t="s">
        <v>16</v>
      </c>
      <c r="AK313" s="43" t="n">
        <v>653.30491086459</v>
      </c>
      <c r="AL313" s="43" t="n">
        <v>680.619480838381</v>
      </c>
      <c r="AM313" s="43" t="n">
        <v>504.791338762141</v>
      </c>
      <c r="AN313" s="74"/>
      <c r="AO313" s="75" t="n">
        <v>31.8176470588235</v>
      </c>
      <c r="AP313" s="76" t="n">
        <v>1.12931435294118</v>
      </c>
      <c r="AQ313" s="76" t="n">
        <v>1.01074058823529</v>
      </c>
      <c r="AR313" s="76" t="n">
        <v>1.45130894117647</v>
      </c>
      <c r="AS313" s="77" t="n">
        <v>29.6667741176471</v>
      </c>
      <c r="AT313" s="78" t="n">
        <v>29.4190882592731</v>
      </c>
      <c r="AU313" s="78" t="n">
        <v>35.4933333333333</v>
      </c>
      <c r="AV313" s="78" t="n">
        <v>31.7666666666667</v>
      </c>
      <c r="AW313" s="78" t="n">
        <v>45.6133333333333</v>
      </c>
      <c r="AX313" s="78" t="n">
        <v>34.9333333333333</v>
      </c>
      <c r="AY313" s="48" t="n">
        <v>1.11818393377525</v>
      </c>
      <c r="AZ313" s="48" t="n">
        <v>23.2005999925131</v>
      </c>
      <c r="BA313" s="48" t="n">
        <v>3.10910395748686</v>
      </c>
      <c r="BB313" s="49" t="n">
        <f aca="false">AT313/V313</f>
        <v>1.11818393377525</v>
      </c>
      <c r="BC313" s="49" t="n">
        <f aca="false">AS313/V313</f>
        <v>1.12759817343544</v>
      </c>
      <c r="BD313" s="49" t="n">
        <f aca="false">SUM(AP313:AR313)/V313</f>
        <v>0.136503393925607</v>
      </c>
      <c r="BE313" s="50" t="n">
        <v>6.28</v>
      </c>
      <c r="BF313" s="51" t="n">
        <v>164.798299303716</v>
      </c>
      <c r="BG313" s="51" t="n">
        <v>499.890129398699</v>
      </c>
      <c r="BH313" s="51" t="n">
        <v>272.153848065946</v>
      </c>
      <c r="BI313" s="51" t="n">
        <v>166.897997068287</v>
      </c>
      <c r="BJ313" s="51" t="n">
        <v>10.9249824017116</v>
      </c>
      <c r="BK313" s="51" t="n">
        <v>23.7822035259781</v>
      </c>
      <c r="BL313" s="51" t="n">
        <v>21.3757151612689</v>
      </c>
      <c r="BM313" s="51"/>
      <c r="BN313" s="52" t="n">
        <f aca="false">(BG313*0.5-BH313*0.25+BI313*0.5)/SUM(BG313:BI313)*1000</f>
        <v>282.611288465409</v>
      </c>
      <c r="BO313" s="53" t="n">
        <v>7.14106516</v>
      </c>
      <c r="BP313" s="54" t="s">
        <v>77</v>
      </c>
      <c r="BQ313" s="55" t="n">
        <v>388.691940634004</v>
      </c>
      <c r="BR313" s="56" t="n">
        <v>14.77371016309</v>
      </c>
      <c r="BS313" s="56" t="n">
        <v>23.3012773609198</v>
      </c>
      <c r="BT313" s="56" t="n">
        <v>13.2122361239895</v>
      </c>
      <c r="BU313" s="55"/>
      <c r="BV313" s="55"/>
      <c r="BW313" s="55"/>
      <c r="BX313" s="55"/>
      <c r="BY313" s="79" t="n">
        <v>0.0369230769230769</v>
      </c>
      <c r="BZ313" s="80" t="n">
        <v>0.8547932</v>
      </c>
      <c r="CA313" s="81" t="n">
        <v>3.38</v>
      </c>
      <c r="CB313" s="81" t="n">
        <v>0.47</v>
      </c>
      <c r="CC313" s="82" t="n">
        <v>4.851664</v>
      </c>
      <c r="CD313" s="82" t="n">
        <v>4.003476</v>
      </c>
      <c r="CE313" s="83" t="n">
        <v>83.377304</v>
      </c>
      <c r="CF313" s="84" t="n">
        <v>31.826747</v>
      </c>
      <c r="CG313" s="80" t="n">
        <v>0.1865</v>
      </c>
      <c r="CH313" s="63" t="n">
        <v>34716.162096906</v>
      </c>
      <c r="CI313" s="63" t="n">
        <v>8904.62682863469</v>
      </c>
      <c r="CJ313" s="64" t="n">
        <v>1028190.93683315</v>
      </c>
      <c r="CK313" s="65" t="n">
        <v>0.866047978993197</v>
      </c>
    </row>
    <row r="314" customFormat="false" ht="15" hidden="false" customHeight="false" outlineLevel="0" collapsed="false">
      <c r="A314" s="7" t="s">
        <v>73</v>
      </c>
      <c r="B314" s="66" t="n">
        <v>312</v>
      </c>
      <c r="C314" s="8" t="s">
        <v>390</v>
      </c>
      <c r="D314" s="67" t="n">
        <v>41981</v>
      </c>
      <c r="E314" s="4" t="s">
        <v>78</v>
      </c>
      <c r="F314" s="7" t="n">
        <v>1997</v>
      </c>
      <c r="G314" s="68" t="n">
        <v>1</v>
      </c>
      <c r="H314" s="68" t="n">
        <v>154</v>
      </c>
      <c r="I314" s="66" t="n">
        <v>1</v>
      </c>
      <c r="J314" s="69" t="n">
        <v>729.994047619048</v>
      </c>
      <c r="K314" s="31" t="n">
        <v>486.5827922535</v>
      </c>
      <c r="L314" s="31" t="n">
        <v>938.680485306648</v>
      </c>
      <c r="M314" s="31" t="n">
        <v>169.59554201402</v>
      </c>
      <c r="N314" s="31" t="n">
        <v>370.140663279484</v>
      </c>
      <c r="O314" s="32"/>
      <c r="P314" s="33" t="n">
        <v>42.4489886333556</v>
      </c>
      <c r="Q314" s="33" t="n">
        <v>15.7877401527792</v>
      </c>
      <c r="R314" s="31" t="n">
        <v>161.615024503579</v>
      </c>
      <c r="S314" s="34" t="s">
        <v>76</v>
      </c>
      <c r="T314" s="35" t="n">
        <v>16.98881519</v>
      </c>
      <c r="U314" s="35" t="n">
        <v>7.312655</v>
      </c>
      <c r="V314" s="70" t="n">
        <v>24.30147019</v>
      </c>
      <c r="W314" s="35" t="n">
        <v>22.6073697155295</v>
      </c>
      <c r="X314" s="35" t="n">
        <v>4.08053285470351</v>
      </c>
      <c r="Y314" s="35" t="n">
        <v>8.04731894161181</v>
      </c>
      <c r="Z314" s="35"/>
      <c r="AA314" s="35" t="n">
        <v>0.940693137738456</v>
      </c>
      <c r="AB314" s="35" t="n">
        <v>0.350411396795407</v>
      </c>
      <c r="AC314" s="71" t="n">
        <v>3.93942783629068</v>
      </c>
      <c r="AD314" s="38" t="n">
        <v>7.48072788373033</v>
      </c>
      <c r="AE314" s="38" t="n">
        <v>6.43697970490642</v>
      </c>
      <c r="AF314" s="38" t="n">
        <v>1.73825831101979</v>
      </c>
      <c r="AG314" s="72"/>
      <c r="AH314" s="72"/>
      <c r="AI314" s="73" t="n">
        <v>46.8418852071212</v>
      </c>
      <c r="AJ314" s="42" t="s">
        <v>16</v>
      </c>
      <c r="AK314" s="43" t="n">
        <v>692.16974013331</v>
      </c>
      <c r="AL314" s="43" t="n">
        <v>715.270737555784</v>
      </c>
      <c r="AM314" s="43" t="n">
        <v>574.011931060389</v>
      </c>
      <c r="AN314" s="74"/>
      <c r="AO314" s="75" t="n">
        <v>33.6</v>
      </c>
      <c r="AP314" s="76" t="n">
        <v>1.18944</v>
      </c>
      <c r="AQ314" s="76" t="n">
        <v>1.15584</v>
      </c>
      <c r="AR314" s="76" t="n">
        <v>1.56576</v>
      </c>
      <c r="AS314" s="77" t="n">
        <v>31.2816</v>
      </c>
      <c r="AT314" s="78" t="n">
        <v>31.8853727388535</v>
      </c>
      <c r="AU314" s="78" t="n">
        <v>35.4</v>
      </c>
      <c r="AV314" s="78" t="n">
        <v>34.4</v>
      </c>
      <c r="AW314" s="78" t="n">
        <v>46.6</v>
      </c>
      <c r="AX314" s="78" t="n">
        <v>40</v>
      </c>
      <c r="AY314" s="48" t="n">
        <v>1.31207587399277</v>
      </c>
      <c r="AZ314" s="48" t="n">
        <v>25.0487232614212</v>
      </c>
      <c r="BA314" s="48" t="n">
        <v>-0.747253071421213</v>
      </c>
      <c r="BB314" s="49" t="n">
        <f aca="false">AT314/V314</f>
        <v>1.31207587399277</v>
      </c>
      <c r="BC314" s="49" t="n">
        <f aca="false">AS314/V314</f>
        <v>1.28723076239529</v>
      </c>
      <c r="BD314" s="49" t="n">
        <f aca="false">SUM(AP314:AR314)/V314</f>
        <v>0.160938411109357</v>
      </c>
      <c r="BE314" s="50" t="n">
        <v>6.7</v>
      </c>
      <c r="BF314" s="51" t="n">
        <v>150.946227501646</v>
      </c>
      <c r="BG314" s="51" t="n">
        <v>516.5495705654</v>
      </c>
      <c r="BH314" s="51" t="n">
        <v>234.101240177348</v>
      </c>
      <c r="BI314" s="51" t="n">
        <v>180.472538072035</v>
      </c>
      <c r="BJ314" s="51" t="n">
        <v>13.3687313913128</v>
      </c>
      <c r="BK314" s="51" t="n">
        <v>21.8154324939149</v>
      </c>
      <c r="BL314" s="51" t="n">
        <v>28.7173629218801</v>
      </c>
      <c r="BM314" s="51"/>
      <c r="BN314" s="52" t="n">
        <f aca="false">(BG314*0.5-BH314*0.25+BI314*0.5)/SUM(BG314:BI314)*1000</f>
        <v>311.43644356411</v>
      </c>
      <c r="BO314" s="53" t="n">
        <v>7.97055816</v>
      </c>
      <c r="BP314" s="54" t="s">
        <v>77</v>
      </c>
      <c r="BQ314" s="55" t="n">
        <v>324.848510044739</v>
      </c>
      <c r="BR314" s="56" t="n">
        <v>13.3674426898836</v>
      </c>
      <c r="BS314" s="56" t="n">
        <v>20.0890955525087</v>
      </c>
      <c r="BT314" s="56" t="n">
        <v>10.1880104305288</v>
      </c>
      <c r="BU314" s="55"/>
      <c r="BV314" s="55"/>
      <c r="BW314" s="55"/>
      <c r="BX314" s="55"/>
      <c r="BY314" s="79" t="n">
        <v>0.0646153846153846</v>
      </c>
      <c r="BZ314" s="80" t="n">
        <v>0.732306</v>
      </c>
      <c r="CA314" s="81" t="n">
        <v>4.04</v>
      </c>
      <c r="CB314" s="81" t="n">
        <v>1.405</v>
      </c>
      <c r="CC314" s="82" t="n">
        <v>5.113514</v>
      </c>
      <c r="CD314" s="82" t="n">
        <v>4.51248</v>
      </c>
      <c r="CE314" s="83" t="n">
        <v>75.146804</v>
      </c>
      <c r="CF314" s="84" t="n">
        <v>31.888385</v>
      </c>
      <c r="CG314" s="80" t="n">
        <v>0.134</v>
      </c>
      <c r="CH314" s="63" t="n">
        <v>56810.8682577207</v>
      </c>
      <c r="CI314" s="63" t="n">
        <v>3278.66418578332</v>
      </c>
      <c r="CJ314" s="64" t="n">
        <v>448506.630039472</v>
      </c>
      <c r="CK314" s="65" t="n">
        <v>0.731017997547722</v>
      </c>
    </row>
    <row r="315" customFormat="false" ht="15" hidden="false" customHeight="false" outlineLevel="0" collapsed="false">
      <c r="A315" s="7" t="s">
        <v>73</v>
      </c>
      <c r="B315" s="66" t="n">
        <v>313</v>
      </c>
      <c r="C315" s="8" t="s">
        <v>391</v>
      </c>
      <c r="D315" s="67" t="n">
        <v>41981</v>
      </c>
      <c r="E315" s="4" t="s">
        <v>78</v>
      </c>
      <c r="F315" s="7" t="n">
        <v>2037</v>
      </c>
      <c r="G315" s="68" t="n">
        <v>1</v>
      </c>
      <c r="H315" s="68" t="n">
        <v>77</v>
      </c>
      <c r="I315" s="66" t="n">
        <v>1</v>
      </c>
      <c r="J315" s="69" t="n">
        <v>686.955555555556</v>
      </c>
      <c r="K315" s="31" t="n">
        <v>486.5827922535</v>
      </c>
      <c r="L315" s="31" t="n">
        <v>938.680485306648</v>
      </c>
      <c r="M315" s="31" t="n">
        <v>169.59554201402</v>
      </c>
      <c r="N315" s="31" t="n">
        <v>370.140663279484</v>
      </c>
      <c r="O315" s="32"/>
      <c r="P315" s="33" t="n">
        <v>42.4489886333556</v>
      </c>
      <c r="Q315" s="33" t="n">
        <v>15.7877401527792</v>
      </c>
      <c r="R315" s="31" t="n">
        <v>161.615024503579</v>
      </c>
      <c r="S315" s="34" t="s">
        <v>76</v>
      </c>
      <c r="T315" s="35" t="n">
        <v>18.8968974966667</v>
      </c>
      <c r="U315" s="35" t="n">
        <v>6.34023053333333</v>
      </c>
      <c r="V315" s="70" t="n">
        <v>25.23712803</v>
      </c>
      <c r="W315" s="35" t="n">
        <v>23.5213087947273</v>
      </c>
      <c r="X315" s="35" t="n">
        <v>4.25818022232179</v>
      </c>
      <c r="Y315" s="35" t="n">
        <v>8.50626662488099</v>
      </c>
      <c r="Z315" s="35"/>
      <c r="AA315" s="35" t="n">
        <v>0.997687639595224</v>
      </c>
      <c r="AB315" s="35" t="n">
        <v>0.365453836481111</v>
      </c>
      <c r="AC315" s="71" t="n">
        <v>4.11286193839487</v>
      </c>
      <c r="AD315" s="38" t="n">
        <v>7.0162736401347</v>
      </c>
      <c r="AE315" s="38" t="n">
        <v>5.99977965709501</v>
      </c>
      <c r="AF315" s="38" t="n">
        <v>1.48779924550517</v>
      </c>
      <c r="AG315" s="72"/>
      <c r="AH315" s="72"/>
      <c r="AI315" s="73" t="n">
        <v>52.0865997002499</v>
      </c>
      <c r="AJ315" s="42" t="s">
        <v>16</v>
      </c>
      <c r="AK315" s="43" t="n">
        <v>721.986050401841</v>
      </c>
      <c r="AL315" s="43" t="n">
        <v>744.921521610227</v>
      </c>
      <c r="AM315" s="43" t="n">
        <v>650.602095771809</v>
      </c>
      <c r="AN315" s="74"/>
      <c r="AO315" s="75" t="n">
        <v>30.9533333333333</v>
      </c>
      <c r="AP315" s="76" t="n">
        <v>1.1399208132261</v>
      </c>
      <c r="AQ315" s="76" t="n">
        <v>0.952059805183199</v>
      </c>
      <c r="AR315" s="76" t="n">
        <v>1.47077294369973</v>
      </c>
      <c r="AS315" s="77" t="n">
        <v>29.4801455317248</v>
      </c>
      <c r="AT315" s="78" t="n">
        <v>29.1930359620339</v>
      </c>
      <c r="AU315" s="78" t="n">
        <v>36.8270777479893</v>
      </c>
      <c r="AV315" s="78" t="n">
        <v>30.757908847185</v>
      </c>
      <c r="AW315" s="78" t="n">
        <v>47.51581769437</v>
      </c>
      <c r="AX315" s="78" t="n">
        <v>36.2627345844504</v>
      </c>
      <c r="AY315" s="48" t="n">
        <v>1.15674952900074</v>
      </c>
      <c r="AZ315" s="48" t="n">
        <v>22.5228022841798</v>
      </c>
      <c r="BA315" s="48" t="n">
        <v>2.71432574582024</v>
      </c>
      <c r="BB315" s="49" t="n">
        <f aca="false">AT315/V315</f>
        <v>1.15674952900074</v>
      </c>
      <c r="BC315" s="49" t="n">
        <f aca="false">AS315/V315</f>
        <v>1.16812600453907</v>
      </c>
      <c r="BD315" s="49" t="n">
        <f aca="false">SUM(AP315:AR315)/V315</f>
        <v>0.141171117326579</v>
      </c>
      <c r="BE315" s="50" t="n">
        <v>6.69</v>
      </c>
      <c r="BF315" s="51" t="n">
        <v>103.42699810989</v>
      </c>
      <c r="BG315" s="51" t="n">
        <v>549.913146209293</v>
      </c>
      <c r="BH315" s="51" t="n">
        <v>223.818077466439</v>
      </c>
      <c r="BI315" s="51" t="n">
        <v>161.600629076242</v>
      </c>
      <c r="BJ315" s="51" t="n">
        <v>17.1189313407323</v>
      </c>
      <c r="BK315" s="51" t="n">
        <v>21.7584547164771</v>
      </c>
      <c r="BL315" s="51" t="n">
        <v>20.8156368127077</v>
      </c>
      <c r="BM315" s="51"/>
      <c r="BN315" s="52" t="n">
        <f aca="false">(BG315*0.5-BH315*0.25+BI315*0.5)/SUM(BG315:BI315)*1000</f>
        <v>320.530480592601</v>
      </c>
      <c r="BO315" s="53" t="n">
        <v>6.5689287</v>
      </c>
      <c r="BP315" s="54" t="s">
        <v>77</v>
      </c>
      <c r="BQ315" s="55" t="n">
        <v>584.717304856187</v>
      </c>
      <c r="BR315" s="56" t="n">
        <v>23.1689320655313</v>
      </c>
      <c r="BS315" s="56" t="n">
        <v>33.3713627539703</v>
      </c>
      <c r="BT315" s="56" t="n">
        <v>20.029342121752</v>
      </c>
      <c r="BU315" s="55"/>
      <c r="BV315" s="55"/>
      <c r="BW315" s="55"/>
      <c r="BX315" s="55"/>
      <c r="BY315" s="79" t="n">
        <v>0.304615384615385</v>
      </c>
      <c r="BZ315" s="80" t="n">
        <v>0.5920384</v>
      </c>
      <c r="CA315" s="81" t="n">
        <v>4.26</v>
      </c>
      <c r="CB315" s="81" t="n">
        <v>0.953</v>
      </c>
      <c r="CC315" s="82" t="n">
        <v>5.176358</v>
      </c>
      <c r="CD315" s="82" t="n">
        <v>5.279128</v>
      </c>
      <c r="CE315" s="83" t="n">
        <v>88.593612</v>
      </c>
      <c r="CF315" s="84" t="n">
        <v>36.829698</v>
      </c>
      <c r="CG315" s="80" t="n">
        <v>0.0395</v>
      </c>
      <c r="CH315" s="63" t="n">
        <v>58625.0017527198</v>
      </c>
      <c r="CI315" s="63" t="n">
        <v>9684.63604742436</v>
      </c>
      <c r="CJ315" s="64" t="n">
        <v>820284.241865491</v>
      </c>
      <c r="CK315" s="65" t="n">
        <v>1.18064392233106</v>
      </c>
    </row>
    <row r="316" customFormat="false" ht="15" hidden="false" customHeight="false" outlineLevel="0" collapsed="false">
      <c r="A316" s="7" t="s">
        <v>73</v>
      </c>
      <c r="B316" s="66" t="n">
        <v>314</v>
      </c>
      <c r="C316" s="8" t="s">
        <v>392</v>
      </c>
      <c r="D316" s="67" t="n">
        <v>41981</v>
      </c>
      <c r="E316" s="4" t="s">
        <v>78</v>
      </c>
      <c r="F316" s="7" t="n">
        <v>2079</v>
      </c>
      <c r="G316" s="68" t="n">
        <v>1</v>
      </c>
      <c r="H316" s="68" t="n">
        <v>132</v>
      </c>
      <c r="I316" s="66" t="n">
        <v>1</v>
      </c>
      <c r="J316" s="69" t="n">
        <v>599.412280701754</v>
      </c>
      <c r="K316" s="31" t="n">
        <v>486.5827922535</v>
      </c>
      <c r="L316" s="31" t="n">
        <v>938.680485306648</v>
      </c>
      <c r="M316" s="31" t="n">
        <v>169.59554201402</v>
      </c>
      <c r="N316" s="31" t="n">
        <v>370.140663279484</v>
      </c>
      <c r="O316" s="32"/>
      <c r="P316" s="33" t="n">
        <v>42.4489886333556</v>
      </c>
      <c r="Q316" s="33" t="n">
        <v>15.7877401527792</v>
      </c>
      <c r="R316" s="31" t="n">
        <v>161.615024503579</v>
      </c>
      <c r="S316" s="34" t="s">
        <v>76</v>
      </c>
      <c r="T316" s="35" t="n">
        <v>11.2927536542105</v>
      </c>
      <c r="U316" s="35" t="n">
        <v>1.75687031578947</v>
      </c>
      <c r="V316" s="70" t="n">
        <v>13.04962397</v>
      </c>
      <c r="W316" s="35" t="n">
        <v>12.1580251369433</v>
      </c>
      <c r="X316" s="35" t="n">
        <v>2.1361297612945</v>
      </c>
      <c r="Y316" s="35" t="n">
        <v>4.66906665188647</v>
      </c>
      <c r="Z316" s="35"/>
      <c r="AA316" s="35" t="n">
        <v>0.506315275899935</v>
      </c>
      <c r="AB316" s="35" t="n">
        <v>0.218660855376672</v>
      </c>
      <c r="AC316" s="71" t="n">
        <v>1.99360883680668</v>
      </c>
      <c r="AD316" s="38" t="n">
        <v>4.47057714669812</v>
      </c>
      <c r="AE316" s="38" t="n">
        <v>3.75408460276651</v>
      </c>
      <c r="AF316" s="38" t="n">
        <v>0.791584374314348</v>
      </c>
      <c r="AG316" s="72"/>
      <c r="AH316" s="72"/>
      <c r="AI316" s="73" t="n">
        <v>48.9111021242907</v>
      </c>
      <c r="AJ316" s="42" t="s">
        <v>16</v>
      </c>
      <c r="AK316" s="43" t="n">
        <v>657.417167193813</v>
      </c>
      <c r="AL316" s="43" t="n">
        <v>691.225790333385</v>
      </c>
      <c r="AM316" s="43" t="n">
        <v>629.430576429662</v>
      </c>
      <c r="AN316" s="74"/>
      <c r="AO316" s="75" t="n">
        <v>9.04736842105263</v>
      </c>
      <c r="AP316" s="76" t="n">
        <v>0.378174646527561</v>
      </c>
      <c r="AQ316" s="76" t="n">
        <v>0.313970451572719</v>
      </c>
      <c r="AR316" s="76" t="n">
        <v>0.407292183120523</v>
      </c>
      <c r="AS316" s="77" t="n">
        <v>9.29156706633447</v>
      </c>
      <c r="AT316" s="78" t="n">
        <v>9.23760099528491</v>
      </c>
      <c r="AU316" s="78" t="n">
        <v>41.7994082840237</v>
      </c>
      <c r="AV316" s="78" t="n">
        <v>34.7029585798816</v>
      </c>
      <c r="AW316" s="78" t="n">
        <v>45.01775147929</v>
      </c>
      <c r="AX316" s="78" t="n">
        <v>41.7455621301775</v>
      </c>
      <c r="AY316" s="48" t="n">
        <v>0.707882542556122</v>
      </c>
      <c r="AZ316" s="48" t="n">
        <v>14.9821122786759</v>
      </c>
      <c r="BA316" s="48" t="n">
        <v>-1.93248830867589</v>
      </c>
      <c r="BB316" s="49" t="n">
        <f aca="false">AT316/V316</f>
        <v>0.707882542556122</v>
      </c>
      <c r="BC316" s="49" t="n">
        <f aca="false">AS316/V316</f>
        <v>0.712017992832208</v>
      </c>
      <c r="BD316" s="49" t="n">
        <f aca="false">SUM(AP316:AR316)/V316</f>
        <v>0.0842504951673947</v>
      </c>
      <c r="BE316" s="50" t="n">
        <v>6.88</v>
      </c>
      <c r="BF316" s="51" t="n">
        <v>111.439862568995</v>
      </c>
      <c r="BG316" s="51" t="n">
        <v>552.983358886776</v>
      </c>
      <c r="BH316" s="51" t="n">
        <v>226.227325623179</v>
      </c>
      <c r="BI316" s="51" t="n">
        <v>157.191918597092</v>
      </c>
      <c r="BJ316" s="51" t="n">
        <v>15.6415456292961</v>
      </c>
      <c r="BK316" s="51" t="n">
        <v>22.9243874194892</v>
      </c>
      <c r="BL316" s="51" t="n">
        <v>20.0563394660585</v>
      </c>
      <c r="BM316" s="51"/>
      <c r="BN316" s="52" t="n">
        <f aca="false">(BG316*0.5-BH316*0.25+BI316*0.5)/SUM(BG316:BI316)*1000</f>
        <v>318.806041702142</v>
      </c>
      <c r="BO316" s="53" t="n">
        <v>7.76776228</v>
      </c>
      <c r="BP316" s="54" t="s">
        <v>77</v>
      </c>
      <c r="BQ316" s="55" t="n">
        <v>357.109622196786</v>
      </c>
      <c r="BR316" s="56" t="n">
        <v>27.3655105325449</v>
      </c>
      <c r="BS316" s="56" t="n">
        <v>42.4931162642699</v>
      </c>
      <c r="BT316" s="56" t="n">
        <v>38.6582644540572</v>
      </c>
      <c r="BU316" s="55"/>
      <c r="BV316" s="55"/>
      <c r="BW316" s="55"/>
      <c r="BX316" s="55"/>
      <c r="BY316" s="79" t="n">
        <v>0.0369230769230769</v>
      </c>
      <c r="BZ316" s="80" t="n">
        <v>0.4883194</v>
      </c>
      <c r="CA316" s="81" t="n">
        <v>3.73</v>
      </c>
      <c r="CB316" s="81" t="n">
        <v>0.318</v>
      </c>
      <c r="CC316" s="82" t="n">
        <v>6.422764</v>
      </c>
      <c r="CD316" s="82" t="n">
        <v>5.228856</v>
      </c>
      <c r="CE316" s="83" t="n">
        <v>88.593612</v>
      </c>
      <c r="CF316" s="84" t="n">
        <v>36.881063</v>
      </c>
      <c r="CG316" s="80" t="n">
        <v>0.1025</v>
      </c>
      <c r="CH316" s="63" t="n">
        <v>76989.4850660082</v>
      </c>
      <c r="CI316" s="63" t="n">
        <v>6814.8148289086</v>
      </c>
      <c r="CJ316" s="64" t="n">
        <v>660220.878728078</v>
      </c>
      <c r="CK316" s="65" t="n">
        <v>1.03220225964944</v>
      </c>
    </row>
    <row r="317" customFormat="false" ht="15" hidden="false" customHeight="false" outlineLevel="0" collapsed="false">
      <c r="A317" s="7" t="s">
        <v>73</v>
      </c>
      <c r="B317" s="66" t="n">
        <v>315</v>
      </c>
      <c r="C317" s="8" t="s">
        <v>393</v>
      </c>
      <c r="D317" s="67" t="n">
        <v>41981</v>
      </c>
      <c r="E317" s="4" t="s">
        <v>78</v>
      </c>
      <c r="F317" s="7" t="n">
        <v>2097</v>
      </c>
      <c r="G317" s="68" t="n">
        <v>1</v>
      </c>
      <c r="H317" s="68" t="n">
        <v>94</v>
      </c>
      <c r="I317" s="66" t="n">
        <v>1</v>
      </c>
      <c r="J317" s="69" t="n">
        <v>652.998611111111</v>
      </c>
      <c r="K317" s="31" t="n">
        <v>486.5827922535</v>
      </c>
      <c r="L317" s="31" t="n">
        <v>938.680485306648</v>
      </c>
      <c r="M317" s="31" t="n">
        <v>169.59554201402</v>
      </c>
      <c r="N317" s="31" t="n">
        <v>370.140663279484</v>
      </c>
      <c r="O317" s="32"/>
      <c r="P317" s="33" t="n">
        <v>42.4489886333556</v>
      </c>
      <c r="Q317" s="33" t="n">
        <v>15.7877401527792</v>
      </c>
      <c r="R317" s="31" t="n">
        <v>161.615024503579</v>
      </c>
      <c r="S317" s="34" t="s">
        <v>76</v>
      </c>
      <c r="T317" s="35" t="n">
        <v>16.4263769666667</v>
      </c>
      <c r="U317" s="35" t="n">
        <v>5.26896358333333</v>
      </c>
      <c r="V317" s="70" t="n">
        <v>21.69534055</v>
      </c>
      <c r="W317" s="35" t="n">
        <v>20.2315550282865</v>
      </c>
      <c r="X317" s="35" t="n">
        <v>3.67138499737411</v>
      </c>
      <c r="Y317" s="35" t="n">
        <v>7.32632354906533</v>
      </c>
      <c r="Z317" s="35"/>
      <c r="AA317" s="35" t="n">
        <v>0.863682603469366</v>
      </c>
      <c r="AB317" s="35" t="n">
        <v>0.311988155786151</v>
      </c>
      <c r="AC317" s="71" t="n">
        <v>3.55258523412008</v>
      </c>
      <c r="AD317" s="38" t="n">
        <v>7.28012031625524</v>
      </c>
      <c r="AE317" s="38" t="n">
        <v>6.26237204270738</v>
      </c>
      <c r="AF317" s="38" t="n">
        <v>1.48549903672566</v>
      </c>
      <c r="AG317" s="72"/>
      <c r="AH317" s="72"/>
      <c r="AI317" s="73" t="n">
        <v>42.8548076450791</v>
      </c>
      <c r="AJ317" s="42" t="s">
        <v>16</v>
      </c>
      <c r="AK317" s="43" t="n">
        <v>664.438532343977</v>
      </c>
      <c r="AL317" s="43" t="n">
        <v>690.46511580787</v>
      </c>
      <c r="AM317" s="43" t="n">
        <v>595.384565283091</v>
      </c>
      <c r="AN317" s="74"/>
      <c r="AO317" s="75" t="n">
        <v>21.95</v>
      </c>
      <c r="AP317" s="76" t="n">
        <v>0.706729587155963</v>
      </c>
      <c r="AQ317" s="76" t="n">
        <v>0.700607752293578</v>
      </c>
      <c r="AR317" s="76" t="n">
        <v>1.00481662844037</v>
      </c>
      <c r="AS317" s="77" t="n">
        <v>19.3809438073394</v>
      </c>
      <c r="AT317" s="78" t="n">
        <v>19.4574786076375</v>
      </c>
      <c r="AU317" s="78" t="n">
        <v>32.197247706422</v>
      </c>
      <c r="AV317" s="78" t="n">
        <v>31.9183486238532</v>
      </c>
      <c r="AW317" s="78" t="n">
        <v>45.7775229357798</v>
      </c>
      <c r="AX317" s="78" t="n">
        <v>35.4082568807339</v>
      </c>
      <c r="AY317" s="48" t="n">
        <v>0.896850573181598</v>
      </c>
      <c r="AZ317" s="48" t="n">
        <v>18.9743789547654</v>
      </c>
      <c r="BA317" s="48" t="n">
        <v>2.72096159523458</v>
      </c>
      <c r="BB317" s="49" t="n">
        <f aca="false">AT317/V317</f>
        <v>0.896850573181598</v>
      </c>
      <c r="BC317" s="49" t="n">
        <f aca="false">AS317/V317</f>
        <v>0.893322866385679</v>
      </c>
      <c r="BD317" s="49" t="n">
        <f aca="false">SUM(AP317:AR317)/V317</f>
        <v>0.11118304238326</v>
      </c>
      <c r="BE317" s="50" t="n">
        <v>6.91</v>
      </c>
      <c r="BF317" s="51" t="n">
        <v>103.172769212371</v>
      </c>
      <c r="BG317" s="51" t="n">
        <v>545.096365191061</v>
      </c>
      <c r="BH317" s="51" t="n">
        <v>231.645437891829</v>
      </c>
      <c r="BI317" s="51" t="n">
        <v>165.299749995254</v>
      </c>
      <c r="BJ317" s="51" t="n">
        <v>12.9221351302187</v>
      </c>
      <c r="BK317" s="51" t="n">
        <v>21.1609697019264</v>
      </c>
      <c r="BL317" s="51" t="n">
        <v>18.9002177116008</v>
      </c>
      <c r="BM317" s="51"/>
      <c r="BN317" s="52" t="n">
        <f aca="false">(BG317*0.5-BH317*0.25+BI317*0.5)/SUM(BG317:BI317)*1000</f>
        <v>315.57705405755</v>
      </c>
      <c r="BO317" s="53" t="n">
        <v>7.114585</v>
      </c>
      <c r="BP317" s="54" t="s">
        <v>77</v>
      </c>
      <c r="BQ317" s="55" t="n">
        <v>478.47265088921</v>
      </c>
      <c r="BR317" s="56" t="n">
        <v>22.0541664135901</v>
      </c>
      <c r="BS317" s="56" t="n">
        <v>34.2520139784233</v>
      </c>
      <c r="BT317" s="56" t="n">
        <v>24.5906810711538</v>
      </c>
      <c r="BU317" s="55"/>
      <c r="BV317" s="55"/>
      <c r="BW317" s="55"/>
      <c r="BX317" s="55"/>
      <c r="BY317" s="79" t="n">
        <v>0.129230769230769</v>
      </c>
      <c r="BZ317" s="80" t="n">
        <v>0.6029042</v>
      </c>
      <c r="CA317" s="81" t="n">
        <v>3.65</v>
      </c>
      <c r="CB317" s="81" t="n">
        <v>0.33</v>
      </c>
      <c r="CC317" s="82" t="n">
        <v>4.191802</v>
      </c>
      <c r="CD317" s="82" t="n">
        <v>8.03152</v>
      </c>
      <c r="CE317" s="83" t="n">
        <v>82.755444</v>
      </c>
      <c r="CF317" s="84" t="n">
        <v>34.898374</v>
      </c>
      <c r="CG317" s="80" t="n">
        <v>0.2075</v>
      </c>
      <c r="CH317" s="63" t="n">
        <v>80748.0860459217</v>
      </c>
      <c r="CI317" s="63" t="n">
        <v>4940.89255066664</v>
      </c>
      <c r="CJ317" s="64" t="n">
        <v>535848.798027501</v>
      </c>
      <c r="CK317" s="65" t="n">
        <v>0.922068420952782</v>
      </c>
    </row>
    <row r="318" customFormat="false" ht="15" hidden="false" customHeight="false" outlineLevel="0" collapsed="false">
      <c r="A318" s="7" t="s">
        <v>73</v>
      </c>
      <c r="B318" s="66" t="n">
        <v>316</v>
      </c>
      <c r="C318" s="8" t="s">
        <v>394</v>
      </c>
      <c r="D318" s="67" t="n">
        <v>41981</v>
      </c>
      <c r="E318" s="4" t="s">
        <v>78</v>
      </c>
      <c r="F318" s="7" t="n">
        <v>2127</v>
      </c>
      <c r="G318" s="68" t="n">
        <v>1</v>
      </c>
      <c r="H318" s="68" t="n">
        <v>84</v>
      </c>
      <c r="I318" s="66" t="n">
        <v>1</v>
      </c>
      <c r="J318" s="69" t="n">
        <v>539.147435897436</v>
      </c>
      <c r="K318" s="31" t="n">
        <v>486.5827922535</v>
      </c>
      <c r="L318" s="31" t="n">
        <v>938.680485306648</v>
      </c>
      <c r="M318" s="31" t="n">
        <v>169.59554201402</v>
      </c>
      <c r="N318" s="31" t="n">
        <v>370.140663279484</v>
      </c>
      <c r="O318" s="32"/>
      <c r="P318" s="33" t="n">
        <v>42.4489886333556</v>
      </c>
      <c r="Q318" s="33" t="n">
        <v>15.7877401527792</v>
      </c>
      <c r="R318" s="31" t="n">
        <v>161.615024503579</v>
      </c>
      <c r="S318" s="34" t="s">
        <v>76</v>
      </c>
      <c r="T318" s="35" t="n">
        <v>17.0959216469231</v>
      </c>
      <c r="U318" s="35" t="n">
        <v>4.20399892307692</v>
      </c>
      <c r="V318" s="70" t="n">
        <v>21.29992057</v>
      </c>
      <c r="W318" s="35" t="n">
        <v>19.8816567607986</v>
      </c>
      <c r="X318" s="35" t="n">
        <v>3.59692320514204</v>
      </c>
      <c r="Y318" s="35" t="n">
        <v>7.33119407441337</v>
      </c>
      <c r="Z318" s="35"/>
      <c r="AA318" s="35" t="n">
        <v>0.855006687000957</v>
      </c>
      <c r="AB318" s="35" t="n">
        <v>0.314687058864263</v>
      </c>
      <c r="AC318" s="71" t="n">
        <v>3.46343588094464</v>
      </c>
      <c r="AD318" s="38" t="n">
        <v>7.72333183821578</v>
      </c>
      <c r="AE318" s="38" t="n">
        <v>6.67048756679691</v>
      </c>
      <c r="AF318" s="38" t="n">
        <v>1.67051239321097</v>
      </c>
      <c r="AG318" s="72"/>
      <c r="AH318" s="72"/>
      <c r="AI318" s="73" t="n">
        <v>40.7449874556938</v>
      </c>
      <c r="AJ318" s="42" t="s">
        <v>16</v>
      </c>
      <c r="AK318" s="43" t="n">
        <v>637.400908945466</v>
      </c>
      <c r="AL318" s="43" t="n">
        <v>664.49035676195</v>
      </c>
      <c r="AM318" s="43" t="n">
        <v>535.571849067318</v>
      </c>
      <c r="AN318" s="74"/>
      <c r="AO318" s="75" t="n">
        <v>17.9538461538462</v>
      </c>
      <c r="AP318" s="76" t="n">
        <v>0.578506214977076</v>
      </c>
      <c r="AQ318" s="76" t="n">
        <v>0.560706938359654</v>
      </c>
      <c r="AR318" s="76" t="n">
        <v>0.828659174732552</v>
      </c>
      <c r="AS318" s="77" t="n">
        <v>15.8591316861946</v>
      </c>
      <c r="AT318" s="78" t="n">
        <v>15.8610074227346</v>
      </c>
      <c r="AU318" s="78" t="n">
        <v>32.2218543046358</v>
      </c>
      <c r="AV318" s="78" t="n">
        <v>31.2304635761589</v>
      </c>
      <c r="AW318" s="78" t="n">
        <v>46.1549668874172</v>
      </c>
      <c r="AX318" s="78" t="n">
        <v>40.7483443708609</v>
      </c>
      <c r="AY318" s="48" t="n">
        <v>0.744651012693171</v>
      </c>
      <c r="AZ318" s="48" t="n">
        <v>15.9044981397735</v>
      </c>
      <c r="BA318" s="48" t="n">
        <v>5.39542243022654</v>
      </c>
      <c r="BB318" s="49" t="n">
        <f aca="false">AT318/V318</f>
        <v>0.744651012693171</v>
      </c>
      <c r="BC318" s="49" t="n">
        <f aca="false">AS318/V318</f>
        <v>0.744562949616417</v>
      </c>
      <c r="BD318" s="49" t="n">
        <f aca="false">SUM(AP318:AR318)/V318</f>
        <v>0.0923887167373264</v>
      </c>
      <c r="BE318" s="50" t="n">
        <v>6.48</v>
      </c>
      <c r="BF318" s="51" t="n">
        <v>126.600973138748</v>
      </c>
      <c r="BG318" s="51" t="n">
        <v>529.610276753229</v>
      </c>
      <c r="BH318" s="51" t="n">
        <v>241.994598734096</v>
      </c>
      <c r="BI318" s="51" t="n">
        <v>169.219020334428</v>
      </c>
      <c r="BJ318" s="51" t="n">
        <v>11.8460127099517</v>
      </c>
      <c r="BK318" s="51" t="n">
        <v>21.5918577414602</v>
      </c>
      <c r="BL318" s="51" t="n">
        <v>20.7631093487255</v>
      </c>
      <c r="BM318" s="51"/>
      <c r="BN318" s="52" t="n">
        <f aca="false">(BG318*0.5-BH318*0.25+BI318*0.5)/SUM(BG318:BI318)*1000</f>
        <v>307.088287344098</v>
      </c>
      <c r="BO318" s="53" t="n">
        <v>6.87126374</v>
      </c>
      <c r="BP318" s="54" t="s">
        <v>77</v>
      </c>
      <c r="BQ318" s="55" t="n">
        <v>445.143244896092</v>
      </c>
      <c r="BR318" s="56" t="n">
        <v>20.8988218257986</v>
      </c>
      <c r="BS318" s="56" t="n">
        <v>33.6944624930094</v>
      </c>
      <c r="BT318" s="56" t="n">
        <v>28.0652567035584</v>
      </c>
      <c r="BU318" s="55"/>
      <c r="BV318" s="55"/>
      <c r="BW318" s="55"/>
      <c r="BX318" s="55"/>
      <c r="BY318" s="79" t="n">
        <v>0.0553846153846154</v>
      </c>
      <c r="BZ318" s="80" t="n">
        <v>0.8547932</v>
      </c>
      <c r="CA318" s="81" t="n">
        <v>3.51</v>
      </c>
      <c r="CB318" s="81" t="n">
        <v>0.304</v>
      </c>
      <c r="CC318" s="82" t="n">
        <v>5.542948</v>
      </c>
      <c r="CD318" s="82" t="n">
        <v>5.45508</v>
      </c>
      <c r="CE318" s="83" t="n">
        <v>77.436712</v>
      </c>
      <c r="CF318" s="84" t="n">
        <v>34.960012</v>
      </c>
      <c r="CG318" s="80" t="n">
        <v>0.1235</v>
      </c>
      <c r="CH318" s="63" t="n">
        <v>31801.2143888164</v>
      </c>
      <c r="CI318" s="63" t="n">
        <v>8200.52409246984</v>
      </c>
      <c r="CJ318" s="64" t="n">
        <v>832315.407405522</v>
      </c>
      <c r="CK318" s="65" t="n">
        <v>0.985266404959672</v>
      </c>
    </row>
    <row r="319" customFormat="false" ht="15" hidden="false" customHeight="false" outlineLevel="0" collapsed="false">
      <c r="A319" s="7" t="s">
        <v>73</v>
      </c>
      <c r="B319" s="66" t="n">
        <v>317</v>
      </c>
      <c r="C319" s="8" t="s">
        <v>395</v>
      </c>
      <c r="D319" s="67" t="n">
        <v>42016</v>
      </c>
      <c r="E319" s="4" t="s">
        <v>78</v>
      </c>
      <c r="F319" s="7" t="n">
        <v>748</v>
      </c>
      <c r="G319" s="68" t="n">
        <v>1</v>
      </c>
      <c r="H319" s="68" t="n">
        <v>108</v>
      </c>
      <c r="I319" s="66" t="n">
        <v>5</v>
      </c>
      <c r="J319" s="69" t="n">
        <v>684.848958333334</v>
      </c>
      <c r="K319" s="31" t="n">
        <v>486.5827922535</v>
      </c>
      <c r="L319" s="31" t="n">
        <v>938.680485306648</v>
      </c>
      <c r="M319" s="31" t="n">
        <v>169.59554201402</v>
      </c>
      <c r="N319" s="31" t="n">
        <v>370.140663279484</v>
      </c>
      <c r="O319" s="32"/>
      <c r="P319" s="33" t="n">
        <v>42.4489886333556</v>
      </c>
      <c r="Q319" s="33" t="n">
        <v>13.7063552868315</v>
      </c>
      <c r="R319" s="31" t="n">
        <v>161.615024503579</v>
      </c>
      <c r="S319" s="34" t="s">
        <v>76</v>
      </c>
      <c r="T319" s="35" t="n">
        <v>19.29347015</v>
      </c>
      <c r="U319" s="35" t="n">
        <v>7.139715</v>
      </c>
      <c r="V319" s="70" t="n">
        <v>26.43318515</v>
      </c>
      <c r="W319" s="35" t="n">
        <v>24.625128995069</v>
      </c>
      <c r="X319" s="35" t="n">
        <v>4.46194753106788</v>
      </c>
      <c r="Y319" s="35" t="n">
        <v>8.84003276297587</v>
      </c>
      <c r="Z319" s="35"/>
      <c r="AA319" s="35" t="n">
        <v>1.04059265222182</v>
      </c>
      <c r="AB319" s="35" t="n">
        <v>0.338889371335076</v>
      </c>
      <c r="AC319" s="71" t="n">
        <v>4.31695757542732</v>
      </c>
      <c r="AD319" s="38" t="n">
        <v>7.06787044578628</v>
      </c>
      <c r="AE319" s="38" t="n">
        <v>6.05717310476065</v>
      </c>
      <c r="AF319" s="38" t="n">
        <v>1.53877985266307</v>
      </c>
      <c r="AG319" s="72"/>
      <c r="AH319" s="72"/>
      <c r="AI319" s="73" t="n">
        <v>47.947875379792</v>
      </c>
      <c r="AJ319" s="42" t="s">
        <v>16</v>
      </c>
      <c r="AK319" s="43" t="n">
        <v>732.613742699628</v>
      </c>
      <c r="AL319" s="43" t="n">
        <v>754.024715729467</v>
      </c>
      <c r="AM319" s="43" t="n">
        <v>655.132687699983</v>
      </c>
      <c r="AN319" s="74"/>
      <c r="AO319" s="75" t="n">
        <v>34.13125</v>
      </c>
      <c r="AP319" s="76" t="n">
        <v>1.11904652052239</v>
      </c>
      <c r="AQ319" s="76" t="n">
        <v>1.2150725</v>
      </c>
      <c r="AR319" s="76" t="n">
        <v>1.58422489272388</v>
      </c>
      <c r="AS319" s="77" t="n">
        <v>30.4381978078358</v>
      </c>
      <c r="AT319" s="78" t="n">
        <v>31.5840231963887</v>
      </c>
      <c r="AU319" s="78" t="n">
        <v>32.7865671641791</v>
      </c>
      <c r="AV319" s="78" t="n">
        <v>35.6</v>
      </c>
      <c r="AW319" s="78" t="n">
        <v>46.4156716417911</v>
      </c>
      <c r="AX319" s="78" t="n">
        <v>25.9477611940299</v>
      </c>
      <c r="AY319" s="48" t="n">
        <v>1.19486255693967</v>
      </c>
      <c r="AZ319" s="48" t="n">
        <v>23.6614839995262</v>
      </c>
      <c r="BA319" s="48" t="n">
        <v>2.77170115047382</v>
      </c>
      <c r="BB319" s="49" t="n">
        <f aca="false">AT319/V319</f>
        <v>1.19486255693967</v>
      </c>
      <c r="BC319" s="49" t="n">
        <f aca="false">AS319/V319</f>
        <v>1.15151456909595</v>
      </c>
      <c r="BD319" s="49" t="n">
        <f aca="false">SUM(AP319:AR319)/V319</f>
        <v>0.148235783580787</v>
      </c>
      <c r="BE319" s="50" t="n">
        <v>6.74</v>
      </c>
      <c r="BF319" s="51" t="n">
        <v>130.793756643188</v>
      </c>
      <c r="BG319" s="51" t="n">
        <v>538.212916230371</v>
      </c>
      <c r="BH319" s="51" t="n">
        <v>248.24708912065</v>
      </c>
      <c r="BI319" s="51" t="n">
        <v>170.009000607092</v>
      </c>
      <c r="BJ319" s="51" t="n">
        <v>11.7064373830356</v>
      </c>
      <c r="BK319" s="51" t="n">
        <v>14.213256343709</v>
      </c>
      <c r="BL319" s="51" t="n">
        <v>12.6361759370329</v>
      </c>
      <c r="BM319" s="51"/>
      <c r="BN319" s="52" t="n">
        <f aca="false">(BG319*0.5-BH319*0.25+BI319*0.5)/SUM(BG319:BI319)*1000</f>
        <v>305.34098263437</v>
      </c>
      <c r="BO319" s="53" t="n">
        <v>5.94312618</v>
      </c>
      <c r="BP319" s="54" t="s">
        <v>77</v>
      </c>
      <c r="BQ319" s="55" t="n">
        <v>322.085299086735</v>
      </c>
      <c r="BR319" s="56" t="n">
        <v>12.1848841620487</v>
      </c>
      <c r="BS319" s="56" t="n">
        <v>17.346298159554</v>
      </c>
      <c r="BT319" s="56" t="n">
        <v>10.1977286770598</v>
      </c>
      <c r="BU319" s="55"/>
      <c r="BV319" s="55"/>
      <c r="BW319" s="55"/>
      <c r="BX319" s="55"/>
      <c r="BY319" s="79" t="n">
        <v>0.169727047146402</v>
      </c>
      <c r="BZ319" s="80" t="n">
        <v>0.5581363</v>
      </c>
      <c r="CA319" s="81" t="n">
        <v>3.29</v>
      </c>
      <c r="CB319" s="81" t="n">
        <v>0.137</v>
      </c>
      <c r="CC319" s="82" t="n">
        <v>4.126558</v>
      </c>
      <c r="CD319" s="82" t="n">
        <v>5.145232</v>
      </c>
      <c r="CE319" s="83" t="n">
        <v>80.380698</v>
      </c>
      <c r="CF319" s="84" t="n">
        <v>32.675632</v>
      </c>
      <c r="CG319" s="80" t="n">
        <v>0.0815</v>
      </c>
      <c r="CH319" s="63" t="n">
        <v>71929.189537216</v>
      </c>
      <c r="CI319" s="63" t="n">
        <v>5212.5445378939</v>
      </c>
      <c r="CJ319" s="64" t="n">
        <v>647471.191345296</v>
      </c>
      <c r="CK319" s="65" t="n">
        <v>0.805062002382444</v>
      </c>
    </row>
    <row r="320" customFormat="false" ht="15" hidden="false" customHeight="false" outlineLevel="0" collapsed="false">
      <c r="A320" s="7" t="s">
        <v>73</v>
      </c>
      <c r="B320" s="66" t="n">
        <v>318</v>
      </c>
      <c r="C320" s="8" t="s">
        <v>396</v>
      </c>
      <c r="D320" s="67" t="n">
        <v>41981</v>
      </c>
      <c r="E320" s="4" t="s">
        <v>78</v>
      </c>
      <c r="F320" s="7" t="n">
        <v>2800</v>
      </c>
      <c r="G320" s="68" t="n">
        <v>1</v>
      </c>
      <c r="H320" s="68" t="n">
        <v>104</v>
      </c>
      <c r="I320" s="66" t="n">
        <v>2</v>
      </c>
      <c r="J320" s="69" t="n">
        <v>630.463768115942</v>
      </c>
      <c r="K320" s="31" t="n">
        <v>486.5827922535</v>
      </c>
      <c r="L320" s="31" t="n">
        <v>938.680485306648</v>
      </c>
      <c r="M320" s="31" t="n">
        <v>169.59554201402</v>
      </c>
      <c r="N320" s="31" t="n">
        <v>370.140663279484</v>
      </c>
      <c r="O320" s="32"/>
      <c r="P320" s="33" t="n">
        <v>42.4489886333556</v>
      </c>
      <c r="Q320" s="33" t="n">
        <v>15.7877401527792</v>
      </c>
      <c r="R320" s="31" t="n">
        <v>161.615024503579</v>
      </c>
      <c r="S320" s="34" t="s">
        <v>76</v>
      </c>
      <c r="T320" s="35" t="n">
        <v>16.0264258969565</v>
      </c>
      <c r="U320" s="35" t="n">
        <v>5.51698791304348</v>
      </c>
      <c r="V320" s="70" t="n">
        <v>21.54341381</v>
      </c>
      <c r="W320" s="35" t="n">
        <v>20.0828265874777</v>
      </c>
      <c r="X320" s="35" t="n">
        <v>3.64549918424033</v>
      </c>
      <c r="Y320" s="35" t="n">
        <v>7.23669333592048</v>
      </c>
      <c r="Z320" s="35"/>
      <c r="AA320" s="35" t="n">
        <v>0.854637415869107</v>
      </c>
      <c r="AB320" s="35" t="n">
        <v>0.308072811146972</v>
      </c>
      <c r="AC320" s="71" t="n">
        <v>3.53066673914547</v>
      </c>
      <c r="AD320" s="38" t="n">
        <v>6.78697995369798</v>
      </c>
      <c r="AE320" s="38" t="n">
        <v>5.83599436353739</v>
      </c>
      <c r="AF320" s="38" t="n">
        <v>1.63182269947923</v>
      </c>
      <c r="AG320" s="72"/>
      <c r="AH320" s="72"/>
      <c r="AI320" s="73" t="n">
        <v>45.3917373041766</v>
      </c>
      <c r="AJ320" s="42" t="s">
        <v>16</v>
      </c>
      <c r="AK320" s="43" t="n">
        <v>684.962651994012</v>
      </c>
      <c r="AL320" s="43" t="n">
        <v>709.403736664423</v>
      </c>
      <c r="AM320" s="43" t="n">
        <v>552.373319260727</v>
      </c>
      <c r="AN320" s="74"/>
      <c r="AO320" s="75" t="n">
        <v>24.9173913043478</v>
      </c>
      <c r="AP320" s="76" t="n">
        <v>0.774220334578805</v>
      </c>
      <c r="AQ320" s="76" t="n">
        <v>0.687272265625</v>
      </c>
      <c r="AR320" s="76" t="n">
        <v>1.13987331861413</v>
      </c>
      <c r="AS320" s="77" t="n">
        <v>21.5802615404212</v>
      </c>
      <c r="AT320" s="78" t="n">
        <v>20.9088924625385</v>
      </c>
      <c r="AU320" s="78" t="n">
        <v>31.071484375</v>
      </c>
      <c r="AV320" s="78" t="n">
        <v>27.58203125</v>
      </c>
      <c r="AW320" s="78" t="n">
        <v>45.74609375</v>
      </c>
      <c r="AX320" s="78" t="n">
        <v>37.41015625</v>
      </c>
      <c r="AY320" s="48" t="n">
        <v>0.970546852367151</v>
      </c>
      <c r="AZ320" s="48" t="n">
        <v>19.6308337812342</v>
      </c>
      <c r="BA320" s="48" t="n">
        <v>1.9125800287658</v>
      </c>
      <c r="BB320" s="49" t="n">
        <f aca="false">AT320/V320</f>
        <v>0.970546852367151</v>
      </c>
      <c r="BC320" s="49" t="n">
        <f aca="false">AS320/V320</f>
        <v>1.00171039421821</v>
      </c>
      <c r="BD320" s="49" t="n">
        <f aca="false">SUM(AP320:AR320)/V320</f>
        <v>0.120749939715238</v>
      </c>
      <c r="BE320" s="50" t="n">
        <v>6.37</v>
      </c>
      <c r="BF320" s="51" t="n">
        <v>161.918992042554</v>
      </c>
      <c r="BG320" s="51" t="n">
        <v>529.756534436406</v>
      </c>
      <c r="BH320" s="51" t="n">
        <v>235.568455806456</v>
      </c>
      <c r="BI320" s="51" t="n">
        <v>170.487925731936</v>
      </c>
      <c r="BJ320" s="51" t="n">
        <v>13.3375740445146</v>
      </c>
      <c r="BK320" s="51" t="n">
        <v>21.9382535383576</v>
      </c>
      <c r="BL320" s="51" t="n">
        <v>23.9361320642209</v>
      </c>
      <c r="BM320" s="51"/>
      <c r="BN320" s="52" t="n">
        <f aca="false">(BG320*0.5-BH320*0.25+BI320*0.5)/SUM(BG320:BI320)*1000</f>
        <v>311.205489004386</v>
      </c>
      <c r="BO320" s="53" t="n">
        <v>8.9710291</v>
      </c>
      <c r="BP320" s="54" t="s">
        <v>77</v>
      </c>
      <c r="BQ320" s="55" t="n">
        <v>461.37651762476</v>
      </c>
      <c r="BR320" s="56" t="n">
        <v>21.4161284601329</v>
      </c>
      <c r="BS320" s="56" t="n">
        <v>32.3844985588772</v>
      </c>
      <c r="BT320" s="56" t="n">
        <v>22.0660428787123</v>
      </c>
      <c r="BU320" s="55"/>
      <c r="BV320" s="55"/>
      <c r="BW320" s="55"/>
      <c r="BX320" s="55"/>
      <c r="BY320" s="79" t="n">
        <v>0.0923076923076923</v>
      </c>
      <c r="BZ320" s="80" t="n">
        <v>0.6453796</v>
      </c>
      <c r="CA320" s="81" t="n">
        <v>3.44</v>
      </c>
      <c r="CB320" s="81" t="n">
        <v>0.03</v>
      </c>
      <c r="CC320" s="82" t="n">
        <v>6.087596</v>
      </c>
      <c r="CD320" s="82" t="n">
        <v>8.257744</v>
      </c>
      <c r="CE320" s="83" t="n">
        <v>84.321068</v>
      </c>
      <c r="CF320" s="84" t="n">
        <v>38.987028</v>
      </c>
      <c r="CG320" s="80" t="n">
        <v>0.092</v>
      </c>
      <c r="CH320" s="63" t="n">
        <v>67611.899577176</v>
      </c>
      <c r="CI320" s="63" t="n">
        <v>4400.60641313856</v>
      </c>
      <c r="CJ320" s="64" t="n">
        <v>577671.908955561</v>
      </c>
      <c r="CK320" s="65" t="n">
        <v>0.761783002586176</v>
      </c>
    </row>
    <row r="321" customFormat="false" ht="15" hidden="false" customHeight="false" outlineLevel="0" collapsed="false">
      <c r="A321" s="7" t="s">
        <v>73</v>
      </c>
      <c r="B321" s="66" t="n">
        <v>319</v>
      </c>
      <c r="C321" s="8" t="s">
        <v>397</v>
      </c>
      <c r="D321" s="67" t="n">
        <v>41981</v>
      </c>
      <c r="E321" s="4" t="s">
        <v>78</v>
      </c>
      <c r="F321" s="7" t="n">
        <v>3929</v>
      </c>
      <c r="G321" s="68" t="n">
        <v>1</v>
      </c>
      <c r="H321" s="68" t="n">
        <v>77</v>
      </c>
      <c r="I321" s="66" t="n">
        <v>5</v>
      </c>
      <c r="J321" s="69" t="n">
        <v>711.925</v>
      </c>
      <c r="K321" s="31" t="n">
        <v>486.5827922535</v>
      </c>
      <c r="L321" s="31" t="n">
        <v>938.680485306648</v>
      </c>
      <c r="M321" s="31" t="n">
        <v>169.59554201402</v>
      </c>
      <c r="N321" s="31" t="n">
        <v>370.140663279484</v>
      </c>
      <c r="O321" s="32"/>
      <c r="P321" s="33" t="n">
        <v>42.4489886333556</v>
      </c>
      <c r="Q321" s="33" t="n">
        <v>15.7877401527792</v>
      </c>
      <c r="R321" s="31" t="n">
        <v>161.615024503579</v>
      </c>
      <c r="S321" s="34" t="s">
        <v>76</v>
      </c>
      <c r="T321" s="35" t="n">
        <v>18.9630162742857</v>
      </c>
      <c r="U321" s="35" t="n">
        <v>7.55374728571429</v>
      </c>
      <c r="V321" s="70" t="n">
        <v>26.51676356</v>
      </c>
      <c r="W321" s="35" t="n">
        <v>24.6855557451037</v>
      </c>
      <c r="X321" s="35" t="n">
        <v>4.46353781509822</v>
      </c>
      <c r="Y321" s="35" t="n">
        <v>8.82748223274251</v>
      </c>
      <c r="Z321" s="35"/>
      <c r="AA321" s="35" t="n">
        <v>1.03505352587842</v>
      </c>
      <c r="AB321" s="35" t="n">
        <v>0.381634988115849</v>
      </c>
      <c r="AC321" s="71" t="n">
        <v>4.31306826431401</v>
      </c>
      <c r="AD321" s="38" t="n">
        <v>7.54277966564717</v>
      </c>
      <c r="AE321" s="38" t="n">
        <v>6.35243788651933</v>
      </c>
      <c r="AF321" s="38" t="n">
        <v>1.68729144501813</v>
      </c>
      <c r="AG321" s="72"/>
      <c r="AH321" s="72"/>
      <c r="AI321" s="73" t="n">
        <v>50.5960673694298</v>
      </c>
      <c r="AJ321" s="42" t="s">
        <v>16</v>
      </c>
      <c r="AK321" s="43" t="n">
        <v>715.546746548463</v>
      </c>
      <c r="AL321" s="43" t="n">
        <v>742.665794033042</v>
      </c>
      <c r="AM321" s="43" t="n">
        <v>621.983387412839</v>
      </c>
      <c r="AN321" s="74"/>
      <c r="AO321" s="75" t="n">
        <v>31.7071428571429</v>
      </c>
      <c r="AP321" s="76" t="n">
        <v>1.04841710341805</v>
      </c>
      <c r="AQ321" s="76" t="n">
        <v>0.981190179666959</v>
      </c>
      <c r="AR321" s="76" t="n">
        <v>1.45485209903593</v>
      </c>
      <c r="AS321" s="77" t="n">
        <v>28.409113694128</v>
      </c>
      <c r="AT321" s="78" t="n">
        <v>28.2225378930092</v>
      </c>
      <c r="AU321" s="78" t="n">
        <v>33.0656441717791</v>
      </c>
      <c r="AV321" s="78" t="n">
        <v>30.9453987730061</v>
      </c>
      <c r="AW321" s="78" t="n">
        <v>45.8840490797546</v>
      </c>
      <c r="AX321" s="78" t="n">
        <v>37.7730061349693</v>
      </c>
      <c r="AY321" s="48" t="n">
        <v>1.06432814959298</v>
      </c>
      <c r="AZ321" s="48" t="n">
        <v>22.4796295106061</v>
      </c>
      <c r="BA321" s="48" t="n">
        <v>4.03713404939393</v>
      </c>
      <c r="BB321" s="49" t="n">
        <f aca="false">AT321/V321</f>
        <v>1.06432814959298</v>
      </c>
      <c r="BC321" s="49" t="n">
        <f aca="false">AS321/V321</f>
        <v>1.07136429488637</v>
      </c>
      <c r="BD321" s="49" t="n">
        <f aca="false">SUM(AP321:AR321)/V321</f>
        <v>0.1314059075964</v>
      </c>
      <c r="BE321" s="50" t="n">
        <v>6.63</v>
      </c>
      <c r="BF321" s="51" t="n">
        <v>119.790992682882</v>
      </c>
      <c r="BG321" s="51" t="n">
        <v>562.089055265239</v>
      </c>
      <c r="BH321" s="51" t="n">
        <v>229.282701241256</v>
      </c>
      <c r="BI321" s="51" t="n">
        <v>147.258171105266</v>
      </c>
      <c r="BJ321" s="51" t="n">
        <v>14.2136744064046</v>
      </c>
      <c r="BK321" s="51" t="n">
        <v>21.7806745927152</v>
      </c>
      <c r="BL321" s="51" t="n">
        <v>20.4005990110101</v>
      </c>
      <c r="BM321" s="51"/>
      <c r="BN321" s="52" t="n">
        <f aca="false">(BG321*0.5-BH321*0.25+BI321*0.5)/SUM(BG321:BI321)*1000</f>
        <v>316.79464837811</v>
      </c>
      <c r="BO321" s="53" t="n">
        <v>3.71378298</v>
      </c>
      <c r="BP321" s="54" t="s">
        <v>77</v>
      </c>
      <c r="BQ321" s="55" t="n">
        <v>392.086860639632</v>
      </c>
      <c r="BR321" s="56" t="n">
        <v>14.7863769178486</v>
      </c>
      <c r="BS321" s="56" t="n">
        <v>21.386807397632</v>
      </c>
      <c r="BT321" s="56" t="n">
        <v>13.8926861264576</v>
      </c>
      <c r="BU321" s="55"/>
      <c r="BV321" s="55"/>
      <c r="BW321" s="55"/>
      <c r="BX321" s="55"/>
      <c r="BY321" s="79" t="n">
        <v>0.0646153846153846</v>
      </c>
      <c r="BZ321" s="80" t="n">
        <v>0.6295748</v>
      </c>
      <c r="CA321" s="81" t="n">
        <v>3.77</v>
      </c>
      <c r="CB321" s="81" t="n">
        <v>0.072</v>
      </c>
      <c r="CC321" s="82" t="n">
        <v>4.725976</v>
      </c>
      <c r="CD321" s="82" t="n">
        <v>5.103176</v>
      </c>
      <c r="CE321" s="83" t="n">
        <v>76.500264</v>
      </c>
      <c r="CF321" s="84" t="n">
        <v>34.538819</v>
      </c>
      <c r="CG321" s="80" t="n">
        <v>0.6065</v>
      </c>
      <c r="CH321" s="63" t="n">
        <v>71947.6706120146</v>
      </c>
      <c r="CI321" s="63" t="n">
        <v>10858.7644480414</v>
      </c>
      <c r="CJ321" s="64" t="n">
        <v>809581.188050708</v>
      </c>
      <c r="CK321" s="65" t="n">
        <v>1.34128171557283</v>
      </c>
    </row>
    <row r="322" customFormat="false" ht="15" hidden="false" customHeight="false" outlineLevel="0" collapsed="false">
      <c r="A322" s="7" t="s">
        <v>73</v>
      </c>
      <c r="B322" s="66" t="n">
        <v>320</v>
      </c>
      <c r="C322" s="8" t="s">
        <v>398</v>
      </c>
      <c r="D322" s="67" t="n">
        <v>41981</v>
      </c>
      <c r="E322" s="4" t="s">
        <v>78</v>
      </c>
      <c r="F322" s="7" t="n">
        <v>5803</v>
      </c>
      <c r="G322" s="68" t="n">
        <v>1</v>
      </c>
      <c r="H322" s="68" t="n">
        <v>129</v>
      </c>
      <c r="I322" s="66" t="n">
        <v>2</v>
      </c>
      <c r="J322" s="69" t="n">
        <v>593.071428571429</v>
      </c>
      <c r="K322" s="31" t="n">
        <v>486.5827922535</v>
      </c>
      <c r="L322" s="31" t="n">
        <v>938.680485306648</v>
      </c>
      <c r="M322" s="31" t="n">
        <v>169.59554201402</v>
      </c>
      <c r="N322" s="31" t="n">
        <v>370.140663279484</v>
      </c>
      <c r="O322" s="32"/>
      <c r="P322" s="33" t="n">
        <v>42.4489886333556</v>
      </c>
      <c r="Q322" s="33" t="n">
        <v>15.7877401527792</v>
      </c>
      <c r="R322" s="31" t="n">
        <v>161.615024503579</v>
      </c>
      <c r="S322" s="34" t="s">
        <v>76</v>
      </c>
      <c r="T322" s="35" t="n">
        <v>12.2591739185714</v>
      </c>
      <c r="U322" s="35" t="n">
        <v>1.97979157142857</v>
      </c>
      <c r="V322" s="70" t="n">
        <v>14.23896549</v>
      </c>
      <c r="W322" s="35" t="n">
        <v>13.2685665560053</v>
      </c>
      <c r="X322" s="35" t="n">
        <v>2.33714012661886</v>
      </c>
      <c r="Y322" s="35" t="n">
        <v>5.07985768442097</v>
      </c>
      <c r="Z322" s="35"/>
      <c r="AA322" s="35" t="n">
        <v>0.554242233656145</v>
      </c>
      <c r="AB322" s="35" t="n">
        <v>0.236255409399043</v>
      </c>
      <c r="AC322" s="71" t="n">
        <v>2.18715603513032</v>
      </c>
      <c r="AD322" s="38" t="n">
        <v>4.70762809481019</v>
      </c>
      <c r="AE322" s="38" t="n">
        <v>4.0431096977286</v>
      </c>
      <c r="AF322" s="38" t="n">
        <v>0.86757309249762</v>
      </c>
      <c r="AG322" s="72"/>
      <c r="AH322" s="72"/>
      <c r="AI322" s="73" t="n">
        <v>50.1856571166903</v>
      </c>
      <c r="AJ322" s="42" t="s">
        <v>16</v>
      </c>
      <c r="AK322" s="43" t="n">
        <v>669.384120769423</v>
      </c>
      <c r="AL322" s="43" t="n">
        <v>695.286624921914</v>
      </c>
      <c r="AM322" s="43" t="n">
        <v>628.788585409837</v>
      </c>
      <c r="AN322" s="74"/>
      <c r="AO322" s="75" t="n">
        <v>20.3357142857143</v>
      </c>
      <c r="AP322" s="76" t="n">
        <v>0.929791113172542</v>
      </c>
      <c r="AQ322" s="76" t="n">
        <v>0.701661372912801</v>
      </c>
      <c r="AR322" s="76" t="n">
        <v>0.952926289424861</v>
      </c>
      <c r="AS322" s="77" t="n">
        <v>22.0811524118738</v>
      </c>
      <c r="AT322" s="78" t="n">
        <v>21.9024060419744</v>
      </c>
      <c r="AU322" s="78" t="n">
        <v>45.7220779220779</v>
      </c>
      <c r="AV322" s="78" t="n">
        <v>34.5038961038961</v>
      </c>
      <c r="AW322" s="78" t="n">
        <v>46.8597402597403</v>
      </c>
      <c r="AX322" s="78" t="n">
        <v>28.038961038961</v>
      </c>
      <c r="AY322" s="48" t="n">
        <v>1.53820205950751</v>
      </c>
      <c r="AZ322" s="48" t="n">
        <v>19.5624403671012</v>
      </c>
      <c r="BA322" s="48" t="n">
        <v>-5.32347487710115</v>
      </c>
      <c r="BB322" s="49" t="n">
        <f aca="false">AT322/V322</f>
        <v>1.53820205950751</v>
      </c>
      <c r="BC322" s="49" t="n">
        <f aca="false">AS322/V322</f>
        <v>1.55075538510023</v>
      </c>
      <c r="BD322" s="49" t="n">
        <f aca="false">SUM(AP322:AR322)/V322</f>
        <v>0.181500459238082</v>
      </c>
      <c r="BE322" s="50" t="n">
        <v>6.76</v>
      </c>
      <c r="BF322" s="51" t="n">
        <v>145.45491295067</v>
      </c>
      <c r="BG322" s="51" t="n">
        <v>573.979465737625</v>
      </c>
      <c r="BH322" s="51" t="n">
        <v>225.481902583009</v>
      </c>
      <c r="BI322" s="51" t="n">
        <v>132.449263952906</v>
      </c>
      <c r="BJ322" s="51" t="n">
        <v>16.7515377338232</v>
      </c>
      <c r="BK322" s="51" t="n">
        <v>22.4709309592097</v>
      </c>
      <c r="BL322" s="51" t="n">
        <v>23.8917746553181</v>
      </c>
      <c r="BM322" s="51"/>
      <c r="BN322" s="52" t="n">
        <f aca="false">(BG322*0.5-BH322*0.25+BI322*0.5)/SUM(BG322:BI322)*1000</f>
        <v>318.532570526979</v>
      </c>
      <c r="BO322" s="53" t="n">
        <v>6.97292012</v>
      </c>
      <c r="BP322" s="54" t="s">
        <v>77</v>
      </c>
      <c r="BQ322" s="55" t="n">
        <v>434.905108960681</v>
      </c>
      <c r="BR322" s="56" t="n">
        <v>30.5433080279683</v>
      </c>
      <c r="BS322" s="56" t="n">
        <v>47.1418506033662</v>
      </c>
      <c r="BT322" s="56" t="n">
        <v>19.8564992415544</v>
      </c>
      <c r="BU322" s="55"/>
      <c r="BV322" s="55"/>
      <c r="BW322" s="55"/>
      <c r="BX322" s="55"/>
      <c r="BY322" s="79" t="n">
        <v>0.0553846153846154</v>
      </c>
      <c r="BZ322" s="80" t="n">
        <v>0.4231246</v>
      </c>
      <c r="CA322" s="81" t="n">
        <v>3.31</v>
      </c>
      <c r="CB322" s="81" t="n">
        <v>0.03</v>
      </c>
      <c r="CC322" s="82" t="n">
        <v>4.652658</v>
      </c>
      <c r="CD322" s="82" t="n">
        <v>7.428256</v>
      </c>
      <c r="CE322" s="83" t="n">
        <v>68.474612</v>
      </c>
      <c r="CF322" s="84" t="n">
        <v>35.596938</v>
      </c>
      <c r="CG322" s="80" t="n">
        <v>0.005</v>
      </c>
      <c r="CH322" s="63" t="n">
        <v>57568.712271126</v>
      </c>
      <c r="CI322" s="63" t="n">
        <v>7602.85685935748</v>
      </c>
      <c r="CJ322" s="64" t="n">
        <v>656996.696193006</v>
      </c>
      <c r="CK322" s="65" t="n">
        <v>1.15721386475952</v>
      </c>
    </row>
    <row r="323" customFormat="false" ht="15" hidden="false" customHeight="false" outlineLevel="0" collapsed="false">
      <c r="A323" s="7" t="s">
        <v>73</v>
      </c>
      <c r="B323" s="66" t="n">
        <v>321</v>
      </c>
      <c r="C323" s="8" t="s">
        <v>399</v>
      </c>
      <c r="D323" s="67" t="n">
        <v>41981</v>
      </c>
      <c r="E323" s="4" t="s">
        <v>78</v>
      </c>
      <c r="F323" s="7" t="n">
        <v>7805</v>
      </c>
      <c r="G323" s="68" t="n">
        <v>1</v>
      </c>
      <c r="H323" s="68" t="n">
        <v>122</v>
      </c>
      <c r="I323" s="66" t="n">
        <v>2</v>
      </c>
      <c r="J323" s="69" t="n">
        <v>624.264492753623</v>
      </c>
      <c r="K323" s="31" t="n">
        <v>486.5827922535</v>
      </c>
      <c r="L323" s="31" t="n">
        <v>938.680485306648</v>
      </c>
      <c r="M323" s="31" t="n">
        <v>169.59554201402</v>
      </c>
      <c r="N323" s="31" t="n">
        <v>370.140663279484</v>
      </c>
      <c r="O323" s="32"/>
      <c r="P323" s="33" t="n">
        <v>42.4489886333556</v>
      </c>
      <c r="Q323" s="33" t="n">
        <v>15.7877401527792</v>
      </c>
      <c r="R323" s="31" t="n">
        <v>161.615024503579</v>
      </c>
      <c r="S323" s="34" t="s">
        <v>76</v>
      </c>
      <c r="T323" s="35" t="n">
        <v>16.1987678956522</v>
      </c>
      <c r="U323" s="35" t="n">
        <v>4.35078530434783</v>
      </c>
      <c r="V323" s="70" t="n">
        <v>20.5495532</v>
      </c>
      <c r="W323" s="35" t="n">
        <v>19.167760727611</v>
      </c>
      <c r="X323" s="35" t="n">
        <v>3.46021066300146</v>
      </c>
      <c r="Y323" s="35" t="n">
        <v>7.04297832687028</v>
      </c>
      <c r="Z323" s="35"/>
      <c r="AA323" s="35" t="n">
        <v>0.818016728651004</v>
      </c>
      <c r="AB323" s="35" t="n">
        <v>0.304822480852875</v>
      </c>
      <c r="AC323" s="71" t="n">
        <v>3.32721177475544</v>
      </c>
      <c r="AD323" s="38" t="n">
        <v>6.21428438973879</v>
      </c>
      <c r="AE323" s="38" t="n">
        <v>5.28034110866423</v>
      </c>
      <c r="AF323" s="38" t="n">
        <v>1.36163003085585</v>
      </c>
      <c r="AG323" s="72"/>
      <c r="AH323" s="72"/>
      <c r="AI323" s="73" t="n">
        <v>49.0519039257693</v>
      </c>
      <c r="AJ323" s="42" t="s">
        <v>16</v>
      </c>
      <c r="AK323" s="43" t="n">
        <v>697.59515794539</v>
      </c>
      <c r="AL323" s="43" t="n">
        <v>724.519666970908</v>
      </c>
      <c r="AM323" s="43" t="n">
        <v>606.489268004643</v>
      </c>
      <c r="AN323" s="74"/>
      <c r="AO323" s="75" t="n">
        <v>22.204347826087</v>
      </c>
      <c r="AP323" s="76" t="n">
        <v>0.836036579585743</v>
      </c>
      <c r="AQ323" s="76" t="n">
        <v>0.701600212726255</v>
      </c>
      <c r="AR323" s="76" t="n">
        <v>1.03483696585184</v>
      </c>
      <c r="AS323" s="77" t="n">
        <v>21.4222878242209</v>
      </c>
      <c r="AT323" s="78" t="n">
        <v>21.2021527265283</v>
      </c>
      <c r="AU323" s="78" t="n">
        <v>37.6519313304721</v>
      </c>
      <c r="AV323" s="78" t="n">
        <v>31.5974248927039</v>
      </c>
      <c r="AW323" s="78" t="n">
        <v>46.6051502145923</v>
      </c>
      <c r="AX323" s="78" t="n">
        <v>39.9871244635193</v>
      </c>
      <c r="AY323" s="48" t="n">
        <v>1.031757358429</v>
      </c>
      <c r="AZ323" s="48" t="n">
        <v>19.7092681562812</v>
      </c>
      <c r="BA323" s="48" t="n">
        <v>0.840285043718797</v>
      </c>
      <c r="BB323" s="49" t="n">
        <f aca="false">AT323/V323</f>
        <v>1.031757358429</v>
      </c>
      <c r="BC323" s="49" t="n">
        <f aca="false">AS323/V323</f>
        <v>1.04246976154308</v>
      </c>
      <c r="BD323" s="49" t="n">
        <f aca="false">SUM(AP323:AR323)/V323</f>
        <v>0.125183926537334</v>
      </c>
      <c r="BE323" s="50" t="n">
        <v>6.49</v>
      </c>
      <c r="BF323" s="51" t="n">
        <v>140.708692676401</v>
      </c>
      <c r="BG323" s="51" t="n">
        <v>539.946742129886</v>
      </c>
      <c r="BH323" s="51" t="n">
        <v>227.062877057524</v>
      </c>
      <c r="BI323" s="51" t="n">
        <v>180.473727713426</v>
      </c>
      <c r="BJ323" s="51" t="n">
        <v>10.8269860959419</v>
      </c>
      <c r="BK323" s="51" t="n">
        <v>21.448679743926</v>
      </c>
      <c r="BL323" s="51" t="n">
        <v>15.2658628811872</v>
      </c>
      <c r="BM323" s="51"/>
      <c r="BN323" s="52" t="n">
        <f aca="false">(BG323*0.5-BH323*0.25+BI323*0.5)/SUM(BG323:BI323)*1000</f>
        <v>320.263692918535</v>
      </c>
      <c r="BO323" s="53" t="n">
        <v>3.7843371</v>
      </c>
      <c r="BP323" s="54" t="s">
        <v>77</v>
      </c>
      <c r="BQ323" s="55" t="n">
        <v>419.242649231907</v>
      </c>
      <c r="BR323" s="56" t="n">
        <v>20.4015457246976</v>
      </c>
      <c r="BS323" s="56" t="n">
        <v>30.1886643260875</v>
      </c>
      <c r="BT323" s="56" t="n">
        <v>19.7735887784332</v>
      </c>
      <c r="BU323" s="55"/>
      <c r="BV323" s="55"/>
      <c r="BW323" s="55"/>
      <c r="BX323" s="55"/>
      <c r="BY323" s="79" t="n">
        <v>0.0646153846153846</v>
      </c>
      <c r="BZ323" s="80" t="n">
        <v>0.6760014</v>
      </c>
      <c r="CA323" s="81" t="n">
        <v>3.4</v>
      </c>
      <c r="CB323" s="81" t="n">
        <v>0.554</v>
      </c>
      <c r="CC323" s="82" t="n">
        <v>5.878116</v>
      </c>
      <c r="CD323" s="82" t="n">
        <v>6.391396</v>
      </c>
      <c r="CE323" s="83" t="n">
        <v>72.22772</v>
      </c>
      <c r="CF323" s="84" t="n">
        <v>35.288748</v>
      </c>
      <c r="CG323" s="80" t="n">
        <v>0.134</v>
      </c>
      <c r="CH323" s="63" t="n">
        <v>47704.6499525195</v>
      </c>
      <c r="CI323" s="63" t="n">
        <v>3334.10752782397</v>
      </c>
      <c r="CJ323" s="64" t="n">
        <v>314589.936641886</v>
      </c>
      <c r="CK323" s="65" t="n">
        <v>1.05982650411967</v>
      </c>
    </row>
    <row r="324" customFormat="false" ht="15" hidden="false" customHeight="false" outlineLevel="0" collapsed="false">
      <c r="A324" s="7" t="s">
        <v>73</v>
      </c>
      <c r="B324" s="66" t="n">
        <v>322</v>
      </c>
      <c r="C324" s="8" t="s">
        <v>400</v>
      </c>
      <c r="D324" s="67" t="n">
        <v>42016</v>
      </c>
      <c r="E324" s="4" t="s">
        <v>78</v>
      </c>
      <c r="F324" s="7" t="n">
        <v>1935</v>
      </c>
      <c r="G324" s="68" t="n">
        <v>1</v>
      </c>
      <c r="H324" s="68" t="n">
        <v>108</v>
      </c>
      <c r="I324" s="66" t="n">
        <v>2</v>
      </c>
      <c r="J324" s="69" t="n">
        <v>585.34126984127</v>
      </c>
      <c r="K324" s="31" t="n">
        <v>486.5827922535</v>
      </c>
      <c r="L324" s="31" t="n">
        <v>938.680485306648</v>
      </c>
      <c r="M324" s="31" t="n">
        <v>169.59554201402</v>
      </c>
      <c r="N324" s="31" t="n">
        <v>370.140663279484</v>
      </c>
      <c r="O324" s="32"/>
      <c r="P324" s="33" t="n">
        <v>42.4489886333556</v>
      </c>
      <c r="Q324" s="33" t="n">
        <v>13.7063552868315</v>
      </c>
      <c r="R324" s="31" t="n">
        <v>161.615024503579</v>
      </c>
      <c r="S324" s="34" t="s">
        <v>76</v>
      </c>
      <c r="T324" s="35" t="n">
        <v>12.4362553319048</v>
      </c>
      <c r="U324" s="35" t="n">
        <v>2.69160723809524</v>
      </c>
      <c r="V324" s="70" t="n">
        <v>15.12786257</v>
      </c>
      <c r="W324" s="35" t="n">
        <v>14.0993578820678</v>
      </c>
      <c r="X324" s="35" t="n">
        <v>2.50967217643307</v>
      </c>
      <c r="Y324" s="35" t="n">
        <v>5.2911256925032</v>
      </c>
      <c r="Z324" s="35"/>
      <c r="AA324" s="35" t="n">
        <v>0.593015471283331</v>
      </c>
      <c r="AB324" s="35" t="n">
        <v>0.213261695681097</v>
      </c>
      <c r="AC324" s="71" t="n">
        <v>2.37731232128516</v>
      </c>
      <c r="AD324" s="38" t="n">
        <v>4.80545041810919</v>
      </c>
      <c r="AE324" s="38" t="n">
        <v>4.10928130809744</v>
      </c>
      <c r="AF324" s="38" t="n">
        <v>1.02550162402336</v>
      </c>
      <c r="AG324" s="72"/>
      <c r="AH324" s="72"/>
      <c r="AI324" s="73" t="n">
        <v>44.3791272671187</v>
      </c>
      <c r="AJ324" s="42" t="s">
        <v>16</v>
      </c>
      <c r="AK324" s="43" t="n">
        <v>682.34438964042</v>
      </c>
      <c r="AL324" s="43" t="n">
        <v>708.548336564759</v>
      </c>
      <c r="AM324" s="43" t="n">
        <v>591.380247327409</v>
      </c>
      <c r="AN324" s="74"/>
      <c r="AO324" s="75" t="n">
        <v>19.0047619047619</v>
      </c>
      <c r="AP324" s="76" t="n">
        <v>0.822376549570648</v>
      </c>
      <c r="AQ324" s="76" t="n">
        <v>0.683828719750195</v>
      </c>
      <c r="AR324" s="76" t="n">
        <v>0.878144621389539</v>
      </c>
      <c r="AS324" s="77" t="n">
        <v>19.9375530054645</v>
      </c>
      <c r="AT324" s="78" t="n">
        <v>20.0520979222045</v>
      </c>
      <c r="AU324" s="78" t="n">
        <v>43.272131147541</v>
      </c>
      <c r="AV324" s="78" t="n">
        <v>35.9819672131148</v>
      </c>
      <c r="AW324" s="78" t="n">
        <v>46.2065573770492</v>
      </c>
      <c r="AX324" s="78" t="n">
        <v>51.6229508196721</v>
      </c>
      <c r="AY324" s="48" t="n">
        <v>1.32550767363327</v>
      </c>
      <c r="AZ324" s="48" t="n">
        <v>18.4523184892621</v>
      </c>
      <c r="BA324" s="48" t="n">
        <v>-3.32445591926207</v>
      </c>
      <c r="BB324" s="49" t="n">
        <f aca="false">AT324/V324</f>
        <v>1.32550767363327</v>
      </c>
      <c r="BC324" s="49" t="n">
        <f aca="false">AS324/V324</f>
        <v>1.31793588903977</v>
      </c>
      <c r="BD324" s="49" t="n">
        <f aca="false">SUM(AP324:AR324)/V324</f>
        <v>0.157613137988097</v>
      </c>
      <c r="BE324" s="50" t="n">
        <v>6.64</v>
      </c>
      <c r="BF324" s="51" t="n">
        <v>123.910058918499</v>
      </c>
      <c r="BG324" s="51" t="n">
        <v>503.925074481488</v>
      </c>
      <c r="BH324" s="51" t="n">
        <v>251.34618519142</v>
      </c>
      <c r="BI324" s="51" t="n">
        <v>173.120129011568</v>
      </c>
      <c r="BJ324" s="51" t="n">
        <v>17.1276754292608</v>
      </c>
      <c r="BK324" s="51" t="n">
        <v>23.7094483542125</v>
      </c>
      <c r="BL324" s="51" t="n">
        <v>25.7963631539413</v>
      </c>
      <c r="BM324" s="51"/>
      <c r="BN324" s="52" t="n">
        <f aca="false">(BG324*0.5-BH324*0.25+BI324*0.5)/SUM(BG324:BI324)*1000</f>
        <v>296.950250518069</v>
      </c>
      <c r="BO324" s="53" t="n">
        <v>9.40808096</v>
      </c>
      <c r="BP324" s="54" t="s">
        <v>77</v>
      </c>
      <c r="BQ324" s="55" t="n">
        <v>357.149799905938</v>
      </c>
      <c r="BR324" s="56" t="n">
        <v>23.6087417011707</v>
      </c>
      <c r="BS324" s="56" t="n">
        <v>35.7504566918445</v>
      </c>
      <c r="BT324" s="56" t="n">
        <v>17.8110939459582</v>
      </c>
      <c r="BU324" s="55"/>
      <c r="BV324" s="55"/>
      <c r="BW324" s="55"/>
      <c r="BX324" s="55"/>
      <c r="BY324" s="79" t="n">
        <v>0.0714640198511166</v>
      </c>
      <c r="BZ324" s="80" t="n">
        <v>0.8618785</v>
      </c>
      <c r="CA324" s="81" t="n">
        <v>3.24</v>
      </c>
      <c r="CB324" s="81" t="n">
        <v>0.484</v>
      </c>
      <c r="CC324" s="82" t="n">
        <v>9.782821</v>
      </c>
      <c r="CD324" s="82" t="n">
        <v>5.1646</v>
      </c>
      <c r="CE324" s="83" t="n">
        <v>88.542354</v>
      </c>
      <c r="CF324" s="84" t="n">
        <v>36.126544</v>
      </c>
      <c r="CG324" s="80" t="n">
        <v>0.005</v>
      </c>
      <c r="CH324" s="63" t="n">
        <v>58160.3639925533</v>
      </c>
      <c r="CI324" s="63" t="n">
        <v>8863.88354571529</v>
      </c>
      <c r="CJ324" s="64" t="n">
        <v>812954.747458851</v>
      </c>
      <c r="CK324" s="65" t="n">
        <v>1.09032926782483</v>
      </c>
    </row>
    <row r="325" customFormat="false" ht="15" hidden="false" customHeight="false" outlineLevel="0" collapsed="false">
      <c r="A325" s="7" t="s">
        <v>73</v>
      </c>
      <c r="B325" s="66" t="n">
        <v>323</v>
      </c>
      <c r="C325" s="8" t="s">
        <v>401</v>
      </c>
      <c r="D325" s="67" t="n">
        <v>41981</v>
      </c>
      <c r="E325" s="4" t="s">
        <v>78</v>
      </c>
      <c r="F325" s="7" t="n">
        <v>107</v>
      </c>
      <c r="G325" s="68" t="n">
        <v>1</v>
      </c>
      <c r="H325" s="68" t="n">
        <v>104</v>
      </c>
      <c r="I325" s="66" t="n">
        <v>6</v>
      </c>
      <c r="J325" s="69" t="n">
        <v>713.9</v>
      </c>
      <c r="K325" s="31" t="n">
        <v>486.5827922535</v>
      </c>
      <c r="L325" s="31" t="n">
        <v>938.680485306648</v>
      </c>
      <c r="M325" s="31" t="n">
        <v>169.59554201402</v>
      </c>
      <c r="N325" s="31" t="n">
        <v>370.140663279484</v>
      </c>
      <c r="O325" s="32"/>
      <c r="P325" s="33" t="n">
        <v>42.4489886333556</v>
      </c>
      <c r="Q325" s="33" t="n">
        <v>15.7877401527792</v>
      </c>
      <c r="R325" s="31" t="n">
        <v>161.615024503579</v>
      </c>
      <c r="S325" s="34" t="s">
        <v>76</v>
      </c>
      <c r="T325" s="35" t="n">
        <v>13.97513697</v>
      </c>
      <c r="U325" s="35" t="n">
        <v>4.54839975</v>
      </c>
      <c r="V325" s="70" t="n">
        <v>18.52353672</v>
      </c>
      <c r="W325" s="35" t="n">
        <v>17.2672563656844</v>
      </c>
      <c r="X325" s="35" t="n">
        <v>3.12626224948314</v>
      </c>
      <c r="Y325" s="35" t="n">
        <v>6.25680469831741</v>
      </c>
      <c r="Z325" s="35"/>
      <c r="AA325" s="35" t="n">
        <v>0.733688274897543</v>
      </c>
      <c r="AB325" s="35" t="n">
        <v>0.268635265869131</v>
      </c>
      <c r="AC325" s="71" t="n">
        <v>3.01903659969969</v>
      </c>
      <c r="AD325" s="38" t="n">
        <v>4.71334284424511</v>
      </c>
      <c r="AE325" s="38" t="n">
        <v>4.04024474529172</v>
      </c>
      <c r="AF325" s="38" t="n">
        <v>1.11280487893973</v>
      </c>
      <c r="AG325" s="72"/>
      <c r="AH325" s="72"/>
      <c r="AI325" s="73" t="n">
        <v>56.9946372980547</v>
      </c>
      <c r="AJ325" s="42" t="s">
        <v>16</v>
      </c>
      <c r="AK325" s="43" t="n">
        <v>745.54843842774</v>
      </c>
      <c r="AL325" s="43" t="n">
        <v>766.016982679368</v>
      </c>
      <c r="AM325" s="43" t="n">
        <v>644.046215533036</v>
      </c>
      <c r="AN325" s="74"/>
      <c r="AO325" s="75" t="n">
        <v>24.14</v>
      </c>
      <c r="AP325" s="76" t="n">
        <v>0.642124</v>
      </c>
      <c r="AQ325" s="76" t="n">
        <v>0.656608</v>
      </c>
      <c r="AR325" s="76" t="n">
        <v>1.127338</v>
      </c>
      <c r="AS325" s="77" t="n">
        <v>19.28786</v>
      </c>
      <c r="AT325" s="78" t="n">
        <v>18.9901692101911</v>
      </c>
      <c r="AU325" s="78" t="n">
        <v>26.6</v>
      </c>
      <c r="AV325" s="78" t="n">
        <v>27.2</v>
      </c>
      <c r="AW325" s="78" t="n">
        <v>46.7</v>
      </c>
      <c r="AX325" s="78" t="n">
        <v>52</v>
      </c>
      <c r="AY325" s="48" t="n">
        <v>1.02519132805169</v>
      </c>
      <c r="AZ325" s="48" t="n">
        <v>19.9583365153596</v>
      </c>
      <c r="BA325" s="48" t="n">
        <v>-1.43479979535956</v>
      </c>
      <c r="BB325" s="49" t="n">
        <f aca="false">AT325/V325</f>
        <v>1.02519132805169</v>
      </c>
      <c r="BC325" s="49" t="n">
        <f aca="false">AS325/V325</f>
        <v>1.04126227574968</v>
      </c>
      <c r="BD325" s="49" t="n">
        <f aca="false">SUM(AP325:AR325)/V325</f>
        <v>0.130972288751994</v>
      </c>
      <c r="BE325" s="50" t="n">
        <v>6.55</v>
      </c>
      <c r="BF325" s="51" t="n">
        <v>140.963345083105</v>
      </c>
      <c r="BG325" s="51" t="n">
        <v>503.892582929653</v>
      </c>
      <c r="BH325" s="51" t="n">
        <v>277.416431787789</v>
      </c>
      <c r="BI325" s="51" t="n">
        <v>149.259774942952</v>
      </c>
      <c r="BJ325" s="51" t="n">
        <v>14.1577308096646</v>
      </c>
      <c r="BK325" s="51" t="n">
        <v>22.1527515802095</v>
      </c>
      <c r="BL325" s="51" t="n">
        <v>28.1456035716221</v>
      </c>
      <c r="BM325" s="51"/>
      <c r="BN325" s="52" t="n">
        <f aca="false">(BG325*0.5-BH325*0.25+BI325*0.5)/SUM(BG325:BI325)*1000</f>
        <v>276.41381684768</v>
      </c>
      <c r="BO325" s="53" t="n">
        <v>6.76568106</v>
      </c>
      <c r="BP325" s="54" t="s">
        <v>77</v>
      </c>
      <c r="BQ325" s="55" t="n">
        <v>338.268619779297</v>
      </c>
      <c r="BR325" s="56" t="n">
        <v>18.2615568988003</v>
      </c>
      <c r="BS325" s="56" t="n">
        <v>25.5740774626502</v>
      </c>
      <c r="BT325" s="56" t="n">
        <v>17.8128281025408</v>
      </c>
      <c r="BU325" s="55"/>
      <c r="BV325" s="55"/>
      <c r="BW325" s="55"/>
      <c r="BX325" s="55"/>
      <c r="BY325" s="79" t="n">
        <v>0.0738461538461539</v>
      </c>
      <c r="BZ325" s="80" t="n">
        <v>0.5732702</v>
      </c>
      <c r="CA325" s="81" t="n">
        <v>4.4</v>
      </c>
      <c r="CB325" s="81" t="n">
        <v>0.47</v>
      </c>
      <c r="CC325" s="82" t="n">
        <v>4.956404</v>
      </c>
      <c r="CD325" s="82" t="n">
        <v>4.977496</v>
      </c>
      <c r="CE325" s="83" t="n">
        <v>81.606832</v>
      </c>
      <c r="CF325" s="84" t="n">
        <v>35.792125</v>
      </c>
      <c r="CG325" s="80" t="n">
        <v>0.1865</v>
      </c>
      <c r="CH325" s="63" t="n">
        <v>19550.0442747515</v>
      </c>
      <c r="CI325" s="63" t="n">
        <v>7591.35321957872</v>
      </c>
      <c r="CJ325" s="64" t="n">
        <v>995535.167672766</v>
      </c>
      <c r="CK325" s="65" t="n">
        <v>0.762539934910065</v>
      </c>
    </row>
    <row r="326" customFormat="false" ht="15" hidden="false" customHeight="false" outlineLevel="0" collapsed="false">
      <c r="A326" s="7" t="s">
        <v>73</v>
      </c>
      <c r="B326" s="66" t="n">
        <v>324</v>
      </c>
      <c r="C326" s="8" t="s">
        <v>402</v>
      </c>
      <c r="D326" s="67" t="n">
        <v>41981</v>
      </c>
      <c r="E326" s="4" t="s">
        <v>78</v>
      </c>
      <c r="F326" s="7" t="n">
        <v>808</v>
      </c>
      <c r="G326" s="68" t="n">
        <v>1</v>
      </c>
      <c r="H326" s="68" t="n">
        <v>104</v>
      </c>
      <c r="I326" s="66" t="n">
        <v>5</v>
      </c>
      <c r="J326" s="69" t="n">
        <v>680.866666666667</v>
      </c>
      <c r="K326" s="31" t="n">
        <v>486.5827922535</v>
      </c>
      <c r="L326" s="31" t="n">
        <v>938.680485306648</v>
      </c>
      <c r="M326" s="31" t="n">
        <v>169.59554201402</v>
      </c>
      <c r="N326" s="31" t="n">
        <v>370.140663279484</v>
      </c>
      <c r="O326" s="32"/>
      <c r="P326" s="33" t="n">
        <v>42.4489886333556</v>
      </c>
      <c r="Q326" s="33" t="n">
        <v>15.7877401527792</v>
      </c>
      <c r="R326" s="31" t="n">
        <v>161.615024503579</v>
      </c>
      <c r="S326" s="34" t="s">
        <v>76</v>
      </c>
      <c r="T326" s="35" t="n">
        <v>19.7776201433333</v>
      </c>
      <c r="U326" s="35" t="n">
        <v>7.35781766666667</v>
      </c>
      <c r="V326" s="70" t="n">
        <v>27.13543781</v>
      </c>
      <c r="W326" s="35" t="n">
        <v>25.2744634714126</v>
      </c>
      <c r="X326" s="35" t="n">
        <v>4.57384624599121</v>
      </c>
      <c r="Y326" s="35" t="n">
        <v>9.07762293346535</v>
      </c>
      <c r="Z326" s="35"/>
      <c r="AA326" s="35" t="n">
        <v>1.06539657146219</v>
      </c>
      <c r="AB326" s="35" t="n">
        <v>0.390977235836438</v>
      </c>
      <c r="AC326" s="71" t="n">
        <v>4.42028277356615</v>
      </c>
      <c r="AD326" s="38" t="n">
        <v>7.41636588627225</v>
      </c>
      <c r="AE326" s="38" t="n">
        <v>6.30626871449255</v>
      </c>
      <c r="AF326" s="38" t="n">
        <v>1.63089828994554</v>
      </c>
      <c r="AG326" s="72"/>
      <c r="AH326" s="72"/>
      <c r="AI326" s="73" t="n">
        <v>52.718169765618</v>
      </c>
      <c r="AJ326" s="42" t="s">
        <v>16</v>
      </c>
      <c r="AK326" s="43" t="n">
        <v>726.690759950106</v>
      </c>
      <c r="AL326" s="43" t="n">
        <v>750.488522867145</v>
      </c>
      <c r="AM326" s="43" t="n">
        <v>643.429577158403</v>
      </c>
      <c r="AN326" s="74"/>
      <c r="AO326" s="75" t="n">
        <v>35.9133333333333</v>
      </c>
      <c r="AP326" s="76" t="n">
        <v>1.38189277905492</v>
      </c>
      <c r="AQ326" s="76" t="n">
        <v>1.00916466666667</v>
      </c>
      <c r="AR326" s="76" t="n">
        <v>1.61603120051086</v>
      </c>
      <c r="AS326" s="77" t="n">
        <v>35.0937250191571</v>
      </c>
      <c r="AT326" s="78" t="n">
        <v>33.3824332571931</v>
      </c>
      <c r="AU326" s="78" t="n">
        <v>38.4785440613027</v>
      </c>
      <c r="AV326" s="78" t="n">
        <v>28.1</v>
      </c>
      <c r="AW326" s="78" t="n">
        <v>44.9980842911877</v>
      </c>
      <c r="AX326" s="78" t="n">
        <v>42.0191570881226</v>
      </c>
      <c r="AY326" s="48" t="n">
        <v>1.23021539180366</v>
      </c>
      <c r="AZ326" s="48" t="n">
        <v>25.217050898195</v>
      </c>
      <c r="BA326" s="48" t="n">
        <v>1.91838691180503</v>
      </c>
      <c r="BB326" s="49" t="n">
        <f aca="false">AT326/V326</f>
        <v>1.23021539180366</v>
      </c>
      <c r="BC326" s="49" t="n">
        <f aca="false">AS326/V326</f>
        <v>1.29328022141674</v>
      </c>
      <c r="BD326" s="49" t="n">
        <f aca="false">SUM(AP326:AR326)/V326</f>
        <v>0.147669946373806</v>
      </c>
      <c r="BE326" s="50" t="n">
        <v>6.39</v>
      </c>
      <c r="BF326" s="51" t="n">
        <v>144.512177244016</v>
      </c>
      <c r="BG326" s="51" t="n">
        <v>526.02690760831</v>
      </c>
      <c r="BH326" s="51" t="n">
        <v>223.257563139015</v>
      </c>
      <c r="BI326" s="51" t="n">
        <v>186.877357407958</v>
      </c>
      <c r="BJ326" s="51" t="n">
        <v>12.7092695657614</v>
      </c>
      <c r="BK326" s="51" t="n">
        <v>23.2668193321833</v>
      </c>
      <c r="BL326" s="51" t="n">
        <v>22.8869585686623</v>
      </c>
      <c r="BM326" s="51"/>
      <c r="BN326" s="52" t="n">
        <f aca="false">(BG326*0.5-BH326*0.25+BI326*0.5)/SUM(BG326:BI326)*1000</f>
        <v>321.138645778572</v>
      </c>
      <c r="BO326" s="53" t="n">
        <v>10.99934592</v>
      </c>
      <c r="BP326" s="54" t="s">
        <v>77</v>
      </c>
      <c r="BQ326" s="55" t="n">
        <v>312.157533934032</v>
      </c>
      <c r="BR326" s="56" t="n">
        <v>11.5036851853923</v>
      </c>
      <c r="BS326" s="56" t="n">
        <v>16.4568920729871</v>
      </c>
      <c r="BT326" s="56" t="n">
        <v>9.35095208695641</v>
      </c>
      <c r="BU326" s="55"/>
      <c r="BV326" s="55"/>
      <c r="BW326" s="55"/>
      <c r="BX326" s="55"/>
      <c r="BY326" s="79" t="n">
        <v>0.0646153846153846</v>
      </c>
      <c r="BZ326" s="80" t="n">
        <v>1.2923886</v>
      </c>
      <c r="CA326" s="81" t="n">
        <v>3.03</v>
      </c>
      <c r="CB326" s="81" t="n">
        <v>0.187</v>
      </c>
      <c r="CC326" s="82" t="n">
        <v>5.920012</v>
      </c>
      <c r="CD326" s="82" t="n">
        <v>7.02608</v>
      </c>
      <c r="CE326" s="83" t="n">
        <v>77.853724</v>
      </c>
      <c r="CF326" s="84" t="n">
        <v>34.898374</v>
      </c>
      <c r="CG326" s="80" t="n">
        <v>0.1025</v>
      </c>
      <c r="CH326" s="63" t="n">
        <v>64222.6500522141</v>
      </c>
      <c r="CI326" s="63" t="n">
        <v>5989.66340270504</v>
      </c>
      <c r="CJ326" s="64" t="n">
        <v>446096.11606481</v>
      </c>
      <c r="CK326" s="65" t="n">
        <v>1.34268449937252</v>
      </c>
    </row>
    <row r="327" customFormat="false" ht="15" hidden="false" customHeight="false" outlineLevel="0" collapsed="false">
      <c r="A327" s="7" t="s">
        <v>73</v>
      </c>
      <c r="B327" s="66" t="n">
        <v>325</v>
      </c>
      <c r="C327" s="8" t="s">
        <v>403</v>
      </c>
      <c r="D327" s="67" t="n">
        <v>41981</v>
      </c>
      <c r="E327" s="4" t="s">
        <v>78</v>
      </c>
      <c r="F327" s="7" t="n">
        <v>921</v>
      </c>
      <c r="G327" s="68" t="n">
        <v>1</v>
      </c>
      <c r="H327" s="68" t="n">
        <v>147</v>
      </c>
      <c r="I327" s="66" t="n">
        <v>3</v>
      </c>
      <c r="J327" s="69" t="n">
        <v>718.761111111111</v>
      </c>
      <c r="K327" s="31" t="n">
        <v>486.5827922535</v>
      </c>
      <c r="L327" s="31" t="n">
        <v>938.680485306648</v>
      </c>
      <c r="M327" s="31" t="n">
        <v>169.59554201402</v>
      </c>
      <c r="N327" s="31" t="n">
        <v>370.140663279484</v>
      </c>
      <c r="O327" s="32"/>
      <c r="P327" s="33" t="n">
        <v>42.4489886333556</v>
      </c>
      <c r="Q327" s="33" t="n">
        <v>15.7877401527792</v>
      </c>
      <c r="R327" s="31" t="n">
        <v>161.615024503579</v>
      </c>
      <c r="S327" s="34" t="s">
        <v>76</v>
      </c>
      <c r="T327" s="35" t="n">
        <v>17.9424511033333</v>
      </c>
      <c r="U327" s="35" t="n">
        <v>6.44262166666667</v>
      </c>
      <c r="V327" s="70" t="n">
        <v>24.38507277</v>
      </c>
      <c r="W327" s="35" t="n">
        <v>22.7066882013066</v>
      </c>
      <c r="X327" s="35" t="n">
        <v>4.09415214790134</v>
      </c>
      <c r="Y327" s="35" t="n">
        <v>8.1963814135786</v>
      </c>
      <c r="Z327" s="35"/>
      <c r="AA327" s="35" t="n">
        <v>0.952972693725103</v>
      </c>
      <c r="AB327" s="35" t="n">
        <v>0.357352435546898</v>
      </c>
      <c r="AC327" s="71" t="n">
        <v>3.94197208748495</v>
      </c>
      <c r="AD327" s="38" t="n">
        <v>7.4063150540683</v>
      </c>
      <c r="AE327" s="38" t="n">
        <v>6.33236375652937</v>
      </c>
      <c r="AF327" s="38" t="n">
        <v>1.55337788014922</v>
      </c>
      <c r="AG327" s="72"/>
      <c r="AH327" s="72"/>
      <c r="AI327" s="73" t="n">
        <v>48.2496940702792</v>
      </c>
      <c r="AJ327" s="42" t="s">
        <v>16</v>
      </c>
      <c r="AK327" s="43" t="n">
        <v>696.276688450977</v>
      </c>
      <c r="AL327" s="43" t="n">
        <v>721.123410847514</v>
      </c>
      <c r="AM327" s="43" t="n">
        <v>620.586186337632</v>
      </c>
      <c r="AN327" s="74"/>
      <c r="AO327" s="75" t="n">
        <v>33.44</v>
      </c>
      <c r="AP327" s="76" t="n">
        <v>1.33539557541899</v>
      </c>
      <c r="AQ327" s="76" t="n">
        <v>1.12562029050279</v>
      </c>
      <c r="AR327" s="76" t="n">
        <v>1.48725801117318</v>
      </c>
      <c r="AS327" s="77" t="n">
        <v>33.4069336312849</v>
      </c>
      <c r="AT327" s="78" t="n">
        <v>33.0181901508024</v>
      </c>
      <c r="AU327" s="78" t="n">
        <v>39.9340782122905</v>
      </c>
      <c r="AV327" s="78" t="n">
        <v>33.6608938547486</v>
      </c>
      <c r="AW327" s="78" t="n">
        <v>44.4754189944134</v>
      </c>
      <c r="AX327" s="78" t="n">
        <v>41.145251396648</v>
      </c>
      <c r="AY327" s="48" t="n">
        <v>1.35403287339882</v>
      </c>
      <c r="AZ327" s="48" t="n">
        <v>25.6379506802831</v>
      </c>
      <c r="BA327" s="48" t="n">
        <v>-1.25287791028312</v>
      </c>
      <c r="BB327" s="49" t="n">
        <f aca="false">AT327/V327</f>
        <v>1.35403287339882</v>
      </c>
      <c r="BC327" s="49" t="n">
        <f aca="false">AS327/V327</f>
        <v>1.36997473603541</v>
      </c>
      <c r="BD327" s="49" t="n">
        <f aca="false">SUM(AP327:AR327)/V327</f>
        <v>0.16191355729528</v>
      </c>
      <c r="BE327" s="50" t="n">
        <v>6.72</v>
      </c>
      <c r="BF327" s="51" t="n">
        <v>139.566867298844</v>
      </c>
      <c r="BG327" s="51" t="n">
        <v>513.542434086077</v>
      </c>
      <c r="BH327" s="51" t="n">
        <v>244.569132925526</v>
      </c>
      <c r="BI327" s="51" t="n">
        <v>184.31137221033</v>
      </c>
      <c r="BJ327" s="51" t="n">
        <v>13.5878442963589</v>
      </c>
      <c r="BK327" s="51" t="n">
        <v>20.4260972084907</v>
      </c>
      <c r="BL327" s="51" t="n">
        <v>18.5879948951079</v>
      </c>
      <c r="BM327" s="51"/>
      <c r="BN327" s="52" t="n">
        <f aca="false">(BG327*0.5-BH327*0.25+BI327*0.5)/SUM(BG327:BI327)*1000</f>
        <v>305.366739220522</v>
      </c>
      <c r="BO327" s="53" t="n">
        <v>10.49777352</v>
      </c>
      <c r="BP327" s="54" t="s">
        <v>77</v>
      </c>
      <c r="BQ327" s="55" t="n">
        <v>321.06477850911</v>
      </c>
      <c r="BR327" s="56" t="n">
        <v>13.1664474220517</v>
      </c>
      <c r="BS327" s="56" t="n">
        <v>19.6078183006516</v>
      </c>
      <c r="BT327" s="56" t="n">
        <v>9.72387574978295</v>
      </c>
      <c r="BU327" s="55"/>
      <c r="BV327" s="55"/>
      <c r="BW327" s="55"/>
      <c r="BX327" s="55"/>
      <c r="BY327" s="79" t="n">
        <v>0.0461538461538462</v>
      </c>
      <c r="BZ327" s="80" t="n">
        <v>0.7313182</v>
      </c>
      <c r="CA327" s="81" t="n">
        <v>3.28</v>
      </c>
      <c r="CB327" s="81" t="n">
        <v>0.591</v>
      </c>
      <c r="CC327" s="82" t="n">
        <v>5.616266</v>
      </c>
      <c r="CD327" s="82" t="n">
        <v>6.246864</v>
      </c>
      <c r="CE327" s="83" t="n">
        <v>81.401984</v>
      </c>
      <c r="CF327" s="84" t="n">
        <v>36.285229</v>
      </c>
      <c r="CG327" s="80" t="n">
        <v>0.0815</v>
      </c>
      <c r="CH327" s="63" t="n">
        <v>57181.855816398</v>
      </c>
      <c r="CI327" s="63" t="n">
        <v>4489.79674878149</v>
      </c>
      <c r="CJ327" s="64" t="n">
        <v>467350.565613183</v>
      </c>
      <c r="CK327" s="65" t="n">
        <v>0.960691412214446</v>
      </c>
    </row>
    <row r="328" customFormat="false" ht="15" hidden="false" customHeight="false" outlineLevel="0" collapsed="false">
      <c r="A328" s="7" t="s">
        <v>73</v>
      </c>
      <c r="B328" s="66" t="n">
        <v>326</v>
      </c>
      <c r="C328" s="8" t="s">
        <v>404</v>
      </c>
      <c r="D328" s="67" t="n">
        <v>41981</v>
      </c>
      <c r="E328" s="4" t="s">
        <v>78</v>
      </c>
      <c r="F328" s="7" t="n">
        <v>942</v>
      </c>
      <c r="G328" s="68" t="n">
        <v>1</v>
      </c>
      <c r="H328" s="68" t="n">
        <v>139</v>
      </c>
      <c r="I328" s="66" t="n">
        <v>3</v>
      </c>
      <c r="J328" s="69" t="n">
        <v>755.697530864197</v>
      </c>
      <c r="K328" s="31" t="n">
        <v>486.5827922535</v>
      </c>
      <c r="L328" s="31" t="n">
        <v>938.680485306648</v>
      </c>
      <c r="M328" s="31" t="n">
        <v>169.59554201402</v>
      </c>
      <c r="N328" s="31" t="n">
        <v>370.140663279484</v>
      </c>
      <c r="O328" s="32"/>
      <c r="P328" s="33" t="n">
        <v>42.4489886333556</v>
      </c>
      <c r="Q328" s="33" t="n">
        <v>15.7877401527792</v>
      </c>
      <c r="R328" s="31" t="n">
        <v>161.615024503579</v>
      </c>
      <c r="S328" s="34" t="s">
        <v>76</v>
      </c>
      <c r="T328" s="35" t="n">
        <v>12.7060949574074</v>
      </c>
      <c r="U328" s="35" t="n">
        <v>3.89315759259259</v>
      </c>
      <c r="V328" s="70" t="n">
        <v>16.59925255</v>
      </c>
      <c r="W328" s="35" t="n">
        <v>15.4748091868247</v>
      </c>
      <c r="X328" s="35" t="n">
        <v>2.7965493831984</v>
      </c>
      <c r="Y328" s="35" t="n">
        <v>5.63641868020794</v>
      </c>
      <c r="Z328" s="35"/>
      <c r="AA328" s="35" t="n">
        <v>0.65745062981884</v>
      </c>
      <c r="AB328" s="35" t="n">
        <v>0.243391396340102</v>
      </c>
      <c r="AC328" s="71" t="n">
        <v>2.6946066945417</v>
      </c>
      <c r="AD328" s="38" t="n">
        <v>4.86935711358373</v>
      </c>
      <c r="AE328" s="38" t="n">
        <v>4.14751691588839</v>
      </c>
      <c r="AF328" s="38" t="n">
        <v>0.950794531255671</v>
      </c>
      <c r="AG328" s="72"/>
      <c r="AH328" s="72"/>
      <c r="AI328" s="73" t="n">
        <v>49.9842978575403</v>
      </c>
      <c r="AJ328" s="42" t="s">
        <v>16</v>
      </c>
      <c r="AK328" s="43" t="n">
        <v>706.652025510406</v>
      </c>
      <c r="AL328" s="43" t="n">
        <v>731.982678053336</v>
      </c>
      <c r="AM328" s="43" t="n">
        <v>660.011535298457</v>
      </c>
      <c r="AN328" s="74"/>
      <c r="AO328" s="75" t="n">
        <v>19.1</v>
      </c>
      <c r="AP328" s="76" t="n">
        <v>0.710031395348837</v>
      </c>
      <c r="AQ328" s="76" t="n">
        <v>0.636518604651163</v>
      </c>
      <c r="AR328" s="76" t="n">
        <v>0.837623837209302</v>
      </c>
      <c r="AS328" s="77" t="n">
        <v>18.2904709302326</v>
      </c>
      <c r="AT328" s="78" t="n">
        <v>18.1043378795734</v>
      </c>
      <c r="AU328" s="78" t="n">
        <v>37.1744186046512</v>
      </c>
      <c r="AV328" s="78" t="n">
        <v>33.3255813953488</v>
      </c>
      <c r="AW328" s="78" t="n">
        <v>43.8546511627907</v>
      </c>
      <c r="AX328" s="78" t="n">
        <v>51.7441860465116</v>
      </c>
      <c r="AY328" s="48" t="n">
        <v>1.09067187363044</v>
      </c>
      <c r="AZ328" s="48" t="n">
        <v>20.5294074490922</v>
      </c>
      <c r="BA328" s="48" t="n">
        <v>-3.93015489909217</v>
      </c>
      <c r="BB328" s="49" t="n">
        <f aca="false">AT328/V328</f>
        <v>1.09067187363044</v>
      </c>
      <c r="BC328" s="49" t="n">
        <f aca="false">AS328/V328</f>
        <v>1.10188521291174</v>
      </c>
      <c r="BD328" s="49" t="n">
        <f aca="false">SUM(AP328:AR328)/V328</f>
        <v>0.131582661968072</v>
      </c>
      <c r="BE328" s="50" t="n">
        <v>6.69</v>
      </c>
      <c r="BF328" s="51" t="n">
        <v>128.981351348635</v>
      </c>
      <c r="BG328" s="51" t="n">
        <v>502.269360886701</v>
      </c>
      <c r="BH328" s="51" t="n">
        <v>243.578903021861</v>
      </c>
      <c r="BI328" s="51" t="n">
        <v>180.483157864784</v>
      </c>
      <c r="BJ328" s="51" t="n">
        <v>14.5524483345359</v>
      </c>
      <c r="BK328" s="51" t="n">
        <v>25.2695025363632</v>
      </c>
      <c r="BL328" s="51" t="n">
        <v>28.8715029776457</v>
      </c>
      <c r="BM328" s="51"/>
      <c r="BN328" s="52" t="n">
        <f aca="false">(BG328*0.5-BH328*0.25+BI328*0.5)/SUM(BG328:BI328)*1000</f>
        <v>302.787454929825</v>
      </c>
      <c r="BO328" s="53" t="n">
        <v>9.9531808</v>
      </c>
      <c r="BP328" s="54" t="s">
        <v>77</v>
      </c>
      <c r="BQ328" s="55" t="n">
        <v>360.448307970878</v>
      </c>
      <c r="BR328" s="56" t="n">
        <v>21.7147312437799</v>
      </c>
      <c r="BS328" s="56" t="n">
        <v>31.8212242916801</v>
      </c>
      <c r="BT328" s="56" t="n">
        <v>19.9094996110055</v>
      </c>
      <c r="BU328" s="55"/>
      <c r="BV328" s="55"/>
      <c r="BW328" s="55"/>
      <c r="BX328" s="55"/>
      <c r="BY328" s="79" t="n">
        <v>0.0276923076923077</v>
      </c>
      <c r="BZ328" s="80" t="n">
        <v>0.4744902</v>
      </c>
      <c r="CA328" s="81" t="n">
        <v>3.39</v>
      </c>
      <c r="CB328" s="81" t="n">
        <v>0.441</v>
      </c>
      <c r="CC328" s="82" t="n">
        <v>5.920012</v>
      </c>
      <c r="CD328" s="82" t="n">
        <v>3.965772</v>
      </c>
      <c r="CE328" s="83" t="n">
        <v>81.818996</v>
      </c>
      <c r="CF328" s="84" t="n">
        <v>33.881347</v>
      </c>
      <c r="CG328" s="80" t="n">
        <v>0.218</v>
      </c>
      <c r="CH328" s="63" t="n">
        <v>43654.0155217914</v>
      </c>
      <c r="CI328" s="63" t="n">
        <v>9080.44002473834</v>
      </c>
      <c r="CJ328" s="64" t="n">
        <v>825854.437261054</v>
      </c>
      <c r="CK328" s="65" t="n">
        <v>1.09952064371702</v>
      </c>
    </row>
    <row r="329" customFormat="false" ht="15" hidden="false" customHeight="false" outlineLevel="0" collapsed="false">
      <c r="A329" s="7" t="s">
        <v>73</v>
      </c>
      <c r="B329" s="66" t="n">
        <v>327</v>
      </c>
      <c r="C329" s="8" t="s">
        <v>405</v>
      </c>
      <c r="D329" s="67" t="n">
        <v>41981</v>
      </c>
      <c r="E329" s="4" t="s">
        <v>78</v>
      </c>
      <c r="F329" s="7" t="n">
        <v>964</v>
      </c>
      <c r="G329" s="68" t="n">
        <v>1</v>
      </c>
      <c r="H329" s="68" t="n">
        <v>131</v>
      </c>
      <c r="I329" s="66" t="n">
        <v>3</v>
      </c>
      <c r="J329" s="69" t="n">
        <v>753.261904761905</v>
      </c>
      <c r="K329" s="31" t="n">
        <v>486.5827922535</v>
      </c>
      <c r="L329" s="31" t="n">
        <v>938.680485306648</v>
      </c>
      <c r="M329" s="31" t="n">
        <v>169.59554201402</v>
      </c>
      <c r="N329" s="31" t="n">
        <v>370.140663279484</v>
      </c>
      <c r="O329" s="32"/>
      <c r="P329" s="33" t="n">
        <v>42.4489886333556</v>
      </c>
      <c r="Q329" s="33" t="n">
        <v>15.7877401527792</v>
      </c>
      <c r="R329" s="31" t="n">
        <v>161.615024503579</v>
      </c>
      <c r="S329" s="34" t="s">
        <v>76</v>
      </c>
      <c r="T329" s="35" t="n">
        <v>22.1773442014286</v>
      </c>
      <c r="U329" s="35" t="n">
        <v>8.84272642857143</v>
      </c>
      <c r="V329" s="70" t="n">
        <v>31.02007063</v>
      </c>
      <c r="W329" s="35" t="n">
        <v>28.891033371073</v>
      </c>
      <c r="X329" s="35" t="n">
        <v>5.24267181630837</v>
      </c>
      <c r="Y329" s="35" t="n">
        <v>10.3049235763153</v>
      </c>
      <c r="Z329" s="35"/>
      <c r="AA329" s="35" t="n">
        <v>1.21886962683212</v>
      </c>
      <c r="AB329" s="35" t="n">
        <v>0.439934101866197</v>
      </c>
      <c r="AC329" s="71" t="n">
        <v>5.08275118215807</v>
      </c>
      <c r="AD329" s="38" t="n">
        <v>10.1393322178166</v>
      </c>
      <c r="AE329" s="38" t="n">
        <v>8.74372805426505</v>
      </c>
      <c r="AF329" s="38" t="n">
        <v>2.33159583296801</v>
      </c>
      <c r="AG329" s="72"/>
      <c r="AH329" s="72"/>
      <c r="AI329" s="73" t="n">
        <v>43.3888635282265</v>
      </c>
      <c r="AJ329" s="42" t="s">
        <v>16</v>
      </c>
      <c r="AK329" s="43" t="n">
        <v>673.136391636364</v>
      </c>
      <c r="AL329" s="43" t="n">
        <v>697.354956399045</v>
      </c>
      <c r="AM329" s="43" t="n">
        <v>555.265728113075</v>
      </c>
      <c r="AN329" s="74"/>
      <c r="AO329" s="75" t="n">
        <v>44.9285714285714</v>
      </c>
      <c r="AP329" s="76" t="n">
        <v>1.78344940993789</v>
      </c>
      <c r="AQ329" s="76" t="n">
        <v>1.4146249068323</v>
      </c>
      <c r="AR329" s="76" t="n">
        <v>2.11769844720497</v>
      </c>
      <c r="AS329" s="77" t="n">
        <v>44.7231697204969</v>
      </c>
      <c r="AT329" s="78" t="n">
        <v>44.1072576086957</v>
      </c>
      <c r="AU329" s="78" t="n">
        <v>39.6952173913043</v>
      </c>
      <c r="AV329" s="78" t="n">
        <v>31.4860869565217</v>
      </c>
      <c r="AW329" s="78" t="n">
        <v>47.1347826086957</v>
      </c>
      <c r="AX329" s="78" t="n">
        <v>44.7434782608696</v>
      </c>
      <c r="AY329" s="48" t="n">
        <v>1.42189417086752</v>
      </c>
      <c r="AZ329" s="48" t="n">
        <v>30.1397651235611</v>
      </c>
      <c r="BA329" s="48" t="n">
        <v>0.880305506438937</v>
      </c>
      <c r="BB329" s="49" t="n">
        <f aca="false">AT329/V329</f>
        <v>1.42189417086752</v>
      </c>
      <c r="BC329" s="49" t="n">
        <f aca="false">AS329/V329</f>
        <v>1.44174944841178</v>
      </c>
      <c r="BD329" s="49" t="n">
        <f aca="false">SUM(AP329:AR329)/V329</f>
        <v>0.171365591889858</v>
      </c>
      <c r="BE329" s="50" t="n">
        <v>6.53</v>
      </c>
      <c r="BF329" s="51" t="n">
        <v>156.898540285248</v>
      </c>
      <c r="BG329" s="51" t="n">
        <v>505.333167696089</v>
      </c>
      <c r="BH329" s="51" t="n">
        <v>250.623501015212</v>
      </c>
      <c r="BI329" s="51" t="n">
        <v>190.98941659257</v>
      </c>
      <c r="BJ329" s="51" t="n">
        <v>11.2010538045245</v>
      </c>
      <c r="BK329" s="51" t="n">
        <v>20.7971689460309</v>
      </c>
      <c r="BL329" s="51" t="n">
        <v>16.0805675674632</v>
      </c>
      <c r="BM329" s="51"/>
      <c r="BN329" s="52" t="n">
        <f aca="false">(BG329*0.5-BH329*0.25+BI329*0.5)/SUM(BG329:BI329)*1000</f>
        <v>301.501237843872</v>
      </c>
      <c r="BO329" s="53" t="n">
        <v>8.46644488</v>
      </c>
      <c r="BP329" s="54" t="s">
        <v>77</v>
      </c>
      <c r="BQ329" s="55" t="n">
        <v>308.373023850468</v>
      </c>
      <c r="BR329" s="56" t="n">
        <v>9.94108064835404</v>
      </c>
      <c r="BS329" s="56" t="n">
        <v>15.3059190299363</v>
      </c>
      <c r="BT329" s="56" t="n">
        <v>6.99143498301906</v>
      </c>
      <c r="BU329" s="55"/>
      <c r="BV329" s="55"/>
      <c r="BW329" s="55"/>
      <c r="BX329" s="55"/>
      <c r="BY329" s="79" t="n">
        <v>0.0461538461538462</v>
      </c>
      <c r="BZ329" s="80" t="n">
        <v>0.8646712</v>
      </c>
      <c r="CA329" s="81" t="n">
        <v>3.27</v>
      </c>
      <c r="CB329" s="81" t="n">
        <v>0.183</v>
      </c>
      <c r="CC329" s="82" t="n">
        <v>5.846694</v>
      </c>
      <c r="CD329" s="82" t="n">
        <v>6.831276</v>
      </c>
      <c r="CE329" s="83" t="n">
        <v>79.83636</v>
      </c>
      <c r="CF329" s="84" t="n">
        <v>37.374167</v>
      </c>
      <c r="CG329" s="80" t="n">
        <v>0.071</v>
      </c>
      <c r="CH329" s="63" t="n">
        <v>85038.7331052479</v>
      </c>
      <c r="CI329" s="63" t="n">
        <v>4319.45757977681</v>
      </c>
      <c r="CJ329" s="64" t="n">
        <v>509507.425123657</v>
      </c>
      <c r="CK329" s="65" t="n">
        <v>0.847771272171055</v>
      </c>
    </row>
    <row r="330" customFormat="false" ht="15" hidden="false" customHeight="false" outlineLevel="0" collapsed="false">
      <c r="A330" s="7" t="s">
        <v>73</v>
      </c>
      <c r="B330" s="66" t="n">
        <v>328</v>
      </c>
      <c r="C330" s="8" t="s">
        <v>406</v>
      </c>
      <c r="D330" s="67" t="n">
        <v>41981</v>
      </c>
      <c r="E330" s="4" t="s">
        <v>78</v>
      </c>
      <c r="F330" s="7" t="n">
        <v>976</v>
      </c>
      <c r="G330" s="68" t="n">
        <v>1</v>
      </c>
      <c r="H330" s="68" t="n">
        <v>112</v>
      </c>
      <c r="I330" s="66" t="n">
        <v>2</v>
      </c>
      <c r="J330" s="69" t="n">
        <v>688.653846153846</v>
      </c>
      <c r="K330" s="31" t="n">
        <v>486.5827922535</v>
      </c>
      <c r="L330" s="31" t="n">
        <v>938.680485306648</v>
      </c>
      <c r="M330" s="31" t="n">
        <v>169.59554201402</v>
      </c>
      <c r="N330" s="31" t="n">
        <v>370.140663279484</v>
      </c>
      <c r="O330" s="32"/>
      <c r="P330" s="33" t="n">
        <v>42.4489886333556</v>
      </c>
      <c r="Q330" s="33" t="n">
        <v>15.7877401527792</v>
      </c>
      <c r="R330" s="31" t="n">
        <v>161.615024503579</v>
      </c>
      <c r="S330" s="34" t="s">
        <v>76</v>
      </c>
      <c r="T330" s="35" t="n">
        <v>17.5832332438462</v>
      </c>
      <c r="U330" s="35" t="n">
        <v>6.27954134615385</v>
      </c>
      <c r="V330" s="70" t="n">
        <v>23.86277459</v>
      </c>
      <c r="W330" s="35" t="n">
        <v>22.2546054432011</v>
      </c>
      <c r="X330" s="35" t="n">
        <v>4.05979978665525</v>
      </c>
      <c r="Y330" s="35" t="n">
        <v>7.97140165786491</v>
      </c>
      <c r="Z330" s="35"/>
      <c r="AA330" s="35" t="n">
        <v>0.953291498968988</v>
      </c>
      <c r="AB330" s="35" t="n">
        <v>0.333484986774482</v>
      </c>
      <c r="AC330" s="71" t="n">
        <v>3.95112585494996</v>
      </c>
      <c r="AD330" s="38" t="n">
        <v>8.00978515993331</v>
      </c>
      <c r="AE330" s="38" t="n">
        <v>6.86882649104515</v>
      </c>
      <c r="AF330" s="38" t="n">
        <v>1.85322394904671</v>
      </c>
      <c r="AG330" s="72"/>
      <c r="AH330" s="72"/>
      <c r="AI330" s="73" t="n">
        <v>41.6346980743812</v>
      </c>
      <c r="AJ330" s="42" t="s">
        <v>16</v>
      </c>
      <c r="AK330" s="43" t="n">
        <v>664.339738460677</v>
      </c>
      <c r="AL330" s="43" t="n">
        <v>691.35258279119</v>
      </c>
      <c r="AM330" s="43" t="n">
        <v>543.518388483505</v>
      </c>
      <c r="AN330" s="74"/>
      <c r="AO330" s="75" t="n">
        <v>27.0307692307692</v>
      </c>
      <c r="AP330" s="76" t="n">
        <v>0.987148319358367</v>
      </c>
      <c r="AQ330" s="76" t="n">
        <v>0.839516762668611</v>
      </c>
      <c r="AR330" s="76" t="n">
        <v>1.24067387531899</v>
      </c>
      <c r="AS330" s="77" t="n">
        <v>25.6195324826832</v>
      </c>
      <c r="AT330" s="78" t="n">
        <v>25.2243213722481</v>
      </c>
      <c r="AU330" s="78" t="n">
        <v>36.5194312796209</v>
      </c>
      <c r="AV330" s="78" t="n">
        <v>31.0578199052133</v>
      </c>
      <c r="AW330" s="78" t="n">
        <v>45.8985781990521</v>
      </c>
      <c r="AX330" s="78" t="n">
        <v>49.4928909952607</v>
      </c>
      <c r="AY330" s="48" t="n">
        <v>1.05705735421138</v>
      </c>
      <c r="AZ330" s="48" t="n">
        <v>22.0271926619353</v>
      </c>
      <c r="BA330" s="48" t="n">
        <v>1.83558192806473</v>
      </c>
      <c r="BB330" s="49" t="n">
        <f aca="false">AT330/V330</f>
        <v>1.05705735421138</v>
      </c>
      <c r="BC330" s="49" t="n">
        <f aca="false">AS330/V330</f>
        <v>1.07361917978387</v>
      </c>
      <c r="BD330" s="49" t="n">
        <f aca="false">SUM(AP330:AR330)/V330</f>
        <v>0.128540750606234</v>
      </c>
      <c r="BE330" s="50" t="n">
        <v>6.27</v>
      </c>
      <c r="BF330" s="51" t="n">
        <v>136.212445384517</v>
      </c>
      <c r="BG330" s="51" t="n">
        <v>506.063244632537</v>
      </c>
      <c r="BH330" s="51" t="n">
        <v>270.0872684141</v>
      </c>
      <c r="BI330" s="51" t="n">
        <v>173.402500459953</v>
      </c>
      <c r="BJ330" s="51" t="n">
        <v>9.48678563309173</v>
      </c>
      <c r="BK330" s="51" t="n">
        <v>22.8240875352174</v>
      </c>
      <c r="BL330" s="51" t="n">
        <v>13.1609889469915</v>
      </c>
      <c r="BM330" s="51"/>
      <c r="BN330" s="52" t="n">
        <f aca="false">(BG330*0.5-BH330*0.25+BI330*0.5)/SUM(BG330:BI330)*1000</f>
        <v>286.672836135263</v>
      </c>
      <c r="BO330" s="53" t="n">
        <v>5.20658212</v>
      </c>
      <c r="BP330" s="54" t="s">
        <v>77</v>
      </c>
      <c r="BQ330" s="55" t="n">
        <v>320.272824059139</v>
      </c>
      <c r="BR330" s="56" t="n">
        <v>13.4214411174698</v>
      </c>
      <c r="BS330" s="56" t="n">
        <v>20.8161591983785</v>
      </c>
      <c r="BT330" s="56" t="n">
        <v>12.6969847605694</v>
      </c>
      <c r="BU330" s="55"/>
      <c r="BV330" s="55"/>
      <c r="BW330" s="55"/>
      <c r="BX330" s="55"/>
      <c r="BY330" s="79" t="n">
        <v>0.101538461538462</v>
      </c>
      <c r="BZ330" s="80" t="n">
        <v>0.5554898</v>
      </c>
      <c r="CA330" s="81" t="n">
        <v>3.48</v>
      </c>
      <c r="CB330" s="81" t="n">
        <v>0.6</v>
      </c>
      <c r="CC330" s="82" t="n">
        <v>6.41229</v>
      </c>
      <c r="CD330" s="82" t="n">
        <v>7.447108</v>
      </c>
      <c r="CE330" s="83" t="n">
        <v>86.7134</v>
      </c>
      <c r="CF330" s="84" t="n">
        <v>35.905128</v>
      </c>
      <c r="CG330" s="80" t="n">
        <v>0.092</v>
      </c>
      <c r="CH330" s="63" t="n">
        <v>53224.6915750183</v>
      </c>
      <c r="CI330" s="63" t="n">
        <v>3916.67579241184</v>
      </c>
      <c r="CJ330" s="64" t="n">
        <v>804981.561723477</v>
      </c>
      <c r="CK330" s="65" t="n">
        <v>0.486554721082826</v>
      </c>
    </row>
    <row r="331" customFormat="false" ht="15" hidden="false" customHeight="false" outlineLevel="0" collapsed="false">
      <c r="A331" s="7" t="s">
        <v>73</v>
      </c>
      <c r="B331" s="66" t="n">
        <v>329</v>
      </c>
      <c r="C331" s="8" t="s">
        <v>407</v>
      </c>
      <c r="D331" s="67" t="n">
        <v>41981</v>
      </c>
      <c r="E331" s="4" t="s">
        <v>78</v>
      </c>
      <c r="F331" s="7" t="n">
        <v>1911</v>
      </c>
      <c r="G331" s="68" t="n">
        <v>1</v>
      </c>
      <c r="H331" s="68" t="n">
        <v>152</v>
      </c>
      <c r="I331" s="66" t="n">
        <v>2</v>
      </c>
      <c r="J331" s="69" t="n">
        <v>609.892307692308</v>
      </c>
      <c r="K331" s="31" t="n">
        <v>486.5827922535</v>
      </c>
      <c r="L331" s="31" t="n">
        <v>938.680485306648</v>
      </c>
      <c r="M331" s="31" t="n">
        <v>169.59554201402</v>
      </c>
      <c r="N331" s="31" t="n">
        <v>370.140663279484</v>
      </c>
      <c r="O331" s="32"/>
      <c r="P331" s="33" t="n">
        <v>42.4489886333556</v>
      </c>
      <c r="Q331" s="33" t="n">
        <v>15.7877401527792</v>
      </c>
      <c r="R331" s="31" t="n">
        <v>161.615024503579</v>
      </c>
      <c r="S331" s="34" t="s">
        <v>76</v>
      </c>
      <c r="T331" s="35" t="n">
        <v>12.2605932953846</v>
      </c>
      <c r="U331" s="35" t="n">
        <v>3.67929788461538</v>
      </c>
      <c r="V331" s="70" t="n">
        <v>15.93989118</v>
      </c>
      <c r="W331" s="35" t="n">
        <v>14.8574610350716</v>
      </c>
      <c r="X331" s="35" t="n">
        <v>2.67897403005767</v>
      </c>
      <c r="Y331" s="35" t="n">
        <v>5.42695408172289</v>
      </c>
      <c r="Z331" s="35"/>
      <c r="AA331" s="35" t="n">
        <v>0.629453079353642</v>
      </c>
      <c r="AB331" s="35" t="n">
        <v>0.236086021736485</v>
      </c>
      <c r="AC331" s="71" t="n">
        <v>2.5754694615094</v>
      </c>
      <c r="AD331" s="38" t="n">
        <v>5.34758610773719</v>
      </c>
      <c r="AE331" s="38" t="n">
        <v>4.58113120462838</v>
      </c>
      <c r="AF331" s="38" t="n">
        <v>1.42115594150403</v>
      </c>
      <c r="AG331" s="72"/>
      <c r="AH331" s="72"/>
      <c r="AI331" s="73" t="n">
        <v>44.1481477773499</v>
      </c>
      <c r="AJ331" s="42" t="s">
        <v>16</v>
      </c>
      <c r="AK331" s="43" t="n">
        <v>664.515519751673</v>
      </c>
      <c r="AL331" s="43" t="n">
        <v>691.661233785877</v>
      </c>
      <c r="AM331" s="43" t="n">
        <v>469.514849506237</v>
      </c>
      <c r="AN331" s="74"/>
      <c r="AO331" s="75" t="n">
        <v>19.0692307692308</v>
      </c>
      <c r="AP331" s="76" t="n">
        <v>0.771013184803002</v>
      </c>
      <c r="AQ331" s="76" t="n">
        <v>0.635668156660413</v>
      </c>
      <c r="AR331" s="76" t="n">
        <v>0.882056571294559</v>
      </c>
      <c r="AS331" s="77" t="n">
        <v>19.1928900797373</v>
      </c>
      <c r="AT331" s="78" t="n">
        <v>19.0754532277936</v>
      </c>
      <c r="AU331" s="78" t="n">
        <v>40.4323170731707</v>
      </c>
      <c r="AV331" s="78" t="n">
        <v>33.334756097561</v>
      </c>
      <c r="AW331" s="78" t="n">
        <v>46.2554878048781</v>
      </c>
      <c r="AX331" s="78" t="n">
        <v>50.219512195122</v>
      </c>
      <c r="AY331" s="48" t="n">
        <v>1.19671163450149</v>
      </c>
      <c r="AZ331" s="48" t="n">
        <v>18.8743276074485</v>
      </c>
      <c r="BA331" s="48" t="n">
        <v>-2.93443642744849</v>
      </c>
      <c r="BB331" s="49" t="n">
        <f aca="false">AT331/V331</f>
        <v>1.19671163450149</v>
      </c>
      <c r="BC331" s="49" t="n">
        <f aca="false">AS331/V331</f>
        <v>1.20407911591134</v>
      </c>
      <c r="BD331" s="49" t="n">
        <f aca="false">SUM(AP331:AR331)/V331</f>
        <v>0.14358554189063</v>
      </c>
      <c r="BE331" s="50" t="n">
        <v>6.6</v>
      </c>
      <c r="BF331" s="51" t="n">
        <v>145.331495590833</v>
      </c>
      <c r="BG331" s="51" t="n">
        <v>514.387093049362</v>
      </c>
      <c r="BH331" s="51" t="n">
        <v>252.058031509627</v>
      </c>
      <c r="BI331" s="51" t="n">
        <v>178.225087074447</v>
      </c>
      <c r="BJ331" s="51" t="n">
        <v>12.8881833546369</v>
      </c>
      <c r="BK331" s="51" t="n">
        <v>19.6696385064069</v>
      </c>
      <c r="BL331" s="51" t="n">
        <v>17.79684212741</v>
      </c>
      <c r="BM331" s="51"/>
      <c r="BN331" s="52" t="n">
        <f aca="false">(BG331*0.5-BH331*0.25+BI331*0.5)/SUM(BG331:BI331)*1000</f>
        <v>299.884106321778</v>
      </c>
      <c r="BO331" s="53" t="n">
        <v>11.15468824</v>
      </c>
      <c r="BP331" s="54" t="s">
        <v>77</v>
      </c>
      <c r="BQ331" s="55" t="n">
        <v>323.970189271859</v>
      </c>
      <c r="BR331" s="56" t="n">
        <v>20.3244919060896</v>
      </c>
      <c r="BS331" s="56" t="n">
        <v>31.5258652278862</v>
      </c>
      <c r="BT331" s="56" t="n">
        <v>16.9836168715416</v>
      </c>
      <c r="BU331" s="55"/>
      <c r="BV331" s="55"/>
      <c r="BW331" s="55"/>
      <c r="BX331" s="55"/>
      <c r="BY331" s="79" t="n">
        <v>0.0553846153846154</v>
      </c>
      <c r="BZ331" s="80" t="n">
        <v>0.8913418</v>
      </c>
      <c r="CA331" s="81" t="n">
        <v>3.35</v>
      </c>
      <c r="CB331" s="81" t="n">
        <v>0.516</v>
      </c>
      <c r="CC331" s="82" t="n">
        <v>6.35992</v>
      </c>
      <c r="CD331" s="82" t="n">
        <v>7.296292</v>
      </c>
      <c r="CE331" s="83" t="n">
        <v>82.236008</v>
      </c>
      <c r="CF331" s="84" t="n">
        <v>37.045431</v>
      </c>
      <c r="CG331" s="80" t="n">
        <v>0.1025</v>
      </c>
      <c r="CH331" s="63" t="n">
        <v>65240.650608854</v>
      </c>
      <c r="CI331" s="63" t="n">
        <v>2920.14256422943</v>
      </c>
      <c r="CJ331" s="64" t="n">
        <v>416523.118468157</v>
      </c>
      <c r="CK331" s="65" t="n">
        <v>0.701075747000266</v>
      </c>
    </row>
    <row r="332" customFormat="false" ht="15" hidden="false" customHeight="false" outlineLevel="0" collapsed="false">
      <c r="A332" s="7" t="s">
        <v>73</v>
      </c>
      <c r="B332" s="66" t="n">
        <v>330</v>
      </c>
      <c r="C332" s="8" t="s">
        <v>408</v>
      </c>
      <c r="D332" s="67" t="n">
        <v>41981</v>
      </c>
      <c r="E332" s="4" t="s">
        <v>78</v>
      </c>
      <c r="F332" s="7" t="n">
        <v>1924</v>
      </c>
      <c r="G332" s="68" t="n">
        <v>1</v>
      </c>
      <c r="H332" s="68" t="n">
        <v>144</v>
      </c>
      <c r="I332" s="66" t="n">
        <v>2</v>
      </c>
      <c r="J332" s="69" t="n">
        <v>681.275362318841</v>
      </c>
      <c r="K332" s="31" t="n">
        <v>486.5827922535</v>
      </c>
      <c r="L332" s="31" t="n">
        <v>938.680485306648</v>
      </c>
      <c r="M332" s="31" t="n">
        <v>169.59554201402</v>
      </c>
      <c r="N332" s="31" t="n">
        <v>370.140663279484</v>
      </c>
      <c r="O332" s="32"/>
      <c r="P332" s="33" t="n">
        <v>42.4489886333556</v>
      </c>
      <c r="Q332" s="33" t="n">
        <v>15.7877401527792</v>
      </c>
      <c r="R332" s="31" t="n">
        <v>161.615024503579</v>
      </c>
      <c r="S332" s="34" t="s">
        <v>76</v>
      </c>
      <c r="T332" s="35" t="n">
        <v>11.765035483913</v>
      </c>
      <c r="U332" s="35" t="n">
        <v>1.51357282608696</v>
      </c>
      <c r="V332" s="70" t="n">
        <v>13.27860831</v>
      </c>
      <c r="W332" s="35" t="n">
        <v>12.3858966210284</v>
      </c>
      <c r="X332" s="35" t="n">
        <v>2.18606058341583</v>
      </c>
      <c r="Y332" s="35" t="n">
        <v>4.77571215891624</v>
      </c>
      <c r="Z332" s="35"/>
      <c r="AA332" s="35" t="n">
        <v>0.522795767465632</v>
      </c>
      <c r="AB332" s="35" t="n">
        <v>0.220394363404789</v>
      </c>
      <c r="AC332" s="71" t="n">
        <v>2.04735296555408</v>
      </c>
      <c r="AD332" s="38" t="n">
        <v>4.29602326224872</v>
      </c>
      <c r="AE332" s="38" t="n">
        <v>3.62567280674592</v>
      </c>
      <c r="AF332" s="38" t="n">
        <v>1.10420395829189</v>
      </c>
      <c r="AG332" s="72"/>
      <c r="AH332" s="72"/>
      <c r="AI332" s="73" t="n">
        <v>51.3019483254439</v>
      </c>
      <c r="AJ332" s="42" t="s">
        <v>16</v>
      </c>
      <c r="AK332" s="43" t="n">
        <v>676.470367831136</v>
      </c>
      <c r="AL332" s="43" t="n">
        <v>707.274094263764</v>
      </c>
      <c r="AM332" s="43" t="n">
        <v>494.888674783882</v>
      </c>
      <c r="AN332" s="74"/>
      <c r="AO332" s="75" t="n">
        <v>13.6</v>
      </c>
      <c r="AP332" s="76" t="n">
        <v>0.623415757575757</v>
      </c>
      <c r="AQ332" s="76" t="n">
        <v>0.548335515151515</v>
      </c>
      <c r="AR332" s="76" t="n">
        <v>0.61336</v>
      </c>
      <c r="AS332" s="77" t="n">
        <v>14.7912363636364</v>
      </c>
      <c r="AT332" s="78" t="n">
        <v>15.1506488477128</v>
      </c>
      <c r="AU332" s="78" t="n">
        <v>45.8393939393939</v>
      </c>
      <c r="AV332" s="78" t="n">
        <v>40.3187878787879</v>
      </c>
      <c r="AW332" s="78" t="n">
        <v>45.1</v>
      </c>
      <c r="AX332" s="78" t="n">
        <v>45.7030303030303</v>
      </c>
      <c r="AY332" s="48" t="n">
        <v>1.14098168226733</v>
      </c>
      <c r="AZ332" s="48" t="n">
        <v>18.2353200885229</v>
      </c>
      <c r="BA332" s="48" t="n">
        <v>-4.95671177852294</v>
      </c>
      <c r="BB332" s="49" t="n">
        <f aca="false">AT332/V332</f>
        <v>1.14098168226733</v>
      </c>
      <c r="BC332" s="49" t="n">
        <f aca="false">AS332/V332</f>
        <v>1.11391465267465</v>
      </c>
      <c r="BD332" s="49" t="n">
        <f aca="false">SUM(AP332:AR332)/V332</f>
        <v>0.134435117826536</v>
      </c>
      <c r="BE332" s="50" t="n">
        <v>6.76</v>
      </c>
      <c r="BF332" s="51" t="n">
        <v>111.349823469164</v>
      </c>
      <c r="BG332" s="51" t="n">
        <v>537.269060449617</v>
      </c>
      <c r="BH332" s="51" t="n">
        <v>237.761062426767</v>
      </c>
      <c r="BI332" s="51" t="n">
        <v>153.306693117485</v>
      </c>
      <c r="BJ332" s="51" t="n">
        <v>16.107394343365</v>
      </c>
      <c r="BK332" s="51" t="n">
        <v>21.6503565837085</v>
      </c>
      <c r="BL332" s="51" t="n">
        <v>28.930308700947</v>
      </c>
      <c r="BM332" s="51"/>
      <c r="BN332" s="52" t="n">
        <f aca="false">(BG332*0.5-BH332*0.25+BI332*0.5)/SUM(BG332:BI332)*1000</f>
        <v>307.913686338975</v>
      </c>
      <c r="BO332" s="53" t="n">
        <v>7.93696096</v>
      </c>
      <c r="BP332" s="54" t="s">
        <v>77</v>
      </c>
      <c r="BQ332" s="55" t="n">
        <v>310.072411132053</v>
      </c>
      <c r="BR332" s="56" t="n">
        <v>23.3512732579468</v>
      </c>
      <c r="BS332" s="56" t="n">
        <v>35.3954896251073</v>
      </c>
      <c r="BT332" s="56" t="n">
        <v>20.4659492968753</v>
      </c>
      <c r="BU332" s="55"/>
      <c r="BV332" s="55"/>
      <c r="BW332" s="55"/>
      <c r="BX332" s="55"/>
      <c r="BY332" s="79" t="n">
        <v>0.0553846153846154</v>
      </c>
      <c r="BZ332" s="80" t="n">
        <v>0.6295748</v>
      </c>
      <c r="CA332" s="81" t="n">
        <v>3.06</v>
      </c>
      <c r="CB332" s="81" t="n">
        <v>0.55</v>
      </c>
      <c r="CC332" s="82" t="n">
        <v>6.506556</v>
      </c>
      <c r="CD332" s="82" t="n">
        <v>7.095204</v>
      </c>
      <c r="CE332" s="83" t="n">
        <v>82.023844</v>
      </c>
      <c r="CF332" s="84" t="n">
        <v>33.562884</v>
      </c>
      <c r="CG332" s="80" t="n">
        <v>0.1235</v>
      </c>
      <c r="CH332" s="63" t="n">
        <v>54146.2357112891</v>
      </c>
      <c r="CI332" s="63" t="n">
        <v>5851.15950377992</v>
      </c>
      <c r="CJ332" s="64" t="n">
        <v>430820.176255586</v>
      </c>
      <c r="CK332" s="65" t="n">
        <v>1.35814426209897</v>
      </c>
    </row>
    <row r="333" customFormat="false" ht="15" hidden="false" customHeight="false" outlineLevel="0" collapsed="false">
      <c r="A333" s="7" t="s">
        <v>73</v>
      </c>
      <c r="B333" s="66" t="n">
        <v>331</v>
      </c>
      <c r="C333" s="8" t="s">
        <v>409</v>
      </c>
      <c r="D333" s="67" t="n">
        <v>41981</v>
      </c>
      <c r="E333" s="4" t="s">
        <v>78</v>
      </c>
      <c r="F333" s="7" t="n">
        <v>1975</v>
      </c>
      <c r="G333" s="68" t="n">
        <v>1</v>
      </c>
      <c r="H333" s="68" t="n">
        <v>119</v>
      </c>
      <c r="I333" s="66" t="n">
        <v>2</v>
      </c>
      <c r="J333" s="69" t="n">
        <v>634.796666666667</v>
      </c>
      <c r="K333" s="31" t="n">
        <v>486.5827922535</v>
      </c>
      <c r="L333" s="31" t="n">
        <v>938.680485306648</v>
      </c>
      <c r="M333" s="31" t="n">
        <v>169.59554201402</v>
      </c>
      <c r="N333" s="31" t="n">
        <v>370.140663279484</v>
      </c>
      <c r="O333" s="32"/>
      <c r="P333" s="33" t="n">
        <v>42.4489886333556</v>
      </c>
      <c r="Q333" s="33" t="n">
        <v>15.7877401527792</v>
      </c>
      <c r="R333" s="31" t="n">
        <v>161.615024503579</v>
      </c>
      <c r="S333" s="34" t="s">
        <v>76</v>
      </c>
      <c r="T333" s="35" t="n">
        <v>15.35248997</v>
      </c>
      <c r="U333" s="35" t="n">
        <v>5.3542494</v>
      </c>
      <c r="V333" s="70" t="n">
        <v>20.70673937</v>
      </c>
      <c r="W333" s="35" t="n">
        <v>19.3044170746531</v>
      </c>
      <c r="X333" s="35" t="n">
        <v>3.50835105159268</v>
      </c>
      <c r="Y333" s="35" t="n">
        <v>6.94429497533461</v>
      </c>
      <c r="Z333" s="35"/>
      <c r="AA333" s="35" t="n">
        <v>0.822617049284524</v>
      </c>
      <c r="AB333" s="35" t="n">
        <v>0.294425668740606</v>
      </c>
      <c r="AC333" s="71" t="n">
        <v>3.40193670287919</v>
      </c>
      <c r="AD333" s="38" t="n">
        <v>6.50860568948034</v>
      </c>
      <c r="AE333" s="38" t="n">
        <v>5.56588676617246</v>
      </c>
      <c r="AF333" s="38" t="n">
        <v>1.33518736236904</v>
      </c>
      <c r="AG333" s="72"/>
      <c r="AH333" s="72"/>
      <c r="AI333" s="73" t="n">
        <v>45.2363659418603</v>
      </c>
      <c r="AJ333" s="42" t="s">
        <v>16</v>
      </c>
      <c r="AK333" s="43" t="n">
        <v>685.676939609815</v>
      </c>
      <c r="AL333" s="43" t="n">
        <v>711.67807115603</v>
      </c>
      <c r="AM333" s="43" t="n">
        <v>619.425951755053</v>
      </c>
      <c r="AN333" s="74"/>
      <c r="AO333" s="75" t="n">
        <v>24.02</v>
      </c>
      <c r="AP333" s="76" t="n">
        <v>0.843102</v>
      </c>
      <c r="AQ333" s="76" t="n">
        <v>0.730208</v>
      </c>
      <c r="AR333" s="76" t="n">
        <v>1.100116</v>
      </c>
      <c r="AS333" s="77" t="n">
        <v>22.25453</v>
      </c>
      <c r="AT333" s="78" t="n">
        <v>21.8646410318471</v>
      </c>
      <c r="AU333" s="78" t="n">
        <v>35.1</v>
      </c>
      <c r="AV333" s="78" t="n">
        <v>30.4</v>
      </c>
      <c r="AW333" s="78" t="n">
        <v>45.8</v>
      </c>
      <c r="AX333" s="78" t="n">
        <v>39</v>
      </c>
      <c r="AY333" s="48" t="n">
        <v>1.05591907258584</v>
      </c>
      <c r="AZ333" s="48" t="n">
        <v>20.1328335479476</v>
      </c>
      <c r="BA333" s="48" t="n">
        <v>0.573905822052367</v>
      </c>
      <c r="BB333" s="49" t="n">
        <f aca="false">AT333/V333</f>
        <v>1.05591907258584</v>
      </c>
      <c r="BC333" s="49" t="n">
        <f aca="false">AS333/V333</f>
        <v>1.07474815818865</v>
      </c>
      <c r="BD333" s="49" t="n">
        <f aca="false">SUM(AP333:AR333)/V333</f>
        <v>0.129108980039285</v>
      </c>
      <c r="BE333" s="50" t="n">
        <v>6.38</v>
      </c>
      <c r="BF333" s="51" t="n">
        <v>161.605780108741</v>
      </c>
      <c r="BG333" s="51" t="n">
        <v>515.032708456488</v>
      </c>
      <c r="BH333" s="51" t="n">
        <v>245.464618357628</v>
      </c>
      <c r="BI333" s="51" t="n">
        <v>183.607280018032</v>
      </c>
      <c r="BJ333" s="51" t="n">
        <v>10.5877610904188</v>
      </c>
      <c r="BK333" s="51" t="n">
        <v>22.0715409257329</v>
      </c>
      <c r="BL333" s="51" t="n">
        <v>18.2609667735908</v>
      </c>
      <c r="BM333" s="51"/>
      <c r="BN333" s="52" t="n">
        <f aca="false">(BG333*0.5-BH333*0.25+BI333*0.5)/SUM(BG333:BI333)*1000</f>
        <v>305.002049099256</v>
      </c>
      <c r="BO333" s="53" t="n">
        <v>9.12050682</v>
      </c>
      <c r="BP333" s="54" t="s">
        <v>77</v>
      </c>
      <c r="BQ333" s="55" t="n">
        <v>392.849240744224</v>
      </c>
      <c r="BR333" s="56" t="n">
        <v>18.9720473959983</v>
      </c>
      <c r="BS333" s="56" t="n">
        <v>28.5947064149737</v>
      </c>
      <c r="BT333" s="56" t="n">
        <v>17.9673309144209</v>
      </c>
      <c r="BU333" s="55"/>
      <c r="BV333" s="55"/>
      <c r="BW333" s="55"/>
      <c r="BX333" s="55"/>
      <c r="BY333" s="79" t="n">
        <v>0.0646153846153846</v>
      </c>
      <c r="BZ333" s="80" t="n">
        <v>1.0227192</v>
      </c>
      <c r="CA333" s="81" t="n">
        <v>3.27</v>
      </c>
      <c r="CB333" s="81" t="n">
        <v>0.479</v>
      </c>
      <c r="CC333" s="82" t="n">
        <v>6.72651</v>
      </c>
      <c r="CD333" s="82" t="n">
        <v>5.83212</v>
      </c>
      <c r="CE333" s="83" t="n">
        <v>79.10476</v>
      </c>
      <c r="CF333" s="84" t="n">
        <v>35.966766</v>
      </c>
      <c r="CG333" s="80" t="n">
        <v>0.0815</v>
      </c>
      <c r="CH333" s="63" t="n">
        <v>53609.8175381834</v>
      </c>
      <c r="CI333" s="63" t="n">
        <v>6012.78335999576</v>
      </c>
      <c r="CJ333" s="64" t="n">
        <v>719131.085000847</v>
      </c>
      <c r="CK333" s="65" t="n">
        <v>0.836117849082923</v>
      </c>
    </row>
    <row r="334" customFormat="false" ht="15" hidden="false" customHeight="false" outlineLevel="0" collapsed="false">
      <c r="A334" s="7" t="s">
        <v>73</v>
      </c>
      <c r="B334" s="66" t="n">
        <v>332</v>
      </c>
      <c r="C334" s="8" t="s">
        <v>410</v>
      </c>
      <c r="D334" s="67" t="n">
        <v>41981</v>
      </c>
      <c r="E334" s="4" t="s">
        <v>78</v>
      </c>
      <c r="F334" s="7" t="n">
        <v>1996</v>
      </c>
      <c r="G334" s="68" t="n">
        <v>1</v>
      </c>
      <c r="H334" s="68" t="n">
        <v>100</v>
      </c>
      <c r="I334" s="66" t="n">
        <v>2</v>
      </c>
      <c r="J334" s="69" t="n">
        <v>581.814102564103</v>
      </c>
      <c r="K334" s="31" t="n">
        <v>486.5827922535</v>
      </c>
      <c r="L334" s="31" t="n">
        <v>938.680485306648</v>
      </c>
      <c r="M334" s="31" t="n">
        <v>169.59554201402</v>
      </c>
      <c r="N334" s="31" t="n">
        <v>370.140663279484</v>
      </c>
      <c r="O334" s="32"/>
      <c r="P334" s="33" t="n">
        <v>42.4489886333556</v>
      </c>
      <c r="Q334" s="33" t="n">
        <v>15.7877401527792</v>
      </c>
      <c r="R334" s="31" t="n">
        <v>161.615024503579</v>
      </c>
      <c r="S334" s="34" t="s">
        <v>76</v>
      </c>
      <c r="T334" s="35" t="n">
        <v>14.2183971623077</v>
      </c>
      <c r="U334" s="35" t="n">
        <v>4.08240980769231</v>
      </c>
      <c r="V334" s="70" t="n">
        <v>18.30080697</v>
      </c>
      <c r="W334" s="35" t="n">
        <v>17.0674040171851</v>
      </c>
      <c r="X334" s="35" t="n">
        <v>3.08510857168561</v>
      </c>
      <c r="Y334" s="35" t="n">
        <v>6.24067699611532</v>
      </c>
      <c r="Z334" s="35"/>
      <c r="AA334" s="35" t="n">
        <v>0.727727596987176</v>
      </c>
      <c r="AB334" s="35" t="n">
        <v>0.269074882347904</v>
      </c>
      <c r="AC334" s="71" t="n">
        <v>2.97174527573474</v>
      </c>
      <c r="AD334" s="38" t="n">
        <v>6.17169803269518</v>
      </c>
      <c r="AE334" s="38" t="n">
        <v>5.30324705414619</v>
      </c>
      <c r="AF334" s="38" t="n">
        <v>1.37144298500488</v>
      </c>
      <c r="AG334" s="72"/>
      <c r="AH334" s="72"/>
      <c r="AI334" s="73" t="n">
        <v>43.5981930616912</v>
      </c>
      <c r="AJ334" s="42" t="s">
        <v>16</v>
      </c>
      <c r="AK334" s="43" t="n">
        <v>662.763612401777</v>
      </c>
      <c r="AL334" s="43" t="n">
        <v>689.276292469179</v>
      </c>
      <c r="AM334" s="43" t="n">
        <v>555.463623681948</v>
      </c>
      <c r="AN334" s="74"/>
      <c r="AO334" s="75" t="n">
        <v>20.2230769230769</v>
      </c>
      <c r="AP334" s="76" t="n">
        <v>0.742186923076923</v>
      </c>
      <c r="AQ334" s="76" t="n">
        <v>0.628937692307692</v>
      </c>
      <c r="AR334" s="76" t="n">
        <v>0.92015</v>
      </c>
      <c r="AS334" s="77" t="n">
        <v>19.2220346153846</v>
      </c>
      <c r="AT334" s="78" t="n">
        <v>18.8802388535032</v>
      </c>
      <c r="AU334" s="78" t="n">
        <v>36.7</v>
      </c>
      <c r="AV334" s="78" t="n">
        <v>31.1</v>
      </c>
      <c r="AW334" s="78" t="n">
        <v>45.5</v>
      </c>
      <c r="AX334" s="78" t="n">
        <v>42</v>
      </c>
      <c r="AY334" s="48" t="n">
        <v>1.03166154828325</v>
      </c>
      <c r="AZ334" s="48" t="n">
        <v>18.0254392392719</v>
      </c>
      <c r="BA334" s="48" t="n">
        <v>0.275367730728096</v>
      </c>
      <c r="BB334" s="49" t="n">
        <f aca="false">AT334/V334</f>
        <v>1.03166154828325</v>
      </c>
      <c r="BC334" s="49" t="n">
        <f aca="false">AS334/V334</f>
        <v>1.05033808874629</v>
      </c>
      <c r="BD334" s="49" t="n">
        <f aca="false">SUM(AP334:AR334)/V334</f>
        <v>0.125200742193535</v>
      </c>
      <c r="BE334" s="50" t="n">
        <v>6.39</v>
      </c>
      <c r="BF334" s="51" t="n">
        <v>149.50257416551</v>
      </c>
      <c r="BG334" s="51" t="n">
        <v>483.15445474986</v>
      </c>
      <c r="BH334" s="51" t="n">
        <v>248.859795414723</v>
      </c>
      <c r="BI334" s="51" t="n">
        <v>204.241380484322</v>
      </c>
      <c r="BJ334" s="51" t="n">
        <v>11.8887693970979</v>
      </c>
      <c r="BK334" s="51" t="n">
        <v>24.5765064252696</v>
      </c>
      <c r="BL334" s="51" t="n">
        <v>22.3039691506185</v>
      </c>
      <c r="BM334" s="51"/>
      <c r="BN334" s="52" t="n">
        <f aca="false">(BG334*0.5-BH334*0.25+BI334*0.5)/SUM(BG334:BI334)*1000</f>
        <v>300.64755772771</v>
      </c>
      <c r="BO334" s="53" t="n">
        <v>12.86627672</v>
      </c>
      <c r="BP334" s="54" t="s">
        <v>77</v>
      </c>
      <c r="BQ334" s="55" t="n">
        <v>368.539434589526</v>
      </c>
      <c r="BR334" s="56" t="n">
        <v>20.1378789030267</v>
      </c>
      <c r="BS334" s="56" t="n">
        <v>31.3273136143472</v>
      </c>
      <c r="BT334" s="56" t="n">
        <v>19.5198502227182</v>
      </c>
      <c r="BU334" s="55"/>
      <c r="BV334" s="55"/>
      <c r="BW334" s="55"/>
      <c r="BX334" s="55"/>
      <c r="BY334" s="79" t="n">
        <v>0.0461538461538462</v>
      </c>
      <c r="BZ334" s="80" t="n">
        <v>1.0276582</v>
      </c>
      <c r="CA334" s="81" t="n">
        <v>3.26</v>
      </c>
      <c r="CB334" s="81" t="n">
        <v>0.257</v>
      </c>
      <c r="CC334" s="82" t="n">
        <v>5.741954</v>
      </c>
      <c r="CD334" s="82" t="n">
        <v>6.410248</v>
      </c>
      <c r="CE334" s="83" t="n">
        <v>74.832216</v>
      </c>
      <c r="CF334" s="84" t="n">
        <v>35.884582</v>
      </c>
      <c r="CG334" s="80" t="n">
        <v>0.134</v>
      </c>
      <c r="CH334" s="63" t="n">
        <v>74982.8096509385</v>
      </c>
      <c r="CI334" s="63" t="n">
        <v>3561.56534574917</v>
      </c>
      <c r="CJ334" s="64" t="n">
        <v>503975.531544308</v>
      </c>
      <c r="CK334" s="65" t="n">
        <v>0.706694099778145</v>
      </c>
    </row>
    <row r="335" customFormat="false" ht="15" hidden="false" customHeight="false" outlineLevel="0" collapsed="false">
      <c r="A335" s="7" t="s">
        <v>73</v>
      </c>
      <c r="B335" s="66" t="n">
        <v>333</v>
      </c>
      <c r="C335" s="8" t="s">
        <v>411</v>
      </c>
      <c r="D335" s="67" t="n">
        <v>41981</v>
      </c>
      <c r="E335" s="4" t="s">
        <v>78</v>
      </c>
      <c r="F335" s="7" t="n">
        <v>2005</v>
      </c>
      <c r="G335" s="68" t="n">
        <v>1</v>
      </c>
      <c r="H335" s="68" t="n">
        <v>100</v>
      </c>
      <c r="I335" s="66" t="n">
        <v>2</v>
      </c>
      <c r="J335" s="69" t="n">
        <v>570.493333333333</v>
      </c>
      <c r="K335" s="31" t="n">
        <v>486.5827922535</v>
      </c>
      <c r="L335" s="31" t="n">
        <v>938.680485306648</v>
      </c>
      <c r="M335" s="31" t="n">
        <v>169.59554201402</v>
      </c>
      <c r="N335" s="31" t="n">
        <v>370.140663279484</v>
      </c>
      <c r="O335" s="32"/>
      <c r="P335" s="33" t="n">
        <v>42.4489886333556</v>
      </c>
      <c r="Q335" s="33" t="n">
        <v>15.7877401527792</v>
      </c>
      <c r="R335" s="31" t="n">
        <v>161.615024503579</v>
      </c>
      <c r="S335" s="34" t="s">
        <v>76</v>
      </c>
      <c r="T335" s="35" t="n">
        <v>15.2339190530769</v>
      </c>
      <c r="U335" s="35" t="n">
        <v>4.26583307692308</v>
      </c>
      <c r="V335" s="70" t="n">
        <v>19.49975213</v>
      </c>
      <c r="W335" s="35" t="n">
        <v>18.1900177469633</v>
      </c>
      <c r="X335" s="35" t="n">
        <v>3.29106850069346</v>
      </c>
      <c r="Y335" s="35" t="n">
        <v>6.65707184235786</v>
      </c>
      <c r="Z335" s="35"/>
      <c r="AA335" s="35" t="n">
        <v>0.777742904340925</v>
      </c>
      <c r="AB335" s="35" t="n">
        <v>0.286049247039483</v>
      </c>
      <c r="AC335" s="71" t="n">
        <v>3.17223581183315</v>
      </c>
      <c r="AD335" s="38" t="n">
        <v>6.51901925571609</v>
      </c>
      <c r="AE335" s="38" t="n">
        <v>5.64394452154178</v>
      </c>
      <c r="AF335" s="38" t="n">
        <v>1.37975396474478</v>
      </c>
      <c r="AG335" s="72"/>
      <c r="AH335" s="72"/>
      <c r="AI335" s="73" t="n">
        <v>43.8791842482541</v>
      </c>
      <c r="AJ335" s="42" t="s">
        <v>16</v>
      </c>
      <c r="AK335" s="43" t="n">
        <v>665.68707067375</v>
      </c>
      <c r="AL335" s="43" t="n">
        <v>689.722978830849</v>
      </c>
      <c r="AM335" s="43" t="n">
        <v>580.758053363503</v>
      </c>
      <c r="AN335" s="74"/>
      <c r="AO335" s="75" t="n">
        <v>20.8269230769231</v>
      </c>
      <c r="AP335" s="76" t="n">
        <v>0.806218870192307</v>
      </c>
      <c r="AQ335" s="76" t="n">
        <v>0.665246634615385</v>
      </c>
      <c r="AR335" s="76" t="n">
        <v>0.932134975961538</v>
      </c>
      <c r="AS335" s="77" t="n">
        <v>20.4240522836538</v>
      </c>
      <c r="AT335" s="78" t="n">
        <v>20.0082105401764</v>
      </c>
      <c r="AU335" s="78" t="n">
        <v>38.7104166666667</v>
      </c>
      <c r="AV335" s="78" t="n">
        <v>31.9416666666667</v>
      </c>
      <c r="AW335" s="78" t="n">
        <v>44.75625</v>
      </c>
      <c r="AX335" s="78" t="n">
        <v>38.5625</v>
      </c>
      <c r="AY335" s="48" t="n">
        <v>1.02607512171368</v>
      </c>
      <c r="AZ335" s="48" t="n">
        <v>18.2959412457542</v>
      </c>
      <c r="BA335" s="48" t="n">
        <v>1.20381088424577</v>
      </c>
      <c r="BB335" s="49" t="n">
        <f aca="false">AT335/V335</f>
        <v>1.02607512171368</v>
      </c>
      <c r="BC335" s="49" t="n">
        <f aca="false">AS335/V335</f>
        <v>1.04740061040221</v>
      </c>
      <c r="BD335" s="49" t="n">
        <f aca="false">SUM(AP335:AR335)/V335</f>
        <v>0.123263129948782</v>
      </c>
      <c r="BE335" s="50" t="n">
        <v>6.8</v>
      </c>
      <c r="BF335" s="51" t="n">
        <v>119.842655649993</v>
      </c>
      <c r="BG335" s="51" t="n">
        <v>500.642210665287</v>
      </c>
      <c r="BH335" s="51" t="n">
        <v>267.320401712404</v>
      </c>
      <c r="BI335" s="51" t="n">
        <v>179.768015437608</v>
      </c>
      <c r="BJ335" s="51" t="n">
        <v>12.3075756588364</v>
      </c>
      <c r="BK335" s="51" t="n">
        <v>16.7090663918423</v>
      </c>
      <c r="BL335" s="51" t="n">
        <v>18.2776057559128</v>
      </c>
      <c r="BM335" s="51"/>
      <c r="BN335" s="52" t="n">
        <f aca="false">(BG335*0.5-BH335*0.25+BI335*0.5)/SUM(BG335:BI335)*1000</f>
        <v>288.452229568151</v>
      </c>
      <c r="BO335" s="53" t="n">
        <v>8.99040216</v>
      </c>
      <c r="BP335" s="54" t="s">
        <v>77</v>
      </c>
      <c r="BQ335" s="55" t="n">
        <v>391.785653789185</v>
      </c>
      <c r="BR335" s="56" t="n">
        <v>20.0918273820738</v>
      </c>
      <c r="BS335" s="56" t="n">
        <v>31.2277512453321</v>
      </c>
      <c r="BT335" s="56" t="n">
        <v>19.5812440599064</v>
      </c>
      <c r="BU335" s="55"/>
      <c r="BV335" s="55"/>
      <c r="BW335" s="55"/>
      <c r="BX335" s="55"/>
      <c r="BY335" s="79" t="n">
        <v>0.0369230769230769</v>
      </c>
      <c r="BZ335" s="80" t="n">
        <v>1.0098778</v>
      </c>
      <c r="CA335" s="81" t="n">
        <v>3.22</v>
      </c>
      <c r="CB335" s="81" t="n">
        <v>0.402</v>
      </c>
      <c r="CC335" s="82" t="n">
        <v>4.830716</v>
      </c>
      <c r="CD335" s="82" t="n">
        <v>6.636472</v>
      </c>
      <c r="CE335" s="83" t="n">
        <v>67.43574</v>
      </c>
      <c r="CF335" s="84" t="n">
        <v>32.032207</v>
      </c>
      <c r="CG335" s="80" t="n">
        <v>0.1445</v>
      </c>
      <c r="CH335" s="63"/>
      <c r="CI335" s="63"/>
      <c r="CJ335" s="64"/>
      <c r="CK335" s="65"/>
    </row>
    <row r="336" customFormat="false" ht="15" hidden="false" customHeight="false" outlineLevel="0" collapsed="false">
      <c r="A336" s="7" t="s">
        <v>73</v>
      </c>
      <c r="B336" s="66" t="n">
        <v>334</v>
      </c>
      <c r="C336" s="8" t="s">
        <v>412</v>
      </c>
      <c r="D336" s="67" t="n">
        <v>41981</v>
      </c>
      <c r="E336" s="4" t="s">
        <v>78</v>
      </c>
      <c r="F336" s="7" t="n">
        <v>2145</v>
      </c>
      <c r="G336" s="68" t="n">
        <v>1</v>
      </c>
      <c r="H336" s="68" t="n">
        <v>104</v>
      </c>
      <c r="I336" s="66" t="n">
        <v>1</v>
      </c>
      <c r="J336" s="69" t="n">
        <v>590.103333333333</v>
      </c>
      <c r="K336" s="31" t="n">
        <v>486.5827922535</v>
      </c>
      <c r="L336" s="31" t="n">
        <v>938.680485306648</v>
      </c>
      <c r="M336" s="31" t="n">
        <v>169.59554201402</v>
      </c>
      <c r="N336" s="31" t="n">
        <v>370.140663279484</v>
      </c>
      <c r="O336" s="32"/>
      <c r="P336" s="33" t="n">
        <v>42.4489886333556</v>
      </c>
      <c r="Q336" s="33" t="n">
        <v>15.7877401527792</v>
      </c>
      <c r="R336" s="31" t="n">
        <v>161.615024503579</v>
      </c>
      <c r="S336" s="34" t="s">
        <v>76</v>
      </c>
      <c r="T336" s="35" t="n">
        <v>17.3769471</v>
      </c>
      <c r="U336" s="35" t="n">
        <v>4.8384394</v>
      </c>
      <c r="V336" s="70" t="n">
        <v>22.2153865</v>
      </c>
      <c r="W336" s="35" t="n">
        <v>20.7282757359993</v>
      </c>
      <c r="X336" s="35" t="n">
        <v>3.75653241975633</v>
      </c>
      <c r="Y336" s="35" t="n">
        <v>7.58000859656516</v>
      </c>
      <c r="Z336" s="35"/>
      <c r="AA336" s="35" t="n">
        <v>0.889013881041422</v>
      </c>
      <c r="AB336" s="35" t="n">
        <v>0.323831206563506</v>
      </c>
      <c r="AC336" s="71" t="n">
        <v>3.62632472622317</v>
      </c>
      <c r="AD336" s="38" t="n">
        <v>6.93089590575369</v>
      </c>
      <c r="AE336" s="38" t="n">
        <v>5.9318626828249</v>
      </c>
      <c r="AF336" s="38" t="n">
        <v>1.29151360334555</v>
      </c>
      <c r="AG336" s="72"/>
      <c r="AH336" s="72"/>
      <c r="AI336" s="73" t="n">
        <v>46.7228495373415</v>
      </c>
      <c r="AJ336" s="42" t="s">
        <v>16</v>
      </c>
      <c r="AK336" s="43" t="n">
        <v>688.013714919896</v>
      </c>
      <c r="AL336" s="43" t="n">
        <v>713.827490603914</v>
      </c>
      <c r="AM336" s="43" t="n">
        <v>656.195272918923</v>
      </c>
      <c r="AN336" s="74"/>
      <c r="AO336" s="75" t="n">
        <v>19.804</v>
      </c>
      <c r="AP336" s="76" t="n">
        <v>0.73148849874477</v>
      </c>
      <c r="AQ336" s="76" t="n">
        <v>0.62850769874477</v>
      </c>
      <c r="AR336" s="76" t="n">
        <v>0.927763539748954</v>
      </c>
      <c r="AS336" s="77" t="n">
        <v>18.8939274811716</v>
      </c>
      <c r="AT336" s="78" t="n">
        <v>18.7837731079604</v>
      </c>
      <c r="AU336" s="78" t="n">
        <v>36.9364016736402</v>
      </c>
      <c r="AV336" s="78" t="n">
        <v>31.7364016736402</v>
      </c>
      <c r="AW336" s="78" t="n">
        <v>46.847280334728</v>
      </c>
      <c r="AX336" s="78" t="n">
        <v>43.4728033472803</v>
      </c>
      <c r="AY336" s="48" t="n">
        <v>0.845529881191149</v>
      </c>
      <c r="AZ336" s="48" t="n">
        <v>18.08726119253</v>
      </c>
      <c r="BA336" s="48" t="n">
        <v>4.12812530747004</v>
      </c>
      <c r="BB336" s="49" t="n">
        <f aca="false">AT336/V336</f>
        <v>0.845529881191149</v>
      </c>
      <c r="BC336" s="49" t="n">
        <f aca="false">AS336/V336</f>
        <v>0.850488353248842</v>
      </c>
      <c r="BD336" s="49" t="n">
        <f aca="false">SUM(AP336:AR336)/V336</f>
        <v>0.102980865862428</v>
      </c>
      <c r="BE336" s="50" t="n">
        <v>6.68</v>
      </c>
      <c r="BF336" s="51" t="n">
        <v>114.53214110545</v>
      </c>
      <c r="BG336" s="51" t="n">
        <v>514.308817778626</v>
      </c>
      <c r="BH336" s="51" t="n">
        <v>256.003533998916</v>
      </c>
      <c r="BI336" s="51" t="n">
        <v>176.109470519547</v>
      </c>
      <c r="BJ336" s="51" t="n">
        <v>11.5722213668548</v>
      </c>
      <c r="BK336" s="51" t="n">
        <v>20.9287457708067</v>
      </c>
      <c r="BL336" s="51" t="n">
        <v>16.1020861871396</v>
      </c>
      <c r="BM336" s="51"/>
      <c r="BN336" s="52" t="n">
        <f aca="false">(BG336*0.5-BH336*0.25+BI336*0.5)/SUM(BG336:BI336)*1000</f>
        <v>297.127828230787</v>
      </c>
      <c r="BO336" s="53" t="n">
        <v>9.72889464</v>
      </c>
      <c r="BP336" s="54" t="s">
        <v>77</v>
      </c>
      <c r="BQ336" s="55" t="n">
        <v>381.423075479473</v>
      </c>
      <c r="BR336" s="56" t="n">
        <v>17.1693198081191</v>
      </c>
      <c r="BS336" s="56" t="n">
        <v>25.7780770318279</v>
      </c>
      <c r="BT336" s="56" t="n">
        <v>20.3059882211752</v>
      </c>
      <c r="BU336" s="55"/>
      <c r="BV336" s="55"/>
      <c r="BW336" s="55"/>
      <c r="BX336" s="55"/>
      <c r="BY336" s="79" t="n">
        <v>0.0276923076923077</v>
      </c>
      <c r="BZ336" s="80" t="n">
        <v>0.831086</v>
      </c>
      <c r="CA336" s="81" t="n">
        <v>3.1</v>
      </c>
      <c r="CB336" s="81" t="n">
        <v>0.51</v>
      </c>
      <c r="CC336" s="82" t="n">
        <v>5.501052</v>
      </c>
      <c r="CD336" s="82" t="n">
        <v>5.70644</v>
      </c>
      <c r="CE336" s="83" t="n">
        <v>87.445</v>
      </c>
      <c r="CF336" s="84" t="n">
        <v>37.774814</v>
      </c>
      <c r="CG336" s="80" t="n">
        <v>0.1025</v>
      </c>
      <c r="CH336" s="63" t="n">
        <v>27520.1918332442</v>
      </c>
      <c r="CI336" s="63" t="n">
        <v>3930.65379152029</v>
      </c>
      <c r="CJ336" s="64" t="n">
        <v>658625.337009287</v>
      </c>
      <c r="CK336" s="65" t="n">
        <v>0.596796626344313</v>
      </c>
    </row>
    <row r="337" customFormat="false" ht="15" hidden="false" customHeight="false" outlineLevel="0" collapsed="false">
      <c r="A337" s="7" t="s">
        <v>73</v>
      </c>
      <c r="B337" s="66" t="n">
        <v>335</v>
      </c>
      <c r="C337" s="8" t="s">
        <v>413</v>
      </c>
      <c r="D337" s="67" t="n">
        <v>41981</v>
      </c>
      <c r="E337" s="4" t="s">
        <v>78</v>
      </c>
      <c r="F337" s="7" t="n">
        <v>2809</v>
      </c>
      <c r="G337" s="68" t="n">
        <v>1</v>
      </c>
      <c r="H337" s="68" t="n">
        <v>113</v>
      </c>
      <c r="I337" s="66" t="n">
        <v>4</v>
      </c>
      <c r="J337" s="69" t="n">
        <v>758.619047619048</v>
      </c>
      <c r="K337" s="31" t="n">
        <v>486.5827922535</v>
      </c>
      <c r="L337" s="31" t="n">
        <v>938.680485306648</v>
      </c>
      <c r="M337" s="31" t="n">
        <v>169.59554201402</v>
      </c>
      <c r="N337" s="31" t="n">
        <v>370.140663279484</v>
      </c>
      <c r="O337" s="32"/>
      <c r="P337" s="33" t="n">
        <v>42.4489886333556</v>
      </c>
      <c r="Q337" s="33" t="n">
        <v>15.7877401527792</v>
      </c>
      <c r="R337" s="31" t="n">
        <v>161.615024503579</v>
      </c>
      <c r="S337" s="34" t="s">
        <v>76</v>
      </c>
      <c r="T337" s="35" t="n">
        <v>14.2981915842857</v>
      </c>
      <c r="U337" s="35" t="n">
        <v>4.42207428571429</v>
      </c>
      <c r="V337" s="70" t="n">
        <v>18.72026587</v>
      </c>
      <c r="W337" s="35" t="n">
        <v>17.4593608406866</v>
      </c>
      <c r="X337" s="35" t="n">
        <v>3.16653855027576</v>
      </c>
      <c r="Y337" s="35" t="n">
        <v>6.33984823286022</v>
      </c>
      <c r="Z337" s="35"/>
      <c r="AA337" s="35" t="n">
        <v>0.745990951681759</v>
      </c>
      <c r="AB337" s="35" t="n">
        <v>0.270411060893647</v>
      </c>
      <c r="AC337" s="71" t="n">
        <v>3.06154604897975</v>
      </c>
      <c r="AD337" s="38" t="n">
        <v>5.51128982677872</v>
      </c>
      <c r="AE337" s="38" t="n">
        <v>4.6564905483553</v>
      </c>
      <c r="AF337" s="38" t="n">
        <v>1.19518330114887</v>
      </c>
      <c r="AG337" s="72"/>
      <c r="AH337" s="72"/>
      <c r="AI337" s="73" t="n">
        <v>49.0649320563312</v>
      </c>
      <c r="AJ337" s="42" t="s">
        <v>16</v>
      </c>
      <c r="AK337" s="43" t="n">
        <v>705.597673395719</v>
      </c>
      <c r="AL337" s="43" t="n">
        <v>733.295474511071</v>
      </c>
      <c r="AM337" s="43" t="n">
        <v>622.558423915354</v>
      </c>
      <c r="AN337" s="74"/>
      <c r="AO337" s="75" t="n">
        <v>20.6107142857143</v>
      </c>
      <c r="AP337" s="76" t="n">
        <v>0.713130714285714</v>
      </c>
      <c r="AQ337" s="76" t="n">
        <v>0.601832857142857</v>
      </c>
      <c r="AR337" s="76" t="n">
        <v>0.946031785714286</v>
      </c>
      <c r="AS337" s="77" t="n">
        <v>18.9412464285714</v>
      </c>
      <c r="AT337" s="78" t="n">
        <v>18.4558181596906</v>
      </c>
      <c r="AU337" s="78" t="n">
        <v>34.6</v>
      </c>
      <c r="AV337" s="78" t="n">
        <v>29.2</v>
      </c>
      <c r="AW337" s="78" t="n">
        <v>45.9</v>
      </c>
      <c r="AX337" s="78" t="n">
        <v>44</v>
      </c>
      <c r="AY337" s="48" t="n">
        <v>0.985873720376314</v>
      </c>
      <c r="AZ337" s="48" t="n">
        <v>20.5698361976578</v>
      </c>
      <c r="BA337" s="48" t="n">
        <v>-1.84957032765776</v>
      </c>
      <c r="BB337" s="49" t="n">
        <f aca="false">AT337/V337</f>
        <v>0.985873720376314</v>
      </c>
      <c r="BC337" s="49" t="n">
        <f aca="false">AS337/V337</f>
        <v>1.01180434936694</v>
      </c>
      <c r="BD337" s="49" t="n">
        <f aca="false">SUM(AP337:AR337)/V337</f>
        <v>0.120777951170352</v>
      </c>
      <c r="BE337" s="50" t="n">
        <v>6.69</v>
      </c>
      <c r="BF337" s="51" t="n">
        <v>123.9397079128</v>
      </c>
      <c r="BG337" s="51" t="n">
        <v>566.534580658134</v>
      </c>
      <c r="BH337" s="51" t="n">
        <v>217.302736331435</v>
      </c>
      <c r="BI337" s="51" t="n">
        <v>152.632463958202</v>
      </c>
      <c r="BJ337" s="51" t="n">
        <v>13.7823387468091</v>
      </c>
      <c r="BK337" s="51" t="n">
        <v>19.6698676427906</v>
      </c>
      <c r="BL337" s="51" t="n">
        <v>25.1028882845201</v>
      </c>
      <c r="BM337" s="51"/>
      <c r="BN337" s="52" t="n">
        <f aca="false">(BG337*0.5-BH337*0.25+BI337*0.5)/SUM(BG337:BI337)*1000</f>
        <v>325.966565537617</v>
      </c>
      <c r="BO337" s="53" t="n">
        <v>8.95627814</v>
      </c>
      <c r="BP337" s="54" t="s">
        <v>77</v>
      </c>
      <c r="BQ337" s="55" t="n">
        <v>344.442811019475</v>
      </c>
      <c r="BR337" s="56" t="n">
        <v>18.3994614933039</v>
      </c>
      <c r="BS337" s="56" t="n">
        <v>26.9035617134848</v>
      </c>
      <c r="BT337" s="56" t="n">
        <v>18.6631016863708</v>
      </c>
      <c r="BU337" s="55"/>
      <c r="BV337" s="55"/>
      <c r="BW337" s="55"/>
      <c r="BX337" s="55"/>
      <c r="BY337" s="79" t="n">
        <v>0.0461538461538462</v>
      </c>
      <c r="BZ337" s="80" t="n">
        <v>1.1195236</v>
      </c>
      <c r="CA337" s="81" t="n">
        <v>3.41</v>
      </c>
      <c r="CB337" s="81" t="n">
        <v>0.208</v>
      </c>
      <c r="CC337" s="82" t="n">
        <v>5.532474</v>
      </c>
      <c r="CD337" s="82" t="n">
        <v>4.914656</v>
      </c>
      <c r="CE337" s="83" t="n">
        <v>83.172456</v>
      </c>
      <c r="CF337" s="84" t="n">
        <v>33.151964</v>
      </c>
      <c r="CG337" s="80" t="n">
        <v>0.197</v>
      </c>
      <c r="CH337" s="63" t="n">
        <v>35432.1650083923</v>
      </c>
      <c r="CI337" s="63" t="n">
        <v>6435.4513971885</v>
      </c>
      <c r="CJ337" s="64" t="n">
        <v>697199.658489145</v>
      </c>
      <c r="CK337" s="65" t="n">
        <v>0.923042821210547</v>
      </c>
    </row>
    <row r="338" customFormat="false" ht="15" hidden="false" customHeight="false" outlineLevel="0" collapsed="false">
      <c r="A338" s="7" t="s">
        <v>73</v>
      </c>
      <c r="B338" s="66" t="n">
        <v>336</v>
      </c>
      <c r="C338" s="8" t="s">
        <v>414</v>
      </c>
      <c r="D338" s="67" t="n">
        <v>42016</v>
      </c>
      <c r="E338" s="4" t="s">
        <v>78</v>
      </c>
      <c r="F338" s="7" t="n">
        <v>2020</v>
      </c>
      <c r="G338" s="68" t="n">
        <v>1</v>
      </c>
      <c r="H338" s="68" t="n">
        <v>87</v>
      </c>
      <c r="I338" s="66" t="n">
        <v>2</v>
      </c>
      <c r="J338" s="69" t="n">
        <v>672.428571428571</v>
      </c>
      <c r="K338" s="31" t="n">
        <v>486.5827922535</v>
      </c>
      <c r="L338" s="31" t="n">
        <v>938.680485306648</v>
      </c>
      <c r="M338" s="31" t="n">
        <v>169.59554201402</v>
      </c>
      <c r="N338" s="31" t="n">
        <v>370.140663279484</v>
      </c>
      <c r="O338" s="32"/>
      <c r="P338" s="33" t="n">
        <v>42.4489886333556</v>
      </c>
      <c r="Q338" s="33" t="n">
        <v>13.7063552868315</v>
      </c>
      <c r="R338" s="31" t="n">
        <v>161.615024503579</v>
      </c>
      <c r="S338" s="34" t="s">
        <v>76</v>
      </c>
      <c r="T338" s="35" t="n">
        <v>13.8352689714286</v>
      </c>
      <c r="U338" s="35" t="n">
        <v>3.70727342857143</v>
      </c>
      <c r="V338" s="70" t="n">
        <v>17.5425424</v>
      </c>
      <c r="W338" s="35" t="n">
        <v>16.3650551014254</v>
      </c>
      <c r="X338" s="35" t="n">
        <v>2.95695462054348</v>
      </c>
      <c r="Y338" s="35" t="n">
        <v>6.01026308722182</v>
      </c>
      <c r="Z338" s="35"/>
      <c r="AA338" s="35" t="n">
        <v>0.699567602617046</v>
      </c>
      <c r="AB338" s="35" t="n">
        <v>0.230520381893907</v>
      </c>
      <c r="AC338" s="71" t="n">
        <v>2.84567600953022</v>
      </c>
      <c r="AD338" s="38" t="n">
        <v>4.7435346097906</v>
      </c>
      <c r="AE338" s="38" t="n">
        <v>4.05648557898376</v>
      </c>
      <c r="AF338" s="38" t="n">
        <v>1.10880203073392</v>
      </c>
      <c r="AG338" s="72"/>
      <c r="AH338" s="72"/>
      <c r="AI338" s="73" t="n">
        <v>48.596753445862</v>
      </c>
      <c r="AJ338" s="42" t="s">
        <v>16</v>
      </c>
      <c r="AK338" s="43" t="n">
        <v>729.598224611354</v>
      </c>
      <c r="AL338" s="43" t="n">
        <v>752.125149970902</v>
      </c>
      <c r="AM338" s="43" t="n">
        <v>625.018922160488</v>
      </c>
      <c r="AN338" s="74"/>
      <c r="AO338" s="75" t="n">
        <v>18.5357142857143</v>
      </c>
      <c r="AP338" s="76" t="n">
        <v>0.714374045988258</v>
      </c>
      <c r="AQ338" s="76" t="n">
        <v>0.604340459882583</v>
      </c>
      <c r="AR338" s="76" t="n">
        <v>0.856057999021526</v>
      </c>
      <c r="AS338" s="77" t="n">
        <v>18.1298964041096</v>
      </c>
      <c r="AT338" s="78" t="n">
        <v>18.0026922547895</v>
      </c>
      <c r="AU338" s="78" t="n">
        <v>38.5404109589041</v>
      </c>
      <c r="AV338" s="78" t="n">
        <v>32.6041095890411</v>
      </c>
      <c r="AW338" s="78" t="n">
        <v>46.1842465753425</v>
      </c>
      <c r="AX338" s="78" t="n">
        <v>37.5684931506849</v>
      </c>
      <c r="AY338" s="48" t="n">
        <v>1.02623051119372</v>
      </c>
      <c r="AZ338" s="48" t="n">
        <v>18.6389713855089</v>
      </c>
      <c r="BA338" s="48" t="n">
        <v>-1.09642898550888</v>
      </c>
      <c r="BB338" s="49" t="n">
        <f aca="false">AT338/V338</f>
        <v>1.02623051119372</v>
      </c>
      <c r="BC338" s="49" t="n">
        <f aca="false">AS338/V338</f>
        <v>1.03348169214683</v>
      </c>
      <c r="BD338" s="49" t="n">
        <f aca="false">SUM(AP338:AR338)/V338</f>
        <v>0.123971340943851</v>
      </c>
      <c r="BE338" s="50" t="n">
        <v>6.43</v>
      </c>
      <c r="BF338" s="51" t="n">
        <v>115.962265011845</v>
      </c>
      <c r="BG338" s="51" t="n">
        <v>532.367236564521</v>
      </c>
      <c r="BH338" s="51" t="n">
        <v>231.293933735034</v>
      </c>
      <c r="BI338" s="51" t="n">
        <v>175.866834184471</v>
      </c>
      <c r="BJ338" s="51" t="n">
        <v>12.5039821669072</v>
      </c>
      <c r="BK338" s="51" t="n">
        <v>23.7772207836749</v>
      </c>
      <c r="BL338" s="51" t="n">
        <v>19.2156681872837</v>
      </c>
      <c r="BM338" s="51"/>
      <c r="BN338" s="52" t="n">
        <f aca="false">(BG338*0.5-BH338*0.25+BI338*0.5)/SUM(BG338:BI338)*1000</f>
        <v>315.364257932319</v>
      </c>
      <c r="BO338" s="53" t="n">
        <v>7.69897748</v>
      </c>
      <c r="BP338" s="54" t="s">
        <v>77</v>
      </c>
      <c r="BQ338" s="55" t="n">
        <v>430.764943507866</v>
      </c>
      <c r="BR338" s="56" t="n">
        <v>24.5554454813725</v>
      </c>
      <c r="BS338" s="56" t="n">
        <v>34.9971572831816</v>
      </c>
      <c r="BT338" s="56" t="n">
        <v>23.9278068752891</v>
      </c>
      <c r="BU338" s="55"/>
      <c r="BV338" s="55"/>
      <c r="BW338" s="55"/>
      <c r="BX338" s="55"/>
      <c r="BY338" s="79" t="n">
        <v>0.0625310173697271</v>
      </c>
      <c r="BZ338" s="80" t="n">
        <v>0.9975931</v>
      </c>
      <c r="CA338" s="81" t="n">
        <v>3.17</v>
      </c>
      <c r="CB338" s="81" t="s">
        <v>415</v>
      </c>
      <c r="CC338" s="82" t="n">
        <v>7.157112</v>
      </c>
      <c r="CD338" s="82" t="n">
        <v>5.506768</v>
      </c>
      <c r="CE338" s="83" t="n">
        <v>82.994262</v>
      </c>
      <c r="CF338" s="84" t="n">
        <v>38.450224</v>
      </c>
      <c r="CG338" s="80" t="n">
        <v>0.005</v>
      </c>
      <c r="CH338" s="63" t="n">
        <v>69486.2004004323</v>
      </c>
      <c r="CI338" s="63" t="n">
        <v>6371.91308485474</v>
      </c>
      <c r="CJ338" s="64" t="n">
        <v>387642.660404861</v>
      </c>
      <c r="CK338" s="65" t="n">
        <v>1.64375950732559</v>
      </c>
    </row>
    <row r="339" customFormat="false" ht="15" hidden="false" customHeight="false" outlineLevel="0" collapsed="false">
      <c r="A339" s="7" t="s">
        <v>73</v>
      </c>
      <c r="B339" s="66" t="n">
        <v>337</v>
      </c>
      <c r="C339" s="8" t="s">
        <v>416</v>
      </c>
      <c r="D339" s="67" t="n">
        <v>42016</v>
      </c>
      <c r="E339" s="4" t="s">
        <v>78</v>
      </c>
      <c r="F339" s="7" t="n">
        <v>2081</v>
      </c>
      <c r="G339" s="68" t="n">
        <v>1</v>
      </c>
      <c r="H339" s="68" t="n">
        <v>93</v>
      </c>
      <c r="I339" s="66" t="n">
        <v>1</v>
      </c>
      <c r="J339" s="69" t="n">
        <v>610.274358974359</v>
      </c>
      <c r="K339" s="31" t="n">
        <v>486.5827922535</v>
      </c>
      <c r="L339" s="31" t="n">
        <v>938.680485306648</v>
      </c>
      <c r="M339" s="31" t="n">
        <v>169.59554201402</v>
      </c>
      <c r="N339" s="31" t="n">
        <v>370.140663279484</v>
      </c>
      <c r="O339" s="32"/>
      <c r="P339" s="33" t="n">
        <v>42.4489886333556</v>
      </c>
      <c r="Q339" s="33" t="n">
        <v>13.7063552868315</v>
      </c>
      <c r="R339" s="31" t="n">
        <v>161.615024503579</v>
      </c>
      <c r="S339" s="34" t="s">
        <v>76</v>
      </c>
      <c r="T339" s="35" t="n">
        <v>16.7443398392308</v>
      </c>
      <c r="U339" s="35" t="n">
        <v>5.14743123076923</v>
      </c>
      <c r="V339" s="70" t="n">
        <v>21.89177107</v>
      </c>
      <c r="W339" s="35" t="n">
        <v>20.4213509590926</v>
      </c>
      <c r="X339" s="35" t="n">
        <v>3.70858123798338</v>
      </c>
      <c r="Y339" s="35" t="n">
        <v>7.41160841461625</v>
      </c>
      <c r="Z339" s="35"/>
      <c r="AA339" s="35" t="n">
        <v>0.874760591955553</v>
      </c>
      <c r="AB339" s="35" t="n">
        <v>0.279807565436297</v>
      </c>
      <c r="AC339" s="71" t="n">
        <v>3.58976984229375</v>
      </c>
      <c r="AD339" s="38" t="n">
        <v>6.71443451769053</v>
      </c>
      <c r="AE339" s="38" t="n">
        <v>5.79901558767865</v>
      </c>
      <c r="AF339" s="38" t="n">
        <v>1.56466096590508</v>
      </c>
      <c r="AG339" s="72"/>
      <c r="AH339" s="72"/>
      <c r="AI339" s="73" t="n">
        <v>41.6725436370089</v>
      </c>
      <c r="AJ339" s="42" t="s">
        <v>16</v>
      </c>
      <c r="AK339" s="43" t="n">
        <v>693.289570029725</v>
      </c>
      <c r="AL339" s="43" t="n">
        <v>716.031735643001</v>
      </c>
      <c r="AM339" s="43" t="n">
        <v>578.097157511401</v>
      </c>
      <c r="AN339" s="74"/>
      <c r="AO339" s="75" t="n">
        <v>21.9076923076923</v>
      </c>
      <c r="AP339" s="76" t="n">
        <v>0.711017931034483</v>
      </c>
      <c r="AQ339" s="76" t="n">
        <v>0.700668435013263</v>
      </c>
      <c r="AR339" s="76" t="n">
        <v>0.993853793103448</v>
      </c>
      <c r="AS339" s="77" t="n">
        <v>19.4283458885942</v>
      </c>
      <c r="AT339" s="78" t="n">
        <v>19.4522273422426</v>
      </c>
      <c r="AU339" s="78" t="n">
        <v>32.4551724137931</v>
      </c>
      <c r="AV339" s="78" t="n">
        <v>31.9827586206897</v>
      </c>
      <c r="AW339" s="78" t="n">
        <v>45.3655172413793</v>
      </c>
      <c r="AX339" s="78" t="n">
        <v>43.2413793103448</v>
      </c>
      <c r="AY339" s="48" t="n">
        <v>0.888563436920805</v>
      </c>
      <c r="AZ339" s="48" t="n">
        <v>18.3758678055122</v>
      </c>
      <c r="BA339" s="48" t="n">
        <v>3.51590326448778</v>
      </c>
      <c r="BB339" s="49" t="n">
        <f aca="false">AT339/V339</f>
        <v>0.888563436920805</v>
      </c>
      <c r="BC339" s="49" t="n">
        <f aca="false">AS339/V339</f>
        <v>0.88747254968413</v>
      </c>
      <c r="BD339" s="49" t="n">
        <f aca="false">SUM(AP339:AR339)/V339</f>
        <v>0.109883305076568</v>
      </c>
      <c r="BE339" s="50" t="n">
        <v>6.55</v>
      </c>
      <c r="BF339" s="51" t="n">
        <v>109.913651136653</v>
      </c>
      <c r="BG339" s="51" t="n">
        <v>541.559820097792</v>
      </c>
      <c r="BH339" s="51" t="n">
        <v>227.181515977844</v>
      </c>
      <c r="BI339" s="51" t="n">
        <v>170.670643070298</v>
      </c>
      <c r="BJ339" s="51" t="n">
        <v>14.4871414206149</v>
      </c>
      <c r="BK339" s="51" t="n">
        <v>21.2700500657828</v>
      </c>
      <c r="BL339" s="51" t="n">
        <v>19.8557049895578</v>
      </c>
      <c r="BM339" s="51"/>
      <c r="BN339" s="52" t="n">
        <f aca="false">(BG339*0.5-BH339*0.25+BI339*0.5)/SUM(BG339:BI339)*1000</f>
        <v>318.624692077815</v>
      </c>
      <c r="BO339" s="53" t="n">
        <v>8.90118072</v>
      </c>
      <c r="BP339" s="54" t="s">
        <v>77</v>
      </c>
      <c r="BQ339" s="55" t="n">
        <v>422.526851645385</v>
      </c>
      <c r="BR339" s="56" t="n">
        <v>19.3007157938174</v>
      </c>
      <c r="BS339" s="56" t="n">
        <v>28.8959896564408</v>
      </c>
      <c r="BT339" s="56" t="n">
        <v>21.7212581475347</v>
      </c>
      <c r="BU339" s="55"/>
      <c r="BV339" s="55"/>
      <c r="BW339" s="55"/>
      <c r="BX339" s="55"/>
      <c r="BY339" s="79" t="n">
        <v>0.0535980148883375</v>
      </c>
      <c r="BZ339" s="80" t="n">
        <v>0.5689073</v>
      </c>
      <c r="CA339" s="81" t="n">
        <v>3.47</v>
      </c>
      <c r="CB339" s="81" t="n">
        <v>0.711</v>
      </c>
      <c r="CC339" s="82" t="n">
        <v>7.411586</v>
      </c>
      <c r="CD339" s="82" t="n">
        <v>6.268576</v>
      </c>
      <c r="CE339" s="83" t="n">
        <v>84.736638</v>
      </c>
      <c r="CF339" s="84" t="n">
        <v>37.619632</v>
      </c>
      <c r="CG339" s="80" t="n">
        <v>0.071</v>
      </c>
      <c r="CH339" s="63" t="n">
        <v>49541.9540879328</v>
      </c>
      <c r="CI339" s="63" t="n">
        <v>9428.24802518222</v>
      </c>
      <c r="CJ339" s="64" t="n">
        <v>803977.320941949</v>
      </c>
      <c r="CK339" s="65" t="n">
        <v>1.17270074411253</v>
      </c>
    </row>
    <row r="340" customFormat="false" ht="15" hidden="false" customHeight="false" outlineLevel="0" collapsed="false">
      <c r="A340" s="7" t="s">
        <v>73</v>
      </c>
      <c r="B340" s="66" t="n">
        <v>338</v>
      </c>
      <c r="C340" s="8" t="s">
        <v>417</v>
      </c>
      <c r="D340" s="67" t="n">
        <v>42016</v>
      </c>
      <c r="E340" s="4" t="s">
        <v>78</v>
      </c>
      <c r="F340" s="7" t="n">
        <v>2114</v>
      </c>
      <c r="G340" s="68" t="n">
        <v>1</v>
      </c>
      <c r="H340" s="68" t="n">
        <v>90</v>
      </c>
      <c r="I340" s="66" t="n">
        <v>1</v>
      </c>
      <c r="J340" s="69" t="n">
        <v>638.953125</v>
      </c>
      <c r="K340" s="31" t="n">
        <v>486.5827922535</v>
      </c>
      <c r="L340" s="31" t="n">
        <v>938.680485306648</v>
      </c>
      <c r="M340" s="31" t="n">
        <v>169.59554201402</v>
      </c>
      <c r="N340" s="31" t="n">
        <v>370.140663279484</v>
      </c>
      <c r="O340" s="32"/>
      <c r="P340" s="33" t="n">
        <v>42.4489886333556</v>
      </c>
      <c r="Q340" s="33" t="n">
        <v>13.7063552868315</v>
      </c>
      <c r="R340" s="31" t="n">
        <v>161.615024503579</v>
      </c>
      <c r="S340" s="34" t="s">
        <v>76</v>
      </c>
      <c r="T340" s="35" t="n">
        <v>14.93489606</v>
      </c>
      <c r="U340" s="35" t="n">
        <v>5.994464</v>
      </c>
      <c r="V340" s="70" t="n">
        <v>20.92936006</v>
      </c>
      <c r="W340" s="35" t="n">
        <v>19.4737921868518</v>
      </c>
      <c r="X340" s="35" t="n">
        <v>3.50807279416719</v>
      </c>
      <c r="Y340" s="35" t="n">
        <v>6.97784510350387</v>
      </c>
      <c r="Z340" s="35"/>
      <c r="AA340" s="35" t="n">
        <v>0.810886732393789</v>
      </c>
      <c r="AB340" s="35" t="n">
        <v>0.274518127748627</v>
      </c>
      <c r="AC340" s="71" t="n">
        <v>3.37832446109324</v>
      </c>
      <c r="AD340" s="38" t="n">
        <v>5.33838379140088</v>
      </c>
      <c r="AE340" s="38" t="n">
        <v>4.56694025395702</v>
      </c>
      <c r="AF340" s="38" t="n">
        <v>1.10435072342807</v>
      </c>
      <c r="AG340" s="72"/>
      <c r="AH340" s="72"/>
      <c r="AI340" s="73" t="n">
        <v>51.4234529542114</v>
      </c>
      <c r="AJ340" s="42" t="s">
        <v>16</v>
      </c>
      <c r="AK340" s="43" t="n">
        <v>744.933252803866</v>
      </c>
      <c r="AL340" s="43" t="n">
        <v>765.482746753327</v>
      </c>
      <c r="AM340" s="43" t="n">
        <v>685.197318235741</v>
      </c>
      <c r="AN340" s="74"/>
      <c r="AO340" s="75" t="n">
        <v>27.54375</v>
      </c>
      <c r="AP340" s="76" t="n">
        <v>1.09449797468354</v>
      </c>
      <c r="AQ340" s="76" t="n">
        <v>0.863827784810127</v>
      </c>
      <c r="AR340" s="76" t="n">
        <v>1.2670125</v>
      </c>
      <c r="AS340" s="77" t="n">
        <v>27.4349696202532</v>
      </c>
      <c r="AT340" s="78" t="n">
        <v>26.8631997445175</v>
      </c>
      <c r="AU340" s="78" t="n">
        <v>39.7367088607595</v>
      </c>
      <c r="AV340" s="78" t="n">
        <v>31.3620253164557</v>
      </c>
      <c r="AW340" s="78" t="n">
        <v>46</v>
      </c>
      <c r="AX340" s="78" t="n">
        <v>42.7848101265823</v>
      </c>
      <c r="AY340" s="48" t="n">
        <v>1.28351749253233</v>
      </c>
      <c r="AZ340" s="48" t="n">
        <v>21.5654685452184</v>
      </c>
      <c r="BA340" s="48" t="n">
        <v>-0.636108485218351</v>
      </c>
      <c r="BB340" s="49" t="n">
        <f aca="false">AT340/V340</f>
        <v>1.28351749253233</v>
      </c>
      <c r="BC340" s="49" t="n">
        <f aca="false">AS340/V340</f>
        <v>1.31083652541707</v>
      </c>
      <c r="BD340" s="49" t="n">
        <f aca="false">SUM(AP340:AR340)/V340</f>
        <v>0.154105918683004</v>
      </c>
      <c r="BE340" s="50" t="n">
        <v>6.69</v>
      </c>
      <c r="BF340" s="51" t="n">
        <v>94.645723715891</v>
      </c>
      <c r="BG340" s="51" t="n">
        <v>566.713809377242</v>
      </c>
      <c r="BH340" s="51" t="n">
        <v>210.645661891912</v>
      </c>
      <c r="BI340" s="51" t="n">
        <v>167.85551811607</v>
      </c>
      <c r="BJ340" s="51" t="n">
        <v>13.958999331936</v>
      </c>
      <c r="BK340" s="51" t="n">
        <v>17.5281926254571</v>
      </c>
      <c r="BL340" s="51" t="n">
        <v>18.3226942792728</v>
      </c>
      <c r="BM340" s="51"/>
      <c r="BN340" s="52" t="n">
        <f aca="false">(BG340*0.5-BH340*0.25+BI340*0.5)/SUM(BG340:BI340)*1000</f>
        <v>332.858928187662</v>
      </c>
      <c r="BO340" s="53" t="n">
        <v>8.75348226</v>
      </c>
      <c r="BP340" s="54" t="s">
        <v>77</v>
      </c>
      <c r="BQ340" s="55" t="n">
        <v>394.557593268382</v>
      </c>
      <c r="BR340" s="56" t="n">
        <v>18.8518708712196</v>
      </c>
      <c r="BS340" s="56" t="n">
        <v>26.4682036854284</v>
      </c>
      <c r="BT340" s="56" t="n">
        <v>14.6876618206626</v>
      </c>
      <c r="BU340" s="55"/>
      <c r="BV340" s="55"/>
      <c r="BW340" s="55"/>
      <c r="BX340" s="55"/>
      <c r="BY340" s="79" t="n">
        <v>0.0982630272952854</v>
      </c>
      <c r="BZ340" s="80" t="n">
        <v>0.8177174</v>
      </c>
      <c r="CA340" s="81" t="n">
        <v>3.48</v>
      </c>
      <c r="CB340" s="81" t="n">
        <v>0.565</v>
      </c>
      <c r="CC340" s="82" t="n">
        <v>7.388452</v>
      </c>
      <c r="CD340" s="82" t="n">
        <v>5.397016</v>
      </c>
      <c r="CE340" s="83" t="n">
        <v>91.591512</v>
      </c>
      <c r="CF340" s="84" t="n">
        <v>36.878032</v>
      </c>
      <c r="CG340" s="80" t="n">
        <v>0.1235</v>
      </c>
      <c r="CH340" s="63" t="n">
        <v>79649.7425192824</v>
      </c>
      <c r="CI340" s="63" t="n">
        <v>5828.52578063522</v>
      </c>
      <c r="CJ340" s="64" t="n">
        <v>408188.190624061</v>
      </c>
      <c r="CK340" s="65" t="n">
        <v>1.42790161854615</v>
      </c>
    </row>
    <row r="341" customFormat="false" ht="15" hidden="false" customHeight="false" outlineLevel="0" collapsed="false">
      <c r="A341" s="7" t="s">
        <v>73</v>
      </c>
      <c r="B341" s="66" t="n">
        <v>339</v>
      </c>
      <c r="C341" s="8" t="s">
        <v>418</v>
      </c>
      <c r="D341" s="67" t="n">
        <v>42016</v>
      </c>
      <c r="E341" s="4" t="s">
        <v>78</v>
      </c>
      <c r="F341" s="7" t="n">
        <v>2125</v>
      </c>
      <c r="G341" s="68" t="n">
        <v>1</v>
      </c>
      <c r="H341" s="68" t="n">
        <v>85</v>
      </c>
      <c r="I341" s="66" t="n">
        <v>1</v>
      </c>
      <c r="J341" s="69" t="n">
        <v>646.596666666667</v>
      </c>
      <c r="K341" s="31" t="n">
        <v>486.5827922535</v>
      </c>
      <c r="L341" s="31" t="n">
        <v>938.680485306648</v>
      </c>
      <c r="M341" s="31" t="n">
        <v>169.59554201402</v>
      </c>
      <c r="N341" s="31" t="n">
        <v>370.140663279484</v>
      </c>
      <c r="O341" s="32"/>
      <c r="P341" s="33" t="n">
        <v>42.4489886333556</v>
      </c>
      <c r="Q341" s="33" t="n">
        <v>13.7063552868315</v>
      </c>
      <c r="R341" s="31" t="n">
        <v>161.615024503579</v>
      </c>
      <c r="S341" s="34" t="s">
        <v>76</v>
      </c>
      <c r="T341" s="35" t="n">
        <v>16.79860769</v>
      </c>
      <c r="U341" s="35" t="n">
        <v>5.32242384</v>
      </c>
      <c r="V341" s="70" t="n">
        <v>22.12103153</v>
      </c>
      <c r="W341" s="35" t="n">
        <v>20.6328562577307</v>
      </c>
      <c r="X341" s="35" t="n">
        <v>3.7483599164498</v>
      </c>
      <c r="Y341" s="35" t="n">
        <v>7.47193273929853</v>
      </c>
      <c r="Z341" s="35"/>
      <c r="AA341" s="35" t="n">
        <v>0.883037580901109</v>
      </c>
      <c r="AB341" s="35" t="n">
        <v>0.281942707072025</v>
      </c>
      <c r="AC341" s="71" t="n">
        <v>3.63040853383217</v>
      </c>
      <c r="AD341" s="38" t="n">
        <v>6.32816375723979</v>
      </c>
      <c r="AE341" s="38" t="n">
        <v>5.43209784317966</v>
      </c>
      <c r="AF341" s="38" t="n">
        <v>1.47282178275784</v>
      </c>
      <c r="AG341" s="72"/>
      <c r="AH341" s="72"/>
      <c r="AI341" s="73" t="n">
        <v>44.5536363924631</v>
      </c>
      <c r="AJ341" s="42" t="s">
        <v>16</v>
      </c>
      <c r="AK341" s="43" t="n">
        <v>713.929987909574</v>
      </c>
      <c r="AL341" s="43" t="n">
        <v>736.725842737146</v>
      </c>
      <c r="AM341" s="43" t="n">
        <v>607.075676939581</v>
      </c>
      <c r="AN341" s="74"/>
      <c r="AO341" s="75" t="n">
        <v>22.764</v>
      </c>
      <c r="AP341" s="76" t="n">
        <v>0.811497351724138</v>
      </c>
      <c r="AQ341" s="76" t="n">
        <v>0.715260579310345</v>
      </c>
      <c r="AR341" s="76" t="n">
        <v>1.0403148</v>
      </c>
      <c r="AS341" s="77" t="n">
        <v>21.2780602758621</v>
      </c>
      <c r="AT341" s="78" t="n">
        <v>21.0406612045684</v>
      </c>
      <c r="AU341" s="78" t="n">
        <v>35.648275862069</v>
      </c>
      <c r="AV341" s="78" t="n">
        <v>31.4206896551724</v>
      </c>
      <c r="AW341" s="78" t="n">
        <v>45.7</v>
      </c>
      <c r="AX341" s="78" t="n">
        <v>37.8965517241379</v>
      </c>
      <c r="AY341" s="48" t="n">
        <v>0.951160942745079</v>
      </c>
      <c r="AZ341" s="48" t="n">
        <v>19.3514836970886</v>
      </c>
      <c r="BA341" s="48" t="n">
        <v>2.76954783291144</v>
      </c>
      <c r="BB341" s="49" t="n">
        <f aca="false">AT341/V341</f>
        <v>0.951160942745079</v>
      </c>
      <c r="BC341" s="49" t="n">
        <f aca="false">AS341/V341</f>
        <v>0.961892769195925</v>
      </c>
      <c r="BD341" s="49" t="n">
        <f aca="false">SUM(AP341:AR341)/V341</f>
        <v>0.116046700966593</v>
      </c>
      <c r="BE341" s="50" t="n">
        <v>6.61</v>
      </c>
      <c r="BF341" s="51" t="n">
        <v>133.619107899595</v>
      </c>
      <c r="BG341" s="51" t="n">
        <v>558.675739531396</v>
      </c>
      <c r="BH341" s="51" t="n">
        <v>226.991678299033</v>
      </c>
      <c r="BI341" s="51" t="n">
        <v>163.833082857136</v>
      </c>
      <c r="BJ341" s="51" t="n">
        <v>12.3011559315011</v>
      </c>
      <c r="BK341" s="51" t="n">
        <v>17.1207434443742</v>
      </c>
      <c r="BL341" s="51" t="n">
        <v>16.1024755584495</v>
      </c>
      <c r="BM341" s="51"/>
      <c r="BN341" s="52" t="n">
        <f aca="false">(BG341*0.5-BH341*0.25+BI341*0.5)/SUM(BG341:BI341)*1000</f>
        <v>320.701770456155</v>
      </c>
      <c r="BO341" s="53" t="n">
        <v>6.7043612</v>
      </c>
      <c r="BP341" s="54" t="s">
        <v>77</v>
      </c>
      <c r="BQ341" s="55" t="n">
        <v>396.616231021851</v>
      </c>
      <c r="BR341" s="56" t="n">
        <v>17.9293732520552</v>
      </c>
      <c r="BS341" s="56" t="n">
        <v>26.0918712215166</v>
      </c>
      <c r="BT341" s="56" t="n">
        <v>18.8499889412095</v>
      </c>
      <c r="BU341" s="55"/>
      <c r="BV341" s="55"/>
      <c r="BW341" s="55"/>
      <c r="BX341" s="55"/>
      <c r="BY341" s="79" t="n">
        <v>0.107196029776675</v>
      </c>
      <c r="BZ341" s="80" t="n">
        <v>0.7358578</v>
      </c>
      <c r="CA341" s="81" t="n">
        <v>3.17</v>
      </c>
      <c r="CB341" s="81" t="n">
        <v>0.23</v>
      </c>
      <c r="CC341" s="82" t="n">
        <v>7.064576</v>
      </c>
      <c r="CD341" s="82" t="n">
        <v>7.19824</v>
      </c>
      <c r="CE341" s="83" t="n">
        <v>86.69299</v>
      </c>
      <c r="CF341" s="84" t="n">
        <v>36.947248</v>
      </c>
      <c r="CG341" s="80" t="n">
        <v>0.0815</v>
      </c>
      <c r="CH341" s="63" t="n">
        <v>70207.712618541</v>
      </c>
      <c r="CI341" s="63" t="n">
        <v>11363.7769011105</v>
      </c>
      <c r="CJ341" s="64" t="n">
        <v>713580.932610639</v>
      </c>
      <c r="CK341" s="65" t="n">
        <v>1.59250007697601</v>
      </c>
    </row>
    <row r="342" customFormat="false" ht="15" hidden="false" customHeight="false" outlineLevel="0" collapsed="false">
      <c r="A342" s="7" t="s">
        <v>73</v>
      </c>
      <c r="B342" s="66" t="n">
        <v>340</v>
      </c>
      <c r="C342" s="8" t="s">
        <v>419</v>
      </c>
      <c r="D342" s="67" t="n">
        <v>42016</v>
      </c>
      <c r="E342" s="4" t="s">
        <v>78</v>
      </c>
      <c r="F342" s="7" t="n">
        <v>2129</v>
      </c>
      <c r="G342" s="68" t="n">
        <v>1</v>
      </c>
      <c r="H342" s="68" t="n">
        <v>80</v>
      </c>
      <c r="I342" s="66" t="n">
        <v>1</v>
      </c>
      <c r="J342" s="69" t="n">
        <v>541</v>
      </c>
      <c r="K342" s="31" t="n">
        <v>486.5827922535</v>
      </c>
      <c r="L342" s="31" t="n">
        <v>938.680485306648</v>
      </c>
      <c r="M342" s="31" t="n">
        <v>169.59554201402</v>
      </c>
      <c r="N342" s="31" t="n">
        <v>370.140663279484</v>
      </c>
      <c r="O342" s="32"/>
      <c r="P342" s="33" t="n">
        <v>42.4489886333556</v>
      </c>
      <c r="Q342" s="33" t="n">
        <v>13.7063552868315</v>
      </c>
      <c r="R342" s="31" t="n">
        <v>161.615024503579</v>
      </c>
      <c r="S342" s="34" t="s">
        <v>76</v>
      </c>
      <c r="T342" s="35" t="n">
        <v>14.5719505142857</v>
      </c>
      <c r="U342" s="35" t="n">
        <v>3.98476228571428</v>
      </c>
      <c r="V342" s="70" t="n">
        <v>18.5567128</v>
      </c>
      <c r="W342" s="35" t="n">
        <v>17.3024310733539</v>
      </c>
      <c r="X342" s="35" t="n">
        <v>3.11651858196113</v>
      </c>
      <c r="Y342" s="35" t="n">
        <v>6.36046508121594</v>
      </c>
      <c r="Z342" s="35"/>
      <c r="AA342" s="35" t="n">
        <v>0.734992409852622</v>
      </c>
      <c r="AB342" s="35" t="n">
        <v>0.24707687166255</v>
      </c>
      <c r="AC342" s="71" t="n">
        <v>2.99088061890866</v>
      </c>
      <c r="AD342" s="38" t="n">
        <v>5.85585800025919</v>
      </c>
      <c r="AE342" s="38" t="n">
        <v>5.02276216887991</v>
      </c>
      <c r="AF342" s="38" t="n">
        <v>1.14582608219063</v>
      </c>
      <c r="AG342" s="72"/>
      <c r="AH342" s="72"/>
      <c r="AI342" s="73" t="n">
        <v>42.1931118636438</v>
      </c>
      <c r="AJ342" s="42" t="s">
        <v>16</v>
      </c>
      <c r="AK342" s="43" t="n">
        <v>684.434519013562</v>
      </c>
      <c r="AL342" s="43" t="n">
        <v>709.707719823542</v>
      </c>
      <c r="AM342" s="43" t="n">
        <v>632.337798714619</v>
      </c>
      <c r="AN342" s="74"/>
      <c r="AO342" s="75" t="n">
        <v>20.8642857142857</v>
      </c>
      <c r="AP342" s="76" t="n">
        <v>0.661340806361607</v>
      </c>
      <c r="AQ342" s="76" t="n">
        <v>0.640949227120535</v>
      </c>
      <c r="AR342" s="76" t="n">
        <v>0.975332006138392</v>
      </c>
      <c r="AS342" s="77" t="n">
        <v>18.2658263811384</v>
      </c>
      <c r="AT342" s="78" t="n">
        <v>18.2815943553443</v>
      </c>
      <c r="AU342" s="78" t="n">
        <v>31.697265625</v>
      </c>
      <c r="AV342" s="78" t="n">
        <v>30.719921875</v>
      </c>
      <c r="AW342" s="78" t="n">
        <v>46.746484375</v>
      </c>
      <c r="AX342" s="78" t="n">
        <v>41.2890625</v>
      </c>
      <c r="AY342" s="48" t="n">
        <v>0.985174182107531</v>
      </c>
      <c r="AZ342" s="48" t="n">
        <v>16.681079120549</v>
      </c>
      <c r="BA342" s="48" t="n">
        <v>1.87563367945101</v>
      </c>
      <c r="BB342" s="49" t="n">
        <f aca="false">AT342/V342</f>
        <v>0.98517418210753</v>
      </c>
      <c r="BC342" s="49" t="n">
        <f aca="false">AS342/V342</f>
        <v>0.984324464036453</v>
      </c>
      <c r="BD342" s="49" t="n">
        <f aca="false">SUM(AP342:AR342)/V342</f>
        <v>0.122738443180547</v>
      </c>
      <c r="BE342" s="50" t="n">
        <v>6.32</v>
      </c>
      <c r="BF342" s="51" t="n">
        <v>168.928880730017</v>
      </c>
      <c r="BG342" s="51" t="n">
        <v>508.202528715613</v>
      </c>
      <c r="BH342" s="51" t="n">
        <v>271.011888717973</v>
      </c>
      <c r="BI342" s="51" t="n">
        <v>151.931135678163</v>
      </c>
      <c r="BJ342" s="51" t="n">
        <v>14.3444161789803</v>
      </c>
      <c r="BK342" s="51" t="n">
        <v>26.4367402663838</v>
      </c>
      <c r="BL342" s="51" t="n">
        <v>23.0981660647791</v>
      </c>
      <c r="BM342" s="51"/>
      <c r="BN342" s="52" t="n">
        <f aca="false">(BG342*0.5-BH342*0.25+BI342*0.5)/SUM(BG342:BI342)*1000</f>
        <v>281.710908827069</v>
      </c>
      <c r="BO342" s="53" t="n">
        <v>10.48532864</v>
      </c>
      <c r="BP342" s="54" t="s">
        <v>77</v>
      </c>
      <c r="BQ342" s="55" t="n">
        <v>381.076104695245</v>
      </c>
      <c r="BR342" s="56" t="n">
        <v>20.5357548399006</v>
      </c>
      <c r="BS342" s="56" t="n">
        <v>31.0330928023966</v>
      </c>
      <c r="BT342" s="56" t="n">
        <v>20.8447959892428</v>
      </c>
      <c r="BU342" s="55"/>
      <c r="BV342" s="55"/>
      <c r="BW342" s="55"/>
      <c r="BX342" s="55"/>
      <c r="BY342" s="79" t="n">
        <v>0.0625310173697271</v>
      </c>
      <c r="BZ342" s="80" t="n">
        <v>0.4004052</v>
      </c>
      <c r="CA342" s="81" t="n">
        <v>3.87</v>
      </c>
      <c r="CB342" s="81" t="n">
        <v>0.03</v>
      </c>
      <c r="CC342" s="82" t="n">
        <v>6.527504</v>
      </c>
      <c r="CD342" s="82" t="n">
        <v>4.600456</v>
      </c>
      <c r="CE342" s="83" t="n">
        <v>87.445</v>
      </c>
      <c r="CF342" s="84" t="n">
        <v>33.963531</v>
      </c>
      <c r="CG342" s="80" t="n">
        <v>0.1445</v>
      </c>
      <c r="CH342" s="63" t="n">
        <v>275.43068678062</v>
      </c>
      <c r="CI342" s="63" t="n">
        <v>16129.4423847806</v>
      </c>
      <c r="CJ342" s="64" t="n">
        <v>594145.364771672</v>
      </c>
      <c r="CK342" s="65" t="n">
        <v>2.71472998716048</v>
      </c>
    </row>
    <row r="343" customFormat="false" ht="15" hidden="false" customHeight="false" outlineLevel="0" collapsed="false">
      <c r="A343" s="7" t="s">
        <v>73</v>
      </c>
      <c r="B343" s="66" t="n">
        <v>341</v>
      </c>
      <c r="C343" s="8" t="s">
        <v>420</v>
      </c>
      <c r="D343" s="67" t="n">
        <v>42016</v>
      </c>
      <c r="E343" s="4" t="s">
        <v>78</v>
      </c>
      <c r="F343" s="7" t="n">
        <v>2133</v>
      </c>
      <c r="G343" s="68" t="n">
        <v>1</v>
      </c>
      <c r="H343" s="68" t="n">
        <v>82</v>
      </c>
      <c r="I343" s="66" t="n">
        <v>1</v>
      </c>
      <c r="J343" s="69" t="n">
        <v>604.675925925926</v>
      </c>
      <c r="K343" s="31" t="n">
        <v>486.5827922535</v>
      </c>
      <c r="L343" s="31" t="n">
        <v>938.680485306648</v>
      </c>
      <c r="M343" s="31" t="n">
        <v>169.59554201402</v>
      </c>
      <c r="N343" s="31" t="n">
        <v>370.140663279484</v>
      </c>
      <c r="O343" s="32"/>
      <c r="P343" s="33" t="n">
        <v>42.4489886333556</v>
      </c>
      <c r="Q343" s="33" t="n">
        <v>13.7063552868315</v>
      </c>
      <c r="R343" s="31" t="n">
        <v>161.615024503579</v>
      </c>
      <c r="S343" s="34" t="s">
        <v>76</v>
      </c>
      <c r="T343" s="35" t="n">
        <v>14.6520564677778</v>
      </c>
      <c r="U343" s="35" t="n">
        <v>5.67554022222222</v>
      </c>
      <c r="V343" s="70" t="n">
        <v>20.32759669</v>
      </c>
      <c r="W343" s="35" t="n">
        <v>18.9207817582717</v>
      </c>
      <c r="X343" s="35" t="n">
        <v>3.41248846421525</v>
      </c>
      <c r="Y343" s="35" t="n">
        <v>6.79179460771907</v>
      </c>
      <c r="Z343" s="35"/>
      <c r="AA343" s="35" t="n">
        <v>0.791105616445696</v>
      </c>
      <c r="AB343" s="35" t="n">
        <v>0.265617571493444</v>
      </c>
      <c r="AC343" s="71" t="n">
        <v>3.2888015184774</v>
      </c>
      <c r="AD343" s="38" t="n">
        <v>6.46449880237184</v>
      </c>
      <c r="AE343" s="38" t="n">
        <v>5.57378703313752</v>
      </c>
      <c r="AF343" s="38" t="n">
        <v>1.25407157603574</v>
      </c>
      <c r="AG343" s="72"/>
      <c r="AH343" s="72"/>
      <c r="AI343" s="73" t="n">
        <v>41.0886566172753</v>
      </c>
      <c r="AJ343" s="42" t="s">
        <v>16</v>
      </c>
      <c r="AK343" s="43" t="n">
        <v>681.984107567817</v>
      </c>
      <c r="AL343" s="43" t="n">
        <v>705.414548703792</v>
      </c>
      <c r="AM343" s="43" t="n">
        <v>632.505255567471</v>
      </c>
      <c r="AN343" s="74"/>
      <c r="AO343" s="75" t="n">
        <v>25.4333333333333</v>
      </c>
      <c r="AP343" s="76" t="n">
        <v>1.08094948387097</v>
      </c>
      <c r="AQ343" s="76" t="n">
        <v>0.894662623655914</v>
      </c>
      <c r="AR343" s="76" t="n">
        <v>1.17585683870968</v>
      </c>
      <c r="AS343" s="77" t="n">
        <v>26.3875755913978</v>
      </c>
      <c r="AT343" s="78" t="n">
        <v>26.4415104576399</v>
      </c>
      <c r="AU343" s="78" t="n">
        <v>42.5012903225806</v>
      </c>
      <c r="AV343" s="78" t="n">
        <v>35.1767741935484</v>
      </c>
      <c r="AW343" s="78" t="n">
        <v>46.2329032258065</v>
      </c>
      <c r="AX343" s="78" t="n">
        <v>37.6709677419355</v>
      </c>
      <c r="AY343" s="48" t="n">
        <v>1.30076913965179</v>
      </c>
      <c r="AZ343" s="48" t="n">
        <v>20.4925520360937</v>
      </c>
      <c r="BA343" s="48" t="n">
        <v>-0.164955346093741</v>
      </c>
      <c r="BB343" s="49" t="n">
        <f aca="false">AT343/V343</f>
        <v>1.30076913965179</v>
      </c>
      <c r="BC343" s="49" t="n">
        <f aca="false">AS343/V343</f>
        <v>1.29811585667572</v>
      </c>
      <c r="BD343" s="49" t="n">
        <f aca="false">SUM(AP343:AR343)/V343</f>
        <v>0.155034015791296</v>
      </c>
      <c r="BE343" s="50" t="n">
        <v>6.38</v>
      </c>
      <c r="BF343" s="51" t="n">
        <v>108.255785737346</v>
      </c>
      <c r="BG343" s="51" t="n">
        <v>529.746187404929</v>
      </c>
      <c r="BH343" s="51" t="n">
        <v>241.153102557371</v>
      </c>
      <c r="BI343" s="51" t="n">
        <v>169.141966656684</v>
      </c>
      <c r="BJ343" s="51" t="n">
        <v>14.4860961104721</v>
      </c>
      <c r="BK343" s="51" t="n">
        <v>21.9391530179851</v>
      </c>
      <c r="BL343" s="51" t="n">
        <v>18.5583698744489</v>
      </c>
      <c r="BM343" s="51"/>
      <c r="BN343" s="52" t="n">
        <f aca="false">(BG343*0.5-BH343*0.25+BI343*0.5)/SUM(BG343:BI343)*1000</f>
        <v>307.599054143071</v>
      </c>
      <c r="BO343" s="53" t="n">
        <v>8.36512646</v>
      </c>
      <c r="BP343" s="54" t="s">
        <v>77</v>
      </c>
      <c r="BQ343" s="55" t="n">
        <v>366.590646371703</v>
      </c>
      <c r="BR343" s="56" t="n">
        <v>18.0341361530478</v>
      </c>
      <c r="BS343" s="56" t="n">
        <v>27.4661565334528</v>
      </c>
      <c r="BT343" s="56" t="n">
        <v>13.8642097227763</v>
      </c>
      <c r="BU343" s="55"/>
      <c r="BV343" s="55"/>
      <c r="BW343" s="55"/>
      <c r="BX343" s="55"/>
      <c r="BY343" s="79" t="n">
        <v>0.0893300248138958</v>
      </c>
      <c r="BZ343" s="80" t="n">
        <v>0.6493308</v>
      </c>
      <c r="CA343" s="81" t="n">
        <v>3.59</v>
      </c>
      <c r="CB343" s="81" t="n">
        <v>0.803</v>
      </c>
      <c r="CC343" s="82" t="n">
        <v>7.365424</v>
      </c>
      <c r="CD343" s="82" t="n">
        <v>4.493628</v>
      </c>
      <c r="CE343" s="83" t="n">
        <v>78.797488</v>
      </c>
      <c r="CF343" s="84" t="n">
        <v>35.966766</v>
      </c>
      <c r="CG343" s="80" t="n">
        <v>0.2495</v>
      </c>
      <c r="CH343" s="63" t="n">
        <v>28782.9588870827</v>
      </c>
      <c r="CI343" s="63" t="n">
        <v>11963.9460008216</v>
      </c>
      <c r="CJ343" s="64" t="n">
        <v>845058.867933109</v>
      </c>
      <c r="CK343" s="65" t="n">
        <v>1.41575296761084</v>
      </c>
    </row>
    <row r="344" customFormat="false" ht="15" hidden="false" customHeight="false" outlineLevel="0" collapsed="false">
      <c r="A344" s="7" t="s">
        <v>73</v>
      </c>
      <c r="B344" s="66" t="n">
        <v>342</v>
      </c>
      <c r="C344" s="8" t="s">
        <v>421</v>
      </c>
      <c r="D344" s="67" t="n">
        <v>42016</v>
      </c>
      <c r="E344" s="4" t="s">
        <v>78</v>
      </c>
      <c r="F344" s="7" t="n">
        <v>2138</v>
      </c>
      <c r="G344" s="68" t="n">
        <v>1</v>
      </c>
      <c r="H344" s="68" t="n">
        <v>101</v>
      </c>
      <c r="I344" s="66" t="n">
        <v>1</v>
      </c>
      <c r="J344" s="69" t="n">
        <v>632.279761904762</v>
      </c>
      <c r="K344" s="31" t="n">
        <v>486.5827922535</v>
      </c>
      <c r="L344" s="31" t="n">
        <v>938.680485306648</v>
      </c>
      <c r="M344" s="31" t="n">
        <v>169.59554201402</v>
      </c>
      <c r="N344" s="31" t="n">
        <v>370.140663279484</v>
      </c>
      <c r="O344" s="32"/>
      <c r="P344" s="33" t="n">
        <v>42.4489886333556</v>
      </c>
      <c r="Q344" s="33" t="n">
        <v>13.7063552868315</v>
      </c>
      <c r="R344" s="31" t="n">
        <v>161.615024503579</v>
      </c>
      <c r="S344" s="34" t="s">
        <v>76</v>
      </c>
      <c r="T344" s="35" t="n">
        <v>12.74839739</v>
      </c>
      <c r="U344" s="35" t="n">
        <v>3.070288</v>
      </c>
      <c r="V344" s="70" t="n">
        <v>15.81868539</v>
      </c>
      <c r="W344" s="35" t="n">
        <v>14.7108239582253</v>
      </c>
      <c r="X344" s="35" t="n">
        <v>2.58281985010617</v>
      </c>
      <c r="Y344" s="35" t="n">
        <v>5.53923653421634</v>
      </c>
      <c r="Z344" s="35"/>
      <c r="AA344" s="35" t="n">
        <v>0.601554017915798</v>
      </c>
      <c r="AB344" s="35" t="n">
        <v>0.234654763634727</v>
      </c>
      <c r="AC344" s="71" t="n">
        <v>2.41584496178215</v>
      </c>
      <c r="AD344" s="38" t="n">
        <v>5.04028207206075</v>
      </c>
      <c r="AE344" s="38" t="n">
        <v>4.30115451239212</v>
      </c>
      <c r="AF344" s="38" t="n">
        <v>1.0485777612196</v>
      </c>
      <c r="AG344" s="72"/>
      <c r="AH344" s="72"/>
      <c r="AI344" s="73" t="n">
        <v>46.5558792702224</v>
      </c>
      <c r="AJ344" s="42" t="s">
        <v>16</v>
      </c>
      <c r="AK344" s="43" t="n">
        <v>681.371621737478</v>
      </c>
      <c r="AL344" s="43" t="n">
        <v>707.619741449818</v>
      </c>
      <c r="AM344" s="43" t="n">
        <v>594.018235078806</v>
      </c>
      <c r="AN344" s="74"/>
      <c r="AO344" s="75" t="n">
        <v>19.35</v>
      </c>
      <c r="AP344" s="76" t="n">
        <v>0.601631870503597</v>
      </c>
      <c r="AQ344" s="76" t="n">
        <v>0.696725287769784</v>
      </c>
      <c r="AR344" s="76" t="n">
        <v>0.874578237410072</v>
      </c>
      <c r="AS344" s="77" t="n">
        <v>16.764478057554</v>
      </c>
      <c r="AT344" s="78" t="n">
        <v>17.4424591245475</v>
      </c>
      <c r="AU344" s="78" t="n">
        <v>31.0920863309353</v>
      </c>
      <c r="AV344" s="78" t="n">
        <v>36.0064748201439</v>
      </c>
      <c r="AW344" s="78" t="n">
        <v>45.1978417266187</v>
      </c>
      <c r="AX344" s="78" t="n">
        <v>43.5107913669065</v>
      </c>
      <c r="AY344" s="48" t="n">
        <v>1.10264909469493</v>
      </c>
      <c r="AZ344" s="48" t="n">
        <v>17.8708962851541</v>
      </c>
      <c r="BA344" s="48" t="n">
        <v>-2.05221089515412</v>
      </c>
      <c r="BB344" s="49" t="n">
        <f aca="false">AT344/V344</f>
        <v>1.10264909469493</v>
      </c>
      <c r="BC344" s="49" t="n">
        <f aca="false">AS344/V344</f>
        <v>1.05978958707604</v>
      </c>
      <c r="BD344" s="49" t="n">
        <f aca="false">SUM(AP344:AR344)/V344</f>
        <v>0.13736510601931</v>
      </c>
      <c r="BE344" s="50" t="n">
        <v>6.82</v>
      </c>
      <c r="BF344" s="51" t="n">
        <v>126.720765934593</v>
      </c>
      <c r="BG344" s="51" t="n">
        <v>542.568507742948</v>
      </c>
      <c r="BH344" s="51" t="n">
        <v>243.429251837928</v>
      </c>
      <c r="BI344" s="51" t="n">
        <v>151.230570063571</v>
      </c>
      <c r="BJ344" s="51" t="n">
        <v>14.5026490174633</v>
      </c>
      <c r="BK344" s="51" t="n">
        <v>20.4913524890887</v>
      </c>
      <c r="BL344" s="51" t="n">
        <v>22.8025444708912</v>
      </c>
      <c r="BM344" s="51"/>
      <c r="BN344" s="52" t="n">
        <f aca="false">(BG344*0.5-BH344*0.25+BI344*0.5)/SUM(BG344:BI344)*1000</f>
        <v>305.20014909525</v>
      </c>
      <c r="BO344" s="53" t="n">
        <v>7.40944516</v>
      </c>
      <c r="BP344" s="54" t="s">
        <v>77</v>
      </c>
      <c r="BQ344" s="55" t="n">
        <v>418.734832897395</v>
      </c>
      <c r="BR344" s="56" t="n">
        <v>26.4708996085164</v>
      </c>
      <c r="BS344" s="56" t="n">
        <v>40.2255648055192</v>
      </c>
      <c r="BT344" s="56" t="n">
        <v>24.0066397695089</v>
      </c>
      <c r="BU344" s="55"/>
      <c r="BV344" s="55"/>
      <c r="BW344" s="55"/>
      <c r="BX344" s="55"/>
      <c r="BY344" s="79" t="n">
        <v>0.0357320099255583</v>
      </c>
      <c r="BZ344" s="80" t="n">
        <v>0.4083076</v>
      </c>
      <c r="CA344" s="81" t="n">
        <v>4.36</v>
      </c>
      <c r="CB344" s="81" t="n">
        <v>1.126</v>
      </c>
      <c r="CC344" s="82" t="n">
        <v>4.128958</v>
      </c>
      <c r="CD344" s="82" t="n">
        <v>6.132756</v>
      </c>
      <c r="CE344" s="83" t="n">
        <v>95.506744</v>
      </c>
      <c r="CF344" s="84" t="n">
        <v>38.51447</v>
      </c>
      <c r="CG344" s="80" t="n">
        <v>0.113</v>
      </c>
      <c r="CH344" s="63" t="n">
        <v>65829.6582831701</v>
      </c>
      <c r="CI344" s="63" t="n">
        <v>9760.78690621378</v>
      </c>
      <c r="CJ344" s="64" t="n">
        <v>783308.217262884</v>
      </c>
      <c r="CK344" s="65" t="n">
        <v>1.24609785664204</v>
      </c>
    </row>
    <row r="345" customFormat="false" ht="15" hidden="false" customHeight="false" outlineLevel="0" collapsed="false">
      <c r="A345" s="7" t="s">
        <v>73</v>
      </c>
      <c r="B345" s="66" t="n">
        <v>343</v>
      </c>
      <c r="C345" s="8" t="s">
        <v>422</v>
      </c>
      <c r="D345" s="67" t="n">
        <v>42016</v>
      </c>
      <c r="E345" s="4" t="s">
        <v>78</v>
      </c>
      <c r="F345" s="7" t="n">
        <v>7798</v>
      </c>
      <c r="G345" s="68" t="n">
        <v>1</v>
      </c>
      <c r="H345" s="68" t="n">
        <v>80</v>
      </c>
      <c r="I345" s="66" t="n">
        <v>2</v>
      </c>
      <c r="J345" s="69" t="n">
        <v>667.683333333333</v>
      </c>
      <c r="K345" s="31" t="n">
        <v>486.5827922535</v>
      </c>
      <c r="L345" s="31" t="n">
        <v>938.680485306648</v>
      </c>
      <c r="M345" s="31" t="n">
        <v>169.59554201402</v>
      </c>
      <c r="N345" s="31" t="n">
        <v>370.140663279484</v>
      </c>
      <c r="O345" s="32"/>
      <c r="P345" s="33" t="n">
        <v>42.4489886333556</v>
      </c>
      <c r="Q345" s="33" t="n">
        <v>13.7063552868315</v>
      </c>
      <c r="R345" s="31" t="n">
        <v>161.615024503579</v>
      </c>
      <c r="S345" s="34" t="s">
        <v>76</v>
      </c>
      <c r="T345" s="35" t="n">
        <v>17.24688863</v>
      </c>
      <c r="U345" s="35" t="n">
        <v>5.6699944</v>
      </c>
      <c r="V345" s="70" t="n">
        <v>22.91688303</v>
      </c>
      <c r="W345" s="35" t="n">
        <v>21.3746162089879</v>
      </c>
      <c r="X345" s="35" t="n">
        <v>3.88836793173673</v>
      </c>
      <c r="Y345" s="35" t="n">
        <v>7.71455850040491</v>
      </c>
      <c r="Z345" s="35"/>
      <c r="AA345" s="35" t="n">
        <v>0.915179627715351</v>
      </c>
      <c r="AB345" s="35" t="n">
        <v>0.289851988369259</v>
      </c>
      <c r="AC345" s="71" t="n">
        <v>3.77187966998948</v>
      </c>
      <c r="AD345" s="38" t="n">
        <v>6.11676666141578</v>
      </c>
      <c r="AE345" s="38" t="n">
        <v>5.18847347203801</v>
      </c>
      <c r="AF345" s="38" t="n">
        <v>1.25241436295981</v>
      </c>
      <c r="AG345" s="72"/>
      <c r="AH345" s="72"/>
      <c r="AI345" s="73" t="n">
        <v>47.3864713848951</v>
      </c>
      <c r="AJ345" s="42" t="s">
        <v>16</v>
      </c>
      <c r="AK345" s="43" t="n">
        <v>733.089065672306</v>
      </c>
      <c r="AL345" s="43" t="n">
        <v>757.260040540223</v>
      </c>
      <c r="AM345" s="43" t="n">
        <v>677.907444730823</v>
      </c>
      <c r="AN345" s="74"/>
      <c r="AO345" s="75" t="n">
        <v>24.628</v>
      </c>
      <c r="AP345" s="76" t="n">
        <v>0.612511172254335</v>
      </c>
      <c r="AQ345" s="76" t="n">
        <v>0.690779810404624</v>
      </c>
      <c r="AR345" s="76" t="n">
        <v>1.16694012485549</v>
      </c>
      <c r="AS345" s="77" t="n">
        <v>19.038867583815</v>
      </c>
      <c r="AT345" s="78" t="n">
        <v>19.1041524121792</v>
      </c>
      <c r="AU345" s="78" t="n">
        <v>24.8705202312139</v>
      </c>
      <c r="AV345" s="78" t="n">
        <v>28.0485549132948</v>
      </c>
      <c r="AW345" s="78" t="n">
        <v>47.3826589595376</v>
      </c>
      <c r="AX345" s="78" t="n">
        <v>40.485549132948</v>
      </c>
      <c r="AY345" s="48" t="n">
        <v>0.833627871083968</v>
      </c>
      <c r="AZ345" s="48" t="n">
        <v>18.7066053870063</v>
      </c>
      <c r="BA345" s="48" t="n">
        <v>4.21027764299365</v>
      </c>
      <c r="BB345" s="49" t="n">
        <f aca="false">AT345/V345</f>
        <v>0.833627871083968</v>
      </c>
      <c r="BC345" s="49" t="n">
        <f aca="false">AS345/V345</f>
        <v>0.830779105469607</v>
      </c>
      <c r="BD345" s="49" t="n">
        <f aca="false">SUM(AP345:AR345)/V345</f>
        <v>0.107790885186294</v>
      </c>
      <c r="BE345" s="50" t="n">
        <v>6.33</v>
      </c>
      <c r="BF345" s="51" t="n">
        <v>118.588577205683</v>
      </c>
      <c r="BG345" s="51" t="n">
        <v>534.323913002951</v>
      </c>
      <c r="BH345" s="51" t="n">
        <v>236.985147998099</v>
      </c>
      <c r="BI345" s="51" t="n">
        <v>178.127770455243</v>
      </c>
      <c r="BJ345" s="51" t="n">
        <v>11.104687824858</v>
      </c>
      <c r="BK345" s="51" t="n">
        <v>19.5974021351071</v>
      </c>
      <c r="BL345" s="51" t="n">
        <v>14.8859542056338</v>
      </c>
      <c r="BM345" s="51"/>
      <c r="BN345" s="52" t="n">
        <f aca="false">(BG345*0.5-BH345*0.25+BI345*0.5)/SUM(BG345:BI345)*1000</f>
        <v>312.795485587019</v>
      </c>
      <c r="BO345" s="53" t="n">
        <v>7.3095581</v>
      </c>
      <c r="BP345" s="54" t="s">
        <v>77</v>
      </c>
      <c r="BQ345" s="55" t="n">
        <v>466.284109093374</v>
      </c>
      <c r="BR345" s="56" t="n">
        <v>20.3467508422926</v>
      </c>
      <c r="BS345" s="56" t="n">
        <v>28.8076113420732</v>
      </c>
      <c r="BT345" s="56" t="n">
        <v>24.407474303655</v>
      </c>
      <c r="BU345" s="55"/>
      <c r="BV345" s="55"/>
      <c r="BW345" s="55"/>
      <c r="BX345" s="55"/>
      <c r="BY345" s="79" t="n">
        <v>0.125062034739454</v>
      </c>
      <c r="BZ345" s="80" t="n">
        <v>0.7876228</v>
      </c>
      <c r="CA345" s="81" t="n">
        <v>3.57</v>
      </c>
      <c r="CB345" s="81" t="n">
        <v>0.759</v>
      </c>
      <c r="CC345" s="82" t="n">
        <v>6.915042</v>
      </c>
      <c r="CD345" s="82" t="n">
        <v>6.053599</v>
      </c>
      <c r="CE345" s="83" t="n">
        <v>78.229544</v>
      </c>
      <c r="CF345" s="84" t="n">
        <v>37.939182</v>
      </c>
      <c r="CG345" s="80" t="n">
        <v>0.113</v>
      </c>
      <c r="CH345" s="63" t="n">
        <v>58294.9509035238</v>
      </c>
      <c r="CI345" s="63" t="n">
        <v>4657.82557484804</v>
      </c>
      <c r="CJ345" s="64" t="n">
        <v>593417.466084806</v>
      </c>
      <c r="CK345" s="65" t="n">
        <v>0.78491548379575</v>
      </c>
    </row>
    <row r="346" customFormat="false" ht="15" hidden="false" customHeight="false" outlineLevel="0" collapsed="false">
      <c r="A346" s="7" t="s">
        <v>73</v>
      </c>
      <c r="B346" s="66" t="n">
        <v>344</v>
      </c>
      <c r="C346" s="8" t="s">
        <v>423</v>
      </c>
      <c r="D346" s="67" t="n">
        <v>42023</v>
      </c>
      <c r="E346" s="4" t="s">
        <v>75</v>
      </c>
      <c r="F346" s="7" t="n">
        <v>17</v>
      </c>
      <c r="G346" s="68" t="n">
        <v>1</v>
      </c>
      <c r="H346" s="68" t="n">
        <v>88</v>
      </c>
      <c r="I346" s="66" t="n">
        <v>1</v>
      </c>
      <c r="J346" s="69" t="n">
        <v>579.363095238095</v>
      </c>
      <c r="K346" s="31" t="n">
        <v>517.522281919027</v>
      </c>
      <c r="L346" s="31" t="n">
        <v>934.335567427964</v>
      </c>
      <c r="M346" s="31" t="n">
        <v>164.084821769005</v>
      </c>
      <c r="N346" s="31" t="n">
        <v>348.171151121041</v>
      </c>
      <c r="O346" s="32"/>
      <c r="P346" s="33" t="n">
        <v>31.8656621019481</v>
      </c>
      <c r="Q346" s="33" t="n">
        <v>9.54049954248598</v>
      </c>
      <c r="R346" s="31" t="n">
        <v>160.764534063544</v>
      </c>
      <c r="S346" s="34" t="s">
        <v>76</v>
      </c>
      <c r="T346" s="35" t="n">
        <v>17.1804774771429</v>
      </c>
      <c r="U346" s="35" t="n">
        <v>5.81192914285714</v>
      </c>
      <c r="V346" s="70" t="n">
        <v>22.99240662</v>
      </c>
      <c r="W346" s="35" t="n">
        <v>21.5022901392801</v>
      </c>
      <c r="X346" s="35" t="n">
        <v>3.91331268836244</v>
      </c>
      <c r="Y346" s="35" t="n">
        <v>7.17674382878785</v>
      </c>
      <c r="Z346" s="35"/>
      <c r="AA346" s="35" t="n">
        <v>0.741892464112955</v>
      </c>
      <c r="AB346" s="35" t="n">
        <v>0.194016281338425</v>
      </c>
      <c r="AC346" s="71" t="n">
        <v>3.97944916955446</v>
      </c>
      <c r="AD346" s="38" t="n">
        <v>6.26462440495868</v>
      </c>
      <c r="AE346" s="38" t="n">
        <v>5.52402194721066</v>
      </c>
      <c r="AF346" s="38" t="n">
        <v>1.23664668230903</v>
      </c>
      <c r="AG346" s="72"/>
      <c r="AH346" s="72"/>
      <c r="AI346" s="73" t="n">
        <v>30.9701378401638</v>
      </c>
      <c r="AJ346" s="42" t="s">
        <v>16</v>
      </c>
      <c r="AK346" s="43" t="n">
        <v>727.535072404757</v>
      </c>
      <c r="AL346" s="43" t="n">
        <v>743.096111556999</v>
      </c>
      <c r="AM346" s="43" t="n">
        <v>683.989810988881</v>
      </c>
      <c r="AN346" s="74"/>
      <c r="AO346" s="75" t="n">
        <v>39.4285714285714</v>
      </c>
      <c r="AP346" s="76" t="n">
        <v>1.49002771305947</v>
      </c>
      <c r="AQ346" s="76" t="n">
        <v>1.28193623543838</v>
      </c>
      <c r="AR346" s="76" t="n">
        <v>1.81212360515021</v>
      </c>
      <c r="AS346" s="77" t="n">
        <v>38.1218442673207</v>
      </c>
      <c r="AT346" s="78" t="n">
        <v>37.8597497342492</v>
      </c>
      <c r="AU346" s="78" t="n">
        <v>37.7905579399142</v>
      </c>
      <c r="AV346" s="78" t="n">
        <v>32.5128755364807</v>
      </c>
      <c r="AW346" s="78" t="n">
        <v>45.9596566523605</v>
      </c>
      <c r="AX346" s="78" t="n">
        <v>39.5321888412017</v>
      </c>
      <c r="AY346" s="48" t="n">
        <v>1.64661970188527</v>
      </c>
      <c r="AZ346" s="48" t="n">
        <v>24.4796024894969</v>
      </c>
      <c r="BA346" s="48" t="n">
        <v>-1.48719586949689</v>
      </c>
      <c r="BB346" s="49" t="n">
        <f aca="false">AT346/V346</f>
        <v>1.64661970188527</v>
      </c>
      <c r="BC346" s="49" t="n">
        <f aca="false">AS346/V346</f>
        <v>1.65801887977052</v>
      </c>
      <c r="BD346" s="49" t="n">
        <f aca="false">SUM(AP346:AR346)/V346</f>
        <v>0.199373977218226</v>
      </c>
      <c r="BE346" s="50" t="n">
        <v>6.92</v>
      </c>
      <c r="BF346" s="51" t="n">
        <v>109.148772419054</v>
      </c>
      <c r="BG346" s="51" t="n">
        <v>561.995831045339</v>
      </c>
      <c r="BH346" s="51" t="n">
        <v>248.841256856236</v>
      </c>
      <c r="BI346" s="51" t="n">
        <v>140.629647934778</v>
      </c>
      <c r="BJ346" s="51" t="n">
        <v>13.091323491875</v>
      </c>
      <c r="BK346" s="51" t="n">
        <v>15.792931133703</v>
      </c>
      <c r="BL346" s="51" t="n">
        <v>14.6738851599603</v>
      </c>
      <c r="BM346" s="51"/>
      <c r="BN346" s="52" t="n">
        <f aca="false">(BG346*0.5-BH346*0.25+BI346*0.5)/SUM(BG346:BI346)*1000</f>
        <v>303.84921972272</v>
      </c>
      <c r="BO346" s="53" t="n">
        <v>5.25315102</v>
      </c>
      <c r="BP346" s="54" t="s">
        <v>77</v>
      </c>
      <c r="BQ346" s="55" t="n">
        <v>424.11147048</v>
      </c>
      <c r="BR346" s="56" t="n">
        <v>18.4457189492763</v>
      </c>
      <c r="BS346" s="56" t="n">
        <v>26.5430186414383</v>
      </c>
      <c r="BT346" s="56" t="n">
        <v>11.2021731114703</v>
      </c>
      <c r="BU346" s="55"/>
      <c r="BV346" s="55"/>
      <c r="BW346" s="55"/>
      <c r="BX346" s="55"/>
      <c r="BY346" s="79" t="n">
        <v>0.482382133995037</v>
      </c>
      <c r="BZ346" s="80" t="n">
        <v>0.3984296</v>
      </c>
      <c r="CA346" s="81" t="n">
        <v>3.89</v>
      </c>
      <c r="CB346" s="81" t="n">
        <v>0.058</v>
      </c>
      <c r="CC346" s="82" t="n">
        <v>6.328498</v>
      </c>
      <c r="CD346" s="82" t="n">
        <v>4.714019</v>
      </c>
      <c r="CE346" s="83" t="n">
        <v>90.691184</v>
      </c>
      <c r="CF346" s="84" t="n">
        <v>36.942701</v>
      </c>
      <c r="CG346" s="80" t="n">
        <v>0.2285</v>
      </c>
      <c r="CH346" s="63" t="n">
        <v>39936.5403130666</v>
      </c>
      <c r="CI346" s="63" t="n">
        <v>8249.87644266956</v>
      </c>
      <c r="CJ346" s="64" t="n">
        <v>876897.84221538</v>
      </c>
      <c r="CK346" s="65" t="n">
        <v>0.940802456740822</v>
      </c>
    </row>
    <row r="347" customFormat="false" ht="15" hidden="false" customHeight="false" outlineLevel="0" collapsed="false">
      <c r="A347" s="7" t="s">
        <v>73</v>
      </c>
      <c r="B347" s="66" t="n">
        <v>345</v>
      </c>
      <c r="C347" s="8" t="s">
        <v>424</v>
      </c>
      <c r="D347" s="67" t="n">
        <v>42023</v>
      </c>
      <c r="E347" s="4" t="s">
        <v>75</v>
      </c>
      <c r="F347" s="7" t="n">
        <v>32</v>
      </c>
      <c r="G347" s="68" t="n">
        <v>1</v>
      </c>
      <c r="H347" s="68" t="n">
        <v>98</v>
      </c>
      <c r="I347" s="66" t="n">
        <v>1</v>
      </c>
      <c r="J347" s="69" t="n">
        <v>651.085714285714</v>
      </c>
      <c r="K347" s="31" t="n">
        <v>517.522281919027</v>
      </c>
      <c r="L347" s="31" t="n">
        <v>934.335567427964</v>
      </c>
      <c r="M347" s="31" t="n">
        <v>164.084821769005</v>
      </c>
      <c r="N347" s="31" t="n">
        <v>348.171151121041</v>
      </c>
      <c r="O347" s="32"/>
      <c r="P347" s="33" t="n">
        <v>31.8656621019481</v>
      </c>
      <c r="Q347" s="33" t="n">
        <v>9.54049954248598</v>
      </c>
      <c r="R347" s="31" t="n">
        <v>160.764534063544</v>
      </c>
      <c r="S347" s="34" t="s">
        <v>76</v>
      </c>
      <c r="T347" s="35" t="n">
        <v>23.4543162857143</v>
      </c>
      <c r="U347" s="35" t="n">
        <v>8.48136171428572</v>
      </c>
      <c r="V347" s="70" t="n">
        <v>31.935678</v>
      </c>
      <c r="W347" s="35" t="n">
        <v>29.8673397103002</v>
      </c>
      <c r="X347" s="35" t="n">
        <v>5.44534924355054</v>
      </c>
      <c r="Y347" s="35" t="n">
        <v>9.90997850576364</v>
      </c>
      <c r="Z347" s="35"/>
      <c r="AA347" s="35" t="n">
        <v>1.03111242627374</v>
      </c>
      <c r="AB347" s="35" t="n">
        <v>0.283721806232889</v>
      </c>
      <c r="AC347" s="71" t="n">
        <v>5.54723191521375</v>
      </c>
      <c r="AD347" s="38" t="n">
        <v>7.72303247323099</v>
      </c>
      <c r="AE347" s="38" t="n">
        <v>6.75594685067336</v>
      </c>
      <c r="AF347" s="38" t="n">
        <v>1.74193374037765</v>
      </c>
      <c r="AG347" s="72"/>
      <c r="AH347" s="72"/>
      <c r="AI347" s="73" t="n">
        <v>36.7370987000643</v>
      </c>
      <c r="AJ347" s="42" t="s">
        <v>16</v>
      </c>
      <c r="AK347" s="43" t="n">
        <v>758.169140068641</v>
      </c>
      <c r="AL347" s="43" t="n">
        <v>773.801519780368</v>
      </c>
      <c r="AM347" s="43" t="n">
        <v>680.10614884972</v>
      </c>
      <c r="AN347" s="74"/>
      <c r="AO347" s="75" t="n">
        <v>48.1571428571429</v>
      </c>
      <c r="AP347" s="76" t="n">
        <v>1.56123163945578</v>
      </c>
      <c r="AQ347" s="76" t="n">
        <v>1.47342511564626</v>
      </c>
      <c r="AR347" s="76" t="n">
        <v>2.29746262585034</v>
      </c>
      <c r="AS347" s="77" t="n">
        <v>42.6813317346939</v>
      </c>
      <c r="AT347" s="78" t="n">
        <v>42.8181351205425</v>
      </c>
      <c r="AU347" s="78" t="n">
        <v>32.4195238095238</v>
      </c>
      <c r="AV347" s="78" t="n">
        <v>30.5961904761905</v>
      </c>
      <c r="AW347" s="78" t="n">
        <v>47.7076190476191</v>
      </c>
      <c r="AX347" s="78" t="n">
        <v>31.5952380952381</v>
      </c>
      <c r="AY347" s="48" t="n">
        <v>1.34076173740675</v>
      </c>
      <c r="AZ347" s="48" t="n">
        <v>27.4010122536548</v>
      </c>
      <c r="BA347" s="48" t="n">
        <v>4.53466574634525</v>
      </c>
      <c r="BB347" s="49" t="n">
        <f aca="false">AT347/V347</f>
        <v>1.34076173740675</v>
      </c>
      <c r="BC347" s="49" t="n">
        <f aca="false">AS347/V347</f>
        <v>1.33647802106139</v>
      </c>
      <c r="BD347" s="49" t="n">
        <f aca="false">SUM(AP347:AR347)/V347</f>
        <v>0.166964339412252</v>
      </c>
      <c r="BE347" s="50" t="n">
        <v>6.56</v>
      </c>
      <c r="BF347" s="51" t="n">
        <v>142.151463105222</v>
      </c>
      <c r="BG347" s="51" t="n">
        <v>538.277041941892</v>
      </c>
      <c r="BH347" s="51" t="n">
        <v>288.216730881667</v>
      </c>
      <c r="BI347" s="51" t="n">
        <v>133.473773280426</v>
      </c>
      <c r="BJ347" s="51" t="n">
        <v>8.98521974482416</v>
      </c>
      <c r="BK347" s="51" t="n">
        <v>15.867949372464</v>
      </c>
      <c r="BL347" s="51" t="n">
        <v>10.2041604006169</v>
      </c>
      <c r="BM347" s="51"/>
      <c r="BN347" s="52" t="n">
        <f aca="false">(BG347*0.5-BH347*0.25+BI347*0.5)/SUM(BG347:BI347)*1000</f>
        <v>274.823066635385</v>
      </c>
      <c r="BO347" s="53" t="n">
        <v>3.40896294</v>
      </c>
      <c r="BP347" s="54" t="s">
        <v>77</v>
      </c>
      <c r="BQ347" s="55" t="n">
        <v>523.32989336</v>
      </c>
      <c r="BR347" s="56" t="n">
        <v>16.3869980577835</v>
      </c>
      <c r="BS347" s="56" t="n">
        <v>22.6438058726526</v>
      </c>
      <c r="BT347" s="56" t="n">
        <v>12.2221552126619</v>
      </c>
      <c r="BU347" s="55"/>
      <c r="BV347" s="55"/>
      <c r="BW347" s="55"/>
      <c r="BX347" s="55"/>
      <c r="BY347" s="79" t="n">
        <v>0.107196029776675</v>
      </c>
      <c r="BZ347" s="80" t="n">
        <v>0.3579298</v>
      </c>
      <c r="CA347" s="81" t="n">
        <v>3.85</v>
      </c>
      <c r="CB347" s="81" t="n">
        <v>0.03</v>
      </c>
      <c r="CC347" s="82" t="n">
        <v>5.67911</v>
      </c>
      <c r="CD347" s="82" t="n">
        <v>4.92094</v>
      </c>
      <c r="CE347" s="83" t="n">
        <v>82.857868</v>
      </c>
      <c r="CF347" s="84" t="n">
        <v>35.648303</v>
      </c>
      <c r="CG347" s="80" t="n">
        <v>0.113</v>
      </c>
      <c r="CH347" s="63" t="n">
        <v>29659.2235143191</v>
      </c>
      <c r="CI347" s="63" t="n">
        <v>9590.04049855939</v>
      </c>
      <c r="CJ347" s="64" t="n">
        <v>871177.616918595</v>
      </c>
      <c r="CK347" s="65" t="n">
        <v>1.10081346355981</v>
      </c>
    </row>
    <row r="348" customFormat="false" ht="15" hidden="false" customHeight="false" outlineLevel="0" collapsed="false">
      <c r="A348" s="7" t="s">
        <v>73</v>
      </c>
      <c r="B348" s="66" t="n">
        <v>346</v>
      </c>
      <c r="C348" s="8" t="s">
        <v>425</v>
      </c>
      <c r="D348" s="67" t="n">
        <v>42023</v>
      </c>
      <c r="E348" s="4" t="s">
        <v>75</v>
      </c>
      <c r="F348" s="7" t="n">
        <v>33</v>
      </c>
      <c r="G348" s="68" t="n">
        <v>1</v>
      </c>
      <c r="H348" s="68" t="n">
        <v>82</v>
      </c>
      <c r="I348" s="66" t="n">
        <v>1</v>
      </c>
      <c r="J348" s="69" t="n">
        <v>635.833333333333</v>
      </c>
      <c r="K348" s="31" t="n">
        <v>517.522281919027</v>
      </c>
      <c r="L348" s="31" t="n">
        <v>934.335567427964</v>
      </c>
      <c r="M348" s="31" t="n">
        <v>164.084821769005</v>
      </c>
      <c r="N348" s="31" t="n">
        <v>348.171151121041</v>
      </c>
      <c r="O348" s="32"/>
      <c r="P348" s="33" t="n">
        <v>31.8656621019481</v>
      </c>
      <c r="Q348" s="33" t="n">
        <v>9.54049954248598</v>
      </c>
      <c r="R348" s="31" t="n">
        <v>160.764534063544</v>
      </c>
      <c r="S348" s="34" t="s">
        <v>76</v>
      </c>
      <c r="T348" s="35" t="n">
        <v>18.3295317128571</v>
      </c>
      <c r="U348" s="35" t="n">
        <v>6.49544785714286</v>
      </c>
      <c r="V348" s="70" t="n">
        <v>24.82497957</v>
      </c>
      <c r="W348" s="35" t="n">
        <v>23.2168411696391</v>
      </c>
      <c r="X348" s="35" t="n">
        <v>4.23054643242778</v>
      </c>
      <c r="Y348" s="35" t="n">
        <v>7.71735040704652</v>
      </c>
      <c r="Z348" s="35"/>
      <c r="AA348" s="35" t="n">
        <v>0.801373437780991</v>
      </c>
      <c r="AB348" s="35" t="n">
        <v>0.220790103172023</v>
      </c>
      <c r="AC348" s="71" t="n">
        <v>4.30735452238472</v>
      </c>
      <c r="AD348" s="38" t="n">
        <v>6.43469137442718</v>
      </c>
      <c r="AE348" s="38" t="n">
        <v>5.65613640515294</v>
      </c>
      <c r="AF348" s="38" t="n">
        <v>1.28210797492557</v>
      </c>
      <c r="AG348" s="72"/>
      <c r="AH348" s="72"/>
      <c r="AI348" s="73" t="n">
        <v>34.3124619852771</v>
      </c>
      <c r="AJ348" s="42" t="s">
        <v>16</v>
      </c>
      <c r="AK348" s="43" t="n">
        <v>740.797717223371</v>
      </c>
      <c r="AL348" s="43" t="n">
        <v>756.377865368286</v>
      </c>
      <c r="AM348" s="43" t="n">
        <v>696.940337281723</v>
      </c>
      <c r="AN348" s="74"/>
      <c r="AO348" s="75" t="n">
        <v>33.6571428571429</v>
      </c>
      <c r="AP348" s="76" t="n">
        <v>1.19327516483517</v>
      </c>
      <c r="AQ348" s="76" t="n">
        <v>1.03681923922232</v>
      </c>
      <c r="AR348" s="76" t="n">
        <v>1.55844520710059</v>
      </c>
      <c r="AS348" s="77" t="n">
        <v>31.3619846153846</v>
      </c>
      <c r="AT348" s="78" t="n">
        <v>30.9767041353355</v>
      </c>
      <c r="AU348" s="78" t="n">
        <v>35.4538461538462</v>
      </c>
      <c r="AV348" s="78" t="n">
        <v>30.805325443787</v>
      </c>
      <c r="AW348" s="78" t="n">
        <v>46.303550295858</v>
      </c>
      <c r="AX348" s="78" t="n">
        <v>33.5443786982249</v>
      </c>
      <c r="AY348" s="48" t="n">
        <v>1.2478038118013</v>
      </c>
      <c r="AZ348" s="48" t="n">
        <v>22.6761924437648</v>
      </c>
      <c r="BA348" s="48" t="n">
        <v>2.1487871262352</v>
      </c>
      <c r="BB348" s="49" t="n">
        <f aca="false">AT348/V348</f>
        <v>1.2478038118013</v>
      </c>
      <c r="BC348" s="49" t="n">
        <f aca="false">AS348/V348</f>
        <v>1.26332368278298</v>
      </c>
      <c r="BD348" s="49" t="n">
        <f aca="false">SUM(AP348:AR348)/V348</f>
        <v>0.152609979012284</v>
      </c>
      <c r="BE348" s="50" t="n">
        <v>6.78</v>
      </c>
      <c r="BF348" s="51" t="n">
        <v>117.941761971114</v>
      </c>
      <c r="BG348" s="51" t="n">
        <v>597.764450543563</v>
      </c>
      <c r="BH348" s="51" t="n">
        <v>205.395906004716</v>
      </c>
      <c r="BI348" s="51" t="n">
        <v>155.427682363464</v>
      </c>
      <c r="BJ348" s="51" t="n">
        <v>12.1869829823817</v>
      </c>
      <c r="BK348" s="51" t="n">
        <v>12.5640893508223</v>
      </c>
      <c r="BL348" s="51" t="n">
        <v>11.6857643769441</v>
      </c>
      <c r="BM348" s="51"/>
      <c r="BN348" s="52" t="n">
        <f aca="false">(BG348*0.5-BH348*0.25+BI348*0.5)/SUM(BG348:BI348)*1000</f>
        <v>339.298089220452</v>
      </c>
      <c r="BO348" s="53" t="n">
        <v>5.47603564</v>
      </c>
      <c r="BP348" s="54" t="s">
        <v>77</v>
      </c>
      <c r="BQ348" s="55" t="n">
        <v>403.46763588</v>
      </c>
      <c r="BR348" s="56" t="n">
        <v>16.2524861195686</v>
      </c>
      <c r="BS348" s="56" t="n">
        <v>22.9755947321631</v>
      </c>
      <c r="BT348" s="56" t="n">
        <v>13.0248729534708</v>
      </c>
      <c r="BU348" s="55"/>
      <c r="BV348" s="55"/>
      <c r="BW348" s="55"/>
      <c r="BX348" s="55"/>
      <c r="BY348" s="79" t="n">
        <v>0.241191066997519</v>
      </c>
      <c r="BZ348" s="80" t="n">
        <v>0.386576</v>
      </c>
      <c r="CA348" s="81" t="n">
        <v>3.95</v>
      </c>
      <c r="CB348" s="81" t="n">
        <v>0.03</v>
      </c>
      <c r="CC348" s="82" t="n">
        <v>4.506022</v>
      </c>
      <c r="CD348" s="82" t="n">
        <v>4.587888</v>
      </c>
      <c r="CE348" s="83" t="n">
        <v>75.461392</v>
      </c>
      <c r="CF348" s="84" t="n">
        <v>35.257929</v>
      </c>
      <c r="CG348" s="80" t="n">
        <v>0.1025</v>
      </c>
      <c r="CH348" s="63" t="n">
        <v>59567.6550114675</v>
      </c>
      <c r="CI348" s="63" t="n">
        <v>9684.19436723383</v>
      </c>
      <c r="CJ348" s="64" t="n">
        <v>436720.241816522</v>
      </c>
      <c r="CK348" s="65" t="n">
        <v>2.21748236970945</v>
      </c>
    </row>
    <row r="349" customFormat="false" ht="15" hidden="false" customHeight="false" outlineLevel="0" collapsed="false">
      <c r="A349" s="7" t="s">
        <v>73</v>
      </c>
      <c r="B349" s="66" t="n">
        <v>347</v>
      </c>
      <c r="C349" s="8" t="s">
        <v>426</v>
      </c>
      <c r="D349" s="67" t="n">
        <v>42023</v>
      </c>
      <c r="E349" s="4" t="s">
        <v>75</v>
      </c>
      <c r="F349" s="7" t="n">
        <v>368</v>
      </c>
      <c r="G349" s="68" t="n">
        <v>1</v>
      </c>
      <c r="H349" s="68" t="n">
        <v>114</v>
      </c>
      <c r="I349" s="66" t="n">
        <v>1</v>
      </c>
      <c r="J349" s="69" t="n">
        <v>585.773809523809</v>
      </c>
      <c r="K349" s="31" t="n">
        <v>517.522281919027</v>
      </c>
      <c r="L349" s="31" t="n">
        <v>934.335567427964</v>
      </c>
      <c r="M349" s="31" t="n">
        <v>164.084821769005</v>
      </c>
      <c r="N349" s="31" t="n">
        <v>348.171151121041</v>
      </c>
      <c r="O349" s="32"/>
      <c r="P349" s="33" t="n">
        <v>31.8656621019481</v>
      </c>
      <c r="Q349" s="33" t="n">
        <v>9.54049954248598</v>
      </c>
      <c r="R349" s="31" t="n">
        <v>160.764534063544</v>
      </c>
      <c r="S349" s="34" t="s">
        <v>76</v>
      </c>
      <c r="T349" s="35" t="n">
        <v>17.2344870471429</v>
      </c>
      <c r="U349" s="35" t="n">
        <v>6.66635814285714</v>
      </c>
      <c r="V349" s="70" t="n">
        <v>23.90084519</v>
      </c>
      <c r="W349" s="35" t="n">
        <v>22.3539678887098</v>
      </c>
      <c r="X349" s="35" t="n">
        <v>4.0830448324186</v>
      </c>
      <c r="Y349" s="35" t="n">
        <v>7.37122849900185</v>
      </c>
      <c r="Z349" s="35"/>
      <c r="AA349" s="35" t="n">
        <v>0.772196538284736</v>
      </c>
      <c r="AB349" s="35" t="n">
        <v>0.211551018355581</v>
      </c>
      <c r="AC349" s="71" t="n">
        <v>4.16711113427159</v>
      </c>
      <c r="AD349" s="38" t="n">
        <v>6.34318518425251</v>
      </c>
      <c r="AE349" s="38" t="n">
        <v>5.56595709827293</v>
      </c>
      <c r="AF349" s="38" t="n">
        <v>1.34651507916068</v>
      </c>
      <c r="AG349" s="72"/>
      <c r="AH349" s="72"/>
      <c r="AI349" s="73" t="n">
        <v>33.3509131785675</v>
      </c>
      <c r="AJ349" s="42" t="s">
        <v>16</v>
      </c>
      <c r="AK349" s="43" t="n">
        <v>734.604147517492</v>
      </c>
      <c r="AL349" s="43" t="n">
        <v>751.008092792148</v>
      </c>
      <c r="AM349" s="43" t="n">
        <v>670.217904915077</v>
      </c>
      <c r="AN349" s="74"/>
      <c r="AO349" s="75" t="n">
        <v>37.1714285714286</v>
      </c>
      <c r="AP349" s="76" t="n">
        <v>1.56698222222222</v>
      </c>
      <c r="AQ349" s="76" t="n">
        <v>1.19926042328042</v>
      </c>
      <c r="AR349" s="76" t="n">
        <v>1.78354021164021</v>
      </c>
      <c r="AS349" s="77" t="n">
        <v>38.3733047619048</v>
      </c>
      <c r="AT349" s="78" t="n">
        <v>37.9957723014188</v>
      </c>
      <c r="AU349" s="78" t="n">
        <v>42.1555555555556</v>
      </c>
      <c r="AV349" s="78" t="n">
        <v>32.262962962963</v>
      </c>
      <c r="AW349" s="78" t="n">
        <v>47.9814814814815</v>
      </c>
      <c r="AX349" s="78" t="n">
        <v>34.4497354497354</v>
      </c>
      <c r="AY349" s="48" t="n">
        <v>1.58972504944369</v>
      </c>
      <c r="AZ349" s="48" t="n">
        <v>25.2414299052578</v>
      </c>
      <c r="BA349" s="48" t="n">
        <v>-1.34058471525777</v>
      </c>
      <c r="BB349" s="49" t="n">
        <f aca="false">AT349/V349</f>
        <v>1.58972504944369</v>
      </c>
      <c r="BC349" s="49" t="n">
        <f aca="false">AS349/V349</f>
        <v>1.60552082810695</v>
      </c>
      <c r="BD349" s="49" t="n">
        <f aca="false">SUM(AP349:AR349)/V349</f>
        <v>0.190360751721302</v>
      </c>
      <c r="BE349" s="50" t="n">
        <v>6.91</v>
      </c>
      <c r="BF349" s="51" t="n">
        <v>117.854954607166</v>
      </c>
      <c r="BG349" s="51" t="n">
        <v>559.667879318383</v>
      </c>
      <c r="BH349" s="51" t="n">
        <v>224.355520377229</v>
      </c>
      <c r="BI349" s="51" t="n">
        <v>164.050413830424</v>
      </c>
      <c r="BJ349" s="51" t="n">
        <v>12.765562597726</v>
      </c>
      <c r="BK349" s="51" t="n">
        <v>18.088055875357</v>
      </c>
      <c r="BL349" s="51" t="n">
        <v>16.0974436227717</v>
      </c>
      <c r="BM349" s="51"/>
      <c r="BN349" s="52" t="n">
        <f aca="false">(BG349*0.5-BH349*0.25+BI349*0.5)/SUM(BG349:BI349)*1000</f>
        <v>322.517363223955</v>
      </c>
      <c r="BO349" s="53" t="n">
        <v>8.8133807</v>
      </c>
      <c r="BP349" s="54" t="s">
        <v>77</v>
      </c>
      <c r="BQ349" s="55" t="n">
        <v>484.28027717</v>
      </c>
      <c r="BR349" s="56" t="n">
        <v>20.2620565641177</v>
      </c>
      <c r="BS349" s="56" t="n">
        <v>28.8467932988145</v>
      </c>
      <c r="BT349" s="56" t="n">
        <v>12.7456358388566</v>
      </c>
      <c r="BU349" s="55"/>
      <c r="BV349" s="55"/>
      <c r="BW349" s="55"/>
      <c r="BX349" s="55"/>
      <c r="BY349" s="79" t="n">
        <v>0.20545905707196</v>
      </c>
      <c r="BZ349" s="80" t="n">
        <v>0.4863438</v>
      </c>
      <c r="CA349" s="81" t="n">
        <v>3.84</v>
      </c>
      <c r="CB349" s="81" t="n">
        <v>0.552</v>
      </c>
      <c r="CC349" s="82" t="n">
        <v>5.542948</v>
      </c>
      <c r="CD349" s="82" t="n">
        <v>5.411092</v>
      </c>
      <c r="CE349" s="83" t="n">
        <v>78.585324</v>
      </c>
      <c r="CF349" s="84" t="n">
        <v>34.19981</v>
      </c>
      <c r="CG349" s="80" t="n">
        <v>0.005</v>
      </c>
      <c r="CH349" s="63" t="n">
        <v>117600.510696848</v>
      </c>
      <c r="CI349" s="63" t="n">
        <v>4277.15821234283</v>
      </c>
      <c r="CJ349" s="64" t="n">
        <v>422076.809695027</v>
      </c>
      <c r="CK349" s="65" t="n">
        <v>1.01336015485743</v>
      </c>
    </row>
    <row r="350" customFormat="false" ht="15" hidden="false" customHeight="false" outlineLevel="0" collapsed="false">
      <c r="A350" s="7" t="s">
        <v>73</v>
      </c>
      <c r="B350" s="66" t="n">
        <v>348</v>
      </c>
      <c r="C350" s="8" t="s">
        <v>427</v>
      </c>
      <c r="D350" s="67" t="n">
        <v>42023</v>
      </c>
      <c r="E350" s="4" t="s">
        <v>75</v>
      </c>
      <c r="F350" s="7" t="n">
        <v>370</v>
      </c>
      <c r="G350" s="68" t="n">
        <v>1</v>
      </c>
      <c r="H350" s="68" t="n">
        <v>127</v>
      </c>
      <c r="I350" s="66" t="n">
        <v>1</v>
      </c>
      <c r="J350" s="69" t="n">
        <v>589.214285714286</v>
      </c>
      <c r="K350" s="31" t="n">
        <v>517.522281919027</v>
      </c>
      <c r="L350" s="31" t="n">
        <v>934.335567427964</v>
      </c>
      <c r="M350" s="31" t="n">
        <v>164.084821769005</v>
      </c>
      <c r="N350" s="31" t="n">
        <v>348.171151121041</v>
      </c>
      <c r="O350" s="32"/>
      <c r="P350" s="33" t="n">
        <v>31.8656621019481</v>
      </c>
      <c r="Q350" s="33" t="n">
        <v>9.54049954248598</v>
      </c>
      <c r="R350" s="31" t="n">
        <v>160.764534063544</v>
      </c>
      <c r="S350" s="34" t="s">
        <v>76</v>
      </c>
      <c r="T350" s="35" t="n">
        <v>13.5896731571429</v>
      </c>
      <c r="U350" s="35" t="n">
        <v>3.99337514285714</v>
      </c>
      <c r="V350" s="70" t="n">
        <v>17.5830483</v>
      </c>
      <c r="W350" s="35" t="n">
        <v>16.4419805008579</v>
      </c>
      <c r="X350" s="35" t="n">
        <v>2.98172289561898</v>
      </c>
      <c r="Y350" s="35" t="n">
        <v>5.55261444668749</v>
      </c>
      <c r="Z350" s="35"/>
      <c r="AA350" s="35" t="n">
        <v>0.566633424138731</v>
      </c>
      <c r="AB350" s="35" t="n">
        <v>0.157881988650711</v>
      </c>
      <c r="AC350" s="71" t="n">
        <v>3.02123863852519</v>
      </c>
      <c r="AD350" s="38" t="n">
        <v>4.18602290044995</v>
      </c>
      <c r="AE350" s="38" t="n">
        <v>3.63920165926456</v>
      </c>
      <c r="AF350" s="38" t="n">
        <v>0.790820633986635</v>
      </c>
      <c r="AG350" s="72"/>
      <c r="AH350" s="72"/>
      <c r="AI350" s="73" t="n">
        <v>37.7164655821019</v>
      </c>
      <c r="AJ350" s="42" t="s">
        <v>16</v>
      </c>
      <c r="AK350" s="43" t="n">
        <v>761.92848765308</v>
      </c>
      <c r="AL350" s="43" t="n">
        <v>778.664032652595</v>
      </c>
      <c r="AM350" s="43" t="n">
        <v>734.777287604901</v>
      </c>
      <c r="AN350" s="74"/>
      <c r="AO350" s="75" t="n">
        <v>27.2571428571429</v>
      </c>
      <c r="AP350" s="76" t="n">
        <v>0.764764463229079</v>
      </c>
      <c r="AQ350" s="76" t="n">
        <v>0.872389856297549</v>
      </c>
      <c r="AR350" s="76" t="n">
        <v>1.23871617920541</v>
      </c>
      <c r="AS350" s="77" t="n">
        <v>22.3743240912933</v>
      </c>
      <c r="AT350" s="78" t="n">
        <v>22.7563381927626</v>
      </c>
      <c r="AU350" s="78" t="n">
        <v>28.0573964497041</v>
      </c>
      <c r="AV350" s="78" t="n">
        <v>32.0059171597633</v>
      </c>
      <c r="AW350" s="78" t="n">
        <v>45.4455621301775</v>
      </c>
      <c r="AX350" s="78" t="n">
        <v>39.603550295858</v>
      </c>
      <c r="AY350" s="48" t="n">
        <v>1.29422030836159</v>
      </c>
      <c r="AZ350" s="48" t="n">
        <v>19.5978381904381</v>
      </c>
      <c r="BA350" s="48" t="n">
        <v>-2.01478989043806</v>
      </c>
      <c r="BB350" s="49" t="n">
        <f aca="false">AT350/V350</f>
        <v>1.29422030836159</v>
      </c>
      <c r="BC350" s="49" t="n">
        <f aca="false">AS350/V350</f>
        <v>1.27249403570673</v>
      </c>
      <c r="BD350" s="49" t="n">
        <f aca="false">SUM(AP350:AR350)/V350</f>
        <v>0.163559267407122</v>
      </c>
      <c r="BE350" s="50" t="n">
        <v>6.52</v>
      </c>
      <c r="BF350" s="51" t="n">
        <v>146.719489688224</v>
      </c>
      <c r="BG350" s="51" t="n">
        <v>580.694918011849</v>
      </c>
      <c r="BH350" s="51" t="n">
        <v>216.197983339465</v>
      </c>
      <c r="BI350" s="51" t="n">
        <v>160.695320627139</v>
      </c>
      <c r="BJ350" s="51" t="n">
        <v>10.299167653223</v>
      </c>
      <c r="BK350" s="51" t="n">
        <v>14.8851670501465</v>
      </c>
      <c r="BL350" s="51" t="n">
        <v>12.2523189400684</v>
      </c>
      <c r="BM350" s="51"/>
      <c r="BN350" s="52" t="n">
        <f aca="false">(BG350*0.5-BH350*0.25+BI350*0.5)/SUM(BG350:BI350)*1000</f>
        <v>330.669922850986</v>
      </c>
      <c r="BO350" s="53" t="n">
        <v>6.19053278</v>
      </c>
      <c r="BP350" s="54" t="s">
        <v>77</v>
      </c>
      <c r="BQ350" s="55" t="n">
        <v>418.90399761</v>
      </c>
      <c r="BR350" s="56" t="n">
        <v>23.8243102369229</v>
      </c>
      <c r="BS350" s="56" t="n">
        <v>32.719771449076</v>
      </c>
      <c r="BT350" s="56" t="n">
        <v>18.4082339637239</v>
      </c>
      <c r="BU350" s="55"/>
      <c r="BV350" s="55"/>
      <c r="BW350" s="55"/>
      <c r="BX350" s="55"/>
      <c r="BY350" s="79" t="n">
        <v>0.0982630272952854</v>
      </c>
      <c r="BZ350" s="80" t="n">
        <v>0.5120266</v>
      </c>
      <c r="CA350" s="81" t="n">
        <v>3.99</v>
      </c>
      <c r="CB350" s="81" t="n">
        <v>0.43</v>
      </c>
      <c r="CC350" s="82" t="n">
        <v>5.322994</v>
      </c>
      <c r="CD350" s="82" t="n">
        <v>6.686744</v>
      </c>
      <c r="CE350" s="83" t="n">
        <v>69.001364</v>
      </c>
      <c r="CF350" s="84" t="n">
        <v>37.28171</v>
      </c>
      <c r="CG350" s="80" t="n">
        <v>0.134</v>
      </c>
      <c r="CH350" s="63" t="n">
        <v>74133.3998445975</v>
      </c>
      <c r="CI350" s="63" t="n">
        <v>11295.0104170224</v>
      </c>
      <c r="CJ350" s="64" t="n">
        <v>671355.205905585</v>
      </c>
      <c r="CK350" s="65" t="n">
        <v>1.68241942829454</v>
      </c>
    </row>
    <row r="351" customFormat="false" ht="15" hidden="false" customHeight="false" outlineLevel="0" collapsed="false">
      <c r="A351" s="7" t="s">
        <v>73</v>
      </c>
      <c r="B351" s="66" t="n">
        <v>349</v>
      </c>
      <c r="C351" s="8" t="s">
        <v>428</v>
      </c>
      <c r="D351" s="67" t="n">
        <v>42023</v>
      </c>
      <c r="E351" s="4" t="s">
        <v>75</v>
      </c>
      <c r="F351" s="7" t="n">
        <v>371</v>
      </c>
      <c r="G351" s="68" t="n">
        <v>1</v>
      </c>
      <c r="H351" s="68" t="n">
        <v>128</v>
      </c>
      <c r="I351" s="66" t="n">
        <v>1</v>
      </c>
      <c r="J351" s="69" t="n">
        <v>593.848958333333</v>
      </c>
      <c r="K351" s="31" t="n">
        <v>517.522281919027</v>
      </c>
      <c r="L351" s="31" t="n">
        <v>934.335567427964</v>
      </c>
      <c r="M351" s="31" t="n">
        <v>164.084821769005</v>
      </c>
      <c r="N351" s="31" t="n">
        <v>348.171151121041</v>
      </c>
      <c r="O351" s="32"/>
      <c r="P351" s="33" t="n">
        <v>31.8656621019481</v>
      </c>
      <c r="Q351" s="33" t="n">
        <v>9.54049954248598</v>
      </c>
      <c r="R351" s="31" t="n">
        <v>160.764534063544</v>
      </c>
      <c r="S351" s="34" t="s">
        <v>76</v>
      </c>
      <c r="T351" s="35" t="n">
        <v>17.8549636275</v>
      </c>
      <c r="U351" s="35" t="n">
        <v>5.5394873125</v>
      </c>
      <c r="V351" s="70" t="n">
        <v>23.39445094</v>
      </c>
      <c r="W351" s="35" t="n">
        <v>21.8770125374904</v>
      </c>
      <c r="X351" s="35" t="n">
        <v>3.9726908857361</v>
      </c>
      <c r="Y351" s="35" t="n">
        <v>7.35556338072002</v>
      </c>
      <c r="Z351" s="35"/>
      <c r="AA351" s="35" t="n">
        <v>0.754271475864371</v>
      </c>
      <c r="AB351" s="35" t="n">
        <v>0.209504670002981</v>
      </c>
      <c r="AC351" s="71" t="n">
        <v>4.03081362561774</v>
      </c>
      <c r="AD351" s="38" t="n">
        <v>5.9814788584901</v>
      </c>
      <c r="AE351" s="38" t="n">
        <v>5.21743173459135</v>
      </c>
      <c r="AF351" s="38" t="n">
        <v>1.12370555800295</v>
      </c>
      <c r="AG351" s="72"/>
      <c r="AH351" s="72"/>
      <c r="AI351" s="73" t="n">
        <v>35.0255639047542</v>
      </c>
      <c r="AJ351" s="42" t="s">
        <v>16</v>
      </c>
      <c r="AK351" s="43" t="n">
        <v>744.320613728834</v>
      </c>
      <c r="AL351" s="43" t="n">
        <v>761.510776407414</v>
      </c>
      <c r="AM351" s="43" t="n">
        <v>717.142463301739</v>
      </c>
      <c r="AN351" s="74"/>
      <c r="AO351" s="75" t="n">
        <v>31.0375</v>
      </c>
      <c r="AP351" s="76" t="n">
        <v>1.29866458955224</v>
      </c>
      <c r="AQ351" s="76" t="n">
        <v>0.969481791044776</v>
      </c>
      <c r="AR351" s="76" t="n">
        <v>1.48248070895522</v>
      </c>
      <c r="AS351" s="77" t="n">
        <v>31.8949688432836</v>
      </c>
      <c r="AT351" s="78" t="n">
        <v>31.3258026430744</v>
      </c>
      <c r="AU351" s="78" t="n">
        <v>41.8417910447761</v>
      </c>
      <c r="AV351" s="78" t="n">
        <v>31.2358208955224</v>
      </c>
      <c r="AW351" s="78" t="n">
        <v>47.7641791044776</v>
      </c>
      <c r="AX351" s="78" t="n">
        <v>45.8955223880597</v>
      </c>
      <c r="AY351" s="48" t="n">
        <v>1.33902705062051</v>
      </c>
      <c r="AZ351" s="48" t="n">
        <v>23.1626162723288</v>
      </c>
      <c r="BA351" s="48" t="n">
        <v>0.231834667671247</v>
      </c>
      <c r="BB351" s="49" t="n">
        <f aca="false">AT351/V351</f>
        <v>1.33902705062051</v>
      </c>
      <c r="BC351" s="49" t="n">
        <f aca="false">AS351/V351</f>
        <v>1.3633561618986</v>
      </c>
      <c r="BD351" s="49" t="n">
        <f aca="false">SUM(AP351:AR351)/V351</f>
        <v>0.160321227421473</v>
      </c>
      <c r="BE351" s="50" t="n">
        <v>7.15</v>
      </c>
      <c r="BF351" s="51" t="n">
        <v>76.123047874818</v>
      </c>
      <c r="BG351" s="51" t="n">
        <v>567.869312586896</v>
      </c>
      <c r="BH351" s="51" t="n">
        <v>226.177889441628</v>
      </c>
      <c r="BI351" s="51" t="n">
        <v>168.156271841136</v>
      </c>
      <c r="BJ351" s="51" t="n">
        <v>7.09353966025573</v>
      </c>
      <c r="BK351" s="51" t="n">
        <v>15.4945065106657</v>
      </c>
      <c r="BL351" s="51" t="n">
        <v>10.2333555813105</v>
      </c>
      <c r="BM351" s="51"/>
      <c r="BN351" s="52" t="n">
        <f aca="false">(BG351*0.5-BH351*0.25+BI351*0.5)/SUM(BG351:BI351)*1000</f>
        <v>323.703175380346</v>
      </c>
      <c r="BO351" s="53" t="n">
        <v>3.51631494</v>
      </c>
      <c r="BP351" s="54" t="s">
        <v>77</v>
      </c>
      <c r="BQ351" s="55" t="n">
        <v>427.99979168</v>
      </c>
      <c r="BR351" s="56" t="n">
        <v>18.2949278347116</v>
      </c>
      <c r="BS351" s="56" t="n">
        <v>25.6909100381157</v>
      </c>
      <c r="BT351" s="56" t="n">
        <v>13.662851565421</v>
      </c>
      <c r="BU351" s="55"/>
      <c r="BV351" s="55"/>
      <c r="BW351" s="55"/>
      <c r="BX351" s="55"/>
      <c r="BY351" s="79" t="n">
        <v>0.21439205955335</v>
      </c>
      <c r="BZ351" s="80" t="n">
        <v>0.5228924</v>
      </c>
      <c r="CA351" s="81" t="n">
        <v>3.73</v>
      </c>
      <c r="CB351" s="81" t="n">
        <v>0.228</v>
      </c>
      <c r="CC351" s="82" t="n">
        <v>4.904034</v>
      </c>
      <c r="CD351" s="82" t="n">
        <v>6.001788</v>
      </c>
      <c r="CE351" s="83" t="n">
        <v>88.483872</v>
      </c>
      <c r="CF351" s="84" t="n">
        <v>36.706422</v>
      </c>
      <c r="CG351" s="80" t="n">
        <v>0.1235</v>
      </c>
      <c r="CH351" s="63" t="n">
        <v>75164.4551749685</v>
      </c>
      <c r="CI351" s="63" t="n">
        <v>3114.76855411754</v>
      </c>
      <c r="CJ351" s="64" t="n">
        <v>290999.665901905</v>
      </c>
      <c r="CK351" s="65" t="n">
        <v>1.07036842962133</v>
      </c>
    </row>
    <row r="352" customFormat="false" ht="15" hidden="false" customHeight="false" outlineLevel="0" collapsed="false">
      <c r="A352" s="7" t="s">
        <v>73</v>
      </c>
      <c r="B352" s="66" t="n">
        <v>350</v>
      </c>
      <c r="C352" s="8" t="s">
        <v>429</v>
      </c>
      <c r="D352" s="67" t="n">
        <v>42023</v>
      </c>
      <c r="E352" s="4" t="s">
        <v>75</v>
      </c>
      <c r="F352" s="7" t="n">
        <v>382</v>
      </c>
      <c r="G352" s="68" t="n">
        <v>1</v>
      </c>
      <c r="H352" s="68" t="n">
        <v>101</v>
      </c>
      <c r="I352" s="66" t="n">
        <v>1</v>
      </c>
      <c r="J352" s="69" t="n">
        <v>636.982142857143</v>
      </c>
      <c r="K352" s="31" t="n">
        <v>517.522281919027</v>
      </c>
      <c r="L352" s="31" t="n">
        <v>934.335567427964</v>
      </c>
      <c r="M352" s="31" t="n">
        <v>164.084821769005</v>
      </c>
      <c r="N352" s="31" t="n">
        <v>348.171151121041</v>
      </c>
      <c r="O352" s="32"/>
      <c r="P352" s="33" t="n">
        <v>31.8656621019481</v>
      </c>
      <c r="Q352" s="33" t="n">
        <v>9.54049954248598</v>
      </c>
      <c r="R352" s="31" t="n">
        <v>160.764534063544</v>
      </c>
      <c r="S352" s="34" t="s">
        <v>76</v>
      </c>
      <c r="T352" s="35" t="n">
        <v>18.9053376757143</v>
      </c>
      <c r="U352" s="35" t="n">
        <v>6.60795971428571</v>
      </c>
      <c r="V352" s="70" t="n">
        <v>25.51329739</v>
      </c>
      <c r="W352" s="35" t="n">
        <v>23.860341716847</v>
      </c>
      <c r="X352" s="35" t="n">
        <v>4.34621093365323</v>
      </c>
      <c r="Y352" s="35" t="n">
        <v>7.94096311991717</v>
      </c>
      <c r="Z352" s="35"/>
      <c r="AA352" s="35" t="n">
        <v>0.823485710184049</v>
      </c>
      <c r="AB352" s="35" t="n">
        <v>0.227078941489648</v>
      </c>
      <c r="AC352" s="71" t="n">
        <v>4.42349180845652</v>
      </c>
      <c r="AD352" s="38" t="n">
        <v>6.85483035805381</v>
      </c>
      <c r="AE352" s="38" t="n">
        <v>6.01743108544495</v>
      </c>
      <c r="AF352" s="38" t="n">
        <v>1.33117696376074</v>
      </c>
      <c r="AG352" s="72"/>
      <c r="AH352" s="72"/>
      <c r="AI352" s="73" t="n">
        <v>33.1268506481493</v>
      </c>
      <c r="AJ352" s="42" t="s">
        <v>16</v>
      </c>
      <c r="AK352" s="43" t="n">
        <v>731.323229088351</v>
      </c>
      <c r="AL352" s="43" t="n">
        <v>747.806164854872</v>
      </c>
      <c r="AM352" s="43" t="n">
        <v>693.715518164737</v>
      </c>
      <c r="AN352" s="74"/>
      <c r="AO352" s="75" t="n">
        <v>41.5214285714286</v>
      </c>
      <c r="AP352" s="76" t="n">
        <v>1.25631425233645</v>
      </c>
      <c r="AQ352" s="76" t="n">
        <v>1.27059451935915</v>
      </c>
      <c r="AR352" s="76" t="n">
        <v>1.96644709612817</v>
      </c>
      <c r="AS352" s="77" t="n">
        <v>35.4532852136181</v>
      </c>
      <c r="AT352" s="78" t="n">
        <v>35.7483285905624</v>
      </c>
      <c r="AU352" s="78" t="n">
        <v>30.2570093457944</v>
      </c>
      <c r="AV352" s="78" t="n">
        <v>30.6009345794392</v>
      </c>
      <c r="AW352" s="78" t="n">
        <v>47.3598130841121</v>
      </c>
      <c r="AX352" s="78" t="n">
        <v>31.9906542056075</v>
      </c>
      <c r="AY352" s="48" t="n">
        <v>1.40116457877271</v>
      </c>
      <c r="AZ352" s="48" t="n">
        <v>24.6737745405946</v>
      </c>
      <c r="BA352" s="48" t="n">
        <v>0.839522849405419</v>
      </c>
      <c r="BB352" s="49" t="n">
        <f aca="false">AT352/V352</f>
        <v>1.40116457877271</v>
      </c>
      <c r="BC352" s="49" t="n">
        <f aca="false">AS352/V352</f>
        <v>1.38960028065655</v>
      </c>
      <c r="BD352" s="49" t="n">
        <f aca="false">SUM(AP352:AR352)/V352</f>
        <v>0.176118194333632</v>
      </c>
      <c r="BE352" s="50" t="n">
        <v>6.68</v>
      </c>
      <c r="BF352" s="51" t="n">
        <v>136.902085432096</v>
      </c>
      <c r="BG352" s="51" t="n">
        <v>555.296510888865</v>
      </c>
      <c r="BH352" s="51" t="n">
        <v>245.428940235721</v>
      </c>
      <c r="BI352" s="51" t="n">
        <v>156.733277817201</v>
      </c>
      <c r="BJ352" s="51" t="n">
        <v>10.1686654848193</v>
      </c>
      <c r="BK352" s="51" t="n">
        <v>16.2154462293082</v>
      </c>
      <c r="BL352" s="51" t="n">
        <v>11.1820349659758</v>
      </c>
      <c r="BM352" s="51"/>
      <c r="BN352" s="52" t="n">
        <f aca="false">(BG352*0.5-BH352*0.25+BI352*0.5)/SUM(BG352:BI352)*1000</f>
        <v>307.749723708475</v>
      </c>
      <c r="BO352" s="53" t="n">
        <v>6.3282813</v>
      </c>
      <c r="BP352" s="54" t="s">
        <v>77</v>
      </c>
      <c r="BQ352" s="55" t="n">
        <v>476.93557502</v>
      </c>
      <c r="BR352" s="56" t="n">
        <v>18.6936077971221</v>
      </c>
      <c r="BS352" s="56" t="n">
        <v>26.729695892812</v>
      </c>
      <c r="BT352" s="56" t="n">
        <v>13.3414789956337</v>
      </c>
      <c r="BU352" s="55"/>
      <c r="BV352" s="55"/>
      <c r="BW352" s="55"/>
      <c r="BX352" s="55"/>
      <c r="BY352" s="79" t="n">
        <v>0.169727047146402</v>
      </c>
      <c r="BZ352" s="80" t="n">
        <v>0.4962218</v>
      </c>
      <c r="CA352" s="81" t="n">
        <v>3.44</v>
      </c>
      <c r="CB352" s="81" t="n">
        <v>0.03</v>
      </c>
      <c r="CC352" s="82" t="n">
        <v>4.809768</v>
      </c>
      <c r="CD352" s="82" t="n">
        <v>4.701</v>
      </c>
      <c r="CE352" s="83" t="n">
        <v>79.83636</v>
      </c>
      <c r="CF352" s="84" t="n">
        <v>36.76806</v>
      </c>
      <c r="CG352" s="80" t="n">
        <v>0.134</v>
      </c>
      <c r="CH352" s="63" t="n">
        <v>62504.928119727</v>
      </c>
      <c r="CI352" s="63" t="n">
        <v>7353.58481403587</v>
      </c>
      <c r="CJ352" s="64" t="n">
        <v>687949.192455251</v>
      </c>
      <c r="CK352" s="65" t="n">
        <v>1.06891393938429</v>
      </c>
    </row>
    <row r="353" customFormat="false" ht="15" hidden="false" customHeight="false" outlineLevel="0" collapsed="false">
      <c r="A353" s="7" t="s">
        <v>73</v>
      </c>
      <c r="B353" s="66" t="n">
        <v>351</v>
      </c>
      <c r="C353" s="8" t="s">
        <v>430</v>
      </c>
      <c r="D353" s="67" t="n">
        <v>42023</v>
      </c>
      <c r="E353" s="4" t="s">
        <v>75</v>
      </c>
      <c r="F353" s="7" t="n">
        <v>36</v>
      </c>
      <c r="G353" s="68" t="n">
        <v>1</v>
      </c>
      <c r="H353" s="68" t="n">
        <v>123</v>
      </c>
      <c r="I353" s="66" t="n">
        <v>1</v>
      </c>
      <c r="J353" s="69" t="n">
        <v>554.309523809524</v>
      </c>
      <c r="K353" s="31" t="n">
        <v>517.522281919027</v>
      </c>
      <c r="L353" s="31" t="n">
        <v>934.335567427964</v>
      </c>
      <c r="M353" s="31" t="n">
        <v>164.084821769005</v>
      </c>
      <c r="N353" s="31" t="n">
        <v>348.171151121041</v>
      </c>
      <c r="O353" s="32"/>
      <c r="P353" s="33" t="n">
        <v>31.8656621019481</v>
      </c>
      <c r="Q353" s="33" t="n">
        <v>9.54049954248598</v>
      </c>
      <c r="R353" s="31" t="n">
        <v>160.764534063544</v>
      </c>
      <c r="S353" s="34" t="s">
        <v>76</v>
      </c>
      <c r="T353" s="35" t="n">
        <v>17.3942880842857</v>
      </c>
      <c r="U353" s="35" t="n">
        <v>5.97922778571429</v>
      </c>
      <c r="V353" s="70" t="n">
        <v>23.37351587</v>
      </c>
      <c r="W353" s="35" t="n">
        <v>21.8589401846633</v>
      </c>
      <c r="X353" s="35" t="n">
        <v>3.97989438043018</v>
      </c>
      <c r="Y353" s="35" t="n">
        <v>7.2855849738439</v>
      </c>
      <c r="Z353" s="35"/>
      <c r="AA353" s="35" t="n">
        <v>0.754302284996006</v>
      </c>
      <c r="AB353" s="35" t="n">
        <v>0.20821818107843</v>
      </c>
      <c r="AC353" s="71" t="n">
        <v>4.04886675068367</v>
      </c>
      <c r="AD353" s="38" t="n">
        <v>6.04557069674758</v>
      </c>
      <c r="AE353" s="38" t="n">
        <v>5.33451740667136</v>
      </c>
      <c r="AF353" s="38" t="n">
        <v>1.27959890349901</v>
      </c>
      <c r="AG353" s="72"/>
      <c r="AH353" s="72"/>
      <c r="AI353" s="73" t="n">
        <v>34.4414434174839</v>
      </c>
      <c r="AJ353" s="42" t="s">
        <v>16</v>
      </c>
      <c r="AK353" s="43" t="n">
        <v>741.349537212453</v>
      </c>
      <c r="AL353" s="43" t="n">
        <v>755.957179917892</v>
      </c>
      <c r="AM353" s="43" t="n">
        <v>678.484205563088</v>
      </c>
      <c r="AN353" s="74"/>
      <c r="AO353" s="75" t="n">
        <v>34.4642857142857</v>
      </c>
      <c r="AP353" s="76" t="n">
        <v>1.26550710578349</v>
      </c>
      <c r="AQ353" s="76" t="n">
        <v>1.06347960949086</v>
      </c>
      <c r="AR353" s="76" t="n">
        <v>1.61904628027682</v>
      </c>
      <c r="AS353" s="77" t="n">
        <v>32.7683208724666</v>
      </c>
      <c r="AT353" s="78" t="n">
        <v>32.3877595195066</v>
      </c>
      <c r="AU353" s="78" t="n">
        <v>36.7193771626298</v>
      </c>
      <c r="AV353" s="78" t="n">
        <v>30.8574394463668</v>
      </c>
      <c r="AW353" s="78" t="n">
        <v>46.977508650519</v>
      </c>
      <c r="AX353" s="78" t="n">
        <v>42.1418685121107</v>
      </c>
      <c r="AY353" s="48" t="n">
        <v>1.38566057839319</v>
      </c>
      <c r="AZ353" s="48" t="n">
        <v>22.8544324068087</v>
      </c>
      <c r="BA353" s="48" t="n">
        <v>0.519083463191311</v>
      </c>
      <c r="BB353" s="49" t="n">
        <f aca="false">AT353/V353</f>
        <v>1.38566057839319</v>
      </c>
      <c r="BC353" s="49" t="n">
        <f aca="false">AS353/V353</f>
        <v>1.40194231174801</v>
      </c>
      <c r="BD353" s="49" t="n">
        <f aca="false">SUM(AP353:AR353)/V353</f>
        <v>0.168910531796309</v>
      </c>
      <c r="BE353" s="50" t="n">
        <v>6.13</v>
      </c>
      <c r="BF353" s="51" t="n">
        <v>169.276713995443</v>
      </c>
      <c r="BG353" s="51" t="n">
        <v>531.474423007195</v>
      </c>
      <c r="BH353" s="51" t="n">
        <v>256.17829212477</v>
      </c>
      <c r="BI353" s="51" t="n">
        <v>162.431023123439</v>
      </c>
      <c r="BJ353" s="51" t="n">
        <v>11.0632540074729</v>
      </c>
      <c r="BK353" s="51" t="n">
        <v>18.6296126545789</v>
      </c>
      <c r="BL353" s="51" t="n">
        <v>15.248270704435</v>
      </c>
      <c r="BM353" s="51"/>
      <c r="BN353" s="52" t="n">
        <f aca="false">(BG353*0.5-BH353*0.25+BI353*0.5)/SUM(BG353:BI353)*1000</f>
        <v>297.771805413296</v>
      </c>
      <c r="BO353" s="53" t="n">
        <v>13.29852756</v>
      </c>
      <c r="BP353" s="54" t="s">
        <v>77</v>
      </c>
      <c r="BQ353" s="55" t="n">
        <v>392.31509176</v>
      </c>
      <c r="BR353" s="56" t="n">
        <v>16.784599028319</v>
      </c>
      <c r="BS353" s="56" t="n">
        <v>23.7415307651474</v>
      </c>
      <c r="BT353" s="56" t="n">
        <v>12.1130667134822</v>
      </c>
      <c r="BU353" s="55"/>
      <c r="BV353" s="55"/>
      <c r="BW353" s="55"/>
      <c r="BX353" s="55"/>
      <c r="BY353" s="79" t="n">
        <v>0.0446650124069479</v>
      </c>
      <c r="BZ353" s="80" t="n">
        <v>0.781696</v>
      </c>
      <c r="CA353" s="81" t="n">
        <v>3.69</v>
      </c>
      <c r="CB353" s="81" t="n">
        <v>0.555</v>
      </c>
      <c r="CC353" s="82" t="n">
        <v>4.78882</v>
      </c>
      <c r="CD353" s="82" t="n">
        <v>5.473932</v>
      </c>
      <c r="CE353" s="83" t="n">
        <v>81.709256</v>
      </c>
      <c r="CF353" s="84" t="n">
        <v>37.148161</v>
      </c>
      <c r="CG353" s="80" t="n">
        <v>0.092</v>
      </c>
      <c r="CH353" s="63" t="n">
        <v>18133.8626369378</v>
      </c>
      <c r="CI353" s="63" t="n">
        <v>5711.15321424967</v>
      </c>
      <c r="CJ353" s="64" t="n">
        <v>918906.181242777</v>
      </c>
      <c r="CK353" s="65" t="n">
        <v>0.621516464991628</v>
      </c>
    </row>
    <row r="354" customFormat="false" ht="15" hidden="false" customHeight="false" outlineLevel="0" collapsed="false">
      <c r="A354" s="7" t="s">
        <v>73</v>
      </c>
      <c r="B354" s="66" t="n">
        <v>352</v>
      </c>
      <c r="C354" s="8" t="s">
        <v>431</v>
      </c>
      <c r="D354" s="67" t="n">
        <v>42023</v>
      </c>
      <c r="E354" s="4" t="s">
        <v>75</v>
      </c>
      <c r="F354" s="7" t="n">
        <v>358</v>
      </c>
      <c r="G354" s="68" t="n">
        <v>1</v>
      </c>
      <c r="H354" s="68" t="n">
        <v>106</v>
      </c>
      <c r="I354" s="66" t="n">
        <v>1</v>
      </c>
      <c r="J354" s="69" t="n">
        <v>561.797619047619</v>
      </c>
      <c r="K354" s="31" t="n">
        <v>517.522281919027</v>
      </c>
      <c r="L354" s="31" t="n">
        <v>934.335567427964</v>
      </c>
      <c r="M354" s="31" t="n">
        <v>164.084821769005</v>
      </c>
      <c r="N354" s="31" t="n">
        <v>348.171151121041</v>
      </c>
      <c r="O354" s="32"/>
      <c r="P354" s="33" t="n">
        <v>31.8656621019481</v>
      </c>
      <c r="Q354" s="33" t="n">
        <v>9.54049954248598</v>
      </c>
      <c r="R354" s="31" t="n">
        <v>160.764534063544</v>
      </c>
      <c r="S354" s="34" t="s">
        <v>76</v>
      </c>
      <c r="T354" s="35" t="n">
        <v>14.7972047</v>
      </c>
      <c r="U354" s="35" t="n">
        <v>5.331397</v>
      </c>
      <c r="V354" s="70" t="n">
        <v>20.1286017</v>
      </c>
      <c r="W354" s="35" t="n">
        <v>18.824909282675</v>
      </c>
      <c r="X354" s="35" t="n">
        <v>3.4317802754901</v>
      </c>
      <c r="Y354" s="35" t="n">
        <v>6.24815425471712</v>
      </c>
      <c r="Z354" s="35"/>
      <c r="AA354" s="35" t="n">
        <v>0.64987276410967</v>
      </c>
      <c r="AB354" s="35" t="n">
        <v>0.178861103315436</v>
      </c>
      <c r="AC354" s="71" t="n">
        <v>3.49564529617727</v>
      </c>
      <c r="AD354" s="38" t="n">
        <v>4.83296720522784</v>
      </c>
      <c r="AE354" s="38" t="n">
        <v>4.18824848952949</v>
      </c>
      <c r="AF354" s="38" t="n">
        <v>1.11404192390201</v>
      </c>
      <c r="AG354" s="72"/>
      <c r="AH354" s="72"/>
      <c r="AI354" s="73" t="n">
        <v>37.0085489348989</v>
      </c>
      <c r="AJ354" s="42" t="s">
        <v>16</v>
      </c>
      <c r="AK354" s="43" t="n">
        <v>759.895531877516</v>
      </c>
      <c r="AL354" s="43" t="n">
        <v>777.515608354935</v>
      </c>
      <c r="AM354" s="43" t="n">
        <v>675.374926577165</v>
      </c>
      <c r="AN354" s="74"/>
      <c r="AO354" s="75" t="n">
        <v>35.9928571428571</v>
      </c>
      <c r="AP354" s="76" t="n">
        <v>1.48301703240059</v>
      </c>
      <c r="AQ354" s="76" t="n">
        <v>1.12661353460972</v>
      </c>
      <c r="AR354" s="76" t="n">
        <v>1.68620969808542</v>
      </c>
      <c r="AS354" s="77" t="n">
        <v>36.6423983431517</v>
      </c>
      <c r="AT354" s="78" t="n">
        <v>35.8912612827031</v>
      </c>
      <c r="AU354" s="78" t="n">
        <v>41.2030927835052</v>
      </c>
      <c r="AV354" s="78" t="n">
        <v>31.3010309278351</v>
      </c>
      <c r="AW354" s="78" t="n">
        <v>46.8484536082474</v>
      </c>
      <c r="AX354" s="78" t="n">
        <v>41.4845360824742</v>
      </c>
      <c r="AY354" s="48" t="n">
        <v>1.78309759503578</v>
      </c>
      <c r="AZ354" s="48" t="n">
        <v>24.131624282834</v>
      </c>
      <c r="BA354" s="48" t="n">
        <v>-4.003022582834</v>
      </c>
      <c r="BB354" s="49" t="n">
        <f aca="false">AT354/V354</f>
        <v>1.78309759503578</v>
      </c>
      <c r="BC354" s="49" t="n">
        <f aca="false">AS354/V354</f>
        <v>1.82041449720532</v>
      </c>
      <c r="BD354" s="49" t="n">
        <f aca="false">SUM(AP354:AR354)/V354</f>
        <v>0.213419706401947</v>
      </c>
      <c r="BE354" s="50" t="n">
        <v>6.48</v>
      </c>
      <c r="BF354" s="51" t="n">
        <v>139.300079252258</v>
      </c>
      <c r="BG354" s="51" t="n">
        <v>496.84958436281</v>
      </c>
      <c r="BH354" s="51" t="n">
        <v>294.889346573684</v>
      </c>
      <c r="BI354" s="51" t="n">
        <v>160.770676777819</v>
      </c>
      <c r="BJ354" s="51" t="n">
        <v>10.5646409536202</v>
      </c>
      <c r="BK354" s="51" t="n">
        <v>18.8605308238995</v>
      </c>
      <c r="BL354" s="51" t="n">
        <v>13.0900961300583</v>
      </c>
      <c r="BM354" s="51"/>
      <c r="BN354" s="52" t="n">
        <f aca="false">(BG354*0.5-BH354*0.25+BI354*0.5)/SUM(BG354:BI354)*1000</f>
        <v>267.806006218682</v>
      </c>
      <c r="BO354" s="53" t="n">
        <v>11.24355184</v>
      </c>
      <c r="BP354" s="54" t="s">
        <v>77</v>
      </c>
      <c r="BQ354" s="55" t="n">
        <v>446.24868026</v>
      </c>
      <c r="BR354" s="56" t="n">
        <v>22.169879801437</v>
      </c>
      <c r="BS354" s="56" t="n">
        <v>30.4884212708531</v>
      </c>
      <c r="BT354" s="56" t="n">
        <v>12.4333518609183</v>
      </c>
      <c r="BU354" s="55"/>
      <c r="BV354" s="55"/>
      <c r="BW354" s="55"/>
      <c r="BX354" s="55"/>
      <c r="BY354" s="79" t="n">
        <v>0.0357320099255583</v>
      </c>
      <c r="BZ354" s="80" t="n">
        <v>0.6364894</v>
      </c>
      <c r="CA354" s="81" t="n">
        <v>3.72</v>
      </c>
      <c r="CB354" s="81" t="n">
        <v>0.34</v>
      </c>
      <c r="CC354" s="82" t="n">
        <v>6.035226</v>
      </c>
      <c r="CD354" s="82" t="n">
        <v>3.739548</v>
      </c>
      <c r="CE354" s="83" t="n">
        <v>84.840504</v>
      </c>
      <c r="CF354" s="84" t="n">
        <v>36.860517</v>
      </c>
      <c r="CG354" s="80" t="n">
        <v>0.092</v>
      </c>
      <c r="CH354" s="63" t="n">
        <v>76711.0983989481</v>
      </c>
      <c r="CI354" s="63" t="n">
        <v>4203.86353801318</v>
      </c>
      <c r="CJ354" s="64" t="n">
        <v>372990.498445942</v>
      </c>
      <c r="CK354" s="65" t="n">
        <v>1.12706987323498</v>
      </c>
    </row>
    <row r="355" customFormat="false" ht="15" hidden="false" customHeight="false" outlineLevel="0" collapsed="false">
      <c r="A355" s="7" t="s">
        <v>73</v>
      </c>
      <c r="B355" s="66" t="n">
        <v>353</v>
      </c>
      <c r="C355" s="8" t="s">
        <v>432</v>
      </c>
      <c r="D355" s="67" t="n">
        <v>42023</v>
      </c>
      <c r="E355" s="4" t="s">
        <v>75</v>
      </c>
      <c r="F355" s="7" t="n">
        <v>359</v>
      </c>
      <c r="G355" s="68" t="n">
        <v>1</v>
      </c>
      <c r="H355" s="68" t="n">
        <v>90</v>
      </c>
      <c r="I355" s="66" t="n">
        <v>1</v>
      </c>
      <c r="J355" s="69" t="n">
        <v>783.351190476191</v>
      </c>
      <c r="K355" s="31" t="n">
        <v>517.522281919027</v>
      </c>
      <c r="L355" s="31" t="n">
        <v>934.335567427964</v>
      </c>
      <c r="M355" s="31" t="n">
        <v>164.084821769005</v>
      </c>
      <c r="N355" s="31" t="n">
        <v>348.171151121041</v>
      </c>
      <c r="O355" s="32"/>
      <c r="P355" s="33" t="n">
        <v>31.8656621019481</v>
      </c>
      <c r="Q355" s="33" t="n">
        <v>9.54049954248598</v>
      </c>
      <c r="R355" s="31" t="n">
        <v>160.764534063544</v>
      </c>
      <c r="S355" s="34" t="s">
        <v>76</v>
      </c>
      <c r="T355" s="35" t="n">
        <v>19.5929224885714</v>
      </c>
      <c r="U355" s="35" t="n">
        <v>7.03841857142857</v>
      </c>
      <c r="V355" s="70" t="n">
        <v>26.63134106</v>
      </c>
      <c r="W355" s="35" t="n">
        <v>24.906426303499</v>
      </c>
      <c r="X355" s="35" t="n">
        <v>4.54007900216959</v>
      </c>
      <c r="Y355" s="35" t="n">
        <v>8.26886743960775</v>
      </c>
      <c r="Z355" s="35"/>
      <c r="AA355" s="35" t="n">
        <v>0.859796099987462</v>
      </c>
      <c r="AB355" s="35" t="n">
        <v>0.236681816946299</v>
      </c>
      <c r="AC355" s="71" t="n">
        <v>4.62420023390562</v>
      </c>
      <c r="AD355" s="38" t="n">
        <v>6.12379839043102</v>
      </c>
      <c r="AE355" s="38" t="n">
        <v>5.31914047534378</v>
      </c>
      <c r="AF355" s="38" t="n">
        <v>1.18348445050084</v>
      </c>
      <c r="AG355" s="72"/>
      <c r="AH355" s="72"/>
      <c r="AI355" s="73" t="n">
        <v>38.6495116031474</v>
      </c>
      <c r="AJ355" s="42" t="s">
        <v>16</v>
      </c>
      <c r="AK355" s="43" t="n">
        <v>770.052947140957</v>
      </c>
      <c r="AL355" s="43" t="n">
        <v>786.435018395372</v>
      </c>
      <c r="AM355" s="43" t="n">
        <v>739.325141713331</v>
      </c>
      <c r="AN355" s="74"/>
      <c r="AO355" s="75" t="n">
        <v>38.5928571428571</v>
      </c>
      <c r="AP355" s="76" t="n">
        <v>1.30655198979592</v>
      </c>
      <c r="AQ355" s="76" t="n">
        <v>1.22688530612245</v>
      </c>
      <c r="AR355" s="76" t="n">
        <v>1.84051173469388</v>
      </c>
      <c r="AS355" s="77" t="n">
        <v>35.0354227040816</v>
      </c>
      <c r="AT355" s="78" t="n">
        <v>35.341561099376</v>
      </c>
      <c r="AU355" s="78" t="n">
        <v>33.8547619047619</v>
      </c>
      <c r="AV355" s="78" t="n">
        <v>31.7904761904762</v>
      </c>
      <c r="AW355" s="78" t="n">
        <v>47.6904761904762</v>
      </c>
      <c r="AX355" s="78" t="n">
        <v>36.2857142857143</v>
      </c>
      <c r="AY355" s="48" t="n">
        <v>1.32706651984788</v>
      </c>
      <c r="AZ355" s="48" t="n">
        <v>26.2205631437831</v>
      </c>
      <c r="BA355" s="48" t="n">
        <v>0.410777916216862</v>
      </c>
      <c r="BB355" s="49" t="n">
        <f aca="false">AT355/V355</f>
        <v>1.32706651984788</v>
      </c>
      <c r="BC355" s="49" t="n">
        <f aca="false">AS355/V355</f>
        <v>1.31557110192639</v>
      </c>
      <c r="BD355" s="49" t="n">
        <f aca="false">SUM(AP355:AR355)/V355</f>
        <v>0.16424065993364</v>
      </c>
      <c r="BE355" s="50" t="n">
        <v>6.26</v>
      </c>
      <c r="BF355" s="51" t="n">
        <v>148.868464822232</v>
      </c>
      <c r="BG355" s="51" t="n">
        <v>538.180557957898</v>
      </c>
      <c r="BH355" s="51" t="n">
        <v>251.276952159544</v>
      </c>
      <c r="BI355" s="51" t="n">
        <v>162.518859768732</v>
      </c>
      <c r="BJ355" s="51" t="n">
        <v>10.3676198072159</v>
      </c>
      <c r="BK355" s="51" t="n">
        <v>18.8732094016892</v>
      </c>
      <c r="BL355" s="51" t="n">
        <v>13.8076765268111</v>
      </c>
      <c r="BM355" s="51"/>
      <c r="BN355" s="52" t="n">
        <f aca="false">(BG355*0.5-BH355*0.25+BI355*0.5)/SUM(BG355:BI355)*1000</f>
        <v>302.035302470594</v>
      </c>
      <c r="BO355" s="53" t="n">
        <v>12.39599544</v>
      </c>
      <c r="BP355" s="54" t="s">
        <v>77</v>
      </c>
      <c r="BQ355" s="55" t="n">
        <v>479.54219519</v>
      </c>
      <c r="BR355" s="56" t="n">
        <v>18.0066859610862</v>
      </c>
      <c r="BS355" s="56" t="n">
        <v>24.4823197760608</v>
      </c>
      <c r="BT355" s="56" t="n">
        <v>13.5687892745198</v>
      </c>
      <c r="BU355" s="55"/>
      <c r="BV355" s="55"/>
      <c r="BW355" s="55"/>
      <c r="BX355" s="55"/>
      <c r="BY355" s="79" t="n">
        <v>0.0803970223325062</v>
      </c>
      <c r="BZ355" s="80" t="n">
        <v>0.6710624</v>
      </c>
      <c r="CA355" s="81" t="n">
        <v>3.66</v>
      </c>
      <c r="CB355" s="81" t="n">
        <v>0.161</v>
      </c>
      <c r="CC355" s="82" t="n">
        <v>5.815272</v>
      </c>
      <c r="CD355" s="82" t="n">
        <v>6.108616</v>
      </c>
      <c r="CE355" s="83" t="n">
        <v>93.802604</v>
      </c>
      <c r="CF355" s="84" t="n">
        <v>37.394713</v>
      </c>
      <c r="CG355" s="80" t="n">
        <v>0.0815</v>
      </c>
      <c r="CH355" s="63" t="n">
        <v>27023.3014551682</v>
      </c>
      <c r="CI355" s="63" t="n">
        <v>9138.05451001108</v>
      </c>
      <c r="CJ355" s="64" t="n">
        <v>793416.275567026</v>
      </c>
      <c r="CK355" s="65" t="n">
        <v>1.15173519770318</v>
      </c>
    </row>
    <row r="356" customFormat="false" ht="15" hidden="false" customHeight="false" outlineLevel="0" collapsed="false">
      <c r="A356" s="7" t="s">
        <v>73</v>
      </c>
      <c r="B356" s="66" t="n">
        <v>354</v>
      </c>
      <c r="C356" s="8" t="s">
        <v>433</v>
      </c>
      <c r="D356" s="67" t="n">
        <v>42023</v>
      </c>
      <c r="E356" s="4" t="s">
        <v>75</v>
      </c>
      <c r="F356" s="7" t="n">
        <v>360</v>
      </c>
      <c r="G356" s="68" t="n">
        <v>1</v>
      </c>
      <c r="H356" s="68" t="n">
        <v>121</v>
      </c>
      <c r="I356" s="66" t="n">
        <v>1</v>
      </c>
      <c r="J356" s="69" t="n">
        <v>672.654761904762</v>
      </c>
      <c r="K356" s="31" t="n">
        <v>517.522281919027</v>
      </c>
      <c r="L356" s="31" t="n">
        <v>934.335567427964</v>
      </c>
      <c r="M356" s="31" t="n">
        <v>164.084821769005</v>
      </c>
      <c r="N356" s="31" t="n">
        <v>348.171151121041</v>
      </c>
      <c r="O356" s="32"/>
      <c r="P356" s="33" t="n">
        <v>31.8656621019481</v>
      </c>
      <c r="Q356" s="33" t="n">
        <v>9.54049954248598</v>
      </c>
      <c r="R356" s="31" t="n">
        <v>160.764534063544</v>
      </c>
      <c r="S356" s="34" t="s">
        <v>76</v>
      </c>
      <c r="T356" s="35" t="n">
        <v>13.8719942328571</v>
      </c>
      <c r="U356" s="35" t="n">
        <v>4.83629585714286</v>
      </c>
      <c r="V356" s="70" t="n">
        <v>18.70829009</v>
      </c>
      <c r="W356" s="35" t="n">
        <v>17.496186267243</v>
      </c>
      <c r="X356" s="35" t="n">
        <v>3.18675073793776</v>
      </c>
      <c r="Y356" s="35" t="n">
        <v>5.82422436524752</v>
      </c>
      <c r="Z356" s="35"/>
      <c r="AA356" s="35" t="n">
        <v>0.603827811480986</v>
      </c>
      <c r="AB356" s="35" t="n">
        <v>0.166534195204519</v>
      </c>
      <c r="AC356" s="71" t="n">
        <v>3.24319432989729</v>
      </c>
      <c r="AD356" s="38" t="n">
        <v>4.95451044292487</v>
      </c>
      <c r="AE356" s="38" t="n">
        <v>4.28190878207034</v>
      </c>
      <c r="AF356" s="38" t="n">
        <v>0.857519455863739</v>
      </c>
      <c r="AG356" s="72"/>
      <c r="AH356" s="72"/>
      <c r="AI356" s="73" t="n">
        <v>33.6126438975081</v>
      </c>
      <c r="AJ356" s="42" t="s">
        <v>16</v>
      </c>
      <c r="AK356" s="43" t="n">
        <v>735.17032186853</v>
      </c>
      <c r="AL356" s="43" t="n">
        <v>755.26616391327</v>
      </c>
      <c r="AM356" s="43" t="n">
        <v>730.911035602783</v>
      </c>
      <c r="AN356" s="74"/>
      <c r="AO356" s="75" t="n">
        <v>27.8214285714286</v>
      </c>
      <c r="AP356" s="76" t="n">
        <v>1.23439145367412</v>
      </c>
      <c r="AQ356" s="76" t="n">
        <v>0.955848288452761</v>
      </c>
      <c r="AR356" s="76" t="n">
        <v>1.24799106572341</v>
      </c>
      <c r="AS356" s="77" t="n">
        <v>29.6444432336833</v>
      </c>
      <c r="AT356" s="78" t="n">
        <v>29.1803812276336</v>
      </c>
      <c r="AU356" s="78" t="n">
        <v>44.3683706070288</v>
      </c>
      <c r="AV356" s="78" t="n">
        <v>34.3565495207668</v>
      </c>
      <c r="AW356" s="78" t="n">
        <v>44.8571884984026</v>
      </c>
      <c r="AX356" s="78" t="n">
        <v>40.8562300319489</v>
      </c>
      <c r="AY356" s="48" t="n">
        <v>1.55975672214059</v>
      </c>
      <c r="AZ356" s="48" t="n">
        <v>23.3872594606492</v>
      </c>
      <c r="BA356" s="48" t="n">
        <v>-4.67896937064924</v>
      </c>
      <c r="BB356" s="49" t="n">
        <f aca="false">AT356/V356</f>
        <v>1.55975672214059</v>
      </c>
      <c r="BC356" s="49" t="n">
        <f aca="false">AS356/V356</f>
        <v>1.58456187556814</v>
      </c>
      <c r="BD356" s="49" t="n">
        <f aca="false">SUM(AP356:AR356)/V356</f>
        <v>0.183781136133233</v>
      </c>
      <c r="BE356" s="50" t="n">
        <v>6.54</v>
      </c>
      <c r="BF356" s="51" t="n">
        <v>128.239574769235</v>
      </c>
      <c r="BG356" s="51" t="n">
        <v>560.530421086327</v>
      </c>
      <c r="BH356" s="51" t="n">
        <v>237.924142335579</v>
      </c>
      <c r="BI356" s="51" t="n">
        <v>153.049470337323</v>
      </c>
      <c r="BJ356" s="51" t="n">
        <v>11.8623678163386</v>
      </c>
      <c r="BK356" s="51" t="n">
        <v>16.2331385653635</v>
      </c>
      <c r="BL356" s="51" t="n">
        <v>15.4253354809588</v>
      </c>
      <c r="BM356" s="51"/>
      <c r="BN356" s="52" t="n">
        <f aca="false">(BG356*0.5-BH356*0.25+BI356*0.5)/SUM(BG356:BI356)*1000</f>
        <v>312.462059622925</v>
      </c>
      <c r="BO356" s="53" t="n">
        <v>5.59297974</v>
      </c>
      <c r="BP356" s="54" t="s">
        <v>77</v>
      </c>
      <c r="BQ356" s="55" t="n">
        <v>377.06042474</v>
      </c>
      <c r="BR356" s="56" t="n">
        <v>20.1547240782602</v>
      </c>
      <c r="BS356" s="56" t="n">
        <v>28.5343201823246</v>
      </c>
      <c r="BT356" s="56" t="n">
        <v>12.9217100283435</v>
      </c>
      <c r="BU356" s="55"/>
      <c r="BV356" s="55"/>
      <c r="BW356" s="55"/>
      <c r="BX356" s="55"/>
      <c r="BY356" s="79" t="n">
        <v>0.0982630272952854</v>
      </c>
      <c r="BZ356" s="80" t="n">
        <v>0.41621</v>
      </c>
      <c r="CA356" s="81" t="n">
        <v>4.26</v>
      </c>
      <c r="CB356" s="81" t="n">
        <v>0.207</v>
      </c>
      <c r="CC356" s="82" t="n">
        <v>5.123988</v>
      </c>
      <c r="CD356" s="82" t="n">
        <v>4.26112</v>
      </c>
      <c r="CE356" s="83" t="n">
        <v>83.070032</v>
      </c>
      <c r="CF356" s="84" t="n">
        <v>37.404986</v>
      </c>
      <c r="CG356" s="80" t="n">
        <v>0.0815</v>
      </c>
      <c r="CH356" s="63" t="n">
        <v>45624.4611862719</v>
      </c>
      <c r="CI356" s="63" t="n">
        <v>11020.2702405555</v>
      </c>
      <c r="CJ356" s="64" t="n">
        <v>956560.211318537</v>
      </c>
      <c r="CK356" s="65" t="n">
        <v>1.15207282407921</v>
      </c>
    </row>
    <row r="357" customFormat="false" ht="15" hidden="false" customHeight="false" outlineLevel="0" collapsed="false">
      <c r="A357" s="7" t="s">
        <v>73</v>
      </c>
      <c r="B357" s="66" t="n">
        <v>355</v>
      </c>
      <c r="C357" s="8" t="s">
        <v>434</v>
      </c>
      <c r="D357" s="67" t="n">
        <v>42023</v>
      </c>
      <c r="E357" s="4" t="s">
        <v>75</v>
      </c>
      <c r="F357" s="7" t="n">
        <v>362</v>
      </c>
      <c r="G357" s="68" t="n">
        <v>1</v>
      </c>
      <c r="H357" s="68" t="n">
        <v>100</v>
      </c>
      <c r="I357" s="66" t="n">
        <v>1</v>
      </c>
      <c r="J357" s="69" t="n">
        <v>569.208333333333</v>
      </c>
      <c r="K357" s="31" t="n">
        <v>517.522281919027</v>
      </c>
      <c r="L357" s="31" t="n">
        <v>934.335567427964</v>
      </c>
      <c r="M357" s="31" t="n">
        <v>164.084821769005</v>
      </c>
      <c r="N357" s="31" t="n">
        <v>348.171151121041</v>
      </c>
      <c r="O357" s="32"/>
      <c r="P357" s="33" t="n">
        <v>31.8656621019481</v>
      </c>
      <c r="Q357" s="33" t="n">
        <v>9.54049954248598</v>
      </c>
      <c r="R357" s="31" t="n">
        <v>160.764534063544</v>
      </c>
      <c r="S357" s="34" t="s">
        <v>76</v>
      </c>
      <c r="T357" s="35" t="n">
        <v>18.3712997642857</v>
      </c>
      <c r="U357" s="35" t="n">
        <v>6.78609328571429</v>
      </c>
      <c r="V357" s="70" t="n">
        <v>25.15739305</v>
      </c>
      <c r="W357" s="35" t="n">
        <v>23.5284104154813</v>
      </c>
      <c r="X357" s="35" t="n">
        <v>4.29212201111477</v>
      </c>
      <c r="Y357" s="35" t="n">
        <v>7.79165276710043</v>
      </c>
      <c r="Z357" s="35"/>
      <c r="AA357" s="35" t="n">
        <v>0.812427301328598</v>
      </c>
      <c r="AB357" s="35" t="n">
        <v>0.223243203755967</v>
      </c>
      <c r="AC357" s="71" t="n">
        <v>4.37495148751296</v>
      </c>
      <c r="AD357" s="38" t="n">
        <v>6.38060605432968</v>
      </c>
      <c r="AE357" s="38" t="n">
        <v>5.54733467658151</v>
      </c>
      <c r="AF357" s="38" t="n">
        <v>1.17756962270211</v>
      </c>
      <c r="AG357" s="72"/>
      <c r="AH357" s="72"/>
      <c r="AI357" s="73" t="n">
        <v>34.987774179301</v>
      </c>
      <c r="AJ357" s="42" t="s">
        <v>16</v>
      </c>
      <c r="AK357" s="43" t="n">
        <v>746.372525895338</v>
      </c>
      <c r="AL357" s="43" t="n">
        <v>764.228242425954</v>
      </c>
      <c r="AM357" s="43" t="n">
        <v>725.643954283521</v>
      </c>
      <c r="AN357" s="74"/>
      <c r="AO357" s="75" t="n">
        <v>37.4642857142857</v>
      </c>
      <c r="AP357" s="76" t="n">
        <v>1.4475045186892</v>
      </c>
      <c r="AQ357" s="76" t="n">
        <v>1.10890257296467</v>
      </c>
      <c r="AR357" s="76" t="n">
        <v>1.80693338453661</v>
      </c>
      <c r="AS357" s="77" t="n">
        <v>36.6982820660522</v>
      </c>
      <c r="AT357" s="78" t="n">
        <v>35.9672147216759</v>
      </c>
      <c r="AU357" s="78" t="n">
        <v>38.636917562724</v>
      </c>
      <c r="AV357" s="78" t="n">
        <v>29.5989247311828</v>
      </c>
      <c r="AW357" s="78" t="n">
        <v>48.2308243727599</v>
      </c>
      <c r="AX357" s="78" t="n">
        <v>47.6810035842294</v>
      </c>
      <c r="AY357" s="48" t="n">
        <v>1.42968767273269</v>
      </c>
      <c r="AZ357" s="48" t="n">
        <v>24.1387981525581</v>
      </c>
      <c r="BA357" s="48" t="n">
        <v>1.01859489744191</v>
      </c>
      <c r="BB357" s="49" t="n">
        <f aca="false">AT357/V357</f>
        <v>1.42968767273269</v>
      </c>
      <c r="BC357" s="49" t="n">
        <f aca="false">AS357/V357</f>
        <v>1.45874741445248</v>
      </c>
      <c r="BD357" s="49" t="n">
        <f aca="false">SUM(AP357:AR357)/V357</f>
        <v>0.173441678456841</v>
      </c>
      <c r="BE357" s="50" t="n">
        <v>6.5</v>
      </c>
      <c r="BF357" s="51" t="n">
        <v>151.635530436803</v>
      </c>
      <c r="BG357" s="51" t="n">
        <v>513.229776478993</v>
      </c>
      <c r="BH357" s="51" t="n">
        <v>257.118493211965</v>
      </c>
      <c r="BI357" s="51" t="n">
        <v>181.170639404765</v>
      </c>
      <c r="BJ357" s="51" t="n">
        <v>11.4257516748621</v>
      </c>
      <c r="BK357" s="51" t="n">
        <v>17.4495458205939</v>
      </c>
      <c r="BL357" s="51" t="n">
        <v>14.6306690307126</v>
      </c>
      <c r="BM357" s="51"/>
      <c r="BN357" s="52" t="n">
        <f aca="false">(BG357*0.5-BH357*0.25+BI357*0.5)/SUM(BG357:BI357)*1000</f>
        <v>297.335745968266</v>
      </c>
      <c r="BO357" s="53" t="n">
        <v>12.48024688</v>
      </c>
      <c r="BP357" s="54" t="s">
        <v>77</v>
      </c>
      <c r="BQ357" s="55" t="n">
        <v>347.70208099</v>
      </c>
      <c r="BR357" s="56" t="n">
        <v>13.8210696274827</v>
      </c>
      <c r="BS357" s="56" t="n">
        <v>19.3371123084583</v>
      </c>
      <c r="BT357" s="56" t="n">
        <v>9.66719507419779</v>
      </c>
      <c r="BU357" s="55"/>
      <c r="BV357" s="55"/>
      <c r="BW357" s="55"/>
      <c r="BX357" s="55"/>
      <c r="BY357" s="79" t="n">
        <v>0.116129032258065</v>
      </c>
      <c r="BZ357" s="80" t="n">
        <v>0.8972686</v>
      </c>
      <c r="CA357" s="81" t="n">
        <v>3.72</v>
      </c>
      <c r="CB357" s="81" t="n">
        <v>0.666</v>
      </c>
      <c r="CC357" s="82" t="n">
        <v>7.155944</v>
      </c>
      <c r="CD357" s="82" t="n">
        <v>6.058344</v>
      </c>
      <c r="CE357" s="83" t="n">
        <v>88.79846</v>
      </c>
      <c r="CF357" s="84" t="n">
        <v>37.5899</v>
      </c>
      <c r="CG357" s="80" t="n">
        <v>0.1235</v>
      </c>
      <c r="CH357" s="63" t="n">
        <v>61218.9576005922</v>
      </c>
      <c r="CI357" s="63" t="n">
        <v>5869.59055128949</v>
      </c>
      <c r="CJ357" s="64" t="n">
        <v>747232.245774173</v>
      </c>
      <c r="CK357" s="65" t="n">
        <v>0.785510874896503</v>
      </c>
    </row>
    <row r="358" customFormat="false" ht="15" hidden="false" customHeight="false" outlineLevel="0" collapsed="false">
      <c r="A358" s="7" t="s">
        <v>73</v>
      </c>
      <c r="B358" s="66" t="n">
        <v>356</v>
      </c>
      <c r="C358" s="8" t="s">
        <v>435</v>
      </c>
      <c r="D358" s="67" t="n">
        <v>42023</v>
      </c>
      <c r="E358" s="4" t="s">
        <v>75</v>
      </c>
      <c r="F358" s="7" t="n">
        <v>363</v>
      </c>
      <c r="G358" s="68" t="n">
        <v>1</v>
      </c>
      <c r="H358" s="68" t="n">
        <v>87</v>
      </c>
      <c r="I358" s="66" t="n">
        <v>1</v>
      </c>
      <c r="J358" s="69" t="n">
        <v>609.529761904762</v>
      </c>
      <c r="K358" s="31" t="n">
        <v>517.522281919027</v>
      </c>
      <c r="L358" s="31" t="n">
        <v>934.335567427964</v>
      </c>
      <c r="M358" s="31" t="n">
        <v>164.084821769005</v>
      </c>
      <c r="N358" s="31" t="n">
        <v>348.171151121041</v>
      </c>
      <c r="O358" s="32"/>
      <c r="P358" s="33" t="n">
        <v>31.8656621019481</v>
      </c>
      <c r="Q358" s="33" t="n">
        <v>9.54049954248598</v>
      </c>
      <c r="R358" s="31" t="n">
        <v>160.764534063544</v>
      </c>
      <c r="S358" s="34" t="s">
        <v>76</v>
      </c>
      <c r="T358" s="35" t="n">
        <v>20.3855098414286</v>
      </c>
      <c r="U358" s="35" t="n">
        <v>7.70969442857143</v>
      </c>
      <c r="V358" s="70" t="n">
        <v>28.09520427</v>
      </c>
      <c r="W358" s="35" t="n">
        <v>26.2764372813959</v>
      </c>
      <c r="X358" s="35" t="n">
        <v>4.79651688335825</v>
      </c>
      <c r="Y358" s="35" t="n">
        <v>8.6828452654652</v>
      </c>
      <c r="Z358" s="35"/>
      <c r="AA358" s="35" t="n">
        <v>0.907508462836473</v>
      </c>
      <c r="AB358" s="35" t="n">
        <v>0.24898883758147</v>
      </c>
      <c r="AC358" s="71" t="n">
        <v>4.89223381591219</v>
      </c>
      <c r="AD358" s="38" t="n">
        <v>8.06994092022371</v>
      </c>
      <c r="AE358" s="38" t="n">
        <v>7.12374589541625</v>
      </c>
      <c r="AF358" s="38" t="n">
        <v>1.59165846832537</v>
      </c>
      <c r="AG358" s="72"/>
      <c r="AH358" s="72"/>
      <c r="AI358" s="73" t="n">
        <v>30.8538612665045</v>
      </c>
      <c r="AJ358" s="42" t="s">
        <v>16</v>
      </c>
      <c r="AK358" s="43" t="n">
        <v>712.764468886928</v>
      </c>
      <c r="AL358" s="43" t="n">
        <v>728.892245964412</v>
      </c>
      <c r="AM358" s="43" t="n">
        <v>668.16368897862</v>
      </c>
      <c r="AN358" s="74"/>
      <c r="AO358" s="75" t="n">
        <v>40.3</v>
      </c>
      <c r="AP358" s="76" t="n">
        <v>1.00425747126437</v>
      </c>
      <c r="AQ358" s="76" t="n">
        <v>1.25444172413793</v>
      </c>
      <c r="AR358" s="76" t="n">
        <v>1.88886563218391</v>
      </c>
      <c r="AS358" s="77" t="n">
        <v>31.1838620689655</v>
      </c>
      <c r="AT358" s="78" t="n">
        <v>32.1326746591991</v>
      </c>
      <c r="AU358" s="78" t="n">
        <v>24.919540229885</v>
      </c>
      <c r="AV358" s="78" t="n">
        <v>31.1275862068965</v>
      </c>
      <c r="AW358" s="78" t="n">
        <v>46.8701149425287</v>
      </c>
      <c r="AX358" s="78" t="n">
        <v>32.1724137931034</v>
      </c>
      <c r="AY358" s="48" t="n">
        <v>1.1437067461905</v>
      </c>
      <c r="AZ358" s="48" t="n">
        <v>22.4078935005773</v>
      </c>
      <c r="BA358" s="48" t="n">
        <v>5.6873107694227</v>
      </c>
      <c r="BB358" s="49" t="n">
        <f aca="false">AT358/V358</f>
        <v>1.1437067461905</v>
      </c>
      <c r="BC358" s="49" t="n">
        <f aca="false">AS358/V358</f>
        <v>1.10993540994694</v>
      </c>
      <c r="BD358" s="49" t="n">
        <f aca="false">SUM(AP358:AR358)/V358</f>
        <v>0.147625366511927</v>
      </c>
      <c r="BE358" s="50" t="n">
        <v>6.47</v>
      </c>
      <c r="BF358" s="51" t="n">
        <v>134.309006876966</v>
      </c>
      <c r="BG358" s="51" t="n">
        <v>456.716019053007</v>
      </c>
      <c r="BH358" s="51" t="n">
        <v>289.022107368092</v>
      </c>
      <c r="BI358" s="51" t="n">
        <v>182.885003519667</v>
      </c>
      <c r="BJ358" s="51" t="n">
        <v>10.5993791360395</v>
      </c>
      <c r="BK358" s="51" t="n">
        <v>40.7390400823899</v>
      </c>
      <c r="BL358" s="51" t="n">
        <v>15.0633264626949</v>
      </c>
      <c r="BM358" s="51"/>
      <c r="BN358" s="52" t="n">
        <f aca="false">(BG358*0.5-BH358*0.25+BI358*0.5)/SUM(BG358:BI358)*1000</f>
        <v>266.572064019237</v>
      </c>
      <c r="BO358" s="53" t="n">
        <v>9.47402292</v>
      </c>
      <c r="BP358" s="54" t="s">
        <v>77</v>
      </c>
      <c r="BQ358" s="55" t="n">
        <v>366.03686203</v>
      </c>
      <c r="BR358" s="56" t="n">
        <v>13.0284463680107</v>
      </c>
      <c r="BS358" s="56" t="n">
        <v>19.1115104740814</v>
      </c>
      <c r="BT358" s="56" t="n">
        <v>11.3914221555537</v>
      </c>
      <c r="BU358" s="55"/>
      <c r="BV358" s="55"/>
      <c r="BW358" s="55"/>
      <c r="BX358" s="55"/>
      <c r="BY358" s="79" t="n">
        <v>0.0535980148883375</v>
      </c>
      <c r="BZ358" s="80" t="n">
        <v>0.5327704</v>
      </c>
      <c r="CA358" s="81" t="n">
        <v>3.73</v>
      </c>
      <c r="CB358" s="81" t="n">
        <v>0.495</v>
      </c>
      <c r="CC358" s="82" t="n">
        <v>5.176358</v>
      </c>
      <c r="CD358" s="82" t="n">
        <v>5.806984</v>
      </c>
      <c r="CE358" s="83" t="n">
        <v>84.423492</v>
      </c>
      <c r="CF358" s="84" t="n">
        <v>37.867271</v>
      </c>
      <c r="CG358" s="80" t="n">
        <v>0.071</v>
      </c>
      <c r="CH358" s="63" t="n">
        <v>6221.45768721027</v>
      </c>
      <c r="CI358" s="63" t="n">
        <v>5577.66611422825</v>
      </c>
      <c r="CJ358" s="64" t="n">
        <v>1391934.35436448</v>
      </c>
      <c r="CK358" s="65" t="n">
        <v>0.400713302084915</v>
      </c>
    </row>
    <row r="359" customFormat="false" ht="15" hidden="false" customHeight="false" outlineLevel="0" collapsed="false">
      <c r="A359" s="7" t="s">
        <v>73</v>
      </c>
      <c r="B359" s="66" t="n">
        <v>357</v>
      </c>
      <c r="C359" s="8" t="s">
        <v>436</v>
      </c>
      <c r="D359" s="67" t="n">
        <v>42023</v>
      </c>
      <c r="E359" s="4" t="s">
        <v>75</v>
      </c>
      <c r="F359" s="7" t="n">
        <v>373</v>
      </c>
      <c r="G359" s="68" t="n">
        <v>1</v>
      </c>
      <c r="H359" s="68" t="n">
        <v>108</v>
      </c>
      <c r="I359" s="66" t="n">
        <v>1</v>
      </c>
      <c r="J359" s="69" t="n">
        <v>629.991666666667</v>
      </c>
      <c r="K359" s="31" t="n">
        <v>517.522281919027</v>
      </c>
      <c r="L359" s="31" t="n">
        <v>934.335567427964</v>
      </c>
      <c r="M359" s="31" t="n">
        <v>164.084821769005</v>
      </c>
      <c r="N359" s="31" t="n">
        <v>348.171151121041</v>
      </c>
      <c r="O359" s="32"/>
      <c r="P359" s="33" t="n">
        <v>31.8656621019481</v>
      </c>
      <c r="Q359" s="33" t="n">
        <v>9.54049954248598</v>
      </c>
      <c r="R359" s="31" t="n">
        <v>160.764534063544</v>
      </c>
      <c r="S359" s="34" t="s">
        <v>76</v>
      </c>
      <c r="T359" s="35" t="n">
        <v>19.4920829385714</v>
      </c>
      <c r="U359" s="35" t="n">
        <v>6.67505057142857</v>
      </c>
      <c r="V359" s="70" t="n">
        <v>26.16713351</v>
      </c>
      <c r="W359" s="35" t="n">
        <v>24.4714710862416</v>
      </c>
      <c r="X359" s="35" t="n">
        <v>4.45511864302502</v>
      </c>
      <c r="Y359" s="35" t="n">
        <v>8.1590455191835</v>
      </c>
      <c r="Z359" s="35"/>
      <c r="AA359" s="35" t="n">
        <v>0.844427112005094</v>
      </c>
      <c r="AB359" s="35" t="n">
        <v>0.233151058897956</v>
      </c>
      <c r="AC359" s="71" t="n">
        <v>4.53187330819025</v>
      </c>
      <c r="AD359" s="38" t="n">
        <v>7.44917261995819</v>
      </c>
      <c r="AE359" s="38" t="n">
        <v>6.54848580861112</v>
      </c>
      <c r="AF359" s="38" t="n">
        <v>1.32598416281495</v>
      </c>
      <c r="AG359" s="72"/>
      <c r="AH359" s="72"/>
      <c r="AI359" s="73" t="n">
        <v>31.298920134202</v>
      </c>
      <c r="AJ359" s="42" t="s">
        <v>16</v>
      </c>
      <c r="AK359" s="43" t="n">
        <v>715.323322781556</v>
      </c>
      <c r="AL359" s="43" t="n">
        <v>732.403263149439</v>
      </c>
      <c r="AM359" s="43" t="n">
        <v>702.368383636444</v>
      </c>
      <c r="AN359" s="74"/>
      <c r="AO359" s="75" t="n">
        <v>36.4571428571429</v>
      </c>
      <c r="AP359" s="76" t="n">
        <v>1.412853247918</v>
      </c>
      <c r="AQ359" s="76" t="n">
        <v>1.23089450352338</v>
      </c>
      <c r="AR359" s="76" t="n">
        <v>1.75291828315183</v>
      </c>
      <c r="AS359" s="77" t="n">
        <v>35.7756558616272</v>
      </c>
      <c r="AT359" s="78" t="n">
        <v>36.1935852359871</v>
      </c>
      <c r="AU359" s="78" t="n">
        <v>38.7538116591928</v>
      </c>
      <c r="AV359" s="78" t="n">
        <v>33.7627802690583</v>
      </c>
      <c r="AW359" s="78" t="n">
        <v>48.0816143497758</v>
      </c>
      <c r="AX359" s="78" t="n">
        <v>44.3632286995516</v>
      </c>
      <c r="AY359" s="48" t="n">
        <v>1.38316966289622</v>
      </c>
      <c r="AZ359" s="48" t="n">
        <v>24.8297873946422</v>
      </c>
      <c r="BA359" s="48" t="n">
        <v>1.33734611535782</v>
      </c>
      <c r="BB359" s="49" t="n">
        <f aca="false">AT359/V359</f>
        <v>1.38316966289622</v>
      </c>
      <c r="BC359" s="49" t="n">
        <f aca="false">AS359/V359</f>
        <v>1.36719812462283</v>
      </c>
      <c r="BD359" s="49" t="n">
        <f aca="false">SUM(AP359:AR359)/V359</f>
        <v>0.168022455838083</v>
      </c>
      <c r="BE359" s="50" t="n">
        <v>6.57</v>
      </c>
      <c r="BF359" s="51" t="n">
        <v>140.159303005807</v>
      </c>
      <c r="BG359" s="51" t="n">
        <v>511.005647226911</v>
      </c>
      <c r="BH359" s="51" t="n">
        <v>269.464629759757</v>
      </c>
      <c r="BI359" s="51" t="n">
        <v>166.282442742561</v>
      </c>
      <c r="BJ359" s="51" t="n">
        <v>11.4839137560763</v>
      </c>
      <c r="BK359" s="51" t="n">
        <v>19.5816584906103</v>
      </c>
      <c r="BL359" s="51" t="n">
        <v>17.206583645975</v>
      </c>
      <c r="BM359" s="51"/>
      <c r="BN359" s="52" t="n">
        <f aca="false">(BG359*0.5-BH359*0.25+BI359*0.5)/SUM(BG359:BI359)*1000</f>
        <v>286.535102452499</v>
      </c>
      <c r="BO359" s="53" t="n">
        <v>11.24142468</v>
      </c>
      <c r="BP359" s="54" t="s">
        <v>77</v>
      </c>
      <c r="BQ359" s="55" t="n">
        <v>397.31538972</v>
      </c>
      <c r="BR359" s="56" t="n">
        <v>15.1837567369832</v>
      </c>
      <c r="BS359" s="56" t="n">
        <v>22.1679247940847</v>
      </c>
      <c r="BT359" s="56" t="n">
        <v>10.9775085040471</v>
      </c>
      <c r="BU359" s="55"/>
      <c r="BV359" s="55"/>
      <c r="BW359" s="55"/>
      <c r="BX359" s="55"/>
      <c r="BY359" s="79" t="n">
        <v>0.0982630272952854</v>
      </c>
      <c r="BZ359" s="80" t="n">
        <v>0.7105744</v>
      </c>
      <c r="CA359" s="81" t="n">
        <v>3.63</v>
      </c>
      <c r="CB359" s="81" t="n">
        <v>0.296</v>
      </c>
      <c r="CC359" s="82" t="n">
        <v>7.030256</v>
      </c>
      <c r="CD359" s="82" t="n">
        <v>5.882392</v>
      </c>
      <c r="CE359" s="83" t="n">
        <v>89.53006</v>
      </c>
      <c r="CF359" s="84" t="n">
        <v>38.031639</v>
      </c>
      <c r="CG359" s="80" t="n">
        <v>0.0605</v>
      </c>
      <c r="CH359" s="63" t="n">
        <v>33094.0341455023</v>
      </c>
      <c r="CI359" s="63" t="n">
        <v>7346.68881995589</v>
      </c>
      <c r="CJ359" s="64" t="n">
        <v>916532.247942392</v>
      </c>
      <c r="CK359" s="65" t="n">
        <v>0.801574503946713</v>
      </c>
    </row>
    <row r="360" customFormat="false" ht="15" hidden="false" customHeight="false" outlineLevel="0" collapsed="false">
      <c r="A360" s="7" t="s">
        <v>73</v>
      </c>
      <c r="B360" s="66" t="n">
        <v>358</v>
      </c>
      <c r="C360" s="8" t="s">
        <v>437</v>
      </c>
      <c r="D360" s="67" t="n">
        <v>42023</v>
      </c>
      <c r="E360" s="4" t="s">
        <v>75</v>
      </c>
      <c r="F360" s="7" t="n">
        <v>383</v>
      </c>
      <c r="G360" s="68" t="n">
        <v>1</v>
      </c>
      <c r="H360" s="68" t="n">
        <v>114</v>
      </c>
      <c r="I360" s="66" t="n">
        <v>1</v>
      </c>
      <c r="J360" s="69" t="n">
        <v>656.708333333333</v>
      </c>
      <c r="K360" s="31" t="n">
        <v>517.522281919027</v>
      </c>
      <c r="L360" s="31" t="n">
        <v>934.335567427964</v>
      </c>
      <c r="M360" s="31" t="n">
        <v>164.084821769005</v>
      </c>
      <c r="N360" s="31" t="n">
        <v>348.171151121041</v>
      </c>
      <c r="O360" s="32"/>
      <c r="P360" s="33" t="n">
        <v>31.8656621019481</v>
      </c>
      <c r="Q360" s="33" t="n">
        <v>9.54049954248598</v>
      </c>
      <c r="R360" s="31" t="n">
        <v>160.764534063544</v>
      </c>
      <c r="S360" s="34" t="s">
        <v>76</v>
      </c>
      <c r="T360" s="35" t="n">
        <v>21.8147305814286</v>
      </c>
      <c r="U360" s="35" t="n">
        <v>7.18606742857143</v>
      </c>
      <c r="V360" s="70" t="n">
        <v>29.00079801</v>
      </c>
      <c r="W360" s="35" t="n">
        <v>27.1207938329475</v>
      </c>
      <c r="X360" s="35" t="n">
        <v>4.93244298580527</v>
      </c>
      <c r="Y360" s="35" t="n">
        <v>9.07279516643929</v>
      </c>
      <c r="Z360" s="35"/>
      <c r="AA360" s="35" t="n">
        <v>0.935534750336965</v>
      </c>
      <c r="AB360" s="35" t="n">
        <v>0.258922726117676</v>
      </c>
      <c r="AC360" s="71" t="n">
        <v>5.01231651094669</v>
      </c>
      <c r="AD360" s="38" t="n">
        <v>7.48329808682454</v>
      </c>
      <c r="AE360" s="38" t="n">
        <v>6.54166109233414</v>
      </c>
      <c r="AF360" s="38" t="n">
        <v>1.41995241716966</v>
      </c>
      <c r="AG360" s="72"/>
      <c r="AH360" s="72"/>
      <c r="AI360" s="73" t="n">
        <v>34.600081824022</v>
      </c>
      <c r="AJ360" s="42" t="s">
        <v>16</v>
      </c>
      <c r="AK360" s="43" t="n">
        <v>741.962338958943</v>
      </c>
      <c r="AL360" s="43" t="n">
        <v>758.795368136052</v>
      </c>
      <c r="AM360" s="43" t="n">
        <v>712.11985191597</v>
      </c>
      <c r="AN360" s="74"/>
      <c r="AO360" s="75" t="n">
        <v>41.6357142857143</v>
      </c>
      <c r="AP360" s="76" t="n">
        <v>0.93719341894061</v>
      </c>
      <c r="AQ360" s="76" t="n">
        <v>1.1150262600321</v>
      </c>
      <c r="AR360" s="76" t="n">
        <v>1.62310672552167</v>
      </c>
      <c r="AS360" s="77" t="n">
        <v>30.7121869983949</v>
      </c>
      <c r="AT360" s="78" t="n">
        <v>28.8491044471481</v>
      </c>
      <c r="AU360" s="78" t="n">
        <v>22.5093632958801</v>
      </c>
      <c r="AV360" s="78" t="n">
        <v>26.7805243445693</v>
      </c>
      <c r="AW360" s="78" t="n">
        <v>38.9835205992509</v>
      </c>
      <c r="AX360" s="78" t="n">
        <v>33.936329588015</v>
      </c>
      <c r="AY360" s="48" t="n">
        <v>0.994769331423238</v>
      </c>
      <c r="AZ360" s="48" t="n">
        <v>23.4626073503333</v>
      </c>
      <c r="BA360" s="48" t="n">
        <v>5.53819065966667</v>
      </c>
      <c r="BB360" s="49" t="n">
        <f aca="false">AT360/V360</f>
        <v>0.994769331423238</v>
      </c>
      <c r="BC360" s="49" t="n">
        <f aca="false">AS360/V360</f>
        <v>1.05901178953092</v>
      </c>
      <c r="BD360" s="49" t="n">
        <f aca="false">SUM(AP360:AR360)/V360</f>
        <v>0.126731905902281</v>
      </c>
      <c r="BE360" s="50" t="n">
        <v>6.3</v>
      </c>
      <c r="BF360" s="51" t="n">
        <v>139.006960159212</v>
      </c>
      <c r="BG360" s="51" t="n">
        <v>480.431096206839</v>
      </c>
      <c r="BH360" s="51" t="n">
        <v>276.709317680819</v>
      </c>
      <c r="BI360" s="51" t="n">
        <v>189.876359714429</v>
      </c>
      <c r="BJ360" s="51" t="n">
        <v>12.5630450282739</v>
      </c>
      <c r="BK360" s="51" t="n">
        <v>19.6945387621861</v>
      </c>
      <c r="BL360" s="51" t="n">
        <v>15.7505182293439</v>
      </c>
      <c r="BM360" s="51"/>
      <c r="BN360" s="52" t="n">
        <f aca="false">(BG360*0.5-BH360*0.25+BI360*0.5)/SUM(BG360:BI360)*1000</f>
        <v>280.857114630354</v>
      </c>
      <c r="BO360" s="53" t="n">
        <v>15.49037708</v>
      </c>
      <c r="BP360" s="54" t="s">
        <v>77</v>
      </c>
      <c r="BQ360" s="55" t="n">
        <v>365.64432799</v>
      </c>
      <c r="BR360" s="56" t="n">
        <v>12.6080781592258</v>
      </c>
      <c r="BS360" s="56" t="n">
        <v>17.7677228967182</v>
      </c>
      <c r="BT360" s="56" t="n">
        <v>12.674373606982</v>
      </c>
      <c r="BU360" s="55"/>
      <c r="BV360" s="55"/>
      <c r="BW360" s="55"/>
      <c r="BX360" s="55"/>
      <c r="BY360" s="79" t="n">
        <v>0.0625310173697271</v>
      </c>
      <c r="BZ360" s="80" t="n">
        <v>0.9170246</v>
      </c>
      <c r="CA360" s="81" t="n">
        <v>3.29</v>
      </c>
      <c r="CB360" s="81" t="n">
        <v>0.22</v>
      </c>
      <c r="CC360" s="82" t="n">
        <v>6.841724</v>
      </c>
      <c r="CD360" s="82" t="n">
        <v>5.731576</v>
      </c>
      <c r="CE360" s="83" t="n">
        <v>82.126268</v>
      </c>
      <c r="CF360" s="84" t="n">
        <v>39.695865</v>
      </c>
      <c r="CG360" s="80" t="n">
        <v>0.806</v>
      </c>
      <c r="CH360" s="63" t="n">
        <v>35121.309253005</v>
      </c>
      <c r="CI360" s="63" t="n">
        <v>7381.02121154264</v>
      </c>
      <c r="CJ360" s="64" t="n">
        <v>979395.550473903</v>
      </c>
      <c r="CK360" s="65" t="n">
        <v>0.753630257761653</v>
      </c>
    </row>
    <row r="361" customFormat="false" ht="15" hidden="false" customHeight="false" outlineLevel="0" collapsed="false">
      <c r="A361" s="7" t="s">
        <v>73</v>
      </c>
      <c r="B361" s="66" t="n">
        <v>359</v>
      </c>
      <c r="C361" s="8" t="s">
        <v>438</v>
      </c>
      <c r="D361" s="67" t="n">
        <v>42023</v>
      </c>
      <c r="E361" s="4" t="s">
        <v>75</v>
      </c>
      <c r="F361" s="7" t="n">
        <v>7</v>
      </c>
      <c r="G361" s="68" t="n">
        <v>1</v>
      </c>
      <c r="H361" s="68" t="n">
        <v>102</v>
      </c>
      <c r="I361" s="66" t="n">
        <v>1</v>
      </c>
      <c r="J361" s="69" t="n">
        <v>533.202380952381</v>
      </c>
      <c r="K361" s="31" t="n">
        <v>517.522281919027</v>
      </c>
      <c r="L361" s="31" t="n">
        <v>934.335567427964</v>
      </c>
      <c r="M361" s="31" t="n">
        <v>164.084821769005</v>
      </c>
      <c r="N361" s="31" t="n">
        <v>348.171151121041</v>
      </c>
      <c r="O361" s="32"/>
      <c r="P361" s="33" t="n">
        <v>31.8656621019481</v>
      </c>
      <c r="Q361" s="33" t="n">
        <v>9.54049954248598</v>
      </c>
      <c r="R361" s="31" t="n">
        <v>160.764534063544</v>
      </c>
      <c r="S361" s="34" t="s">
        <v>76</v>
      </c>
      <c r="T361" s="35" t="n">
        <v>19.2370368757143</v>
      </c>
      <c r="U361" s="35" t="n">
        <v>5.37559371428571</v>
      </c>
      <c r="V361" s="70" t="n">
        <v>24.61263059</v>
      </c>
      <c r="W361" s="35" t="n">
        <v>23.0146465162222</v>
      </c>
      <c r="X361" s="35" t="n">
        <v>4.16861060587727</v>
      </c>
      <c r="Y361" s="35" t="n">
        <v>7.80306306965154</v>
      </c>
      <c r="Z361" s="35"/>
      <c r="AA361" s="35" t="n">
        <v>0.792829458871847</v>
      </c>
      <c r="AB361" s="35" t="n">
        <v>0.22153175280842</v>
      </c>
      <c r="AC361" s="71" t="n">
        <v>4.21867083118266</v>
      </c>
      <c r="AD361" s="38" t="n">
        <v>6.49961809264879</v>
      </c>
      <c r="AE361" s="38" t="n">
        <v>5.70110245395689</v>
      </c>
      <c r="AF361" s="38" t="n">
        <v>1.15149254979776</v>
      </c>
      <c r="AG361" s="72"/>
      <c r="AH361" s="72"/>
      <c r="AI361" s="73" t="n">
        <v>34.0838107178908</v>
      </c>
      <c r="AJ361" s="42" t="s">
        <v>16</v>
      </c>
      <c r="AK361" s="43" t="n">
        <v>735.923469501486</v>
      </c>
      <c r="AL361" s="43" t="n">
        <v>752.283727236984</v>
      </c>
      <c r="AM361" s="43" t="n">
        <v>723.770661578634</v>
      </c>
      <c r="AN361" s="74"/>
      <c r="AO361" s="75" t="n">
        <v>35.6714285714286</v>
      </c>
      <c r="AP361" s="76" t="n">
        <v>1.47679714285714</v>
      </c>
      <c r="AQ361" s="76" t="n">
        <v>1.09511285714286</v>
      </c>
      <c r="AR361" s="76" t="n">
        <v>1.63375142857143</v>
      </c>
      <c r="AS361" s="77" t="n">
        <v>36.4205285714286</v>
      </c>
      <c r="AT361" s="78" t="n">
        <v>35.2941748134668</v>
      </c>
      <c r="AU361" s="78" t="n">
        <v>41.4</v>
      </c>
      <c r="AV361" s="78" t="n">
        <v>30.7</v>
      </c>
      <c r="AW361" s="78" t="n">
        <v>45.8</v>
      </c>
      <c r="AX361" s="78" t="n">
        <v>48</v>
      </c>
      <c r="AY361" s="48" t="n">
        <v>1.43398628945443</v>
      </c>
      <c r="AZ361" s="48" t="n">
        <v>23.5576768038666</v>
      </c>
      <c r="BA361" s="48" t="n">
        <v>1.05495378613342</v>
      </c>
      <c r="BB361" s="49" t="n">
        <f aca="false">AT361/V361</f>
        <v>1.43398628945443</v>
      </c>
      <c r="BC361" s="49" t="n">
        <f aca="false">AS361/V361</f>
        <v>1.47974953096749</v>
      </c>
      <c r="BD361" s="49" t="n">
        <f aca="false">SUM(AP361:AR361)/V361</f>
        <v>0.170874113321319</v>
      </c>
      <c r="BE361" s="50" t="n">
        <v>5.84</v>
      </c>
      <c r="BF361" s="51" t="n">
        <v>164.828389994547</v>
      </c>
      <c r="BG361" s="51" t="n">
        <v>517.738542333497</v>
      </c>
      <c r="BH361" s="51" t="n">
        <v>248.635875963436</v>
      </c>
      <c r="BI361" s="51" t="n">
        <v>177.753281876999</v>
      </c>
      <c r="BJ361" s="51" t="n">
        <v>10.7425451400512</v>
      </c>
      <c r="BK361" s="51" t="n">
        <v>23.037374952747</v>
      </c>
      <c r="BL361" s="51" t="n">
        <v>17.1172553551602</v>
      </c>
      <c r="BM361" s="51"/>
      <c r="BN361" s="52" t="n">
        <f aca="false">(BG361*0.5-BH361*0.25+BI361*0.5)/SUM(BG361:BI361)*1000</f>
        <v>302.48762223773</v>
      </c>
      <c r="BO361" s="53" t="n">
        <v>14.70477912</v>
      </c>
      <c r="BP361" s="54" t="s">
        <v>77</v>
      </c>
      <c r="BQ361" s="55" t="n">
        <v>355.95950787</v>
      </c>
      <c r="BR361" s="56" t="n">
        <v>14.4624731017019</v>
      </c>
      <c r="BS361" s="56" t="n">
        <v>20.559598115201</v>
      </c>
      <c r="BT361" s="56" t="n">
        <v>10.0855030540105</v>
      </c>
      <c r="BU361" s="55"/>
      <c r="BV361" s="55"/>
      <c r="BW361" s="55"/>
      <c r="BX361" s="55"/>
      <c r="BY361" s="79" t="n">
        <v>0.116129032258065</v>
      </c>
      <c r="BZ361" s="80" t="n">
        <v>0.8478786</v>
      </c>
      <c r="CA361" s="81" t="n">
        <v>3.6</v>
      </c>
      <c r="CB361" s="81" t="n">
        <v>0.663</v>
      </c>
      <c r="CC361" s="82" t="n">
        <v>6.328498</v>
      </c>
      <c r="CD361" s="82" t="n">
        <v>5.323116</v>
      </c>
      <c r="CE361" s="83" t="n">
        <v>78.899912</v>
      </c>
      <c r="CF361" s="84" t="n">
        <v>39.223307</v>
      </c>
      <c r="CG361" s="80" t="n">
        <v>0.554</v>
      </c>
      <c r="CH361" s="63" t="n">
        <v>59369.6006447772</v>
      </c>
      <c r="CI361" s="63" t="n">
        <v>11379.5990120954</v>
      </c>
      <c r="CJ361" s="64" t="n">
        <v>885721.487084781</v>
      </c>
      <c r="CK361" s="65" t="n">
        <v>1.28478299081912</v>
      </c>
    </row>
    <row r="362" customFormat="false" ht="15" hidden="false" customHeight="false" outlineLevel="0" collapsed="false">
      <c r="A362" s="7" t="s">
        <v>73</v>
      </c>
      <c r="B362" s="66" t="n">
        <v>360</v>
      </c>
      <c r="C362" s="8" t="s">
        <v>439</v>
      </c>
      <c r="D362" s="67" t="n">
        <v>42023</v>
      </c>
      <c r="E362" s="4" t="s">
        <v>75</v>
      </c>
      <c r="F362" s="7" t="n">
        <v>361</v>
      </c>
      <c r="G362" s="68" t="n">
        <v>1</v>
      </c>
      <c r="H362" s="68" t="n">
        <v>91</v>
      </c>
      <c r="I362" s="66" t="n">
        <v>1</v>
      </c>
      <c r="J362" s="69" t="n">
        <v>592.980952380952</v>
      </c>
      <c r="K362" s="31" t="n">
        <v>517.522281919027</v>
      </c>
      <c r="L362" s="31" t="n">
        <v>934.335567427964</v>
      </c>
      <c r="M362" s="31" t="n">
        <v>164.084821769005</v>
      </c>
      <c r="N362" s="31" t="n">
        <v>348.171151121041</v>
      </c>
      <c r="O362" s="32"/>
      <c r="P362" s="33" t="n">
        <v>31.8656621019481</v>
      </c>
      <c r="Q362" s="33" t="n">
        <v>9.54049954248598</v>
      </c>
      <c r="R362" s="31" t="n">
        <v>160.764534063544</v>
      </c>
      <c r="S362" s="34" t="s">
        <v>76</v>
      </c>
      <c r="T362" s="35" t="n">
        <v>19.5605050085714</v>
      </c>
      <c r="U362" s="35" t="n">
        <v>6.77274857142857</v>
      </c>
      <c r="V362" s="70" t="n">
        <v>26.33325358</v>
      </c>
      <c r="W362" s="35" t="n">
        <v>24.627013574123</v>
      </c>
      <c r="X362" s="35" t="n">
        <v>4.48474002851937</v>
      </c>
      <c r="Y362" s="35" t="n">
        <v>8.20295590439082</v>
      </c>
      <c r="Z362" s="35"/>
      <c r="AA362" s="35" t="n">
        <v>0.849875696051363</v>
      </c>
      <c r="AB362" s="35" t="n">
        <v>0.23449448022435</v>
      </c>
      <c r="AC362" s="71" t="n">
        <v>4.56333816756013</v>
      </c>
      <c r="AD362" s="38" t="n">
        <v>7.5295829805649</v>
      </c>
      <c r="AE362" s="38" t="n">
        <v>6.6313675303709</v>
      </c>
      <c r="AF362" s="38" t="n">
        <v>1.41251858843058</v>
      </c>
      <c r="AG362" s="72"/>
      <c r="AH362" s="72"/>
      <c r="AI362" s="73" t="n">
        <v>31.1430899731923</v>
      </c>
      <c r="AJ362" s="42" t="s">
        <v>16</v>
      </c>
      <c r="AK362" s="43" t="n">
        <v>714.065603109386</v>
      </c>
      <c r="AL362" s="43" t="n">
        <v>730.72790533811</v>
      </c>
      <c r="AM362" s="43" t="n">
        <v>685.03891430761</v>
      </c>
      <c r="AN362" s="74"/>
      <c r="AO362" s="75" t="n">
        <v>36.7714285714286</v>
      </c>
      <c r="AP362" s="76" t="n">
        <v>1.21101996677741</v>
      </c>
      <c r="AQ362" s="76" t="n">
        <v>1.13080694352159</v>
      </c>
      <c r="AR362" s="76" t="n">
        <v>1.73582521594684</v>
      </c>
      <c r="AS362" s="77" t="n">
        <v>32.8738709302325</v>
      </c>
      <c r="AT362" s="78" t="n">
        <v>32.8723918484034</v>
      </c>
      <c r="AU362" s="78" t="n">
        <v>32.9337209302326</v>
      </c>
      <c r="AV362" s="78" t="n">
        <v>30.7523255813953</v>
      </c>
      <c r="AW362" s="78" t="n">
        <v>47.2058139534884</v>
      </c>
      <c r="AX362" s="78" t="n">
        <v>32.4709302325581</v>
      </c>
      <c r="AY362" s="48" t="n">
        <v>1.24832245846635</v>
      </c>
      <c r="AZ362" s="48" t="n">
        <v>22.889111145444</v>
      </c>
      <c r="BA362" s="48" t="n">
        <v>3.44414243455597</v>
      </c>
      <c r="BB362" s="49" t="n">
        <f aca="false">AT362/V362</f>
        <v>1.24832245846635</v>
      </c>
      <c r="BC362" s="49" t="n">
        <f aca="false">AS362/V362</f>
        <v>1.24837862630086</v>
      </c>
      <c r="BD362" s="49" t="n">
        <f aca="false">SUM(AP362:AR362)/V362</f>
        <v>0.154848018071827</v>
      </c>
      <c r="BE362" s="50" t="n">
        <v>6.2</v>
      </c>
      <c r="BF362" s="51" t="n">
        <v>155.52631155651</v>
      </c>
      <c r="BG362" s="51" t="n">
        <v>490.234386710564</v>
      </c>
      <c r="BH362" s="51" t="n">
        <v>289.885621362655</v>
      </c>
      <c r="BI362" s="51" t="n">
        <v>176.486628723972</v>
      </c>
      <c r="BJ362" s="51" t="n">
        <v>10.6132967823157</v>
      </c>
      <c r="BK362" s="51" t="n">
        <v>16.7090366490868</v>
      </c>
      <c r="BL362" s="51" t="n">
        <v>11.0959053932969</v>
      </c>
      <c r="BM362" s="51"/>
      <c r="BN362" s="52" t="n">
        <f aca="false">(BG362*0.5-BH362*0.25+BI362*0.5)/SUM(BG362:BI362)*1000</f>
        <v>272.72349191522</v>
      </c>
      <c r="BO362" s="53" t="n">
        <v>12.27015504</v>
      </c>
      <c r="BP362" s="54" t="s">
        <v>77</v>
      </c>
      <c r="BQ362" s="55" t="n">
        <v>429.95853265</v>
      </c>
      <c r="BR362" s="56" t="n">
        <v>16.327588664416</v>
      </c>
      <c r="BS362" s="56" t="n">
        <v>23.8923643866221</v>
      </c>
      <c r="BT362" s="56" t="n">
        <v>13.0796242218341</v>
      </c>
      <c r="BU362" s="55"/>
      <c r="BV362" s="55"/>
      <c r="BW362" s="55"/>
      <c r="BX362" s="55"/>
      <c r="BY362" s="79" t="n">
        <v>0.0535980148883375</v>
      </c>
      <c r="BZ362" s="80" t="n">
        <v>0.677572</v>
      </c>
      <c r="CA362" s="81" t="n">
        <v>3.54</v>
      </c>
      <c r="CB362" s="81" t="n">
        <v>0.318</v>
      </c>
      <c r="CC362" s="82" t="n">
        <v>5.755824</v>
      </c>
      <c r="CD362" s="82" t="n">
        <v>5.77498</v>
      </c>
      <c r="CE362" s="83" t="n">
        <v>93.922326</v>
      </c>
      <c r="CF362" s="84" t="n">
        <v>37.819296</v>
      </c>
      <c r="CG362" s="80" t="n">
        <v>0.176</v>
      </c>
      <c r="CH362" s="63" t="n">
        <v>55725.2663691715</v>
      </c>
      <c r="CI362" s="63" t="n">
        <v>5565.37524527897</v>
      </c>
      <c r="CJ362" s="64" t="n">
        <v>874145.124351673</v>
      </c>
      <c r="CK362" s="65" t="n">
        <v>0.636664907260868</v>
      </c>
    </row>
    <row r="363" customFormat="false" ht="15" hidden="false" customHeight="false" outlineLevel="0" collapsed="false">
      <c r="A363" s="7" t="s">
        <v>73</v>
      </c>
      <c r="B363" s="66" t="n">
        <v>361</v>
      </c>
      <c r="C363" s="8" t="s">
        <v>440</v>
      </c>
      <c r="D363" s="67" t="n">
        <v>42023</v>
      </c>
      <c r="E363" s="4" t="s">
        <v>75</v>
      </c>
      <c r="F363" s="7" t="n">
        <v>372</v>
      </c>
      <c r="G363" s="68" t="n">
        <v>1</v>
      </c>
      <c r="H363" s="68" t="n">
        <v>108</v>
      </c>
      <c r="I363" s="66" t="n">
        <v>1</v>
      </c>
      <c r="J363" s="69" t="n">
        <v>614.023809523809</v>
      </c>
      <c r="K363" s="31" t="n">
        <v>517.522281919027</v>
      </c>
      <c r="L363" s="31" t="n">
        <v>934.335567427964</v>
      </c>
      <c r="M363" s="31" t="n">
        <v>164.084821769005</v>
      </c>
      <c r="N363" s="31" t="n">
        <v>348.171151121041</v>
      </c>
      <c r="O363" s="32"/>
      <c r="P363" s="33" t="n">
        <v>31.8656621019481</v>
      </c>
      <c r="Q363" s="33" t="n">
        <v>9.54049954248598</v>
      </c>
      <c r="R363" s="31" t="n">
        <v>160.764534063544</v>
      </c>
      <c r="S363" s="34" t="s">
        <v>76</v>
      </c>
      <c r="T363" s="35" t="n">
        <v>19.10077771</v>
      </c>
      <c r="U363" s="35" t="n">
        <v>5.2109885</v>
      </c>
      <c r="V363" s="70" t="n">
        <v>24.31176621</v>
      </c>
      <c r="W363" s="35" t="n">
        <v>22.7329812212146</v>
      </c>
      <c r="X363" s="35" t="n">
        <v>4.11526104100029</v>
      </c>
      <c r="Y363" s="35" t="n">
        <v>7.72177689807004</v>
      </c>
      <c r="Z363" s="35"/>
      <c r="AA363" s="35" t="n">
        <v>0.782980968684338</v>
      </c>
      <c r="AB363" s="35" t="n">
        <v>0.219068155401551</v>
      </c>
      <c r="AC363" s="71" t="n">
        <v>4.16228496986892</v>
      </c>
      <c r="AD363" s="38" t="n">
        <v>6.66817926725778</v>
      </c>
      <c r="AE363" s="38" t="n">
        <v>5.86699159873632</v>
      </c>
      <c r="AF363" s="38" t="n">
        <v>1.26113878936379</v>
      </c>
      <c r="AG363" s="72"/>
      <c r="AH363" s="72"/>
      <c r="AI363" s="73" t="n">
        <v>32.8527693424835</v>
      </c>
      <c r="AJ363" s="42" t="s">
        <v>16</v>
      </c>
      <c r="AK363" s="43" t="n">
        <v>725.722137599571</v>
      </c>
      <c r="AL363" s="43" t="n">
        <v>741.917193277704</v>
      </c>
      <c r="AM363" s="43" t="n">
        <v>693.545858501057</v>
      </c>
      <c r="AN363" s="74"/>
      <c r="AO363" s="75" t="n">
        <v>32.3428571428571</v>
      </c>
      <c r="AP363" s="76" t="n">
        <v>1.28031510204082</v>
      </c>
      <c r="AQ363" s="76" t="n">
        <v>1.07678612244898</v>
      </c>
      <c r="AR363" s="76" t="n">
        <v>1.53178081632653</v>
      </c>
      <c r="AS363" s="77" t="n">
        <v>32.1418693877551</v>
      </c>
      <c r="AT363" s="78" t="n">
        <v>32.1972752918237</v>
      </c>
      <c r="AU363" s="78" t="n">
        <v>39.5857142857143</v>
      </c>
      <c r="AV363" s="78" t="n">
        <v>33.2928571428571</v>
      </c>
      <c r="AW363" s="78" t="n">
        <v>47.3607142857143</v>
      </c>
      <c r="AX363" s="78" t="n">
        <v>36.1428571428571</v>
      </c>
      <c r="AY363" s="48" t="n">
        <v>1.32434949454969</v>
      </c>
      <c r="AZ363" s="48" t="n">
        <v>23.2863616905492</v>
      </c>
      <c r="BA363" s="48" t="n">
        <v>1.02540451945077</v>
      </c>
      <c r="BB363" s="49" t="n">
        <f aca="false">AT363/V363</f>
        <v>1.32434949454969</v>
      </c>
      <c r="BC363" s="49" t="n">
        <f aca="false">AS363/V363</f>
        <v>1.32207051968665</v>
      </c>
      <c r="BD363" s="49" t="n">
        <f aca="false">SUM(AP363:AR363)/V363</f>
        <v>0.159958844915872</v>
      </c>
      <c r="BE363" s="50" t="n">
        <v>6.18</v>
      </c>
      <c r="BF363" s="51" t="n">
        <v>86.9020762158754</v>
      </c>
      <c r="BG363" s="51" t="n">
        <v>447.655448008993</v>
      </c>
      <c r="BH363" s="51" t="n">
        <v>309.844820950806</v>
      </c>
      <c r="BI363" s="51" t="n">
        <v>185.560239937352</v>
      </c>
      <c r="BJ363" s="51" t="n">
        <v>8.55194278685198</v>
      </c>
      <c r="BK363" s="51" t="n">
        <v>27.1750827332415</v>
      </c>
      <c r="BL363" s="51" t="n">
        <v>16.2373412046469</v>
      </c>
      <c r="BM363" s="51"/>
      <c r="BN363" s="52" t="n">
        <f aca="false">(BG363*0.5-BH363*0.25+BI363*0.5)/SUM(BG363:BI363)*1000</f>
        <v>253.58567820334</v>
      </c>
      <c r="BO363" s="53" t="n">
        <v>5.45114588</v>
      </c>
      <c r="BP363" s="54" t="s">
        <v>77</v>
      </c>
      <c r="BQ363" s="55" t="n">
        <v>374.64638199</v>
      </c>
      <c r="BR363" s="56" t="n">
        <v>15.4100849257056</v>
      </c>
      <c r="BS363" s="56" t="n">
        <v>22.213127742631</v>
      </c>
      <c r="BT363" s="56" t="n">
        <v>11.6359654223641</v>
      </c>
      <c r="BU363" s="55"/>
      <c r="BV363" s="55"/>
      <c r="BW363" s="55"/>
      <c r="BX363" s="55"/>
      <c r="BY363" s="79" t="n">
        <v>0.125062034739454</v>
      </c>
      <c r="BZ363" s="80" t="n">
        <v>0.4228336</v>
      </c>
      <c r="CA363" s="81" t="n">
        <v>3.64</v>
      </c>
      <c r="CB363" s="81" t="n">
        <v>0.03</v>
      </c>
      <c r="CC363" s="82" t="n">
        <v>4.819512</v>
      </c>
      <c r="CD363" s="82" t="n">
        <v>4.747415</v>
      </c>
      <c r="CE363" s="83" t="n">
        <v>92.96712</v>
      </c>
      <c r="CF363" s="84" t="n">
        <v>26.135512</v>
      </c>
      <c r="CG363" s="80" t="n">
        <v>0.113</v>
      </c>
      <c r="CH363" s="63" t="n">
        <v>62516.6100542221</v>
      </c>
      <c r="CI363" s="63" t="n">
        <v>6219.95138932703</v>
      </c>
      <c r="CJ363" s="64" t="n">
        <v>883009.978525365</v>
      </c>
      <c r="CK363" s="65" t="n">
        <v>0.704403295613308</v>
      </c>
    </row>
    <row r="364" customFormat="false" ht="15" hidden="false" customHeight="false" outlineLevel="0" collapsed="false">
      <c r="A364" s="7" t="s">
        <v>73</v>
      </c>
      <c r="B364" s="66" t="n">
        <v>362</v>
      </c>
      <c r="C364" s="8" t="s">
        <v>441</v>
      </c>
      <c r="D364" s="67" t="n">
        <v>42023</v>
      </c>
      <c r="E364" s="4" t="s">
        <v>75</v>
      </c>
      <c r="F364" s="7" t="n">
        <v>381</v>
      </c>
      <c r="G364" s="68" t="n">
        <v>1</v>
      </c>
      <c r="H364" s="68" t="n">
        <v>103</v>
      </c>
      <c r="I364" s="66" t="n">
        <v>1</v>
      </c>
      <c r="J364" s="69" t="n">
        <v>590.103571428572</v>
      </c>
      <c r="K364" s="31" t="n">
        <v>517.522281919027</v>
      </c>
      <c r="L364" s="31" t="n">
        <v>934.335567427964</v>
      </c>
      <c r="M364" s="31" t="n">
        <v>164.084821769005</v>
      </c>
      <c r="N364" s="31" t="n">
        <v>348.171151121041</v>
      </c>
      <c r="O364" s="32"/>
      <c r="P364" s="33" t="n">
        <v>31.8656621019481</v>
      </c>
      <c r="Q364" s="33" t="n">
        <v>9.54049954248598</v>
      </c>
      <c r="R364" s="31" t="n">
        <v>160.764534063544</v>
      </c>
      <c r="S364" s="34" t="s">
        <v>76</v>
      </c>
      <c r="T364" s="35" t="n">
        <v>17.9771287257143</v>
      </c>
      <c r="U364" s="35" t="n">
        <v>5.85422821428571</v>
      </c>
      <c r="V364" s="70" t="n">
        <v>23.83135694</v>
      </c>
      <c r="W364" s="35" t="n">
        <v>22.2862943974168</v>
      </c>
      <c r="X364" s="35" t="n">
        <v>4.05199504166698</v>
      </c>
      <c r="Y364" s="35" t="n">
        <v>7.46281197012037</v>
      </c>
      <c r="Z364" s="35"/>
      <c r="AA364" s="35" t="n">
        <v>0.768693305049734</v>
      </c>
      <c r="AB364" s="35" t="n">
        <v>0.212895132789116</v>
      </c>
      <c r="AC364" s="71" t="n">
        <v>4.11638291683227</v>
      </c>
      <c r="AD364" s="38" t="n">
        <v>5.87889755157762</v>
      </c>
      <c r="AE364" s="38" t="n">
        <v>5.09903774940655</v>
      </c>
      <c r="AF364" s="38" t="n">
        <v>1.12422122288416</v>
      </c>
      <c r="AG364" s="72"/>
      <c r="AH364" s="72"/>
      <c r="AI364" s="73" t="n">
        <v>36.2134449395168</v>
      </c>
      <c r="AJ364" s="42" t="s">
        <v>16</v>
      </c>
      <c r="AK364" s="43" t="n">
        <v>753.312513157398</v>
      </c>
      <c r="AL364" s="43" t="n">
        <v>771.202979801003</v>
      </c>
      <c r="AM364" s="43" t="n">
        <v>722.551184953656</v>
      </c>
      <c r="AN364" s="74"/>
      <c r="AO364" s="75" t="n">
        <v>33.65</v>
      </c>
      <c r="AP364" s="76"/>
      <c r="AQ364" s="76"/>
      <c r="AR364" s="76"/>
      <c r="AS364" s="77"/>
      <c r="AT364" s="78"/>
      <c r="AU364" s="78"/>
      <c r="AV364" s="78"/>
      <c r="AW364" s="78"/>
      <c r="AX364" s="78"/>
      <c r="AY364" s="48"/>
      <c r="AZ364" s="48"/>
      <c r="BA364" s="48"/>
      <c r="BB364" s="49"/>
      <c r="BC364" s="49"/>
      <c r="BD364" s="49"/>
      <c r="BE364" s="50" t="n">
        <v>6.07</v>
      </c>
      <c r="BF364" s="51" t="n">
        <v>140.162694318323</v>
      </c>
      <c r="BG364" s="51" t="n">
        <v>487.603760596592</v>
      </c>
      <c r="BH364" s="51" t="n">
        <v>292.997248111265</v>
      </c>
      <c r="BI364" s="51" t="n">
        <v>162.344621184765</v>
      </c>
      <c r="BJ364" s="51" t="n">
        <v>10.6376294815826</v>
      </c>
      <c r="BK364" s="51" t="n">
        <v>23.1777656026537</v>
      </c>
      <c r="BL364" s="51" t="n">
        <v>18.2638506450328</v>
      </c>
      <c r="BM364" s="51"/>
      <c r="BN364" s="52" t="n">
        <f aca="false">(BG364*0.5-BH364*0.25+BI364*0.5)/SUM(BG364:BI364)*1000</f>
        <v>266.955878348498</v>
      </c>
      <c r="BO364" s="53" t="n">
        <v>7.98530912</v>
      </c>
      <c r="BP364" s="54" t="s">
        <v>77</v>
      </c>
      <c r="BQ364" s="55" t="n">
        <v>378.88216628</v>
      </c>
      <c r="BR364" s="56" t="n">
        <v>15.8984722201891</v>
      </c>
      <c r="BS364" s="56" t="n">
        <v>22.0443654295383</v>
      </c>
      <c r="BT364" s="56"/>
      <c r="BU364" s="55"/>
      <c r="BV364" s="55"/>
      <c r="BW364" s="55"/>
      <c r="BX364" s="55"/>
      <c r="BY364" s="79" t="n">
        <v>0.0446650124069479</v>
      </c>
      <c r="BZ364" s="80" t="n">
        <v>0.5219536</v>
      </c>
      <c r="CA364" s="81" t="n">
        <v>3.53</v>
      </c>
      <c r="CB364" s="81" t="n">
        <v>0.189</v>
      </c>
      <c r="CC364" s="82" t="n">
        <v>6.692136</v>
      </c>
      <c r="CD364" s="82" t="n">
        <v>5.663715</v>
      </c>
      <c r="CE364" s="83" t="n">
        <v>91.777302</v>
      </c>
      <c r="CF364" s="84" t="n">
        <v>38.281604</v>
      </c>
      <c r="CG364" s="80" t="n">
        <v>0.092</v>
      </c>
      <c r="CH364" s="63" t="n">
        <v>22571.5707974028</v>
      </c>
      <c r="CI364" s="63" t="n">
        <v>6633.89225353346</v>
      </c>
      <c r="CJ364" s="64" t="n">
        <v>1057062.68707634</v>
      </c>
      <c r="CK364" s="65" t="n">
        <v>0.627577941652797</v>
      </c>
    </row>
    <row r="365" customFormat="false" ht="15" hidden="false" customHeight="false" outlineLevel="0" collapsed="false">
      <c r="A365" s="7" t="s">
        <v>73</v>
      </c>
      <c r="B365" s="66" t="n">
        <v>363</v>
      </c>
      <c r="C365" s="8" t="s">
        <v>442</v>
      </c>
      <c r="D365" s="67" t="n">
        <v>42023</v>
      </c>
      <c r="E365" s="4" t="s">
        <v>75</v>
      </c>
      <c r="F365" s="7" t="n">
        <v>384</v>
      </c>
      <c r="G365" s="68" t="n">
        <v>1</v>
      </c>
      <c r="H365" s="68" t="n">
        <v>85</v>
      </c>
      <c r="I365" s="66" t="n">
        <v>1</v>
      </c>
      <c r="J365" s="69" t="n">
        <v>572.591666666667</v>
      </c>
      <c r="K365" s="31" t="n">
        <v>517.522281919027</v>
      </c>
      <c r="L365" s="31" t="n">
        <v>934.335567427964</v>
      </c>
      <c r="M365" s="31" t="n">
        <v>164.084821769005</v>
      </c>
      <c r="N365" s="31" t="n">
        <v>348.171151121041</v>
      </c>
      <c r="O365" s="32"/>
      <c r="P365" s="33" t="n">
        <v>31.8656621019481</v>
      </c>
      <c r="Q365" s="33" t="n">
        <v>9.54049954248598</v>
      </c>
      <c r="R365" s="31" t="n">
        <v>160.764534063544</v>
      </c>
      <c r="S365" s="34" t="s">
        <v>76</v>
      </c>
      <c r="T365" s="35" t="n">
        <v>20.9316442442857</v>
      </c>
      <c r="U365" s="35" t="n">
        <v>8.26613228571429</v>
      </c>
      <c r="V365" s="70" t="n">
        <v>29.19777653</v>
      </c>
      <c r="W365" s="35" t="n">
        <v>27.3084926768493</v>
      </c>
      <c r="X365" s="35" t="n">
        <v>4.99089413272727</v>
      </c>
      <c r="Y365" s="35" t="n">
        <v>8.98740331524621</v>
      </c>
      <c r="Z365" s="35"/>
      <c r="AA365" s="35" t="n">
        <v>0.94352578916231</v>
      </c>
      <c r="AB365" s="35" t="n">
        <v>0.258132768343714</v>
      </c>
      <c r="AC365" s="71" t="n">
        <v>5.09659113318788</v>
      </c>
      <c r="AD365" s="38" t="n">
        <v>7.36301643974001</v>
      </c>
      <c r="AE365" s="38" t="n">
        <v>6.42994938330028</v>
      </c>
      <c r="AF365" s="38" t="n">
        <v>1.45343955851375</v>
      </c>
      <c r="AG365" s="72"/>
      <c r="AH365" s="72"/>
      <c r="AI365" s="73" t="n">
        <v>35.0580187422247</v>
      </c>
      <c r="AJ365" s="42" t="s">
        <v>16</v>
      </c>
      <c r="AK365" s="43" t="n">
        <v>747.822700397248</v>
      </c>
      <c r="AL365" s="43" t="n">
        <v>764.543965886801</v>
      </c>
      <c r="AM365" s="43" t="n">
        <v>708.781729313196</v>
      </c>
      <c r="AN365" s="74"/>
      <c r="AO365" s="75" t="n">
        <v>43.1857142857143</v>
      </c>
      <c r="AP365" s="76" t="n">
        <v>1.2471218761496</v>
      </c>
      <c r="AQ365" s="76" t="n">
        <v>1.25055078479461</v>
      </c>
      <c r="AR365" s="76" t="n">
        <v>1.99454982219497</v>
      </c>
      <c r="AS365" s="77" t="n">
        <v>35.9811138565297</v>
      </c>
      <c r="AT365" s="78" t="n">
        <v>35.6407309533052</v>
      </c>
      <c r="AU365" s="78" t="n">
        <v>28.8781115879828</v>
      </c>
      <c r="AV365" s="78" t="n">
        <v>28.9575107296137</v>
      </c>
      <c r="AW365" s="78" t="n">
        <v>46.1854077253219</v>
      </c>
      <c r="AX365" s="78" t="n">
        <v>39.2832618025751</v>
      </c>
      <c r="AY365" s="48" t="n">
        <v>1.22066592696486</v>
      </c>
      <c r="AZ365" s="48" t="n">
        <v>23.5288048414261</v>
      </c>
      <c r="BA365" s="48" t="n">
        <v>5.66897168857386</v>
      </c>
      <c r="BB365" s="49" t="n">
        <f aca="false">AT365/V365</f>
        <v>1.22066592696486</v>
      </c>
      <c r="BC365" s="49" t="n">
        <f aca="false">AS365/V365</f>
        <v>1.23232376340575</v>
      </c>
      <c r="BD365" s="49" t="n">
        <f aca="false">SUM(AP365:AR365)/V365</f>
        <v>0.153854951198888</v>
      </c>
      <c r="BE365" s="50" t="n">
        <v>6.01</v>
      </c>
      <c r="BF365" s="51" t="n">
        <v>145.10865312598</v>
      </c>
      <c r="BG365" s="51" t="n">
        <v>509.940086094049</v>
      </c>
      <c r="BH365" s="51" t="n">
        <v>267.195445009289</v>
      </c>
      <c r="BI365" s="51" t="n">
        <v>178.73218823182</v>
      </c>
      <c r="BJ365" s="51" t="n">
        <v>10.2020872973689</v>
      </c>
      <c r="BK365" s="51" t="n">
        <v>17.5411429844493</v>
      </c>
      <c r="BL365" s="51" t="n">
        <v>11.4139260049148</v>
      </c>
      <c r="BM365" s="51"/>
      <c r="BN365" s="52" t="n">
        <f aca="false">(BG365*0.5-BH365*0.25+BI365*0.5)/SUM(BG365:BI365)*1000</f>
        <v>290.351133631387</v>
      </c>
      <c r="BO365" s="53" t="n">
        <v>13.95367296</v>
      </c>
      <c r="BP365" s="54" t="s">
        <v>77</v>
      </c>
      <c r="BQ365" s="55" t="n">
        <v>405.79369341</v>
      </c>
      <c r="BR365" s="56" t="n">
        <v>13.8981025830188</v>
      </c>
      <c r="BS365" s="56" t="n">
        <v>19.435919819913</v>
      </c>
      <c r="BT365" s="56" t="n">
        <v>11.3856725874015</v>
      </c>
      <c r="BU365" s="55"/>
      <c r="BV365" s="55"/>
      <c r="BW365" s="55"/>
      <c r="BX365" s="55"/>
      <c r="BY365" s="79" t="n">
        <v>0.0625310173697271</v>
      </c>
      <c r="BZ365" s="80" t="n">
        <v>0.7747096</v>
      </c>
      <c r="CA365" s="81" t="n">
        <v>3.15</v>
      </c>
      <c r="CB365" s="81" t="n">
        <v>0.754</v>
      </c>
      <c r="CC365" s="82" t="n">
        <v>5.86386</v>
      </c>
      <c r="CD365" s="82" t="n">
        <v>6.23313</v>
      </c>
      <c r="CE365" s="83" t="n">
        <v>81.630333</v>
      </c>
      <c r="CF365" s="84" t="n">
        <v>38.975066</v>
      </c>
      <c r="CG365" s="80" t="n">
        <v>0.1235</v>
      </c>
      <c r="CH365" s="63" t="n">
        <v>104103.859570655</v>
      </c>
      <c r="CI365" s="63" t="n">
        <v>5313.23649108172</v>
      </c>
      <c r="CJ365" s="64" t="n">
        <v>720086.67189005</v>
      </c>
      <c r="CK365" s="65" t="n">
        <v>0.737860690732656</v>
      </c>
    </row>
    <row r="366" customFormat="false" ht="15" hidden="false" customHeight="false" outlineLevel="0" collapsed="false">
      <c r="A366" s="7" t="s">
        <v>73</v>
      </c>
      <c r="B366" s="66" t="n">
        <v>364</v>
      </c>
      <c r="C366" s="8" t="s">
        <v>443</v>
      </c>
      <c r="D366" s="67" t="n">
        <v>42023</v>
      </c>
      <c r="E366" s="4" t="s">
        <v>75</v>
      </c>
      <c r="F366" s="7" t="n">
        <v>367</v>
      </c>
      <c r="G366" s="68" t="n">
        <v>1</v>
      </c>
      <c r="H366" s="68" t="n">
        <v>151</v>
      </c>
      <c r="I366" s="66" t="n">
        <v>1</v>
      </c>
      <c r="J366" s="69" t="n">
        <v>639.083333333333</v>
      </c>
      <c r="K366" s="31" t="n">
        <v>517.522281919027</v>
      </c>
      <c r="L366" s="31" t="n">
        <v>934.335567427964</v>
      </c>
      <c r="M366" s="31" t="n">
        <v>164.084821769005</v>
      </c>
      <c r="N366" s="31" t="n">
        <v>348.171151121041</v>
      </c>
      <c r="O366" s="32"/>
      <c r="P366" s="33" t="n">
        <v>31.8656621019481</v>
      </c>
      <c r="Q366" s="33" t="n">
        <v>9.54049954248598</v>
      </c>
      <c r="R366" s="31" t="n">
        <v>160.764534063544</v>
      </c>
      <c r="S366" s="34" t="s">
        <v>76</v>
      </c>
      <c r="T366" s="35" t="n">
        <v>17.6092041071429</v>
      </c>
      <c r="U366" s="35" t="n">
        <v>6.01975164285714</v>
      </c>
      <c r="V366" s="70" t="n">
        <v>23.62895575</v>
      </c>
      <c r="W366" s="35" t="n">
        <v>22.0977438776357</v>
      </c>
      <c r="X366" s="35" t="n">
        <v>4.02278857950584</v>
      </c>
      <c r="Y366" s="35" t="n">
        <v>7.36874468821008</v>
      </c>
      <c r="Z366" s="35"/>
      <c r="AA366" s="35" t="n">
        <v>0.762506361948365</v>
      </c>
      <c r="AB366" s="35" t="n">
        <v>0.210555056015751</v>
      </c>
      <c r="AC366" s="71" t="n">
        <v>4.09190624736982</v>
      </c>
      <c r="AD366" s="38" t="n">
        <v>5.13918543426339</v>
      </c>
      <c r="AE366" s="38" t="n">
        <v>4.43723484876571</v>
      </c>
      <c r="AF366" s="38" t="n">
        <v>1.35605657119696</v>
      </c>
      <c r="AG366" s="72"/>
      <c r="AH366" s="72"/>
      <c r="AI366" s="73" t="n">
        <v>40.9705115156892</v>
      </c>
      <c r="AJ366" s="42" t="s">
        <v>16</v>
      </c>
      <c r="AK366" s="43" t="n">
        <v>782.504758625933</v>
      </c>
      <c r="AL366" s="43" t="n">
        <v>799.199643486842</v>
      </c>
      <c r="AM366" s="43" t="n">
        <v>662.90632868319</v>
      </c>
      <c r="AN366" s="74"/>
      <c r="AO366" s="75" t="n">
        <v>35.5214285714286</v>
      </c>
      <c r="AP366" s="76" t="n">
        <v>1.51044658659924</v>
      </c>
      <c r="AQ366" s="76" t="n">
        <v>1.21651462389381</v>
      </c>
      <c r="AR366" s="76" t="n">
        <v>1.63585609039191</v>
      </c>
      <c r="AS366" s="77" t="n">
        <v>36.8652702275601</v>
      </c>
      <c r="AT366" s="78" t="n">
        <v>36.6503539718127</v>
      </c>
      <c r="AU366" s="78" t="n">
        <v>42.5221238938053</v>
      </c>
      <c r="AV366" s="78" t="n">
        <v>34.2473451327434</v>
      </c>
      <c r="AW366" s="78" t="n">
        <v>46.0526548672566</v>
      </c>
      <c r="AX366" s="78" t="n">
        <v>33.5442477876106</v>
      </c>
      <c r="AY366" s="48" t="n">
        <v>1.55107802306552</v>
      </c>
      <c r="AZ366" s="48" t="n">
        <v>25.8133788203053</v>
      </c>
      <c r="BA366" s="48" t="n">
        <v>-2.18442307030528</v>
      </c>
      <c r="BB366" s="49" t="n">
        <f aca="false">AT366/V366</f>
        <v>1.55107802306552</v>
      </c>
      <c r="BC366" s="49" t="n">
        <f aca="false">AS366/V366</f>
        <v>1.56017348449942</v>
      </c>
      <c r="BD366" s="49" t="n">
        <f aca="false">SUM(AP366:AR366)/V366</f>
        <v>0.184638599650556</v>
      </c>
      <c r="BE366" s="50" t="n">
        <v>6.17</v>
      </c>
      <c r="BF366" s="51" t="n">
        <v>124.332801548174</v>
      </c>
      <c r="BG366" s="51" t="n">
        <v>546.266182532899</v>
      </c>
      <c r="BH366" s="51" t="n">
        <v>225.910489122185</v>
      </c>
      <c r="BI366" s="51" t="n">
        <v>178.403237349065</v>
      </c>
      <c r="BJ366" s="51" t="n">
        <v>9.92403000890978</v>
      </c>
      <c r="BK366" s="51" t="n">
        <v>20.5482391657348</v>
      </c>
      <c r="BL366" s="51" t="n">
        <v>13.9726974430979</v>
      </c>
      <c r="BM366" s="51"/>
      <c r="BN366" s="52" t="n">
        <f aca="false">(BG366*0.5-BH366*0.25+BI366*0.5)/SUM(BG366:BI366)*1000</f>
        <v>321.758417954425</v>
      </c>
      <c r="BO366" s="53" t="n">
        <v>5.41009368</v>
      </c>
      <c r="BP366" s="54" t="s">
        <v>77</v>
      </c>
      <c r="BQ366" s="55" t="n">
        <v>434.98232466</v>
      </c>
      <c r="BR366" s="56" t="n">
        <v>18.4088678849043</v>
      </c>
      <c r="BS366" s="56" t="n">
        <v>24.6302257737263</v>
      </c>
      <c r="BT366" s="56" t="n">
        <v>11.8684344766367</v>
      </c>
      <c r="BU366" s="55"/>
      <c r="BV366" s="55"/>
      <c r="BW366" s="55"/>
      <c r="BX366" s="55"/>
      <c r="BY366" s="79" t="n">
        <v>0.0625310173697271</v>
      </c>
      <c r="BZ366" s="80" t="n">
        <v>0.6597304</v>
      </c>
      <c r="CA366" s="81" t="n">
        <v>3.7</v>
      </c>
      <c r="CB366" s="81" t="n">
        <v>0.167</v>
      </c>
      <c r="CC366" s="82" t="n">
        <v>5.479732</v>
      </c>
      <c r="CD366" s="82" t="n">
        <v>5.938605</v>
      </c>
      <c r="CE366" s="83" t="n">
        <v>84.018348</v>
      </c>
      <c r="CF366" s="84" t="n">
        <v>36.106655</v>
      </c>
      <c r="CG366" s="80" t="n">
        <v>0.092</v>
      </c>
      <c r="CH366" s="63" t="n">
        <v>66686.003579781</v>
      </c>
      <c r="CI366" s="63" t="n">
        <v>8182.92390184294</v>
      </c>
      <c r="CJ366" s="64" t="n">
        <v>760028.811056853</v>
      </c>
      <c r="CK366" s="65" t="n">
        <v>1.07665969800069</v>
      </c>
    </row>
    <row r="367" customFormat="false" ht="15" hidden="false" customHeight="false" outlineLevel="0" collapsed="false">
      <c r="A367" s="7" t="s">
        <v>73</v>
      </c>
      <c r="B367" s="66" t="n">
        <v>365</v>
      </c>
      <c r="C367" s="8" t="s">
        <v>444</v>
      </c>
      <c r="D367" s="67" t="n">
        <v>42016</v>
      </c>
      <c r="E367" s="4" t="s">
        <v>78</v>
      </c>
      <c r="F367" s="7" t="n">
        <v>51</v>
      </c>
      <c r="G367" s="68" t="n">
        <v>1</v>
      </c>
      <c r="H367" s="68" t="n">
        <v>158</v>
      </c>
      <c r="I367" s="66" t="n">
        <v>8</v>
      </c>
      <c r="J367" s="69" t="n">
        <v>598.066666666667</v>
      </c>
      <c r="K367" s="31" t="n">
        <v>486.5827922535</v>
      </c>
      <c r="L367" s="31" t="n">
        <v>938.680485306648</v>
      </c>
      <c r="M367" s="31" t="n">
        <v>169.59554201402</v>
      </c>
      <c r="N367" s="31" t="n">
        <v>370.140663279484</v>
      </c>
      <c r="O367" s="32"/>
      <c r="P367" s="33" t="n">
        <v>42.4489886333556</v>
      </c>
      <c r="Q367" s="33" t="n">
        <v>13.7063552868315</v>
      </c>
      <c r="R367" s="31" t="n">
        <v>161.615024503579</v>
      </c>
      <c r="S367" s="34" t="s">
        <v>76</v>
      </c>
      <c r="T367" s="35" t="n">
        <v>12.7016929233333</v>
      </c>
      <c r="U367" s="35" t="n">
        <v>3.14682466666667</v>
      </c>
      <c r="V367" s="70" t="n">
        <v>15.84851759</v>
      </c>
      <c r="W367" s="35" t="n">
        <v>14.7594045407987</v>
      </c>
      <c r="X367" s="35" t="n">
        <v>2.6234472691936</v>
      </c>
      <c r="Y367" s="35" t="n">
        <v>5.50471931201066</v>
      </c>
      <c r="Z367" s="35"/>
      <c r="AA367" s="35" t="n">
        <v>0.615684930820765</v>
      </c>
      <c r="AB367" s="35" t="n">
        <v>0.223827280674274</v>
      </c>
      <c r="AC367" s="71" t="n">
        <v>2.48414189888714</v>
      </c>
      <c r="AD367" s="38" t="n">
        <v>4.16421451508088</v>
      </c>
      <c r="AE367" s="38" t="n">
        <v>3.55203259540848</v>
      </c>
      <c r="AF367" s="38" t="n">
        <v>0.865008154381726</v>
      </c>
      <c r="AG367" s="72"/>
      <c r="AH367" s="72"/>
      <c r="AI367" s="73" t="n">
        <v>53.7501802233468</v>
      </c>
      <c r="AJ367" s="42" t="s">
        <v>16</v>
      </c>
      <c r="AK367" s="43" t="n">
        <v>737.248957737953</v>
      </c>
      <c r="AL367" s="43" t="n">
        <v>759.337676151516</v>
      </c>
      <c r="AM367" s="43" t="n">
        <v>670.278048070845</v>
      </c>
      <c r="AN367" s="74"/>
      <c r="AO367" s="75" t="n">
        <v>25.72</v>
      </c>
      <c r="AP367" s="76" t="n">
        <v>0.851339723723724</v>
      </c>
      <c r="AQ367" s="76" t="n">
        <v>0.880450438438439</v>
      </c>
      <c r="AR367" s="76" t="n">
        <v>1.13507843843844</v>
      </c>
      <c r="AS367" s="77" t="n">
        <v>23.0580958558559</v>
      </c>
      <c r="AT367" s="78" t="n">
        <v>23.3184119110193</v>
      </c>
      <c r="AU367" s="78" t="n">
        <v>33.1003003003003</v>
      </c>
      <c r="AV367" s="78" t="n">
        <v>34.2321321321321</v>
      </c>
      <c r="AW367" s="78" t="n">
        <v>44.1321321321321</v>
      </c>
      <c r="AX367" s="78" t="n">
        <v>25.4234234234234</v>
      </c>
      <c r="AY367" s="48" t="n">
        <v>1.47133079031522</v>
      </c>
      <c r="AZ367" s="48" t="n">
        <v>20.1528619655573</v>
      </c>
      <c r="BA367" s="48" t="n">
        <v>-4.30434437555732</v>
      </c>
      <c r="BB367" s="49" t="n">
        <f aca="false">AT367/V367</f>
        <v>1.47133079031522</v>
      </c>
      <c r="BC367" s="49" t="n">
        <f aca="false">AS367/V367</f>
        <v>1.4549055282246</v>
      </c>
      <c r="BD367" s="49" t="n">
        <f aca="false">SUM(AP367:AR367)/V367</f>
        <v>0.180891908932197</v>
      </c>
      <c r="BE367" s="50" t="n">
        <v>6.84</v>
      </c>
      <c r="BF367" s="51" t="n">
        <v>94.5181040204252</v>
      </c>
      <c r="BG367" s="51" t="n">
        <v>578.519923633608</v>
      </c>
      <c r="BH367" s="51" t="n">
        <v>255.077031943199</v>
      </c>
      <c r="BI367" s="51" t="n">
        <v>119.721205368951</v>
      </c>
      <c r="BJ367" s="51" t="n">
        <v>13.4652370317043</v>
      </c>
      <c r="BK367" s="51" t="n">
        <v>15.0188524546055</v>
      </c>
      <c r="BL367" s="51" t="n">
        <v>13.222625189822</v>
      </c>
      <c r="BM367" s="51"/>
      <c r="BN367" s="52" t="n">
        <f aca="false">(BG367*0.5-BH367*0.25+BI367*0.5)/SUM(BG367:BI367)*1000</f>
        <v>299.324316062951</v>
      </c>
      <c r="BO367" s="53" t="n">
        <v>5.57432236</v>
      </c>
      <c r="BP367" s="54" t="s">
        <v>77</v>
      </c>
      <c r="BQ367" s="55" t="n">
        <v>345.058862487648</v>
      </c>
      <c r="BR367" s="56" t="n">
        <v>21.7723115444798</v>
      </c>
      <c r="BS367" s="56" t="n">
        <v>30.7885616868079</v>
      </c>
      <c r="BT367" s="56" t="n">
        <v>14.7976999379013</v>
      </c>
      <c r="BU367" s="55"/>
      <c r="BV367" s="55"/>
      <c r="BW367" s="55"/>
      <c r="BX367" s="55"/>
      <c r="BY367" s="79" t="n">
        <v>0.41985111662531</v>
      </c>
      <c r="BZ367" s="80" t="n">
        <v>0.4238248</v>
      </c>
      <c r="CA367" s="81" t="n">
        <v>3.81</v>
      </c>
      <c r="CB367" s="81" t="n">
        <v>0.446</v>
      </c>
      <c r="CC367" s="82" t="n">
        <v>3.799172</v>
      </c>
      <c r="CD367" s="82" t="n">
        <v>5.26447</v>
      </c>
      <c r="CE367" s="83" t="n">
        <v>85.333851</v>
      </c>
      <c r="CF367" s="84" t="n">
        <v>36.421865</v>
      </c>
      <c r="CG367" s="80" t="n">
        <v>1.016</v>
      </c>
      <c r="CH367" s="63" t="n">
        <v>87391.541202399</v>
      </c>
      <c r="CI367" s="63" t="n">
        <v>3010.256685987</v>
      </c>
      <c r="CJ367" s="64" t="n">
        <v>813878.849418543</v>
      </c>
      <c r="CK367" s="65" t="n">
        <v>0.36986545210477</v>
      </c>
    </row>
    <row r="368" customFormat="false" ht="15" hidden="false" customHeight="false" outlineLevel="0" collapsed="false">
      <c r="A368" s="7" t="s">
        <v>73</v>
      </c>
      <c r="B368" s="66" t="n">
        <v>366</v>
      </c>
      <c r="C368" s="8" t="s">
        <v>445</v>
      </c>
      <c r="D368" s="67" t="n">
        <v>42016</v>
      </c>
      <c r="E368" s="4" t="s">
        <v>78</v>
      </c>
      <c r="F368" s="7" t="n">
        <v>2132</v>
      </c>
      <c r="G368" s="68" t="n">
        <v>1</v>
      </c>
      <c r="H368" s="68" t="n">
        <v>122</v>
      </c>
      <c r="I368" s="66" t="n">
        <v>1</v>
      </c>
      <c r="J368" s="69" t="n">
        <v>581.986904761905</v>
      </c>
      <c r="K368" s="31" t="n">
        <v>486.5827922535</v>
      </c>
      <c r="L368" s="31" t="n">
        <v>938.680485306648</v>
      </c>
      <c r="M368" s="31" t="n">
        <v>169.59554201402</v>
      </c>
      <c r="N368" s="31" t="n">
        <v>370.140663279484</v>
      </c>
      <c r="O368" s="32"/>
      <c r="P368" s="33" t="n">
        <v>42.4489886333556</v>
      </c>
      <c r="Q368" s="33" t="n">
        <v>13.7063552868315</v>
      </c>
      <c r="R368" s="31" t="n">
        <v>161.615024503579</v>
      </c>
      <c r="S368" s="34" t="s">
        <v>76</v>
      </c>
      <c r="T368" s="35" t="n">
        <v>21.5243583242857</v>
      </c>
      <c r="U368" s="35" t="n">
        <v>7.96569428571429</v>
      </c>
      <c r="V368" s="70" t="n">
        <v>29.49005261</v>
      </c>
      <c r="W368" s="35" t="n">
        <v>27.4710373618099</v>
      </c>
      <c r="X368" s="35" t="n">
        <v>4.97500371105018</v>
      </c>
      <c r="Y368" s="35" t="n">
        <v>9.86521451714756</v>
      </c>
      <c r="Z368" s="35"/>
      <c r="AA368" s="35" t="n">
        <v>1.15979817737982</v>
      </c>
      <c r="AB368" s="35" t="n">
        <v>0.378983151670354</v>
      </c>
      <c r="AC368" s="71" t="n">
        <v>4.81101109713743</v>
      </c>
      <c r="AD368" s="38" t="n">
        <v>8.03445725371391</v>
      </c>
      <c r="AE368" s="38" t="n">
        <v>6.88197585619229</v>
      </c>
      <c r="AF368" s="38" t="n">
        <v>1.9778543681909</v>
      </c>
      <c r="AG368" s="72"/>
      <c r="AH368" s="72"/>
      <c r="AI368" s="73" t="n">
        <v>47.1697265543568</v>
      </c>
      <c r="AJ368" s="42" t="s">
        <v>16</v>
      </c>
      <c r="AK368" s="43" t="n">
        <v>727.553648005719</v>
      </c>
      <c r="AL368" s="43" t="n">
        <v>749.482490757354</v>
      </c>
      <c r="AM368" s="43" t="n">
        <v>602.44162958154</v>
      </c>
      <c r="AN368" s="74"/>
      <c r="AO368" s="75" t="n">
        <v>34.4785714285714</v>
      </c>
      <c r="AP368" s="76" t="n">
        <v>1.03784580304311</v>
      </c>
      <c r="AQ368" s="76" t="n">
        <v>1.07868964919696</v>
      </c>
      <c r="AR368" s="76" t="n">
        <v>1.60276393491124</v>
      </c>
      <c r="AS368" s="77" t="n">
        <v>29.3591156170752</v>
      </c>
      <c r="AT368" s="78" t="n">
        <v>29.6424221908028</v>
      </c>
      <c r="AU368" s="78" t="n">
        <v>30.1011834319527</v>
      </c>
      <c r="AV368" s="78" t="n">
        <v>31.285798816568</v>
      </c>
      <c r="AW368" s="78" t="n">
        <v>46.4857988165681</v>
      </c>
      <c r="AX368" s="78" t="n">
        <v>39.1715976331361</v>
      </c>
      <c r="AY368" s="48" t="n">
        <v>1.00516681278321</v>
      </c>
      <c r="AZ368" s="48" t="n">
        <v>22.0017555176771</v>
      </c>
      <c r="BA368" s="48" t="n">
        <v>7.4882970923229</v>
      </c>
      <c r="BB368" s="49" t="n">
        <f aca="false">AT368/V368</f>
        <v>1.00516681278321</v>
      </c>
      <c r="BC368" s="49" t="n">
        <f aca="false">AS368/V368</f>
        <v>0.995559960687206</v>
      </c>
      <c r="BD368" s="49" t="n">
        <f aca="false">SUM(AP368:AR368)/V368</f>
        <v>0.126120473107942</v>
      </c>
      <c r="BE368" s="50" t="n">
        <v>6.58</v>
      </c>
      <c r="BF368" s="51" t="n">
        <v>83.4628023560352</v>
      </c>
      <c r="BG368" s="51" t="n">
        <v>604.775111628442</v>
      </c>
      <c r="BH368" s="51" t="n">
        <v>219.314902482632</v>
      </c>
      <c r="BI368" s="51" t="n">
        <v>134.327182212304</v>
      </c>
      <c r="BJ368" s="51" t="n">
        <v>10.0172929777906</v>
      </c>
      <c r="BK368" s="51" t="n">
        <v>14.9917649087671</v>
      </c>
      <c r="BL368" s="51" t="n">
        <v>11.5986214119542</v>
      </c>
      <c r="BM368" s="51"/>
      <c r="BN368" s="52" t="n">
        <f aca="false">(BG368*0.5-BH368*0.25+BI368*0.5)/SUM(BG368:BI368)*1000</f>
        <v>328.377268800095</v>
      </c>
      <c r="BO368" s="53" t="n">
        <v>8.81533888</v>
      </c>
      <c r="BP368" s="54" t="s">
        <v>77</v>
      </c>
      <c r="BQ368" s="55" t="n">
        <v>403.981526316648</v>
      </c>
      <c r="BR368" s="56" t="n">
        <v>13.6989082949163</v>
      </c>
      <c r="BS368" s="56" t="n">
        <v>19.6211724466617</v>
      </c>
      <c r="BT368" s="56" t="n">
        <v>13.6284924260336</v>
      </c>
      <c r="BU368" s="55"/>
      <c r="BV368" s="55"/>
      <c r="BW368" s="55"/>
      <c r="BX368" s="55"/>
      <c r="BY368" s="79" t="n">
        <v>0.0535980148883375</v>
      </c>
      <c r="BZ368" s="80" t="n">
        <v>0.7013608</v>
      </c>
      <c r="CA368" s="81" t="n">
        <v>3.57</v>
      </c>
      <c r="CB368" s="81" t="n">
        <v>0.825</v>
      </c>
      <c r="CC368" s="82" t="n">
        <v>6.980232</v>
      </c>
      <c r="CD368" s="82" t="n">
        <v>5.048485</v>
      </c>
      <c r="CE368" s="83" t="n">
        <v>95.48082</v>
      </c>
      <c r="CF368" s="84" t="n">
        <v>36.852652</v>
      </c>
      <c r="CG368" s="80" t="n">
        <v>0.1235</v>
      </c>
      <c r="CH368" s="63" t="n">
        <v>82150.0157178052</v>
      </c>
      <c r="CI368" s="63" t="n">
        <v>11100.230344577</v>
      </c>
      <c r="CJ368" s="64" t="n">
        <v>973310.374189464</v>
      </c>
      <c r="CK368" s="65" t="n">
        <v>1.14046152583351</v>
      </c>
    </row>
    <row r="369" customFormat="false" ht="15" hidden="false" customHeight="false" outlineLevel="0" collapsed="false">
      <c r="A369" s="7" t="s">
        <v>73</v>
      </c>
      <c r="B369" s="66" t="n">
        <v>367</v>
      </c>
      <c r="C369" s="8" t="s">
        <v>446</v>
      </c>
      <c r="D369" s="67" t="n">
        <v>42072</v>
      </c>
      <c r="E369" s="4" t="s">
        <v>75</v>
      </c>
      <c r="F369" s="7" t="n">
        <v>357</v>
      </c>
      <c r="G369" s="68" t="n">
        <v>1</v>
      </c>
      <c r="H369" s="68" t="n">
        <v>84</v>
      </c>
      <c r="I369" s="66" t="n">
        <v>1</v>
      </c>
      <c r="J369" s="69" t="n">
        <v>700.475</v>
      </c>
      <c r="K369" s="31" t="n">
        <v>520.854608726448</v>
      </c>
      <c r="L369" s="31" t="n">
        <v>937.849525712522</v>
      </c>
      <c r="M369" s="31" t="n">
        <v>167.90111507938</v>
      </c>
      <c r="N369" s="31" t="n">
        <v>325.438175950863</v>
      </c>
      <c r="O369" s="32"/>
      <c r="P369" s="33" t="n">
        <v>32.5953943805201</v>
      </c>
      <c r="Q369" s="33" t="n">
        <v>8.75989454080789</v>
      </c>
      <c r="R369" s="31" t="n">
        <v>187.304682518902</v>
      </c>
      <c r="S369" s="34" t="s">
        <v>76</v>
      </c>
      <c r="T369" s="35" t="n">
        <v>18.5711699754545</v>
      </c>
      <c r="U369" s="35" t="n">
        <v>6.34526695454546</v>
      </c>
      <c r="V369" s="70" t="n">
        <v>24.91643693</v>
      </c>
      <c r="W369" s="35" t="n">
        <v>23.3670431568747</v>
      </c>
      <c r="X369" s="35" t="n">
        <v>4.3127929088161</v>
      </c>
      <c r="Y369" s="35" t="n">
        <v>7.34842507090607</v>
      </c>
      <c r="Z369" s="35"/>
      <c r="AA369" s="35" t="n">
        <v>0.817601414828701</v>
      </c>
      <c r="AB369" s="35" t="n">
        <v>0.207537055280383</v>
      </c>
      <c r="AC369" s="71" t="n">
        <v>4.80762426581895</v>
      </c>
      <c r="AD369" s="38" t="n">
        <v>4.57692502567297</v>
      </c>
      <c r="AE369" s="38" t="n">
        <v>3.91427141161316</v>
      </c>
      <c r="AF369" s="38" t="n">
        <v>0.901704139367893</v>
      </c>
      <c r="AG369" s="72"/>
      <c r="AH369" s="72"/>
      <c r="AI369" s="73" t="n">
        <v>45.3442112589265</v>
      </c>
      <c r="AJ369" s="42" t="s">
        <v>16</v>
      </c>
      <c r="AK369" s="43" t="n">
        <v>816.309007642973</v>
      </c>
      <c r="AL369" s="43" t="n">
        <v>832.487517340783</v>
      </c>
      <c r="AM369" s="43" t="n">
        <v>790.923385742763</v>
      </c>
      <c r="AN369" s="74"/>
      <c r="AO369" s="75" t="n">
        <v>40.1409090909091</v>
      </c>
      <c r="AP369" s="76" t="n">
        <v>1.04565040863177</v>
      </c>
      <c r="AQ369" s="76" t="n">
        <v>1.26666868686869</v>
      </c>
      <c r="AR369" s="76" t="n">
        <v>1.89465090909091</v>
      </c>
      <c r="AS369" s="77" t="n">
        <v>31.7411197658402</v>
      </c>
      <c r="AT369" s="78" t="n">
        <v>32.7612215692244</v>
      </c>
      <c r="AU369" s="78" t="n">
        <v>26.049494949495</v>
      </c>
      <c r="AV369" s="78" t="n">
        <v>31.5555555555556</v>
      </c>
      <c r="AW369" s="78" t="n">
        <v>47.2</v>
      </c>
      <c r="AX369" s="78" t="n">
        <v>29.010101010101</v>
      </c>
      <c r="AY369" s="48" t="n">
        <v>1.31484375800856</v>
      </c>
      <c r="AZ369" s="48" t="n">
        <v>23.754462529007</v>
      </c>
      <c r="BA369" s="48" t="n">
        <v>1.16197440099301</v>
      </c>
      <c r="BB369" s="49" t="n">
        <f aca="false">AT369/V369</f>
        <v>1.31484375800856</v>
      </c>
      <c r="BC369" s="49" t="n">
        <f aca="false">AS369/V369</f>
        <v>1.27390283992103</v>
      </c>
      <c r="BD369" s="49" t="n">
        <f aca="false">SUM(AP369:AR369)/V369</f>
        <v>0.168843162303278</v>
      </c>
      <c r="BE369" s="50" t="n">
        <v>6.35</v>
      </c>
      <c r="BF369" s="51" t="n">
        <v>145.643871694023</v>
      </c>
      <c r="BG369" s="51" t="n">
        <v>559.887210486239</v>
      </c>
      <c r="BH369" s="51" t="n">
        <v>254.895987469433</v>
      </c>
      <c r="BI369" s="51" t="n">
        <v>142.337857897655</v>
      </c>
      <c r="BJ369" s="51" t="n">
        <v>9.73315138548658</v>
      </c>
      <c r="BK369" s="51" t="n">
        <v>16.6284367793694</v>
      </c>
      <c r="BL369" s="51" t="n">
        <v>11.542231603708</v>
      </c>
      <c r="BM369" s="51"/>
      <c r="BN369" s="52" t="n">
        <f aca="false">(BG369*0.5-BH369*0.25+BI369*0.5)/SUM(BG369:BI369)*1000</f>
        <v>300.263520029204</v>
      </c>
      <c r="BO369" s="53" t="n">
        <v>10.43236832</v>
      </c>
      <c r="BP369" s="54" t="s">
        <v>77</v>
      </c>
      <c r="BQ369" s="55" t="n">
        <v>472.589067155453</v>
      </c>
      <c r="BR369" s="56" t="n">
        <v>18.9669601830768</v>
      </c>
      <c r="BS369" s="56" t="n">
        <v>24.2941763438195</v>
      </c>
      <c r="BT369" s="56" t="n">
        <v>14.4252578053866</v>
      </c>
      <c r="BU369" s="55"/>
      <c r="BV369" s="55"/>
      <c r="BW369" s="55"/>
      <c r="BX369" s="55"/>
      <c r="BY369" s="79" t="n">
        <v>0.0601671309192201</v>
      </c>
      <c r="BZ369" s="80" t="n">
        <v>0.4470956</v>
      </c>
      <c r="CA369" s="81" t="n">
        <v>3.92</v>
      </c>
      <c r="CB369" s="81" t="n">
        <v>0.281</v>
      </c>
      <c r="CC369" s="82" t="n">
        <v>4.837479</v>
      </c>
      <c r="CD369" s="82" t="n">
        <v>6.36804</v>
      </c>
      <c r="CE369" s="83" t="n">
        <v>83.641872</v>
      </c>
      <c r="CF369" s="84" t="n">
        <v>36.086945</v>
      </c>
      <c r="CG369" s="80" t="n">
        <v>0.1235</v>
      </c>
      <c r="CH369" s="63" t="n">
        <v>56015.8703516979</v>
      </c>
      <c r="CI369" s="63" t="n">
        <v>10623.3378240351</v>
      </c>
      <c r="CJ369" s="64" t="n">
        <v>940926.554249767</v>
      </c>
      <c r="CK369" s="65" t="n">
        <v>1.12902944188938</v>
      </c>
    </row>
    <row r="370" customFormat="false" ht="15" hidden="false" customHeight="false" outlineLevel="0" collapsed="false">
      <c r="A370" s="7" t="s">
        <v>73</v>
      </c>
      <c r="B370" s="66" t="n">
        <v>368</v>
      </c>
      <c r="C370" s="8" t="s">
        <v>447</v>
      </c>
      <c r="D370" s="67" t="n">
        <v>42072</v>
      </c>
      <c r="E370" s="4" t="s">
        <v>75</v>
      </c>
      <c r="F370" s="7" t="n">
        <v>375</v>
      </c>
      <c r="G370" s="68" t="n">
        <v>1</v>
      </c>
      <c r="H370" s="68" t="n">
        <v>125</v>
      </c>
      <c r="I370" s="66" t="n">
        <v>1</v>
      </c>
      <c r="J370" s="69" t="n">
        <v>587.112121212121</v>
      </c>
      <c r="K370" s="31" t="n">
        <v>520.854608726448</v>
      </c>
      <c r="L370" s="31" t="n">
        <v>937.849525712522</v>
      </c>
      <c r="M370" s="31" t="n">
        <v>167.90111507938</v>
      </c>
      <c r="N370" s="31" t="n">
        <v>325.438175950863</v>
      </c>
      <c r="O370" s="32"/>
      <c r="P370" s="33" t="n">
        <v>32.5953943805201</v>
      </c>
      <c r="Q370" s="33" t="n">
        <v>8.75989454080789</v>
      </c>
      <c r="R370" s="31" t="n">
        <v>187.304682518902</v>
      </c>
      <c r="S370" s="34" t="s">
        <v>76</v>
      </c>
      <c r="T370" s="35" t="n">
        <v>19.4740675563636</v>
      </c>
      <c r="U370" s="35" t="n">
        <v>7.68055086363637</v>
      </c>
      <c r="V370" s="70" t="n">
        <v>27.15461842</v>
      </c>
      <c r="W370" s="35" t="n">
        <v>25.4659469103056</v>
      </c>
      <c r="X370" s="35" t="n">
        <v>4.71579470655928</v>
      </c>
      <c r="Y370" s="35" t="n">
        <v>7.91681162090454</v>
      </c>
      <c r="Z370" s="35"/>
      <c r="AA370" s="35" t="n">
        <v>0.891700673444711</v>
      </c>
      <c r="AB370" s="35" t="n">
        <v>0.224885648471514</v>
      </c>
      <c r="AC370" s="71" t="n">
        <v>5.25644609829306</v>
      </c>
      <c r="AD370" s="38" t="n">
        <v>5.9084218496493</v>
      </c>
      <c r="AE370" s="38" t="n">
        <v>5.15133961878213</v>
      </c>
      <c r="AF370" s="38" t="n">
        <v>1.14267189941144</v>
      </c>
      <c r="AG370" s="72"/>
      <c r="AH370" s="72"/>
      <c r="AI370" s="73" t="n">
        <v>38.0618808531524</v>
      </c>
      <c r="AJ370" s="42" t="s">
        <v>16</v>
      </c>
      <c r="AK370" s="43" t="n">
        <v>782.415581826125</v>
      </c>
      <c r="AL370" s="43" t="n">
        <v>797.716549204873</v>
      </c>
      <c r="AM370" s="43" t="n">
        <v>757.692611635091</v>
      </c>
      <c r="AN370" s="74"/>
      <c r="AO370" s="75" t="n">
        <v>37.4727272727273</v>
      </c>
      <c r="AP370" s="76" t="n">
        <v>0.48802247582205</v>
      </c>
      <c r="AQ370" s="76" t="n">
        <v>1.17426770599613</v>
      </c>
      <c r="AR370" s="76" t="n">
        <v>1.78068805415861</v>
      </c>
      <c r="AS370" s="77" t="n">
        <v>22.3094280464217</v>
      </c>
      <c r="AT370" s="78" t="n">
        <v>24.6295557896241</v>
      </c>
      <c r="AU370" s="78" t="n">
        <v>13.0234042553191</v>
      </c>
      <c r="AV370" s="78" t="n">
        <v>31.3365957446809</v>
      </c>
      <c r="AW370" s="78" t="n">
        <v>47.5195744680851</v>
      </c>
      <c r="AX370" s="78" t="n">
        <v>35.0723404255319</v>
      </c>
      <c r="AY370" s="48" t="n">
        <v>0.907011669568661</v>
      </c>
      <c r="AZ370" s="48" t="n">
        <v>19.5265609828184</v>
      </c>
      <c r="BA370" s="48" t="n">
        <v>7.62805743718159</v>
      </c>
      <c r="BB370" s="49" t="n">
        <f aca="false">AT370/V370</f>
        <v>0.907011669568661</v>
      </c>
      <c r="BC370" s="49" t="n">
        <f aca="false">AS370/V370</f>
        <v>0.821570301646745</v>
      </c>
      <c r="BD370" s="49" t="n">
        <f aca="false">SUM(AP370:AR370)/V370</f>
        <v>0.126791626482255</v>
      </c>
      <c r="BE370" s="50" t="n">
        <v>6.39</v>
      </c>
      <c r="BF370" s="51" t="n">
        <v>147.686095275371</v>
      </c>
      <c r="BG370" s="51" t="n">
        <v>540.412785395889</v>
      </c>
      <c r="BH370" s="51" t="n">
        <v>266.591425777532</v>
      </c>
      <c r="BI370" s="51" t="n">
        <v>143.489945657868</v>
      </c>
      <c r="BJ370" s="51" t="n">
        <v>10.2049610592162</v>
      </c>
      <c r="BK370" s="51" t="n">
        <v>17.4492663994391</v>
      </c>
      <c r="BL370" s="51" t="n">
        <v>16.876491331947</v>
      </c>
      <c r="BM370" s="51"/>
      <c r="BN370" s="52" t="n">
        <f aca="false">(BG370*0.5-BH370*0.25+BI370*0.5)/SUM(BG370:BI370)*1000</f>
        <v>289.642505536582</v>
      </c>
      <c r="BO370" s="53" t="n">
        <v>11.80377024</v>
      </c>
      <c r="BP370" s="54" t="s">
        <v>77</v>
      </c>
      <c r="BQ370" s="55" t="n">
        <v>468.771566899129</v>
      </c>
      <c r="BR370" s="56" t="n">
        <v>17.2630511557425</v>
      </c>
      <c r="BS370" s="56" t="n">
        <v>23.0755908874856</v>
      </c>
      <c r="BT370" s="56" t="n">
        <v>19.0328875966416</v>
      </c>
      <c r="BU370" s="55"/>
      <c r="BV370" s="55"/>
      <c r="BW370" s="55"/>
      <c r="BX370" s="55"/>
      <c r="BY370" s="79" t="n">
        <v>0.0501392757660167</v>
      </c>
      <c r="BZ370" s="80" t="n">
        <v>0.5740536</v>
      </c>
      <c r="CA370" s="81" t="n">
        <v>3.15</v>
      </c>
      <c r="CB370" s="81" t="n">
        <v>0.03</v>
      </c>
      <c r="CC370" s="82" t="n">
        <v>6.667329</v>
      </c>
      <c r="CD370" s="82" t="n">
        <v>6.579112</v>
      </c>
      <c r="CE370" s="83" t="n">
        <v>78.9392</v>
      </c>
      <c r="CF370" s="84" t="n">
        <v>34.599693</v>
      </c>
      <c r="CG370" s="80" t="n">
        <v>0.0815</v>
      </c>
      <c r="CH370" s="63" t="n">
        <v>34474.8168937827</v>
      </c>
      <c r="CI370" s="63" t="n">
        <v>11826.7001809127</v>
      </c>
      <c r="CJ370" s="64" t="n">
        <v>1213641.4114902</v>
      </c>
      <c r="CK370" s="65" t="n">
        <v>0.974480605963419</v>
      </c>
    </row>
    <row r="371" customFormat="false" ht="15" hidden="false" customHeight="false" outlineLevel="0" collapsed="false">
      <c r="A371" s="7" t="s">
        <v>73</v>
      </c>
      <c r="B371" s="66" t="n">
        <v>369</v>
      </c>
      <c r="C371" s="8" t="s">
        <v>448</v>
      </c>
      <c r="D371" s="67" t="n">
        <v>42072</v>
      </c>
      <c r="E371" s="4" t="s">
        <v>75</v>
      </c>
      <c r="F371" s="7" t="n">
        <v>376</v>
      </c>
      <c r="G371" s="68" t="n">
        <v>1</v>
      </c>
      <c r="H371" s="68" t="n">
        <v>94</v>
      </c>
      <c r="I371" s="66" t="n">
        <v>1</v>
      </c>
      <c r="J371" s="69" t="n">
        <v>751.17803030303</v>
      </c>
      <c r="K371" s="31" t="n">
        <v>520.854608726448</v>
      </c>
      <c r="L371" s="31" t="n">
        <v>937.849525712522</v>
      </c>
      <c r="M371" s="31" t="n">
        <v>167.90111507938</v>
      </c>
      <c r="N371" s="31" t="n">
        <v>325.438175950863</v>
      </c>
      <c r="O371" s="32"/>
      <c r="P371" s="33" t="n">
        <v>32.5953943805201</v>
      </c>
      <c r="Q371" s="33" t="n">
        <v>8.75989454080789</v>
      </c>
      <c r="R371" s="31" t="n">
        <v>187.304682518902</v>
      </c>
      <c r="S371" s="34" t="s">
        <v>76</v>
      </c>
      <c r="T371" s="35" t="n">
        <v>16.67513251</v>
      </c>
      <c r="U371" s="35" t="n">
        <v>5.2401265</v>
      </c>
      <c r="V371" s="70" t="n">
        <v>21.91525901</v>
      </c>
      <c r="W371" s="35" t="n">
        <v>20.5525336260956</v>
      </c>
      <c r="X371" s="35" t="n">
        <v>3.78637271521986</v>
      </c>
      <c r="Y371" s="35" t="n">
        <v>6.50415293982112</v>
      </c>
      <c r="Z371" s="35"/>
      <c r="AA371" s="35" t="n">
        <v>0.718829307842826</v>
      </c>
      <c r="AB371" s="35" t="n">
        <v>0.183115577169252</v>
      </c>
      <c r="AC371" s="71" t="n">
        <v>4.22099134342673</v>
      </c>
      <c r="AD371" s="38" t="n">
        <v>4.55163529036815</v>
      </c>
      <c r="AE371" s="38" t="n">
        <v>3.97122266065858</v>
      </c>
      <c r="AF371" s="38" t="n">
        <v>0.821370192183097</v>
      </c>
      <c r="AG371" s="72"/>
      <c r="AH371" s="72"/>
      <c r="AI371" s="73" t="n">
        <v>40.2307226936105</v>
      </c>
      <c r="AJ371" s="42" t="s">
        <v>16</v>
      </c>
      <c r="AK371" s="43" t="n">
        <v>792.307483644559</v>
      </c>
      <c r="AL371" s="43" t="n">
        <v>806.776977821542</v>
      </c>
      <c r="AM371" s="43" t="n">
        <v>783.072018007767</v>
      </c>
      <c r="AN371" s="74"/>
      <c r="AO371" s="75" t="n">
        <v>35.6772727272727</v>
      </c>
      <c r="AP371" s="76" t="n">
        <v>0.705055408361692</v>
      </c>
      <c r="AQ371" s="76" t="n">
        <v>1.24834204910063</v>
      </c>
      <c r="AR371" s="76" t="n">
        <v>1.67005885999028</v>
      </c>
      <c r="AS371" s="77" t="n">
        <v>24.8467402163345</v>
      </c>
      <c r="AT371" s="78" t="n">
        <v>27.253118731905</v>
      </c>
      <c r="AU371" s="78" t="n">
        <v>19.7620320855615</v>
      </c>
      <c r="AV371" s="78" t="n">
        <v>34.9898395721925</v>
      </c>
      <c r="AW371" s="78" t="n">
        <v>46.8101604278075</v>
      </c>
      <c r="AX371" s="78" t="n">
        <v>29</v>
      </c>
      <c r="AY371" s="48" t="n">
        <v>1.24356817865896</v>
      </c>
      <c r="AZ371" s="48" t="n">
        <v>22.2644690089633</v>
      </c>
      <c r="BA371" s="48" t="n">
        <v>-0.34920999896335</v>
      </c>
      <c r="BB371" s="49" t="n">
        <f aca="false">AT371/V371</f>
        <v>1.24356817865896</v>
      </c>
      <c r="BC371" s="49" t="n">
        <f aca="false">AS371/V371</f>
        <v>1.13376438786312</v>
      </c>
      <c r="BD371" s="49" t="n">
        <f aca="false">SUM(AP371:AR371)/V371</f>
        <v>0.165339424726817</v>
      </c>
      <c r="BE371" s="50" t="n">
        <v>6.34</v>
      </c>
      <c r="BF371" s="51" t="n">
        <v>160.133299938349</v>
      </c>
      <c r="BG371" s="51" t="n">
        <v>543.929704706128</v>
      </c>
      <c r="BH371" s="51" t="n">
        <v>279.290796430999</v>
      </c>
      <c r="BI371" s="51" t="n">
        <v>133.342731537262</v>
      </c>
      <c r="BJ371" s="51" t="n">
        <v>9.18050573347234</v>
      </c>
      <c r="BK371" s="51" t="n">
        <v>16.4547990387075</v>
      </c>
      <c r="BL371" s="51" t="n">
        <v>12.8263381753219</v>
      </c>
      <c r="BM371" s="51"/>
      <c r="BN371" s="52" t="n">
        <f aca="false">(BG371*0.5-BH371*0.25+BI371*0.5)/SUM(BG371:BI371)*1000</f>
        <v>281.020124788184</v>
      </c>
      <c r="BO371" s="53" t="n">
        <v>9.66702808</v>
      </c>
      <c r="BP371" s="54" t="s">
        <v>77</v>
      </c>
      <c r="BQ371" s="55" t="n">
        <v>423.498369156587</v>
      </c>
      <c r="BR371" s="56" t="n">
        <v>19.3243606641082</v>
      </c>
      <c r="BS371" s="56" t="n">
        <v>25.5407048356641</v>
      </c>
      <c r="BT371" s="56" t="n">
        <v>15.5394460840476</v>
      </c>
      <c r="BU371" s="55"/>
      <c r="BV371" s="55"/>
      <c r="BW371" s="55"/>
      <c r="BX371" s="55"/>
      <c r="BY371" s="79" t="n">
        <v>0.15041782729805</v>
      </c>
      <c r="BZ371" s="80" t="n">
        <v>0.5349896</v>
      </c>
      <c r="CA371" s="81" t="n">
        <v>3.89</v>
      </c>
      <c r="CB371" s="81" t="n">
        <v>0.139</v>
      </c>
      <c r="CC371" s="82" t="n">
        <v>5.166852</v>
      </c>
      <c r="CD371" s="82" t="n">
        <v>5.505128</v>
      </c>
      <c r="CE371" s="83" t="n">
        <v>91.034032</v>
      </c>
      <c r="CF371" s="84" t="n">
        <v>35.102143</v>
      </c>
      <c r="CG371" s="80" t="n">
        <v>0.092</v>
      </c>
      <c r="CH371" s="63" t="n">
        <v>38988.9364596729</v>
      </c>
      <c r="CI371" s="63" t="n">
        <v>10062.9348163598</v>
      </c>
      <c r="CJ371" s="64" t="n">
        <v>1104720.64470333</v>
      </c>
      <c r="CK371" s="65" t="n">
        <v>0.910903119680736</v>
      </c>
    </row>
    <row r="372" customFormat="false" ht="15" hidden="false" customHeight="false" outlineLevel="0" collapsed="false">
      <c r="A372" s="7" t="s">
        <v>73</v>
      </c>
      <c r="B372" s="66" t="n">
        <v>370</v>
      </c>
      <c r="C372" s="8" t="s">
        <v>449</v>
      </c>
      <c r="D372" s="67" t="n">
        <v>42072</v>
      </c>
      <c r="E372" s="4" t="s">
        <v>75</v>
      </c>
      <c r="F372" s="7" t="n">
        <v>378</v>
      </c>
      <c r="G372" s="68" t="n">
        <v>1</v>
      </c>
      <c r="H372" s="68" t="n">
        <v>80</v>
      </c>
      <c r="I372" s="66" t="n">
        <v>1</v>
      </c>
      <c r="J372" s="69" t="n">
        <v>608.378787878788</v>
      </c>
      <c r="K372" s="31" t="n">
        <v>520.854608726448</v>
      </c>
      <c r="L372" s="31" t="n">
        <v>937.849525712522</v>
      </c>
      <c r="M372" s="31" t="n">
        <v>167.90111507938</v>
      </c>
      <c r="N372" s="31" t="n">
        <v>325.438175950863</v>
      </c>
      <c r="O372" s="32"/>
      <c r="P372" s="33" t="n">
        <v>32.5953943805201</v>
      </c>
      <c r="Q372" s="33" t="n">
        <v>8.75989454080789</v>
      </c>
      <c r="R372" s="31" t="n">
        <v>187.304682518902</v>
      </c>
      <c r="S372" s="34" t="s">
        <v>76</v>
      </c>
      <c r="T372" s="35" t="n">
        <v>21.84743345</v>
      </c>
      <c r="U372" s="35" t="n">
        <v>8.300045</v>
      </c>
      <c r="V372" s="70" t="n">
        <v>30.14747845</v>
      </c>
      <c r="W372" s="35" t="n">
        <v>28.2727186853823</v>
      </c>
      <c r="X372" s="35" t="n">
        <v>5.2309224659331</v>
      </c>
      <c r="Y372" s="35" t="n">
        <v>8.8165703658981</v>
      </c>
      <c r="Z372" s="35"/>
      <c r="AA372" s="35" t="n">
        <v>0.989785270435473</v>
      </c>
      <c r="AB372" s="35" t="n">
        <v>0.250055372658405</v>
      </c>
      <c r="AC372" s="71" t="n">
        <v>5.83075545689954</v>
      </c>
      <c r="AD372" s="38" t="n">
        <v>7.06395882951446</v>
      </c>
      <c r="AE372" s="38" t="n">
        <v>6.12000546484468</v>
      </c>
      <c r="AF372" s="38" t="n">
        <v>1.25308408977195</v>
      </c>
      <c r="AG372" s="72"/>
      <c r="AH372" s="72"/>
      <c r="AI372" s="73" t="n">
        <v>35.3987584997849</v>
      </c>
      <c r="AJ372" s="42" t="s">
        <v>16</v>
      </c>
      <c r="AK372" s="43" t="n">
        <v>765.686578357453</v>
      </c>
      <c r="AL372" s="43" t="n">
        <v>783.53671845471</v>
      </c>
      <c r="AM372" s="43" t="n">
        <v>760.446824067306</v>
      </c>
      <c r="AN372" s="74"/>
      <c r="AO372" s="75" t="n">
        <v>33.1454545454546</v>
      </c>
      <c r="AP372" s="76" t="n">
        <v>1.05734</v>
      </c>
      <c r="AQ372" s="76" t="n">
        <v>1.01756545454545</v>
      </c>
      <c r="AR372" s="76" t="n">
        <v>1.54789272727273</v>
      </c>
      <c r="AS372" s="77" t="n">
        <v>29.1182818181818</v>
      </c>
      <c r="AT372" s="78" t="n">
        <v>29.1112938274464</v>
      </c>
      <c r="AU372" s="78" t="n">
        <v>31.9</v>
      </c>
      <c r="AV372" s="78" t="n">
        <v>30.7</v>
      </c>
      <c r="AW372" s="78" t="n">
        <v>46.7</v>
      </c>
      <c r="AX372" s="78" t="n">
        <v>26</v>
      </c>
      <c r="AY372" s="48" t="n">
        <v>0.965629476300246</v>
      </c>
      <c r="AZ372" s="48" t="n">
        <v>21.4400390216897</v>
      </c>
      <c r="BA372" s="48" t="n">
        <v>8.70743942831032</v>
      </c>
      <c r="BB372" s="49" t="n">
        <f aca="false">AT372/V372</f>
        <v>0.965629476300246</v>
      </c>
      <c r="BC372" s="49" t="n">
        <f aca="false">AS372/V372</f>
        <v>0.965861269839695</v>
      </c>
      <c r="BD372" s="49" t="n">
        <f aca="false">SUM(AP372:AR372)/V372</f>
        <v>0.120169193845735</v>
      </c>
      <c r="BE372" s="50" t="n">
        <v>5.89</v>
      </c>
      <c r="BF372" s="51" t="n">
        <v>183.792600831251</v>
      </c>
      <c r="BG372" s="51" t="n">
        <v>496.1386033549</v>
      </c>
      <c r="BH372" s="51" t="n">
        <v>313.200089867449</v>
      </c>
      <c r="BI372" s="51" t="n">
        <v>142.330266506212</v>
      </c>
      <c r="BJ372" s="51" t="n">
        <v>9.30718901439817</v>
      </c>
      <c r="BK372" s="51" t="n">
        <v>21.3244452123889</v>
      </c>
      <c r="BL372" s="51" t="n">
        <v>12.7242816665431</v>
      </c>
      <c r="BM372" s="51"/>
      <c r="BN372" s="52" t="n">
        <f aca="false">(BG372*0.5-BH372*0.25+BI372*0.5)/SUM(BG372:BI372)*1000</f>
        <v>253.170401325703</v>
      </c>
      <c r="BO372" s="53" t="n">
        <v>10.70466468</v>
      </c>
      <c r="BP372" s="54" t="s">
        <v>77</v>
      </c>
      <c r="BQ372" s="55" t="n">
        <v>375.288639066857</v>
      </c>
      <c r="BR372" s="56" t="n">
        <v>12.4484254857095</v>
      </c>
      <c r="BS372" s="56" t="n">
        <v>16.940978530744</v>
      </c>
      <c r="BT372" s="56" t="n">
        <v>12.8915135579797</v>
      </c>
      <c r="BU372" s="55"/>
      <c r="BV372" s="55"/>
      <c r="BW372" s="55"/>
      <c r="BX372" s="55"/>
      <c r="BY372" s="79" t="n">
        <v>0.0802228412256268</v>
      </c>
      <c r="BZ372" s="80" t="n">
        <v>0.4881128</v>
      </c>
      <c r="CA372" s="81" t="n">
        <v>3.47</v>
      </c>
      <c r="CB372" s="81" t="n">
        <v>0.03</v>
      </c>
      <c r="CC372" s="82" t="n">
        <v>5.252245</v>
      </c>
      <c r="CD372" s="82" t="n">
        <v>5.039528</v>
      </c>
      <c r="CE372" s="83" t="n">
        <v>83.751968</v>
      </c>
      <c r="CF372" s="84" t="n">
        <v>36.308023</v>
      </c>
      <c r="CG372" s="80" t="n">
        <v>0.134</v>
      </c>
      <c r="CH372" s="63" t="n">
        <v>10247.5180132191</v>
      </c>
      <c r="CI372" s="63" t="n">
        <v>6502.11130810298</v>
      </c>
      <c r="CJ372" s="64" t="n">
        <v>1093837.21558746</v>
      </c>
      <c r="CK372" s="65" t="n">
        <v>0.594431348234108</v>
      </c>
    </row>
    <row r="373" customFormat="false" ht="15" hidden="false" customHeight="false" outlineLevel="0" collapsed="false">
      <c r="A373" s="7" t="s">
        <v>73</v>
      </c>
      <c r="B373" s="66" t="n">
        <v>371</v>
      </c>
      <c r="C373" s="8" t="s">
        <v>450</v>
      </c>
      <c r="D373" s="67" t="n">
        <v>42072</v>
      </c>
      <c r="E373" s="4" t="s">
        <v>75</v>
      </c>
      <c r="F373" s="7" t="n">
        <v>386</v>
      </c>
      <c r="G373" s="68" t="n">
        <v>1</v>
      </c>
      <c r="H373" s="68" t="n">
        <v>118</v>
      </c>
      <c r="I373" s="66" t="n">
        <v>1</v>
      </c>
      <c r="J373" s="69" t="n">
        <v>605.547727272727</v>
      </c>
      <c r="K373" s="31" t="n">
        <v>520.854608726448</v>
      </c>
      <c r="L373" s="31" t="n">
        <v>937.849525712522</v>
      </c>
      <c r="M373" s="31" t="n">
        <v>167.90111507938</v>
      </c>
      <c r="N373" s="31" t="n">
        <v>325.438175950863</v>
      </c>
      <c r="O373" s="32"/>
      <c r="P373" s="33" t="n">
        <v>32.5953943805201</v>
      </c>
      <c r="Q373" s="33" t="n">
        <v>8.75989454080789</v>
      </c>
      <c r="R373" s="31" t="n">
        <v>187.304682518902</v>
      </c>
      <c r="S373" s="34" t="s">
        <v>76</v>
      </c>
      <c r="T373" s="35" t="n">
        <v>19.49236022</v>
      </c>
      <c r="U373" s="35" t="n">
        <v>7.0492535</v>
      </c>
      <c r="V373" s="70" t="n">
        <v>26.54161372</v>
      </c>
      <c r="W373" s="35" t="n">
        <v>24.8911228631127</v>
      </c>
      <c r="X373" s="35" t="n">
        <v>4.60000680043917</v>
      </c>
      <c r="Y373" s="35" t="n">
        <v>7.79296299961286</v>
      </c>
      <c r="Z373" s="35"/>
      <c r="AA373" s="35" t="n">
        <v>0.871178279612784</v>
      </c>
      <c r="AB373" s="35" t="n">
        <v>0.220583162387009</v>
      </c>
      <c r="AC373" s="71" t="n">
        <v>5.12763313820396</v>
      </c>
      <c r="AD373" s="38" t="n">
        <v>4.66437004964265</v>
      </c>
      <c r="AE373" s="38" t="n">
        <v>4.06028384600087</v>
      </c>
      <c r="AF373" s="38" t="n">
        <v>0.917355886430424</v>
      </c>
      <c r="AG373" s="72"/>
      <c r="AH373" s="72"/>
      <c r="AI373" s="73" t="n">
        <v>47.2910939825429</v>
      </c>
      <c r="AJ373" s="42" t="s">
        <v>16</v>
      </c>
      <c r="AK373" s="43" t="n">
        <v>824.262002346606</v>
      </c>
      <c r="AL373" s="43" t="n">
        <v>836.878236938921</v>
      </c>
      <c r="AM373" s="43" t="n">
        <v>800.575102118796</v>
      </c>
      <c r="AN373" s="74"/>
      <c r="AO373" s="75" t="n">
        <v>42.8090909090909</v>
      </c>
      <c r="AP373" s="76" t="n">
        <v>1.04154518181818</v>
      </c>
      <c r="AQ373" s="76" t="n">
        <v>1.16879520454545</v>
      </c>
      <c r="AR373" s="76" t="n">
        <v>1.96493727272727</v>
      </c>
      <c r="AS373" s="77" t="n">
        <v>32.7468140909091</v>
      </c>
      <c r="AT373" s="78" t="n">
        <v>32.3446608555298</v>
      </c>
      <c r="AU373" s="78" t="n">
        <v>24.33</v>
      </c>
      <c r="AV373" s="78" t="n">
        <v>27.3025</v>
      </c>
      <c r="AW373" s="78" t="n">
        <v>45.9</v>
      </c>
      <c r="AX373" s="78" t="n">
        <v>34.15</v>
      </c>
      <c r="AY373" s="48" t="n">
        <v>1.21863957469764</v>
      </c>
      <c r="AZ373" s="48" t="n">
        <v>23.5320963425752</v>
      </c>
      <c r="BA373" s="48" t="n">
        <v>3.00951737742479</v>
      </c>
      <c r="BB373" s="49" t="n">
        <f aca="false">AT373/V373</f>
        <v>1.21863957469764</v>
      </c>
      <c r="BC373" s="49" t="n">
        <f aca="false">AS373/V373</f>
        <v>1.23379137517299</v>
      </c>
      <c r="BD373" s="49" t="n">
        <f aca="false">SUM(AP373:AR373)/V373</f>
        <v>0.157310618078384</v>
      </c>
      <c r="BE373" s="50" t="n">
        <v>6.36</v>
      </c>
      <c r="BF373" s="51" t="n">
        <v>166.391771731942</v>
      </c>
      <c r="BG373" s="51" t="n">
        <v>558.782374444885</v>
      </c>
      <c r="BH373" s="51" t="n">
        <v>241.250771130848</v>
      </c>
      <c r="BI373" s="51" t="n">
        <v>151.95595463477</v>
      </c>
      <c r="BJ373" s="51" t="n">
        <v>9.73403535206816</v>
      </c>
      <c r="BK373" s="51" t="n">
        <v>19.9735586068868</v>
      </c>
      <c r="BL373" s="51" t="n">
        <v>13.3281814524334</v>
      </c>
      <c r="BM373" s="51"/>
      <c r="BN373" s="52" t="n">
        <f aca="false">(BG373*0.5-BH373*0.25+BI373*0.5)/SUM(BG373:BI373)*1000</f>
        <v>309.936817230232</v>
      </c>
      <c r="BO373" s="53" t="n">
        <v>9.34445502</v>
      </c>
      <c r="BP373" s="54" t="s">
        <v>77</v>
      </c>
      <c r="BQ373" s="55" t="n">
        <v>540.090781210295</v>
      </c>
      <c r="BR373" s="56" t="n">
        <v>20.3488298378526</v>
      </c>
      <c r="BS373" s="56" t="n">
        <v>25.927461719935</v>
      </c>
      <c r="BT373" s="56" t="n">
        <v>16.6979886919407</v>
      </c>
      <c r="BU373" s="55"/>
      <c r="BV373" s="55"/>
      <c r="BW373" s="55"/>
      <c r="BX373" s="55"/>
      <c r="BY373" s="79" t="n">
        <v>0.0802228412256268</v>
      </c>
      <c r="BZ373" s="80" t="n">
        <v>0.7224968</v>
      </c>
      <c r="CA373" s="81" t="n">
        <v>3.62</v>
      </c>
      <c r="CB373" s="81" t="n">
        <v>0.455</v>
      </c>
      <c r="CC373" s="82" t="n">
        <v>5.618215</v>
      </c>
      <c r="CD373" s="82" t="n">
        <v>7.168872</v>
      </c>
      <c r="CE373" s="83" t="n">
        <v>80.724328</v>
      </c>
      <c r="CF373" s="84" t="n">
        <v>35.13229</v>
      </c>
      <c r="CG373" s="80" t="n">
        <v>0.0815</v>
      </c>
      <c r="CH373" s="63" t="n">
        <v>61299.078686405</v>
      </c>
      <c r="CI373" s="63" t="n">
        <v>10128.6638623871</v>
      </c>
      <c r="CJ373" s="64" t="n">
        <v>875548.879611554</v>
      </c>
      <c r="CK373" s="65" t="n">
        <v>1.1568359115348</v>
      </c>
    </row>
    <row r="374" customFormat="false" ht="15" hidden="false" customHeight="false" outlineLevel="0" collapsed="false">
      <c r="A374" s="7" t="s">
        <v>73</v>
      </c>
      <c r="B374" s="66" t="n">
        <v>372</v>
      </c>
      <c r="C374" s="8" t="s">
        <v>451</v>
      </c>
      <c r="D374" s="67" t="n">
        <v>42086</v>
      </c>
      <c r="E374" s="4" t="s">
        <v>78</v>
      </c>
      <c r="F374" s="7" t="n">
        <v>818</v>
      </c>
      <c r="G374" s="68" t="n">
        <v>1</v>
      </c>
      <c r="H374" s="68" t="n">
        <v>105</v>
      </c>
      <c r="I374" s="66" t="n">
        <v>4</v>
      </c>
      <c r="J374" s="69" t="n">
        <v>686.666666666667</v>
      </c>
      <c r="K374" s="31" t="n">
        <v>463.314186703493</v>
      </c>
      <c r="L374" s="31" t="n">
        <v>947.341134374413</v>
      </c>
      <c r="M374" s="31" t="n">
        <v>165.7526869362</v>
      </c>
      <c r="N374" s="31" t="n">
        <v>346.579024388768</v>
      </c>
      <c r="O374" s="32"/>
      <c r="P374" s="33" t="n">
        <v>40.5077983699295</v>
      </c>
      <c r="Q374" s="33" t="n">
        <v>15.3839917692641</v>
      </c>
      <c r="R374" s="31" t="n">
        <v>178.765055165284</v>
      </c>
      <c r="S374" s="34" t="s">
        <v>76</v>
      </c>
      <c r="T374" s="35" t="n">
        <v>14.6815345028571</v>
      </c>
      <c r="U374" s="35" t="n">
        <v>4.91059885714286</v>
      </c>
      <c r="V374" s="70" t="n">
        <v>19.59213336</v>
      </c>
      <c r="W374" s="35" t="n">
        <v>18.3734925802341</v>
      </c>
      <c r="X374" s="35" t="n">
        <v>3.22704185470922</v>
      </c>
      <c r="Y374" s="35" t="n">
        <v>6.28126594492977</v>
      </c>
      <c r="Z374" s="35"/>
      <c r="AA374" s="35" t="n">
        <v>0.737602181882434</v>
      </c>
      <c r="AB374" s="35" t="n">
        <v>0.284685010650543</v>
      </c>
      <c r="AC374" s="71" t="n">
        <v>3.40539018710975</v>
      </c>
      <c r="AD374" s="38" t="n">
        <v>4.40856462061728</v>
      </c>
      <c r="AE374" s="38" t="n">
        <v>3.67032659530877</v>
      </c>
      <c r="AF374" s="38" t="n">
        <v>0.881435188390915</v>
      </c>
      <c r="AG374" s="72"/>
      <c r="AH374" s="72"/>
      <c r="AI374" s="73" t="n">
        <v>64.5754423830317</v>
      </c>
      <c r="AJ374" s="42" t="s">
        <v>16</v>
      </c>
      <c r="AK374" s="43" t="n">
        <v>774.982920970824</v>
      </c>
      <c r="AL374" s="43" t="n">
        <v>800.237947179556</v>
      </c>
      <c r="AM374" s="43" t="n">
        <v>726.859697495204</v>
      </c>
      <c r="AN374" s="74"/>
      <c r="AO374" s="75" t="n">
        <v>37.2785714285714</v>
      </c>
      <c r="AP374" s="76" t="n">
        <v>1.17835883289125</v>
      </c>
      <c r="AQ374" s="76" t="n">
        <v>1.20283216559303</v>
      </c>
      <c r="AR374" s="76" t="n">
        <v>1.64285774346343</v>
      </c>
      <c r="AS374" s="77" t="n">
        <v>32.5868110647973</v>
      </c>
      <c r="AT374" s="78" t="n">
        <v>32.542743698262</v>
      </c>
      <c r="AU374" s="78" t="n">
        <v>31.609549071618</v>
      </c>
      <c r="AV374" s="78" t="n">
        <v>32.2660477453581</v>
      </c>
      <c r="AW374" s="78" t="n">
        <v>44.0697612732096</v>
      </c>
      <c r="AX374" s="78" t="n">
        <v>36.3925729442971</v>
      </c>
      <c r="AY374" s="48" t="n">
        <v>1.66101072814778</v>
      </c>
      <c r="AZ374" s="48" t="n">
        <v>24.4104432654587</v>
      </c>
      <c r="BA374" s="48" t="n">
        <v>-4.81830990545873</v>
      </c>
      <c r="BB374" s="49" t="n">
        <f aca="false">AT374/V374</f>
        <v>1.66101072814778</v>
      </c>
      <c r="BC374" s="49" t="n">
        <f aca="false">AS374/V374</f>
        <v>1.66325996592733</v>
      </c>
      <c r="BD374" s="49" t="n">
        <f aca="false">SUM(AP374:AR374)/V374</f>
        <v>0.205391044865147</v>
      </c>
      <c r="BE374" s="50" t="n">
        <v>6.65</v>
      </c>
      <c r="BF374" s="51" t="n">
        <v>98.4863054745038</v>
      </c>
      <c r="BG374" s="51" t="n">
        <v>491.64026845372</v>
      </c>
      <c r="BH374" s="51" t="n">
        <v>230.613905789893</v>
      </c>
      <c r="BI374" s="51" t="n">
        <v>216.121982043933</v>
      </c>
      <c r="BJ374" s="51" t="n">
        <v>7.92927133074202</v>
      </c>
      <c r="BK374" s="51" t="n">
        <v>25.5948277431109</v>
      </c>
      <c r="BL374" s="51" t="n">
        <v>23.1246202604922</v>
      </c>
      <c r="BM374" s="51"/>
      <c r="BN374" s="52" t="n">
        <f aca="false">(BG374*0.5-BH374*0.25+BI374*0.5)/SUM(BG374:BI374)*1000</f>
        <v>315.681133644001</v>
      </c>
      <c r="BO374" s="53" t="n">
        <v>7.07281712</v>
      </c>
      <c r="BP374" s="54" t="s">
        <v>77</v>
      </c>
      <c r="BQ374" s="55" t="n">
        <v>308.984551650169</v>
      </c>
      <c r="BR374" s="56" t="n">
        <v>15.7708477159003</v>
      </c>
      <c r="BS374" s="56" t="n">
        <v>21.0148312252586</v>
      </c>
      <c r="BT374" s="56" t="n">
        <v>9.49472959364121</v>
      </c>
      <c r="BU374" s="55"/>
      <c r="BV374" s="55"/>
      <c r="BW374" s="55"/>
      <c r="BX374" s="55"/>
      <c r="BY374" s="79" t="n">
        <v>0.0601671309192201</v>
      </c>
      <c r="BZ374" s="80" t="n">
        <v>0.753748</v>
      </c>
      <c r="CA374" s="81" t="n">
        <v>3.51</v>
      </c>
      <c r="CB374" s="81" t="n">
        <v>0.764</v>
      </c>
      <c r="CC374" s="82" t="n">
        <v>5.008265</v>
      </c>
      <c r="CD374" s="82" t="n">
        <v>4.704296</v>
      </c>
      <c r="CE374" s="83" t="n">
        <v>74.566816</v>
      </c>
      <c r="CF374" s="84" t="n">
        <v>35.192584</v>
      </c>
      <c r="CG374" s="80" t="n">
        <v>0.092</v>
      </c>
      <c r="CH374" s="63" t="n">
        <v>83273.1084485511</v>
      </c>
      <c r="CI374" s="63" t="n">
        <v>5251.3382395441</v>
      </c>
      <c r="CJ374" s="64" t="n">
        <v>641464.053336418</v>
      </c>
      <c r="CK374" s="65" t="n">
        <v>0.818648872408447</v>
      </c>
    </row>
    <row r="375" customFormat="false" ht="15" hidden="false" customHeight="false" outlineLevel="0" collapsed="false">
      <c r="A375" s="7" t="s">
        <v>73</v>
      </c>
      <c r="B375" s="66" t="n">
        <v>373</v>
      </c>
      <c r="C375" s="8" t="s">
        <v>452</v>
      </c>
      <c r="D375" s="67" t="n">
        <v>42086</v>
      </c>
      <c r="E375" s="4" t="s">
        <v>78</v>
      </c>
      <c r="F375" s="7" t="n">
        <v>221</v>
      </c>
      <c r="G375" s="68" t="n">
        <v>1</v>
      </c>
      <c r="H375" s="68" t="n">
        <v>91</v>
      </c>
      <c r="I375" s="66" t="n">
        <v>6</v>
      </c>
      <c r="J375" s="69" t="n">
        <v>804.059693877551</v>
      </c>
      <c r="K375" s="31" t="n">
        <v>463.314186703493</v>
      </c>
      <c r="L375" s="31" t="n">
        <v>947.341134374413</v>
      </c>
      <c r="M375" s="31" t="n">
        <v>165.7526869362</v>
      </c>
      <c r="N375" s="31" t="n">
        <v>346.579024388768</v>
      </c>
      <c r="O375" s="32"/>
      <c r="P375" s="33" t="n">
        <v>40.5077983699295</v>
      </c>
      <c r="Q375" s="33" t="n">
        <v>15.3839917692641</v>
      </c>
      <c r="R375" s="31" t="n">
        <v>178.765055165284</v>
      </c>
      <c r="S375" s="34" t="s">
        <v>76</v>
      </c>
      <c r="T375" s="35" t="n">
        <v>21.7844222142857</v>
      </c>
      <c r="U375" s="35" t="n">
        <v>9.16781528571429</v>
      </c>
      <c r="V375" s="70" t="n">
        <v>30.9522375</v>
      </c>
      <c r="W375" s="35" t="n">
        <v>29.0148702131059</v>
      </c>
      <c r="X375" s="35" t="n">
        <v>5.15817153726954</v>
      </c>
      <c r="Y375" s="35" t="n">
        <v>9.71199860234725</v>
      </c>
      <c r="Z375" s="35"/>
      <c r="AA375" s="35" t="n">
        <v>1.17447384506049</v>
      </c>
      <c r="AB375" s="35" t="n">
        <v>0.424741957613784</v>
      </c>
      <c r="AC375" s="71" t="n">
        <v>5.46798543190534</v>
      </c>
      <c r="AD375" s="38" t="n">
        <v>8.24501565482244</v>
      </c>
      <c r="AE375" s="38" t="n">
        <v>6.93877803584132</v>
      </c>
      <c r="AF375" s="38" t="n">
        <v>1.75754354116552</v>
      </c>
      <c r="AG375" s="72"/>
      <c r="AH375" s="72"/>
      <c r="AI375" s="73" t="n">
        <v>51.5149971080232</v>
      </c>
      <c r="AJ375" s="42" t="s">
        <v>16</v>
      </c>
      <c r="AK375" s="43" t="n">
        <v>733.621336589239</v>
      </c>
      <c r="AL375" s="43" t="n">
        <v>760.854417583881</v>
      </c>
      <c r="AM375" s="43" t="n">
        <v>659.270047832516</v>
      </c>
      <c r="AN375" s="74"/>
      <c r="AO375" s="75" t="n">
        <v>41.4071428571429</v>
      </c>
      <c r="AP375" s="76" t="n">
        <v>1.4334272705314</v>
      </c>
      <c r="AQ375" s="76" t="n">
        <v>1.38563902691511</v>
      </c>
      <c r="AR375" s="76" t="n">
        <v>1.94651577984817</v>
      </c>
      <c r="AS375" s="77" t="n">
        <v>38.0642662008282</v>
      </c>
      <c r="AT375" s="78" t="n">
        <v>38.6895629836083</v>
      </c>
      <c r="AU375" s="78" t="n">
        <v>34.6178743961353</v>
      </c>
      <c r="AV375" s="78" t="n">
        <v>33.463768115942</v>
      </c>
      <c r="AW375" s="78" t="n">
        <v>47.0091787439614</v>
      </c>
      <c r="AX375" s="78" t="n">
        <v>29.7729468599034</v>
      </c>
      <c r="AY375" s="48" t="n">
        <v>1.24997628955284</v>
      </c>
      <c r="AZ375" s="48" t="n">
        <v>27.6041091488456</v>
      </c>
      <c r="BA375" s="48" t="n">
        <v>3.34812835115443</v>
      </c>
      <c r="BB375" s="49" t="n">
        <f aca="false">AT375/V375</f>
        <v>1.24997628955284</v>
      </c>
      <c r="BC375" s="49" t="n">
        <f aca="false">AS375/V375</f>
        <v>1.22977429986534</v>
      </c>
      <c r="BD375" s="49" t="n">
        <f aca="false">SUM(AP375:AR375)/V375</f>
        <v>0.153965672991967</v>
      </c>
      <c r="BE375" s="50" t="n">
        <v>6.56</v>
      </c>
      <c r="BF375" s="51" t="n">
        <v>105.561225542199</v>
      </c>
      <c r="BG375" s="51" t="n">
        <v>518.643791497645</v>
      </c>
      <c r="BH375" s="51" t="n">
        <v>199.771293045484</v>
      </c>
      <c r="BI375" s="51" t="n">
        <v>234.280466130217</v>
      </c>
      <c r="BJ375" s="51" t="n">
        <v>7.19287170203844</v>
      </c>
      <c r="BK375" s="51" t="n">
        <v>20.0901395273717</v>
      </c>
      <c r="BL375" s="51" t="n">
        <v>15.0463137191341</v>
      </c>
      <c r="BM375" s="51"/>
      <c r="BN375" s="52" t="n">
        <f aca="false">(BG375*0.5-BH375*0.25+BI375*0.5)/SUM(BG375:BI375)*1000</f>
        <v>342.732056764391</v>
      </c>
      <c r="BO375" s="53" t="n">
        <v>1.3285607</v>
      </c>
      <c r="BP375" s="54" t="s">
        <v>77</v>
      </c>
      <c r="BQ375" s="55" t="n">
        <v>330.473124363873</v>
      </c>
      <c r="BR375" s="56" t="n">
        <v>10.6768735011119</v>
      </c>
      <c r="BS375" s="56" t="n">
        <v>14.9697293212164</v>
      </c>
      <c r="BT375" s="56" t="n">
        <v>8.54166082216761</v>
      </c>
      <c r="BU375" s="55"/>
      <c r="BV375" s="55"/>
      <c r="BW375" s="55"/>
      <c r="BX375" s="55"/>
      <c r="BY375" s="79" t="n">
        <v>0.110306406685237</v>
      </c>
      <c r="BZ375" s="80" t="n">
        <v>1.0340322</v>
      </c>
      <c r="CA375" s="81" t="n">
        <v>3.31</v>
      </c>
      <c r="CB375" s="81" t="n">
        <v>0.47</v>
      </c>
      <c r="CC375" s="82" t="n">
        <v>5.508424</v>
      </c>
      <c r="CD375" s="82" t="n">
        <v>5.741032</v>
      </c>
      <c r="CE375" s="83" t="n">
        <v>80.724328</v>
      </c>
      <c r="CF375" s="84" t="n">
        <v>35.23278</v>
      </c>
      <c r="CG375" s="80" t="n">
        <v>0.092</v>
      </c>
      <c r="CH375" s="63" t="n">
        <v>59386.2469732686</v>
      </c>
      <c r="CI375" s="63" t="n">
        <v>11722.4040628321</v>
      </c>
      <c r="CJ375" s="64" t="n">
        <v>913604.113487171</v>
      </c>
      <c r="CK375" s="65" t="n">
        <v>1.28309449243704</v>
      </c>
    </row>
    <row r="376" customFormat="false" ht="15" hidden="false" customHeight="false" outlineLevel="0" collapsed="false">
      <c r="A376" s="7" t="s">
        <v>73</v>
      </c>
      <c r="B376" s="66" t="n">
        <v>374</v>
      </c>
      <c r="C376" s="8" t="s">
        <v>453</v>
      </c>
      <c r="D376" s="67" t="n">
        <v>42086</v>
      </c>
      <c r="E376" s="4" t="s">
        <v>78</v>
      </c>
      <c r="F376" s="7" t="n">
        <v>1993</v>
      </c>
      <c r="G376" s="68" t="n">
        <v>1</v>
      </c>
      <c r="H376" s="68" t="n">
        <v>104</v>
      </c>
      <c r="I376" s="66" t="n">
        <v>2</v>
      </c>
      <c r="J376" s="69" t="n">
        <v>635.003571428571</v>
      </c>
      <c r="K376" s="31" t="n">
        <v>463.314186703493</v>
      </c>
      <c r="L376" s="31" t="n">
        <v>947.341134374413</v>
      </c>
      <c r="M376" s="31" t="n">
        <v>165.7526869362</v>
      </c>
      <c r="N376" s="31" t="n">
        <v>346.579024388768</v>
      </c>
      <c r="O376" s="32"/>
      <c r="P376" s="33" t="n">
        <v>40.5077983699295</v>
      </c>
      <c r="Q376" s="33" t="n">
        <v>15.3839917692641</v>
      </c>
      <c r="R376" s="31" t="n">
        <v>178.765055165284</v>
      </c>
      <c r="S376" s="34" t="s">
        <v>76</v>
      </c>
      <c r="T376" s="35" t="n">
        <v>16.6827445328571</v>
      </c>
      <c r="U376" s="35" t="n">
        <v>7.20913185714286</v>
      </c>
      <c r="V376" s="70" t="n">
        <v>23.89187639</v>
      </c>
      <c r="W376" s="35" t="n">
        <v>22.3720651674192</v>
      </c>
      <c r="X376" s="35" t="n">
        <v>3.95039386274057</v>
      </c>
      <c r="Y376" s="35" t="n">
        <v>7.51322568577972</v>
      </c>
      <c r="Z376" s="35"/>
      <c r="AA376" s="35" t="n">
        <v>0.89330495753642</v>
      </c>
      <c r="AB376" s="35" t="n">
        <v>0.336803176215673</v>
      </c>
      <c r="AC376" s="71" t="n">
        <v>4.16419961792992</v>
      </c>
      <c r="AD376" s="38" t="n">
        <v>4.59116527193748</v>
      </c>
      <c r="AE376" s="38" t="n">
        <v>3.73610068505705</v>
      </c>
      <c r="AF376" s="38" t="n">
        <v>0.89146706554813</v>
      </c>
      <c r="AG376" s="72"/>
      <c r="AH376" s="72"/>
      <c r="AI376" s="73" t="n">
        <v>73.3589745231587</v>
      </c>
      <c r="AJ376" s="42" t="s">
        <v>16</v>
      </c>
      <c r="AK376" s="43" t="n">
        <v>807.835718007518</v>
      </c>
      <c r="AL376" s="43" t="n">
        <v>833.001528598353</v>
      </c>
      <c r="AM376" s="43" t="n">
        <v>774.334636868416</v>
      </c>
      <c r="AN376" s="74"/>
      <c r="AO376" s="75" t="n">
        <v>35.1071428571429</v>
      </c>
      <c r="AP376" s="76" t="n">
        <v>1.31473549450549</v>
      </c>
      <c r="AQ376" s="76" t="n">
        <v>1.03274412087912</v>
      </c>
      <c r="AR376" s="76" t="n">
        <v>1.65208813186813</v>
      </c>
      <c r="AS376" s="77" t="n">
        <v>33.7638895604396</v>
      </c>
      <c r="AT376" s="78" t="n">
        <v>32.929628255757</v>
      </c>
      <c r="AU376" s="78" t="n">
        <v>37.4492307692308</v>
      </c>
      <c r="AV376" s="78" t="n">
        <v>29.4169230769231</v>
      </c>
      <c r="AW376" s="78" t="n">
        <v>47.0584615384615</v>
      </c>
      <c r="AX376" s="78" t="n">
        <v>40.7230769230769</v>
      </c>
      <c r="AY376" s="48" t="n">
        <v>1.3782771900469</v>
      </c>
      <c r="AZ376" s="48" t="n">
        <v>24.0977314566588</v>
      </c>
      <c r="BA376" s="48" t="n">
        <v>-0.205855066658799</v>
      </c>
      <c r="BB376" s="49" t="n">
        <f aca="false">AT376/V376</f>
        <v>1.3782771900469</v>
      </c>
      <c r="BC376" s="49" t="n">
        <f aca="false">AS376/V376</f>
        <v>1.41319538948274</v>
      </c>
      <c r="BD376" s="49" t="n">
        <f aca="false">SUM(AP376:AR376)/V376</f>
        <v>0.167402831069676</v>
      </c>
      <c r="BE376" s="50" t="n">
        <v>6.04</v>
      </c>
      <c r="BF376" s="51" t="n">
        <v>158.975947712456</v>
      </c>
      <c r="BG376" s="51" t="n">
        <v>535.024049277996</v>
      </c>
      <c r="BH376" s="51" t="n">
        <v>234.677537377533</v>
      </c>
      <c r="BI376" s="51" t="n">
        <v>187.261364420697</v>
      </c>
      <c r="BJ376" s="51" t="n">
        <v>6.46822249659771</v>
      </c>
      <c r="BK376" s="51" t="n">
        <v>17.9526166466817</v>
      </c>
      <c r="BL376" s="51" t="n">
        <v>13.6410854023847</v>
      </c>
      <c r="BM376" s="51"/>
      <c r="BN376" s="52" t="n">
        <f aca="false">(BG376*0.5-BH376*0.25+BI376*0.5)/SUM(BG376:BI376)*1000</f>
        <v>316.07631430746</v>
      </c>
      <c r="BO376" s="53" t="n">
        <v>6.61193908</v>
      </c>
      <c r="BP376" s="54" t="s">
        <v>77</v>
      </c>
      <c r="BQ376" s="55" t="n">
        <v>321.526925357869</v>
      </c>
      <c r="BR376" s="56" t="n">
        <v>13.4575836618862</v>
      </c>
      <c r="BS376" s="56" t="n">
        <v>17.2530338133117</v>
      </c>
      <c r="BT376" s="56" t="n">
        <v>9.76406180053545</v>
      </c>
      <c r="BU376" s="55"/>
      <c r="BV376" s="55"/>
      <c r="BW376" s="55"/>
      <c r="BX376" s="55"/>
      <c r="BY376" s="79" t="n">
        <v>0.0601671309192201</v>
      </c>
      <c r="BZ376" s="80" t="n">
        <v>0.812344</v>
      </c>
      <c r="CA376" s="81" t="n">
        <v>3.5</v>
      </c>
      <c r="CB376" s="81" t="n">
        <v>0.287</v>
      </c>
      <c r="CC376" s="82" t="n">
        <v>5.31324</v>
      </c>
      <c r="CD376" s="82" t="n">
        <v>4.542888</v>
      </c>
      <c r="CE376" s="83" t="n">
        <v>71.987424</v>
      </c>
      <c r="CF376" s="84" t="n">
        <v>33.504352</v>
      </c>
      <c r="CG376" s="80" t="n">
        <v>0.9005</v>
      </c>
      <c r="CH376" s="63" t="n">
        <v>42924.8021776852</v>
      </c>
      <c r="CI376" s="63" t="n">
        <v>6009.99433405846</v>
      </c>
      <c r="CJ376" s="64" t="n">
        <v>448184.006372647</v>
      </c>
      <c r="CK376" s="65" t="n">
        <v>1.34096581953025</v>
      </c>
    </row>
    <row r="377" customFormat="false" ht="15" hidden="false" customHeight="false" outlineLevel="0" collapsed="false">
      <c r="A377" s="7" t="s">
        <v>73</v>
      </c>
      <c r="B377" s="66" t="n">
        <v>375</v>
      </c>
      <c r="C377" s="8" t="s">
        <v>454</v>
      </c>
      <c r="D377" s="67" t="n">
        <v>42086</v>
      </c>
      <c r="E377" s="4" t="s">
        <v>78</v>
      </c>
      <c r="F377" s="7" t="n">
        <v>1994</v>
      </c>
      <c r="G377" s="68" t="n">
        <v>1</v>
      </c>
      <c r="H377" s="68" t="n">
        <v>132</v>
      </c>
      <c r="I377" s="66" t="n">
        <v>2</v>
      </c>
      <c r="J377" s="69" t="n">
        <v>655.803571428571</v>
      </c>
      <c r="K377" s="31" t="n">
        <v>463.314186703493</v>
      </c>
      <c r="L377" s="31" t="n">
        <v>947.341134374413</v>
      </c>
      <c r="M377" s="31" t="n">
        <v>165.7526869362</v>
      </c>
      <c r="N377" s="31" t="n">
        <v>346.579024388768</v>
      </c>
      <c r="O377" s="32"/>
      <c r="P377" s="33" t="n">
        <v>40.5077983699295</v>
      </c>
      <c r="Q377" s="33" t="n">
        <v>15.3839917692641</v>
      </c>
      <c r="R377" s="31" t="n">
        <v>178.765055165284</v>
      </c>
      <c r="S377" s="34" t="s">
        <v>76</v>
      </c>
      <c r="T377" s="35" t="n">
        <v>13.4766016757143</v>
      </c>
      <c r="U377" s="35" t="n">
        <v>6.71792571428571</v>
      </c>
      <c r="V377" s="70" t="n">
        <v>20.19452739</v>
      </c>
      <c r="W377" s="35" t="n">
        <v>18.8804544156888</v>
      </c>
      <c r="X377" s="35" t="n">
        <v>3.32745007831112</v>
      </c>
      <c r="Y377" s="35" t="n">
        <v>6.2947327226514</v>
      </c>
      <c r="Z377" s="35"/>
      <c r="AA377" s="35" t="n">
        <v>0.744479033318096</v>
      </c>
      <c r="AB377" s="35" t="n">
        <v>0.285321494699841</v>
      </c>
      <c r="AC377" s="71" t="n">
        <v>3.49158073965892</v>
      </c>
      <c r="AD377" s="38" t="n">
        <v>3.63865376839661</v>
      </c>
      <c r="AE377" s="38" t="n">
        <v>2.96166063782096</v>
      </c>
      <c r="AF377" s="38" t="n">
        <v>0.897530731029573</v>
      </c>
      <c r="AG377" s="72"/>
      <c r="AH377" s="72"/>
      <c r="AI377" s="73" t="n">
        <v>78.4140269618368</v>
      </c>
      <c r="AJ377" s="42" t="s">
        <v>16</v>
      </c>
      <c r="AK377" s="43" t="n">
        <v>819.819810678094</v>
      </c>
      <c r="AL377" s="43" t="n">
        <v>843.136156968767</v>
      </c>
      <c r="AM377" s="43" t="n">
        <v>730.264704231078</v>
      </c>
      <c r="AN377" s="74"/>
      <c r="AO377" s="75" t="n">
        <v>36.0285714285714</v>
      </c>
      <c r="AP377" s="76" t="n">
        <v>1.21416285714286</v>
      </c>
      <c r="AQ377" s="76" t="n">
        <v>1.22188326530612</v>
      </c>
      <c r="AR377" s="76" t="n">
        <v>1.64599102040816</v>
      </c>
      <c r="AS377" s="77" t="n">
        <v>32.6238714285714</v>
      </c>
      <c r="AT377" s="78" t="n">
        <v>33.1345526608605</v>
      </c>
      <c r="AU377" s="78" t="n">
        <v>33.7</v>
      </c>
      <c r="AV377" s="78" t="n">
        <v>33.9142857142857</v>
      </c>
      <c r="AW377" s="78" t="n">
        <v>45.6857142857143</v>
      </c>
      <c r="AX377" s="78" t="n">
        <v>32.2857142857143</v>
      </c>
      <c r="AY377" s="48" t="n">
        <v>1.64076890837605</v>
      </c>
      <c r="AZ377" s="48" t="n">
        <v>24.3541040662975</v>
      </c>
      <c r="BA377" s="48" t="n">
        <v>-4.15957667629755</v>
      </c>
      <c r="BB377" s="49" t="n">
        <f aca="false">AT377/V377</f>
        <v>1.64076890837605</v>
      </c>
      <c r="BC377" s="49" t="n">
        <f aca="false">AS377/V377</f>
        <v>1.61548080816817</v>
      </c>
      <c r="BD377" s="49" t="n">
        <f aca="false">SUM(AP377:AR377)/V377</f>
        <v>0.2021358095698</v>
      </c>
      <c r="BE377" s="50" t="n">
        <v>6.2</v>
      </c>
      <c r="BF377" s="51" t="n">
        <v>150.514573562527</v>
      </c>
      <c r="BG377" s="51" t="n">
        <v>556.512454016832</v>
      </c>
      <c r="BH377" s="51" t="n">
        <v>226.849201147144</v>
      </c>
      <c r="BI377" s="51" t="n">
        <v>166.037076893603</v>
      </c>
      <c r="BJ377" s="51" t="n">
        <v>7.04168381742912</v>
      </c>
      <c r="BK377" s="51" t="n">
        <v>17.2972934394868</v>
      </c>
      <c r="BL377" s="51" t="n">
        <v>21.2871663073961</v>
      </c>
      <c r="BM377" s="51"/>
      <c r="BN377" s="52" t="n">
        <f aca="false">(BG377*0.5-BH377*0.25+BI377*0.5)/SUM(BG377:BI377)*1000</f>
        <v>320.795104190175</v>
      </c>
      <c r="BO377" s="53" t="n">
        <v>4.51714372</v>
      </c>
      <c r="BP377" s="54" t="s">
        <v>77</v>
      </c>
      <c r="BQ377" s="55" t="n">
        <v>355.03008673244</v>
      </c>
      <c r="BR377" s="56" t="n">
        <v>17.5805098022866</v>
      </c>
      <c r="BS377" s="56" t="n">
        <v>22.3025746602763</v>
      </c>
      <c r="BT377" s="56" t="n">
        <v>10.7147994531947</v>
      </c>
      <c r="BU377" s="55"/>
      <c r="BV377" s="55"/>
      <c r="BW377" s="55"/>
      <c r="BX377" s="55"/>
      <c r="BY377" s="79" t="n">
        <v>0.0701949860724234</v>
      </c>
      <c r="BZ377" s="80" t="n">
        <v>0.7351926</v>
      </c>
      <c r="CA377" s="81" t="n">
        <v>3.44</v>
      </c>
      <c r="CB377" s="81" t="n">
        <v>0.755</v>
      </c>
      <c r="CC377" s="82" t="n">
        <v>5.130255</v>
      </c>
      <c r="CD377" s="82" t="n">
        <v>5.703784</v>
      </c>
      <c r="CE377" s="83" t="n">
        <v>71.987424</v>
      </c>
      <c r="CF377" s="84" t="n">
        <v>31.866365</v>
      </c>
      <c r="CG377" s="80" t="n">
        <v>0.176</v>
      </c>
      <c r="CH377" s="63" t="n">
        <v>37696.4128506578</v>
      </c>
      <c r="CI377" s="63" t="n">
        <v>12340.8734418228</v>
      </c>
      <c r="CJ377" s="64" t="n">
        <v>966077.725429862</v>
      </c>
      <c r="CK377" s="65" t="n">
        <v>1.27742034796752</v>
      </c>
    </row>
    <row r="378" customFormat="false" ht="15" hidden="false" customHeight="false" outlineLevel="0" collapsed="false">
      <c r="A378" s="7" t="s">
        <v>73</v>
      </c>
      <c r="B378" s="66" t="n">
        <v>376</v>
      </c>
      <c r="C378" s="8" t="s">
        <v>455</v>
      </c>
      <c r="D378" s="67" t="n">
        <v>42086</v>
      </c>
      <c r="E378" s="4" t="s">
        <v>78</v>
      </c>
      <c r="F378" s="7" t="n">
        <v>1999</v>
      </c>
      <c r="G378" s="68" t="n">
        <v>1</v>
      </c>
      <c r="H378" s="68" t="n">
        <v>146</v>
      </c>
      <c r="I378" s="66" t="n">
        <v>2</v>
      </c>
      <c r="J378" s="69" t="n">
        <v>731.934523809524</v>
      </c>
      <c r="K378" s="31" t="n">
        <v>463.314186703493</v>
      </c>
      <c r="L378" s="31" t="n">
        <v>947.341134374413</v>
      </c>
      <c r="M378" s="31" t="n">
        <v>165.7526869362</v>
      </c>
      <c r="N378" s="31" t="n">
        <v>346.579024388768</v>
      </c>
      <c r="O378" s="32"/>
      <c r="P378" s="33" t="n">
        <v>40.5077983699295</v>
      </c>
      <c r="Q378" s="33" t="n">
        <v>15.3839917692641</v>
      </c>
      <c r="R378" s="31" t="n">
        <v>178.765055165284</v>
      </c>
      <c r="S378" s="34" t="s">
        <v>76</v>
      </c>
      <c r="T378" s="35" t="n">
        <v>15.4141781428571</v>
      </c>
      <c r="U378" s="35" t="n">
        <v>6.11234485714286</v>
      </c>
      <c r="V378" s="70" t="n">
        <v>21.526523</v>
      </c>
      <c r="W378" s="35" t="n">
        <v>20.1557560651562</v>
      </c>
      <c r="X378" s="35" t="n">
        <v>3.53552363538129</v>
      </c>
      <c r="Y378" s="35" t="n">
        <v>6.83421433673167</v>
      </c>
      <c r="Z378" s="35"/>
      <c r="AA378" s="35" t="n">
        <v>0.799501652076205</v>
      </c>
      <c r="AB378" s="35" t="n">
        <v>0.312547579282209</v>
      </c>
      <c r="AC378" s="71" t="n">
        <v>3.71486214972469</v>
      </c>
      <c r="AD378" s="38" t="n">
        <v>4.15429453077807</v>
      </c>
      <c r="AE378" s="38" t="n">
        <v>3.3726602232539</v>
      </c>
      <c r="AF378" s="38" t="n">
        <v>0.925894022832251</v>
      </c>
      <c r="AG378" s="72"/>
      <c r="AH378" s="72"/>
      <c r="AI378" s="73" t="n">
        <v>75.234814712011</v>
      </c>
      <c r="AJ378" s="42" t="s">
        <v>16</v>
      </c>
      <c r="AK378" s="43" t="n">
        <v>807.015070163534</v>
      </c>
      <c r="AL378" s="43" t="n">
        <v>832.670121014001</v>
      </c>
      <c r="AM378" s="43" t="n">
        <v>738.116862360504</v>
      </c>
      <c r="AN378" s="74"/>
      <c r="AO378" s="75" t="n">
        <v>32.7928571428571</v>
      </c>
      <c r="AP378" s="76" t="n">
        <v>1.30655585874799</v>
      </c>
      <c r="AQ378" s="76" t="n">
        <v>1.0876543258427</v>
      </c>
      <c r="AR378" s="76" t="n">
        <v>1.50242869983949</v>
      </c>
      <c r="AS378" s="77" t="n">
        <v>32.7154807383628</v>
      </c>
      <c r="AT378" s="78" t="n">
        <v>32.4494608005234</v>
      </c>
      <c r="AU378" s="78" t="n">
        <v>39.8426966292135</v>
      </c>
      <c r="AV378" s="78" t="n">
        <v>33.1674157303371</v>
      </c>
      <c r="AW378" s="78" t="n">
        <v>45.8157303370786</v>
      </c>
      <c r="AX378" s="78" t="n">
        <v>32.0786516853933</v>
      </c>
      <c r="AY378" s="48" t="n">
        <v>1.50741765405047</v>
      </c>
      <c r="AZ378" s="48" t="n">
        <v>25.559370347737</v>
      </c>
      <c r="BA378" s="48" t="n">
        <v>-4.03284734773695</v>
      </c>
      <c r="BB378" s="49" t="n">
        <f aca="false">AT378/V378</f>
        <v>1.50741765405047</v>
      </c>
      <c r="BC378" s="49" t="n">
        <f aca="false">AS378/V378</f>
        <v>1.5197754295184</v>
      </c>
      <c r="BD378" s="49" t="n">
        <f aca="false">SUM(AP378:AR378)/V378</f>
        <v>0.181015711846738</v>
      </c>
      <c r="BE378" s="50" t="n">
        <v>6.4</v>
      </c>
      <c r="BF378" s="51" t="n">
        <v>132.009322246205</v>
      </c>
      <c r="BG378" s="51" t="n">
        <v>526.071226467441</v>
      </c>
      <c r="BH378" s="51" t="n">
        <v>208.75309777242</v>
      </c>
      <c r="BI378" s="51" t="n">
        <v>202.892585936664</v>
      </c>
      <c r="BJ378" s="51" t="n">
        <v>17.1844611822473</v>
      </c>
      <c r="BK378" s="51" t="n">
        <v>19.539281619114</v>
      </c>
      <c r="BL378" s="51" t="n">
        <v>20.5842226440036</v>
      </c>
      <c r="BM378" s="51"/>
      <c r="BN378" s="52" t="n">
        <f aca="false">(BG378*0.5-BH378*0.25+BI378*0.5)/SUM(BG378:BI378)*1000</f>
        <v>333.036152350242</v>
      </c>
      <c r="BO378" s="53" t="n">
        <v>7.36305518</v>
      </c>
      <c r="BP378" s="54" t="s">
        <v>77</v>
      </c>
      <c r="BQ378" s="55" t="n">
        <v>404.687294887466</v>
      </c>
      <c r="BR378" s="56" t="n">
        <v>18.7994733235584</v>
      </c>
      <c r="BS378" s="56" t="n">
        <v>24.1127917459117</v>
      </c>
      <c r="BT378" s="56" t="n">
        <v>12.4713103054378</v>
      </c>
      <c r="BU378" s="55"/>
      <c r="BV378" s="55"/>
      <c r="BW378" s="55"/>
      <c r="BX378" s="55"/>
      <c r="BY378" s="79" t="n">
        <v>0.110306406685237</v>
      </c>
      <c r="BZ378" s="80" t="n">
        <v>1.129739</v>
      </c>
      <c r="CA378" s="81" t="n">
        <v>3.36</v>
      </c>
      <c r="CB378" s="81" t="n">
        <v>0.702</v>
      </c>
      <c r="CC378" s="82" t="n">
        <v>4.532504</v>
      </c>
      <c r="CD378" s="82" t="n">
        <v>6.454952</v>
      </c>
      <c r="CE378" s="83" t="n">
        <v>80.952384</v>
      </c>
      <c r="CF378" s="84" t="n">
        <v>32.509501</v>
      </c>
      <c r="CG378" s="80" t="n">
        <v>0.092</v>
      </c>
      <c r="CH378" s="63" t="n">
        <v>83350.9474125702</v>
      </c>
      <c r="CI378" s="63" t="n">
        <v>9783.4224894868</v>
      </c>
      <c r="CJ378" s="64" t="n">
        <v>815006.004380112</v>
      </c>
      <c r="CK378" s="65" t="n">
        <v>1.2004110935266</v>
      </c>
    </row>
    <row r="379" customFormat="false" ht="15" hidden="false" customHeight="false" outlineLevel="0" collapsed="false">
      <c r="A379" s="7" t="s">
        <v>73</v>
      </c>
      <c r="B379" s="66" t="n">
        <v>377</v>
      </c>
      <c r="C379" s="8" t="s">
        <v>456</v>
      </c>
      <c r="D379" s="67" t="n">
        <v>42086</v>
      </c>
      <c r="E379" s="4" t="s">
        <v>78</v>
      </c>
      <c r="F379" s="7" t="n">
        <v>2014</v>
      </c>
      <c r="G379" s="68" t="n">
        <v>1</v>
      </c>
      <c r="H379" s="68" t="n">
        <v>117</v>
      </c>
      <c r="I379" s="66" t="n">
        <v>2</v>
      </c>
      <c r="J379" s="69" t="n">
        <v>702.74268707483</v>
      </c>
      <c r="K379" s="31" t="n">
        <v>463.314186703493</v>
      </c>
      <c r="L379" s="31" t="n">
        <v>947.341134374413</v>
      </c>
      <c r="M379" s="31" t="n">
        <v>165.7526869362</v>
      </c>
      <c r="N379" s="31" t="n">
        <v>346.579024388768</v>
      </c>
      <c r="O379" s="32"/>
      <c r="P379" s="33" t="n">
        <v>40.5077983699295</v>
      </c>
      <c r="Q379" s="33" t="n">
        <v>15.3839917692641</v>
      </c>
      <c r="R379" s="31" t="n">
        <v>178.765055165284</v>
      </c>
      <c r="S379" s="34" t="s">
        <v>76</v>
      </c>
      <c r="T379" s="35" t="n">
        <v>16.6490501685714</v>
      </c>
      <c r="U379" s="35" t="n">
        <v>8.51239457142857</v>
      </c>
      <c r="V379" s="70" t="n">
        <v>25.16144474</v>
      </c>
      <c r="W379" s="35" t="n">
        <v>23.5433108507717</v>
      </c>
      <c r="X379" s="35" t="n">
        <v>4.18417004125205</v>
      </c>
      <c r="Y379" s="35" t="n">
        <v>7.78968128112179</v>
      </c>
      <c r="Z379" s="35"/>
      <c r="AA379" s="35" t="n">
        <v>0.940899221297807</v>
      </c>
      <c r="AB379" s="35" t="n">
        <v>0.343070565265215</v>
      </c>
      <c r="AC379" s="71" t="n">
        <v>4.41602265940373</v>
      </c>
      <c r="AD379" s="38" t="n">
        <v>4.71552062908527</v>
      </c>
      <c r="AE379" s="38" t="n">
        <v>3.83492929697592</v>
      </c>
      <c r="AF379" s="38" t="n">
        <v>1.06140103069023</v>
      </c>
      <c r="AG379" s="72"/>
      <c r="AH379" s="72"/>
      <c r="AI379" s="73" t="n">
        <v>72.7534862532803</v>
      </c>
      <c r="AJ379" s="42" t="s">
        <v>16</v>
      </c>
      <c r="AK379" s="43" t="n">
        <v>812.589432848073</v>
      </c>
      <c r="AL379" s="43" t="n">
        <v>837.111724800158</v>
      </c>
      <c r="AM379" s="43" t="n">
        <v>746.329374708534</v>
      </c>
      <c r="AN379" s="74"/>
      <c r="AO379" s="75" t="n">
        <v>38.2357142857143</v>
      </c>
      <c r="AP379" s="76" t="n">
        <v>1.06474515625</v>
      </c>
      <c r="AQ379" s="76" t="n">
        <v>1.14358241964286</v>
      </c>
      <c r="AR379" s="76" t="n">
        <v>1.82974620982143</v>
      </c>
      <c r="AS379" s="77" t="n">
        <v>31.2654630580357</v>
      </c>
      <c r="AT379" s="78" t="n">
        <v>31.6910559349977</v>
      </c>
      <c r="AU379" s="78" t="n">
        <v>27.846875</v>
      </c>
      <c r="AV379" s="78" t="n">
        <v>29.90875</v>
      </c>
      <c r="AW379" s="78" t="n">
        <v>47.854375</v>
      </c>
      <c r="AX379" s="78" t="n">
        <v>33.01875</v>
      </c>
      <c r="AY379" s="48" t="n">
        <v>1.25950859588827</v>
      </c>
      <c r="AZ379" s="48" t="n">
        <v>24.3468913891194</v>
      </c>
      <c r="BA379" s="48" t="n">
        <v>0.814553350880608</v>
      </c>
      <c r="BB379" s="49" t="n">
        <f aca="false">AT379/V379</f>
        <v>1.25950859588827</v>
      </c>
      <c r="BC379" s="49" t="n">
        <f aca="false">AS379/V379</f>
        <v>1.24259411099443</v>
      </c>
      <c r="BD379" s="49" t="n">
        <f aca="false">SUM(AP379:AR379)/V379</f>
        <v>0.160486562971276</v>
      </c>
      <c r="BE379" s="50" t="n">
        <v>6.36</v>
      </c>
      <c r="BF379" s="51" t="n">
        <v>116.249648743398</v>
      </c>
      <c r="BG379" s="51" t="n">
        <v>500.21030175396</v>
      </c>
      <c r="BH379" s="51" t="n">
        <v>215.272418751888</v>
      </c>
      <c r="BI379" s="51" t="n">
        <v>235.832637801137</v>
      </c>
      <c r="BJ379" s="51" t="n">
        <v>10.5861215756265</v>
      </c>
      <c r="BK379" s="51" t="n">
        <v>21.2541185229638</v>
      </c>
      <c r="BL379" s="51" t="n">
        <v>11.8692772163157</v>
      </c>
      <c r="BM379" s="51"/>
      <c r="BN379" s="52" t="n">
        <f aca="false">(BG379*0.5-BH379*0.25+BI379*0.5)/SUM(BG379:BI379)*1000</f>
        <v>330.283078419706</v>
      </c>
      <c r="BO379" s="53" t="n">
        <v>5.24480142</v>
      </c>
      <c r="BP379" s="54" t="s">
        <v>77</v>
      </c>
      <c r="BQ379" s="55" t="n">
        <v>423.288370784505</v>
      </c>
      <c r="BR379" s="56" t="n">
        <v>16.822896107853</v>
      </c>
      <c r="BS379" s="56" t="n">
        <v>21.4775814862881</v>
      </c>
      <c r="BT379" s="56" t="n">
        <v>13.3567140095528</v>
      </c>
      <c r="BU379" s="55"/>
      <c r="BV379" s="55"/>
      <c r="BW379" s="55"/>
      <c r="BX379" s="55"/>
      <c r="BY379" s="79" t="n">
        <v>0.100278551532033</v>
      </c>
      <c r="BZ379" s="80" t="n">
        <v>1.129739</v>
      </c>
      <c r="CA379" s="81" t="n">
        <v>3.54</v>
      </c>
      <c r="CB379" s="81" t="n">
        <v>0.687</v>
      </c>
      <c r="CC379" s="82" t="n">
        <v>4.422713</v>
      </c>
      <c r="CD379" s="82" t="n">
        <v>6.417704</v>
      </c>
      <c r="CE379" s="83" t="n">
        <v>65.49176</v>
      </c>
      <c r="CF379" s="84" t="n">
        <v>34.750428</v>
      </c>
      <c r="CG379" s="80" t="n">
        <v>0.1655</v>
      </c>
      <c r="CH379" s="63" t="n">
        <v>49951.7198874619</v>
      </c>
      <c r="CI379" s="63" t="n">
        <v>6056.97153639988</v>
      </c>
      <c r="CJ379" s="64" t="n">
        <v>522607.027442128</v>
      </c>
      <c r="CK379" s="65" t="n">
        <v>1.15899159757675</v>
      </c>
    </row>
    <row r="380" customFormat="false" ht="15" hidden="false" customHeight="false" outlineLevel="0" collapsed="false">
      <c r="A380" s="7" t="s">
        <v>73</v>
      </c>
      <c r="B380" s="66" t="n">
        <v>378</v>
      </c>
      <c r="C380" s="8" t="s">
        <v>457</v>
      </c>
      <c r="D380" s="67" t="n">
        <v>42086</v>
      </c>
      <c r="E380" s="4" t="s">
        <v>78</v>
      </c>
      <c r="F380" s="7" t="n">
        <v>2023</v>
      </c>
      <c r="G380" s="68" t="n">
        <v>1</v>
      </c>
      <c r="H380" s="68" t="n">
        <v>127</v>
      </c>
      <c r="I380" s="66" t="n">
        <v>2</v>
      </c>
      <c r="J380" s="69" t="n">
        <v>776.017857142857</v>
      </c>
      <c r="K380" s="31" t="n">
        <v>463.314186703493</v>
      </c>
      <c r="L380" s="31" t="n">
        <v>947.341134374413</v>
      </c>
      <c r="M380" s="31" t="n">
        <v>165.7526869362</v>
      </c>
      <c r="N380" s="31" t="n">
        <v>346.579024388768</v>
      </c>
      <c r="O380" s="32"/>
      <c r="P380" s="33" t="n">
        <v>40.5077983699295</v>
      </c>
      <c r="Q380" s="33" t="n">
        <v>15.3839917692641</v>
      </c>
      <c r="R380" s="31" t="n">
        <v>178.765055165284</v>
      </c>
      <c r="S380" s="34" t="s">
        <v>76</v>
      </c>
      <c r="T380" s="35" t="n">
        <v>19.3910455914286</v>
      </c>
      <c r="U380" s="35" t="n">
        <v>9.30315042857143</v>
      </c>
      <c r="V380" s="70" t="n">
        <v>28.69419602</v>
      </c>
      <c r="W380" s="35" t="n">
        <v>26.8698297794955</v>
      </c>
      <c r="X380" s="35" t="n">
        <v>4.78213960738288</v>
      </c>
      <c r="Y380" s="35" t="n">
        <v>8.91656335893773</v>
      </c>
      <c r="Z380" s="35"/>
      <c r="AA380" s="35" t="n">
        <v>1.08100340549685</v>
      </c>
      <c r="AB380" s="35" t="n">
        <v>0.38990963143817</v>
      </c>
      <c r="AC380" s="71" t="n">
        <v>5.05955351956537</v>
      </c>
      <c r="AD380" s="38" t="n">
        <v>4.92056141019286</v>
      </c>
      <c r="AE380" s="38" t="n">
        <v>3.99681044818115</v>
      </c>
      <c r="AF380" s="38" t="n">
        <v>0.992780469512376</v>
      </c>
      <c r="AG380" s="72"/>
      <c r="AH380" s="72"/>
      <c r="AI380" s="73" t="n">
        <v>79.2408830891693</v>
      </c>
      <c r="AJ380" s="42" t="s">
        <v>16</v>
      </c>
      <c r="AK380" s="43" t="n">
        <v>828.517188397152</v>
      </c>
      <c r="AL380" s="43" t="n">
        <v>851.252855675657</v>
      </c>
      <c r="AM380" s="43" t="n">
        <v>792.398267089552</v>
      </c>
      <c r="AN380" s="74"/>
      <c r="AO380" s="75" t="n">
        <v>40.45</v>
      </c>
      <c r="AP380" s="76" t="n">
        <v>1.55670838414634</v>
      </c>
      <c r="AQ380" s="76" t="n">
        <v>1.26620832317073</v>
      </c>
      <c r="AR380" s="76" t="n">
        <v>1.9004593902439</v>
      </c>
      <c r="AS380" s="77" t="n">
        <v>39.5306257621951</v>
      </c>
      <c r="AT380" s="78" t="n">
        <v>39.0239126905002</v>
      </c>
      <c r="AU380" s="78" t="n">
        <v>38.484756097561</v>
      </c>
      <c r="AV380" s="78" t="n">
        <v>31.3030487804878</v>
      </c>
      <c r="AW380" s="78" t="n">
        <v>46.9829268292683</v>
      </c>
      <c r="AX380" s="78" t="n">
        <v>44.969512195122</v>
      </c>
      <c r="AY380" s="48" t="n">
        <v>1.3599932426509</v>
      </c>
      <c r="AZ380" s="48" t="n">
        <v>28.4986777230956</v>
      </c>
      <c r="BA380" s="48" t="n">
        <v>0.195518296904407</v>
      </c>
      <c r="BB380" s="49" t="n">
        <f aca="false">AT380/V380</f>
        <v>1.3599932426509</v>
      </c>
      <c r="BC380" s="49" t="n">
        <f aca="false">AS380/V380</f>
        <v>1.37765232155806</v>
      </c>
      <c r="BD380" s="49" t="n">
        <f aca="false">SUM(AP380:AR380)/V380</f>
        <v>0.164610853507405</v>
      </c>
      <c r="BE380" s="50" t="n">
        <v>6.52</v>
      </c>
      <c r="BF380" s="51" t="n">
        <v>143.723997178323</v>
      </c>
      <c r="BG380" s="51" t="n">
        <v>513.921919993462</v>
      </c>
      <c r="BH380" s="51" t="n">
        <v>220.703759603273</v>
      </c>
      <c r="BI380" s="51" t="n">
        <v>209.032628457683</v>
      </c>
      <c r="BJ380" s="51" t="n">
        <v>15.6868509482151</v>
      </c>
      <c r="BK380" s="51" t="n">
        <v>19.1924563033244</v>
      </c>
      <c r="BL380" s="51" t="n">
        <v>16.4872603159336</v>
      </c>
      <c r="BM380" s="51"/>
      <c r="BN380" s="52" t="n">
        <f aca="false">(BG380*0.5-BH380*0.25+BI380*0.5)/SUM(BG380:BI380)*1000</f>
        <v>324.589241370925</v>
      </c>
      <c r="BO380" s="53" t="n">
        <v>10.19384808</v>
      </c>
      <c r="BP380" s="54" t="s">
        <v>77</v>
      </c>
      <c r="BQ380" s="55" t="n">
        <v>327.037981523138</v>
      </c>
      <c r="BR380" s="56" t="n">
        <v>11.3973565000808</v>
      </c>
      <c r="BS380" s="56" t="n">
        <v>14.2979803753065</v>
      </c>
      <c r="BT380" s="56" t="n">
        <v>8.38045083067108</v>
      </c>
      <c r="BU380" s="55"/>
      <c r="BV380" s="55"/>
      <c r="BW380" s="55"/>
      <c r="BX380" s="55"/>
      <c r="BY380" s="79" t="n">
        <v>0.0601671309192201</v>
      </c>
      <c r="BZ380" s="80" t="n">
        <v>0.9598106</v>
      </c>
      <c r="CA380" s="81" t="n">
        <v>3.22</v>
      </c>
      <c r="CB380" s="81" t="n">
        <v>0.393</v>
      </c>
      <c r="CC380" s="82" t="n">
        <v>7.496861</v>
      </c>
      <c r="CD380" s="82" t="n">
        <v>5.461672</v>
      </c>
      <c r="CE380" s="83" t="n">
        <v>86.779608</v>
      </c>
      <c r="CF380" s="84" t="n">
        <v>36.428611</v>
      </c>
      <c r="CG380" s="80" t="n">
        <v>0.092</v>
      </c>
      <c r="CH380" s="63" t="n">
        <v>42296.7901186539</v>
      </c>
      <c r="CI380" s="63" t="n">
        <v>10542.655563908</v>
      </c>
      <c r="CJ380" s="64" t="n">
        <v>889085.389107051</v>
      </c>
      <c r="CK380" s="65" t="n">
        <v>1.18578661769444</v>
      </c>
    </row>
    <row r="381" customFormat="false" ht="15" hidden="false" customHeight="false" outlineLevel="0" collapsed="false">
      <c r="A381" s="7" t="s">
        <v>73</v>
      </c>
      <c r="B381" s="66" t="n">
        <v>379</v>
      </c>
      <c r="C381" s="8" t="s">
        <v>458</v>
      </c>
      <c r="D381" s="67" t="n">
        <v>42086</v>
      </c>
      <c r="E381" s="4" t="s">
        <v>78</v>
      </c>
      <c r="F381" s="7" t="n">
        <v>2028</v>
      </c>
      <c r="G381" s="68" t="n">
        <v>1</v>
      </c>
      <c r="H381" s="68" t="n">
        <v>109</v>
      </c>
      <c r="I381" s="66" t="n">
        <v>2</v>
      </c>
      <c r="J381" s="69" t="n">
        <v>629.22619047619</v>
      </c>
      <c r="K381" s="31" t="n">
        <v>463.314186703493</v>
      </c>
      <c r="L381" s="31" t="n">
        <v>947.341134374413</v>
      </c>
      <c r="M381" s="31" t="n">
        <v>165.7526869362</v>
      </c>
      <c r="N381" s="31" t="n">
        <v>346.579024388768</v>
      </c>
      <c r="O381" s="32"/>
      <c r="P381" s="33" t="n">
        <v>40.5077983699295</v>
      </c>
      <c r="Q381" s="33" t="n">
        <v>15.3839917692641</v>
      </c>
      <c r="R381" s="31" t="n">
        <v>178.765055165284</v>
      </c>
      <c r="S381" s="34" t="s">
        <v>76</v>
      </c>
      <c r="T381" s="35" t="n">
        <v>17.0276984485714</v>
      </c>
      <c r="U381" s="35" t="n">
        <v>6.97056857142857</v>
      </c>
      <c r="V381" s="70" t="n">
        <v>23.99826702</v>
      </c>
      <c r="W381" s="35" t="n">
        <v>22.4743428082246</v>
      </c>
      <c r="X381" s="35" t="n">
        <v>3.95698677488777</v>
      </c>
      <c r="Y381" s="35" t="n">
        <v>7.58673856669937</v>
      </c>
      <c r="Z381" s="35"/>
      <c r="AA381" s="35" t="n">
        <v>0.89571827968474</v>
      </c>
      <c r="AB381" s="35" t="n">
        <v>0.342945267222725</v>
      </c>
      <c r="AC381" s="71" t="n">
        <v>4.16675352979532</v>
      </c>
      <c r="AD381" s="38" t="n">
        <v>4.45675383274901</v>
      </c>
      <c r="AE381" s="38" t="n">
        <v>3.62173183100146</v>
      </c>
      <c r="AF381" s="38" t="n">
        <v>0.978924121348318</v>
      </c>
      <c r="AG381" s="72"/>
      <c r="AH381" s="72"/>
      <c r="AI381" s="73" t="n">
        <v>76.9495646590807</v>
      </c>
      <c r="AJ381" s="42" t="s">
        <v>16</v>
      </c>
      <c r="AK381" s="43" t="n">
        <v>814.288513873324</v>
      </c>
      <c r="AL381" s="43" t="n">
        <v>838.850378767202</v>
      </c>
      <c r="AM381" s="43" t="n">
        <v>752.608695191789</v>
      </c>
      <c r="AN381" s="74"/>
      <c r="AO381" s="75" t="n">
        <v>32.5642857142857</v>
      </c>
      <c r="AP381" s="76" t="n">
        <v>1.10676624213075</v>
      </c>
      <c r="AQ381" s="76" t="n">
        <v>1.0786174527845</v>
      </c>
      <c r="AR381" s="76" t="n">
        <v>1.55580014527845</v>
      </c>
      <c r="AS381" s="77" t="n">
        <v>29.6272079176755</v>
      </c>
      <c r="AT381" s="78" t="n">
        <v>30.2225173720331</v>
      </c>
      <c r="AU381" s="78" t="n">
        <v>33.9871186440678</v>
      </c>
      <c r="AV381" s="78" t="n">
        <v>33.1227118644068</v>
      </c>
      <c r="AW381" s="78" t="n">
        <v>47.7762711864407</v>
      </c>
      <c r="AX381" s="78" t="n">
        <v>42.8338983050847</v>
      </c>
      <c r="AY381" s="48" t="n">
        <v>1.25936249258523</v>
      </c>
      <c r="AZ381" s="48" t="n">
        <v>22.606232416865</v>
      </c>
      <c r="BA381" s="48" t="n">
        <v>1.39203460313501</v>
      </c>
      <c r="BB381" s="49" t="n">
        <f aca="false">AT381/V381</f>
        <v>1.25936249258523</v>
      </c>
      <c r="BC381" s="49" t="n">
        <f aca="false">AS381/V381</f>
        <v>1.23455614078235</v>
      </c>
      <c r="BD381" s="49" t="n">
        <f aca="false">SUM(AP381:AR381)/V381</f>
        <v>0.155893916718062</v>
      </c>
      <c r="BE381" s="50" t="n">
        <v>6.23</v>
      </c>
      <c r="BF381" s="51" t="n">
        <v>146.661404706741</v>
      </c>
      <c r="BG381" s="51" t="n">
        <v>486.041687598631</v>
      </c>
      <c r="BH381" s="51" t="n">
        <v>254.409216310924</v>
      </c>
      <c r="BI381" s="51" t="n">
        <v>199.780291980437</v>
      </c>
      <c r="BJ381" s="51" t="n">
        <v>18.662460703414</v>
      </c>
      <c r="BK381" s="51" t="n">
        <v>24.931135300999</v>
      </c>
      <c r="BL381" s="51" t="n">
        <v>11.2000837274857</v>
      </c>
      <c r="BM381" s="51"/>
      <c r="BN381" s="52" t="n">
        <f aca="false">(BG381*0.5-BH381*0.25+BI381*0.5)/SUM(BG381:BI381)*1000</f>
        <v>297.06383592965</v>
      </c>
      <c r="BO381" s="53" t="n">
        <v>6.49125754</v>
      </c>
      <c r="BP381" s="54" t="s">
        <v>77</v>
      </c>
      <c r="BQ381" s="55" t="n">
        <v>346.904520304326</v>
      </c>
      <c r="BR381" s="56" t="n">
        <v>14.4553988008892</v>
      </c>
      <c r="BS381" s="56" t="n">
        <v>18.4008740605447</v>
      </c>
      <c r="BT381" s="56" t="n">
        <v>11.4783462950489</v>
      </c>
      <c r="BU381" s="55"/>
      <c r="BV381" s="55"/>
      <c r="BW381" s="55"/>
      <c r="BX381" s="55"/>
      <c r="BY381" s="79" t="n">
        <v>0.0601671309192201</v>
      </c>
      <c r="BZ381" s="80" t="n">
        <v>1.0848154</v>
      </c>
      <c r="CA381" s="81" t="n">
        <v>3.07</v>
      </c>
      <c r="CB381" s="81" t="n">
        <v>1.288</v>
      </c>
      <c r="CC381" s="82" t="n">
        <v>5.67921</v>
      </c>
      <c r="CD381" s="82" t="n">
        <v>3.990376</v>
      </c>
      <c r="CE381" s="83" t="n">
        <v>85.206808</v>
      </c>
      <c r="CF381" s="84" t="n">
        <v>31.81612</v>
      </c>
      <c r="CG381" s="80" t="n">
        <v>1.0265</v>
      </c>
      <c r="CH381" s="63" t="n">
        <v>30483.3398338309</v>
      </c>
      <c r="CI381" s="63" t="n">
        <v>12085.6284672278</v>
      </c>
      <c r="CJ381" s="64" t="n">
        <v>1112718.17949626</v>
      </c>
      <c r="CK381" s="65" t="n">
        <v>1.08613561725927</v>
      </c>
    </row>
    <row r="382" customFormat="false" ht="15" hidden="false" customHeight="false" outlineLevel="0" collapsed="false">
      <c r="A382" s="7" t="s">
        <v>73</v>
      </c>
      <c r="B382" s="66" t="n">
        <v>380</v>
      </c>
      <c r="C382" s="8" t="s">
        <v>459</v>
      </c>
      <c r="D382" s="67" t="n">
        <v>42086</v>
      </c>
      <c r="E382" s="4" t="s">
        <v>78</v>
      </c>
      <c r="F382" s="7" t="n">
        <v>905</v>
      </c>
      <c r="G382" s="68" t="n">
        <v>1</v>
      </c>
      <c r="H382" s="68" t="n">
        <v>86</v>
      </c>
      <c r="I382" s="66" t="n">
        <v>5</v>
      </c>
      <c r="J382" s="69" t="n">
        <v>699.52380952381</v>
      </c>
      <c r="K382" s="31" t="n">
        <v>463.314186703493</v>
      </c>
      <c r="L382" s="31" t="n">
        <v>947.341134374413</v>
      </c>
      <c r="M382" s="31" t="n">
        <v>165.7526869362</v>
      </c>
      <c r="N382" s="31" t="n">
        <v>346.579024388768</v>
      </c>
      <c r="O382" s="32"/>
      <c r="P382" s="33" t="n">
        <v>40.5077983699295</v>
      </c>
      <c r="Q382" s="33" t="n">
        <v>15.3839917692641</v>
      </c>
      <c r="R382" s="31" t="n">
        <v>178.765055165284</v>
      </c>
      <c r="S382" s="34" t="s">
        <v>76</v>
      </c>
      <c r="T382" s="35" t="n">
        <v>16.1957933985714</v>
      </c>
      <c r="U382" s="35" t="n">
        <v>6.21868257142857</v>
      </c>
      <c r="V382" s="70" t="n">
        <v>22.41447597</v>
      </c>
      <c r="W382" s="35" t="n">
        <v>20.9957613000518</v>
      </c>
      <c r="X382" s="35" t="n">
        <v>3.68679350250903</v>
      </c>
      <c r="Y382" s="35" t="n">
        <v>7.12645239467565</v>
      </c>
      <c r="Z382" s="35"/>
      <c r="AA382" s="35" t="n">
        <v>0.835996443660608</v>
      </c>
      <c r="AB382" s="35" t="n">
        <v>0.324455089847855</v>
      </c>
      <c r="AC382" s="71" t="n">
        <v>3.8794712227864</v>
      </c>
      <c r="AD382" s="38" t="n">
        <v>4.64986398012891</v>
      </c>
      <c r="AE382" s="38" t="n">
        <v>3.90895214617339</v>
      </c>
      <c r="AF382" s="38" t="n">
        <v>0.972681088844336</v>
      </c>
      <c r="AG382" s="72"/>
      <c r="AH382" s="72"/>
      <c r="AI382" s="73" t="n">
        <v>69.7773292368135</v>
      </c>
      <c r="AJ382" s="42" t="s">
        <v>16</v>
      </c>
      <c r="AK382" s="43" t="n">
        <v>792.550850336524</v>
      </c>
      <c r="AL382" s="43" t="n">
        <v>813.82184288008</v>
      </c>
      <c r="AM382" s="43" t="n">
        <v>736.171530034871</v>
      </c>
      <c r="AN382" s="74"/>
      <c r="AO382" s="75" t="n">
        <v>31.5714285714286</v>
      </c>
      <c r="AP382" s="76" t="n">
        <v>1.62592857142857</v>
      </c>
      <c r="AQ382" s="76" t="n">
        <v>1.00397142857143</v>
      </c>
      <c r="AR382" s="76" t="n">
        <v>1.5028</v>
      </c>
      <c r="AS382" s="77" t="n">
        <v>37.0175</v>
      </c>
      <c r="AT382" s="78" t="n">
        <v>35.6939533212011</v>
      </c>
      <c r="AU382" s="78" t="n">
        <v>51.5</v>
      </c>
      <c r="AV382" s="78" t="n">
        <v>31.8</v>
      </c>
      <c r="AW382" s="78" t="n">
        <v>47.6</v>
      </c>
      <c r="AX382" s="78" t="n">
        <v>25</v>
      </c>
      <c r="AY382" s="48" t="n">
        <v>1.59245093969516</v>
      </c>
      <c r="AZ382" s="48" t="n">
        <v>25.6786040270721</v>
      </c>
      <c r="BA382" s="48" t="n">
        <v>-3.26412805707214</v>
      </c>
      <c r="BB382" s="49" t="n">
        <f aca="false">AT382/V382</f>
        <v>1.59245093969516</v>
      </c>
      <c r="BC382" s="49" t="n">
        <f aca="false">AS382/V382</f>
        <v>1.65149968482623</v>
      </c>
      <c r="BD382" s="49" t="n">
        <f aca="false">SUM(AP382:AR382)/V382</f>
        <v>0.184376382723883</v>
      </c>
      <c r="BE382" s="50" t="n">
        <v>6.54</v>
      </c>
      <c r="BF382" s="51" t="n">
        <v>88.0899849632067</v>
      </c>
      <c r="BG382" s="51" t="n">
        <v>521.367604346069</v>
      </c>
      <c r="BH382" s="51" t="n">
        <v>221.892603977085</v>
      </c>
      <c r="BI382" s="51" t="n">
        <v>201.309444230749</v>
      </c>
      <c r="BJ382" s="51" t="n">
        <v>16.1104882146506</v>
      </c>
      <c r="BK382" s="51" t="n">
        <v>22.0602078652971</v>
      </c>
      <c r="BL382" s="51" t="n">
        <v>12.2845269880392</v>
      </c>
      <c r="BM382" s="51"/>
      <c r="BN382" s="52" t="n">
        <f aca="false">(BG382*0.5-BH382*0.25+BI382*0.5)/SUM(BG382:BI382)*1000</f>
        <v>323.814524918461</v>
      </c>
      <c r="BO382" s="53" t="n">
        <v>1.11083494</v>
      </c>
      <c r="BP382" s="54" t="s">
        <v>77</v>
      </c>
      <c r="BQ382" s="55" t="n">
        <v>403.373043661864</v>
      </c>
      <c r="BR382" s="56" t="n">
        <v>17.9960952110479</v>
      </c>
      <c r="BS382" s="56" t="n">
        <v>23.6072774049978</v>
      </c>
      <c r="BT382" s="56" t="n">
        <v>11.3008788920636</v>
      </c>
      <c r="BU382" s="55"/>
      <c r="BV382" s="55"/>
      <c r="BW382" s="55"/>
      <c r="BX382" s="55"/>
      <c r="BY382" s="79" t="n">
        <v>0.0902506963788301</v>
      </c>
      <c r="BZ382" s="80" t="n">
        <v>0.5701472</v>
      </c>
      <c r="CA382" s="81" t="n">
        <v>3.64</v>
      </c>
      <c r="CB382" s="81" t="n">
        <v>0.826</v>
      </c>
      <c r="CC382" s="82" t="n">
        <v>3.995748</v>
      </c>
      <c r="CD382" s="82" t="n">
        <v>4.306984</v>
      </c>
      <c r="CE382" s="83" t="n">
        <v>80.39404</v>
      </c>
      <c r="CF382" s="84" t="n">
        <v>35.182535</v>
      </c>
      <c r="CG382" s="80" t="n">
        <v>0.155</v>
      </c>
      <c r="CH382" s="63" t="n">
        <v>55473.8889210803</v>
      </c>
      <c r="CI382" s="63" t="n">
        <v>16705.2791870783</v>
      </c>
      <c r="CJ382" s="64" t="n">
        <v>919111.103928138</v>
      </c>
      <c r="CK382" s="65" t="n">
        <v>1.81754731453929</v>
      </c>
    </row>
    <row r="383" customFormat="false" ht="15" hidden="false" customHeight="false" outlineLevel="0" collapsed="false">
      <c r="A383" s="7" t="s">
        <v>73</v>
      </c>
      <c r="B383" s="66" t="n">
        <v>381</v>
      </c>
      <c r="C383" s="8" t="s">
        <v>460</v>
      </c>
      <c r="D383" s="67" t="n">
        <v>42086</v>
      </c>
      <c r="E383" s="4" t="s">
        <v>78</v>
      </c>
      <c r="F383" s="7" t="n">
        <v>2131</v>
      </c>
      <c r="G383" s="68" t="n">
        <v>1</v>
      </c>
      <c r="H383" s="68" t="n">
        <v>114</v>
      </c>
      <c r="I383" s="66" t="n">
        <v>1</v>
      </c>
      <c r="J383" s="69" t="n">
        <v>579.583333333333</v>
      </c>
      <c r="K383" s="31" t="n">
        <v>463.314186703493</v>
      </c>
      <c r="L383" s="31" t="n">
        <v>947.341134374413</v>
      </c>
      <c r="M383" s="31" t="n">
        <v>165.7526869362</v>
      </c>
      <c r="N383" s="31" t="n">
        <v>346.579024388768</v>
      </c>
      <c r="O383" s="32"/>
      <c r="P383" s="33" t="n">
        <v>40.5077983699295</v>
      </c>
      <c r="Q383" s="33" t="n">
        <v>15.3839917692641</v>
      </c>
      <c r="R383" s="31" t="n">
        <v>178.765055165284</v>
      </c>
      <c r="S383" s="34" t="s">
        <v>76</v>
      </c>
      <c r="T383" s="35" t="n">
        <v>10.1575489642857</v>
      </c>
      <c r="U383" s="35" t="n">
        <v>3.61882028571429</v>
      </c>
      <c r="V383" s="70" t="n">
        <v>13.77636925</v>
      </c>
      <c r="W383" s="35" t="n">
        <v>12.8725686772638</v>
      </c>
      <c r="X383" s="35" t="n">
        <v>2.20410489463159</v>
      </c>
      <c r="Y383" s="35" t="n">
        <v>4.46322212006893</v>
      </c>
      <c r="Z383" s="35"/>
      <c r="AA383" s="35" t="n">
        <v>0.492068668414878</v>
      </c>
      <c r="AB383" s="35" t="n">
        <v>0.219356438538634</v>
      </c>
      <c r="AC383" s="71" t="n">
        <v>2.27804038861961</v>
      </c>
      <c r="AD383" s="38" t="n">
        <v>2.53577575211674</v>
      </c>
      <c r="AE383" s="38" t="n">
        <v>2.06098990199713</v>
      </c>
      <c r="AF383" s="38" t="n">
        <v>0.494841266316721</v>
      </c>
      <c r="AG383" s="72"/>
      <c r="AH383" s="72"/>
      <c r="AI383" s="73" t="n">
        <v>86.50466759749</v>
      </c>
      <c r="AJ383" s="42" t="s">
        <v>16</v>
      </c>
      <c r="AK383" s="43" t="n">
        <v>815.932942410299</v>
      </c>
      <c r="AL383" s="43" t="n">
        <v>839.892879683186</v>
      </c>
      <c r="AM383" s="43" t="n">
        <v>775.491054204373</v>
      </c>
      <c r="AN383" s="74"/>
      <c r="AO383" s="75" t="n">
        <v>25.7928571428571</v>
      </c>
      <c r="AP383" s="76" t="n">
        <v>1.10956181818182</v>
      </c>
      <c r="AQ383" s="76" t="n">
        <v>0.741661883116883</v>
      </c>
      <c r="AR383" s="76" t="n">
        <v>1.21953318181818</v>
      </c>
      <c r="AS383" s="77" t="n">
        <v>26.9605701298701</v>
      </c>
      <c r="AT383" s="78" t="n">
        <v>25.8437662987013</v>
      </c>
      <c r="AU383" s="78" t="n">
        <v>43.0181818181818</v>
      </c>
      <c r="AV383" s="78" t="n">
        <v>28.7545454545455</v>
      </c>
      <c r="AW383" s="78" t="n">
        <v>47.2818181818182</v>
      </c>
      <c r="AX383" s="78" t="n">
        <v>45.4545454545455</v>
      </c>
      <c r="AY383" s="48" t="n">
        <v>1.87594901310454</v>
      </c>
      <c r="AZ383" s="48" t="n">
        <v>20.9984312967014</v>
      </c>
      <c r="BA383" s="48" t="n">
        <v>-7.22206204670139</v>
      </c>
      <c r="BB383" s="49" t="n">
        <f aca="false">AT383/V383</f>
        <v>1.87594901310454</v>
      </c>
      <c r="BC383" s="49" t="n">
        <f aca="false">AS383/V383</f>
        <v>1.95701564328135</v>
      </c>
      <c r="BD383" s="49" t="n">
        <f aca="false">SUM(AP383:AR383)/V383</f>
        <v>0.222900303221539</v>
      </c>
      <c r="BE383" s="50" t="n">
        <v>6.39</v>
      </c>
      <c r="BF383" s="51" t="n">
        <v>128.464061214518</v>
      </c>
      <c r="BG383" s="51" t="n">
        <v>561.317065619375</v>
      </c>
      <c r="BH383" s="51" t="n">
        <v>203.442360768819</v>
      </c>
      <c r="BI383" s="51" t="n">
        <v>191.190551210819</v>
      </c>
      <c r="BJ383" s="51" t="n">
        <v>9.44715994156535</v>
      </c>
      <c r="BK383" s="51" t="n">
        <v>16.15791830386</v>
      </c>
      <c r="BL383" s="51" t="n">
        <v>13.4698197774516</v>
      </c>
      <c r="BM383" s="51"/>
      <c r="BN383" s="52" t="n">
        <f aca="false">(BG383*0.5-BH383*0.25+BI383*0.5)/SUM(BG383:BI383)*1000</f>
        <v>340.387285786812</v>
      </c>
      <c r="BO383" s="53" t="n">
        <v>3.5344455</v>
      </c>
      <c r="BP383" s="54" t="s">
        <v>77</v>
      </c>
      <c r="BQ383" s="55" t="n">
        <v>448.391278938425</v>
      </c>
      <c r="BR383" s="56" t="n">
        <v>32.54785573771</v>
      </c>
      <c r="BS383" s="56" t="n">
        <v>41.4732471786817</v>
      </c>
      <c r="BT383" s="56" t="n">
        <v>17.3500748209814</v>
      </c>
      <c r="BU383" s="55"/>
      <c r="BV383" s="55"/>
      <c r="BW383" s="55"/>
      <c r="BX383" s="55"/>
      <c r="BY383" s="79" t="n">
        <v>0.0902506963788301</v>
      </c>
      <c r="BZ383" s="80" t="n">
        <v>0.8846124</v>
      </c>
      <c r="CA383" s="81" t="n">
        <v>3.68</v>
      </c>
      <c r="CB383" s="81" t="n">
        <v>0.682</v>
      </c>
      <c r="CC383" s="82" t="n">
        <v>6.325757</v>
      </c>
      <c r="CD383" s="82" t="n">
        <v>5.076776</v>
      </c>
      <c r="CE383" s="83" t="n">
        <v>84.75856</v>
      </c>
      <c r="CF383" s="84" t="n">
        <v>33.966606</v>
      </c>
      <c r="CG383" s="80" t="n">
        <v>0.911</v>
      </c>
      <c r="CH383" s="63"/>
      <c r="CI383" s="63"/>
      <c r="CJ383" s="64"/>
      <c r="CK383" s="65"/>
    </row>
    <row r="384" customFormat="false" ht="15" hidden="false" customHeight="false" outlineLevel="0" collapsed="false">
      <c r="A384" s="7" t="s">
        <v>73</v>
      </c>
      <c r="B384" s="66" t="n">
        <v>382</v>
      </c>
      <c r="C384" s="8" t="s">
        <v>461</v>
      </c>
      <c r="D384" s="67" t="n">
        <v>42086</v>
      </c>
      <c r="E384" s="4" t="s">
        <v>78</v>
      </c>
      <c r="F384" s="7" t="n">
        <v>2137</v>
      </c>
      <c r="G384" s="68" t="n">
        <v>1</v>
      </c>
      <c r="H384" s="68" t="n">
        <v>118</v>
      </c>
      <c r="I384" s="66" t="n">
        <v>1</v>
      </c>
      <c r="J384" s="69" t="n">
        <v>668.285714285714</v>
      </c>
      <c r="K384" s="31" t="n">
        <v>463.314186703493</v>
      </c>
      <c r="L384" s="31" t="n">
        <v>947.341134374413</v>
      </c>
      <c r="M384" s="31" t="n">
        <v>165.7526869362</v>
      </c>
      <c r="N384" s="31" t="n">
        <v>346.579024388768</v>
      </c>
      <c r="O384" s="32"/>
      <c r="P384" s="33" t="n">
        <v>40.5077983699295</v>
      </c>
      <c r="Q384" s="33" t="n">
        <v>15.3839917692641</v>
      </c>
      <c r="R384" s="31" t="n">
        <v>178.765055165284</v>
      </c>
      <c r="S384" s="34" t="s">
        <v>76</v>
      </c>
      <c r="T384" s="35" t="n">
        <v>21.6035210342857</v>
      </c>
      <c r="U384" s="35" t="n">
        <v>9.51536528571429</v>
      </c>
      <c r="V384" s="70" t="n">
        <v>31.11888632</v>
      </c>
      <c r="W384" s="35" t="n">
        <v>29.1613846042384</v>
      </c>
      <c r="X384" s="35" t="n">
        <v>5.18731654356802</v>
      </c>
      <c r="Y384" s="35" t="n">
        <v>9.73079637808946</v>
      </c>
      <c r="Z384" s="35"/>
      <c r="AA384" s="35" t="n">
        <v>1.17839743748982</v>
      </c>
      <c r="AB384" s="35" t="n">
        <v>0.425211743868324</v>
      </c>
      <c r="AC384" s="71" t="n">
        <v>5.49613271442984</v>
      </c>
      <c r="AD384" s="38" t="n">
        <v>5.20938612182729</v>
      </c>
      <c r="AE384" s="38" t="n">
        <v>4.21198096074196</v>
      </c>
      <c r="AF384" s="38" t="n">
        <v>1.0706988059121</v>
      </c>
      <c r="AG384" s="72"/>
      <c r="AH384" s="72"/>
      <c r="AI384" s="73" t="n">
        <v>81.6241556921053</v>
      </c>
      <c r="AJ384" s="42" t="s">
        <v>16</v>
      </c>
      <c r="AK384" s="43" t="n">
        <v>832.597282940706</v>
      </c>
      <c r="AL384" s="43" t="n">
        <v>855.563066778051</v>
      </c>
      <c r="AM384" s="43" t="n">
        <v>793.592930579935</v>
      </c>
      <c r="AN384" s="74"/>
      <c r="AO384" s="75" t="n">
        <v>40.2</v>
      </c>
      <c r="AP384" s="76" t="n">
        <v>1.23575208121827</v>
      </c>
      <c r="AQ384" s="76" t="n">
        <v>1.26785086294416</v>
      </c>
      <c r="AR384" s="76" t="n">
        <v>1.83893573604061</v>
      </c>
      <c r="AS384" s="77" t="n">
        <v>34.6162812182741</v>
      </c>
      <c r="AT384" s="78" t="n">
        <v>34.7959976649746</v>
      </c>
      <c r="AU384" s="78" t="n">
        <v>30.7401015228426</v>
      </c>
      <c r="AV384" s="78" t="n">
        <v>31.538578680203</v>
      </c>
      <c r="AW384" s="78" t="n">
        <v>45.7446700507614</v>
      </c>
      <c r="AX384" s="78" t="n">
        <v>42.9847715736041</v>
      </c>
      <c r="AY384" s="48" t="n">
        <v>1.11816333358342</v>
      </c>
      <c r="AZ384" s="48" t="n">
        <v>25.1031945008889</v>
      </c>
      <c r="BA384" s="48" t="n">
        <v>6.0156918191111</v>
      </c>
      <c r="BB384" s="49" t="n">
        <f aca="false">AT384/V384</f>
        <v>1.11816333358342</v>
      </c>
      <c r="BC384" s="49" t="n">
        <f aca="false">AS384/V384</f>
        <v>1.11238817682323</v>
      </c>
      <c r="BD384" s="49" t="n">
        <f aca="false">SUM(AP384:AR384)/V384</f>
        <v>0.139546725276351</v>
      </c>
      <c r="BE384" s="50" t="n">
        <v>6.42</v>
      </c>
      <c r="BF384" s="51" t="n">
        <v>107.977288582687</v>
      </c>
      <c r="BG384" s="51" t="n">
        <v>518.59269405247</v>
      </c>
      <c r="BH384" s="51" t="n">
        <v>221.52314332485</v>
      </c>
      <c r="BI384" s="51" t="n">
        <v>210.007070872229</v>
      </c>
      <c r="BJ384" s="51" t="n">
        <v>7.33790109778594</v>
      </c>
      <c r="BK384" s="51" t="n">
        <v>21.5223703109887</v>
      </c>
      <c r="BL384" s="51" t="n">
        <v>16.0416959635672</v>
      </c>
      <c r="BM384" s="51"/>
      <c r="BN384" s="52" t="n">
        <f aca="false">(BG384*0.5-BH384*0.25+BI384*0.5)/SUM(BG384:BI384)*1000</f>
        <v>325.135931308373</v>
      </c>
      <c r="BO384" s="53" t="n">
        <v>6.01350138</v>
      </c>
      <c r="BP384" s="54" t="s">
        <v>77</v>
      </c>
      <c r="BQ384" s="55" t="n">
        <v>373.97541150438</v>
      </c>
      <c r="BR384" s="56" t="n">
        <v>12.0176348105371</v>
      </c>
      <c r="BS384" s="56" t="n">
        <v>14.9893527255456</v>
      </c>
      <c r="BT384" s="56" t="n">
        <v>10.7476559547198</v>
      </c>
      <c r="BU384" s="55"/>
      <c r="BV384" s="55"/>
      <c r="BW384" s="55"/>
      <c r="BX384" s="55"/>
      <c r="BY384" s="79" t="n">
        <v>0.0802228412256268</v>
      </c>
      <c r="BZ384" s="80" t="n">
        <v>1.1033708</v>
      </c>
      <c r="CA384" s="81" t="n">
        <v>3.43</v>
      </c>
      <c r="CB384" s="81" t="n">
        <v>0.272</v>
      </c>
      <c r="CC384" s="82" t="n">
        <v>6.398951</v>
      </c>
      <c r="CD384" s="82" t="n">
        <v>5.00228</v>
      </c>
      <c r="CE384" s="83" t="n">
        <v>78.262896</v>
      </c>
      <c r="CF384" s="84" t="n">
        <v>35.172486</v>
      </c>
      <c r="CG384" s="80" t="n">
        <v>0.1445</v>
      </c>
      <c r="CH384" s="63" t="n">
        <v>51952.4491267349</v>
      </c>
      <c r="CI384" s="63" t="n">
        <v>11943.4108347045</v>
      </c>
      <c r="CJ384" s="64" t="n">
        <v>897651.303802336</v>
      </c>
      <c r="CK384" s="65" t="n">
        <v>1.33051785076385</v>
      </c>
    </row>
    <row r="385" customFormat="false" ht="15" hidden="false" customHeight="false" outlineLevel="0" collapsed="false">
      <c r="A385" s="7" t="s">
        <v>73</v>
      </c>
      <c r="B385" s="66" t="n">
        <v>383</v>
      </c>
      <c r="C385" s="8" t="s">
        <v>462</v>
      </c>
      <c r="D385" s="67" t="n">
        <v>42086</v>
      </c>
      <c r="E385" s="4" t="s">
        <v>78</v>
      </c>
      <c r="F385" s="7" t="n">
        <v>2141</v>
      </c>
      <c r="G385" s="68" t="n">
        <v>1</v>
      </c>
      <c r="H385" s="68" t="n">
        <v>135</v>
      </c>
      <c r="I385" s="66" t="n">
        <v>1</v>
      </c>
      <c r="J385" s="69" t="n">
        <v>689.089285714286</v>
      </c>
      <c r="K385" s="31" t="n">
        <v>463.314186703493</v>
      </c>
      <c r="L385" s="31" t="n">
        <v>947.341134374413</v>
      </c>
      <c r="M385" s="31" t="n">
        <v>165.7526869362</v>
      </c>
      <c r="N385" s="31" t="n">
        <v>346.579024388768</v>
      </c>
      <c r="O385" s="32"/>
      <c r="P385" s="33" t="n">
        <v>40.5077983699295</v>
      </c>
      <c r="Q385" s="33" t="n">
        <v>15.3839917692641</v>
      </c>
      <c r="R385" s="31" t="n">
        <v>178.765055165284</v>
      </c>
      <c r="S385" s="34" t="s">
        <v>76</v>
      </c>
      <c r="T385" s="35" t="n">
        <v>13.28626657</v>
      </c>
      <c r="U385" s="35" t="n">
        <v>4.501536</v>
      </c>
      <c r="V385" s="70" t="n">
        <v>17.78780257</v>
      </c>
      <c r="W385" s="35" t="n">
        <v>16.6532358105225</v>
      </c>
      <c r="X385" s="35" t="n">
        <v>2.88765011975147</v>
      </c>
      <c r="Y385" s="35" t="n">
        <v>5.73992447301264</v>
      </c>
      <c r="Z385" s="35"/>
      <c r="AA385" s="35" t="n">
        <v>0.653052827704828</v>
      </c>
      <c r="AB385" s="35" t="n">
        <v>0.271216205242406</v>
      </c>
      <c r="AC385" s="71" t="n">
        <v>3.01696833763125</v>
      </c>
      <c r="AD385" s="38" t="n">
        <v>3.22460025315765</v>
      </c>
      <c r="AE385" s="38" t="n">
        <v>2.62745863713009</v>
      </c>
      <c r="AF385" s="38" t="n">
        <v>0.658207286300206</v>
      </c>
      <c r="AG385" s="72"/>
      <c r="AH385" s="72"/>
      <c r="AI385" s="73" t="n">
        <v>84.1084735935318</v>
      </c>
      <c r="AJ385" s="42" t="s">
        <v>16</v>
      </c>
      <c r="AK385" s="43" t="n">
        <v>818.718459434889</v>
      </c>
      <c r="AL385" s="43" t="n">
        <v>842.225338845565</v>
      </c>
      <c r="AM385" s="43" t="n">
        <v>772.06127508382</v>
      </c>
      <c r="AN385" s="74"/>
      <c r="AO385" s="75" t="n">
        <v>27.0285714285714</v>
      </c>
      <c r="AP385" s="76" t="n">
        <v>0.987670179468772</v>
      </c>
      <c r="AQ385" s="76" t="n">
        <v>0.922353395549174</v>
      </c>
      <c r="AR385" s="76" t="n">
        <v>1.26561625269203</v>
      </c>
      <c r="AS385" s="77" t="n">
        <v>25.6264812634602</v>
      </c>
      <c r="AT385" s="78" t="n">
        <v>26.0004790745355</v>
      </c>
      <c r="AU385" s="78" t="n">
        <v>36.5417085427136</v>
      </c>
      <c r="AV385" s="78" t="n">
        <v>34.1251256281407</v>
      </c>
      <c r="AW385" s="78" t="n">
        <v>46.8251256281407</v>
      </c>
      <c r="AX385" s="78" t="n">
        <v>33.8743718592965</v>
      </c>
      <c r="AY385" s="48" t="n">
        <v>1.46170270173712</v>
      </c>
      <c r="AZ385" s="48" t="n">
        <v>22.2773687864828</v>
      </c>
      <c r="BA385" s="48" t="n">
        <v>-4.48956621648279</v>
      </c>
      <c r="BB385" s="49" t="n">
        <f aca="false">AT385/V385</f>
        <v>1.46170270173712</v>
      </c>
      <c r="BC385" s="49" t="n">
        <f aca="false">AS385/V385</f>
        <v>1.44067718104093</v>
      </c>
      <c r="BD385" s="49" t="n">
        <f aca="false">SUM(AP385:AR385)/V385</f>
        <v>0.178529068737577</v>
      </c>
      <c r="BE385" s="50" t="n">
        <v>6.45</v>
      </c>
      <c r="BF385" s="51" t="n">
        <v>152.593612121263</v>
      </c>
      <c r="BG385" s="51" t="n">
        <v>475.995849129406</v>
      </c>
      <c r="BH385" s="51" t="n">
        <v>270.019354560832</v>
      </c>
      <c r="BI385" s="51" t="n">
        <v>201.434877755417</v>
      </c>
      <c r="BJ385" s="51" t="n">
        <v>11.2248232803603</v>
      </c>
      <c r="BK385" s="51" t="n">
        <v>20.901494896628</v>
      </c>
      <c r="BL385" s="51" t="n">
        <v>15.4484759992468</v>
      </c>
      <c r="BM385" s="51"/>
      <c r="BN385" s="52" t="n">
        <f aca="false">(BG385*0.5-BH385*0.25+BI385*0.5)/SUM(BG385:BI385)*1000</f>
        <v>286.253101998134</v>
      </c>
      <c r="BO385" s="53" t="n">
        <v>6.87499124</v>
      </c>
      <c r="BP385" s="54" t="s">
        <v>77</v>
      </c>
      <c r="BQ385" s="55" t="n">
        <v>330.105530081719</v>
      </c>
      <c r="BR385" s="56" t="n">
        <v>18.5579713279738</v>
      </c>
      <c r="BS385" s="56" t="n">
        <v>23.5356320010521</v>
      </c>
      <c r="BT385" s="56" t="n">
        <v>12.6961326033804</v>
      </c>
      <c r="BU385" s="55"/>
      <c r="BV385" s="55"/>
      <c r="BW385" s="55"/>
      <c r="BX385" s="55"/>
      <c r="BY385" s="79" t="n">
        <v>0.100278551532033</v>
      </c>
      <c r="BZ385" s="80" t="n">
        <v>0.7918354</v>
      </c>
      <c r="CA385" s="81" t="n">
        <v>3.94</v>
      </c>
      <c r="CB385" s="81" t="n">
        <v>0.12</v>
      </c>
      <c r="CC385" s="82" t="n">
        <v>4.739887</v>
      </c>
      <c r="CD385" s="82" t="n">
        <v>3.562024</v>
      </c>
      <c r="CE385" s="83" t="n">
        <v>88.006392</v>
      </c>
      <c r="CF385" s="84" t="n">
        <v>33.946508</v>
      </c>
      <c r="CG385" s="80" t="n">
        <v>0.113</v>
      </c>
      <c r="CH385" s="63" t="n">
        <v>14943.7677842508</v>
      </c>
      <c r="CI385" s="63" t="n">
        <v>6098.37234907556</v>
      </c>
      <c r="CJ385" s="64" t="n">
        <v>1175118.8058349</v>
      </c>
      <c r="CK385" s="65" t="n">
        <v>0.518957940149955</v>
      </c>
    </row>
    <row r="386" customFormat="false" ht="15" hidden="false" customHeight="false" outlineLevel="0" collapsed="false">
      <c r="A386" s="7" t="s">
        <v>73</v>
      </c>
      <c r="B386" s="66" t="n">
        <v>384</v>
      </c>
      <c r="C386" s="8" t="s">
        <v>463</v>
      </c>
      <c r="D386" s="67" t="n">
        <v>42086</v>
      </c>
      <c r="E386" s="4" t="s">
        <v>78</v>
      </c>
      <c r="F386" s="7" t="n">
        <v>2153</v>
      </c>
      <c r="G386" s="68" t="n">
        <v>1</v>
      </c>
      <c r="H386" s="68" t="n">
        <v>135</v>
      </c>
      <c r="I386" s="66" t="n">
        <v>1</v>
      </c>
      <c r="J386" s="69" t="n">
        <v>616.982142857143</v>
      </c>
      <c r="K386" s="31" t="n">
        <v>463.314186703493</v>
      </c>
      <c r="L386" s="31" t="n">
        <v>947.341134374413</v>
      </c>
      <c r="M386" s="31" t="n">
        <v>165.7526869362</v>
      </c>
      <c r="N386" s="31" t="n">
        <v>346.579024388768</v>
      </c>
      <c r="O386" s="32"/>
      <c r="P386" s="33" t="n">
        <v>40.5077983699295</v>
      </c>
      <c r="Q386" s="33" t="n">
        <v>15.3839917692641</v>
      </c>
      <c r="R386" s="31" t="n">
        <v>178.765055165284</v>
      </c>
      <c r="S386" s="34" t="s">
        <v>76</v>
      </c>
      <c r="T386" s="35" t="n">
        <v>20.7142629728571</v>
      </c>
      <c r="U386" s="35" t="n">
        <v>8.77076485714286</v>
      </c>
      <c r="V386" s="70" t="n">
        <v>29.48502783</v>
      </c>
      <c r="W386" s="35" t="n">
        <v>27.632828636693</v>
      </c>
      <c r="X386" s="35" t="n">
        <v>4.90520261266615</v>
      </c>
      <c r="Y386" s="35" t="n">
        <v>9.2559589230299</v>
      </c>
      <c r="Z386" s="35"/>
      <c r="AA386" s="35" t="n">
        <v>1.11518585470051</v>
      </c>
      <c r="AB386" s="35" t="n">
        <v>0.407028822067789</v>
      </c>
      <c r="AC386" s="71" t="n">
        <v>5.1934352556334</v>
      </c>
      <c r="AD386" s="38" t="n">
        <v>6.03577911650348</v>
      </c>
      <c r="AE386" s="38" t="n">
        <v>4.97775220140788</v>
      </c>
      <c r="AF386" s="38" t="n">
        <v>1.33512421448448</v>
      </c>
      <c r="AG386" s="72"/>
      <c r="AH386" s="72"/>
      <c r="AI386" s="73" t="n">
        <v>67.4360035732355</v>
      </c>
      <c r="AJ386" s="42" t="s">
        <v>16</v>
      </c>
      <c r="AK386" s="43" t="n">
        <v>795.293423112788</v>
      </c>
      <c r="AL386" s="43" t="n">
        <v>819.860924596115</v>
      </c>
      <c r="AM386" s="43" t="n">
        <v>727.814665384679</v>
      </c>
      <c r="AN386" s="74"/>
      <c r="AO386" s="75" t="n">
        <v>39.1357142857143</v>
      </c>
      <c r="AP386" s="76" t="n">
        <v>0.939257142857143</v>
      </c>
      <c r="AQ386" s="76" t="n">
        <v>1.09188642857143</v>
      </c>
      <c r="AR386" s="76" t="n">
        <v>1.82372428571429</v>
      </c>
      <c r="AS386" s="77" t="n">
        <v>29.7431428571429</v>
      </c>
      <c r="AT386" s="78" t="n">
        <v>29.7362130937216</v>
      </c>
      <c r="AU386" s="78" t="n">
        <v>24</v>
      </c>
      <c r="AV386" s="78" t="n">
        <v>27.9</v>
      </c>
      <c r="AW386" s="78" t="n">
        <v>46.6</v>
      </c>
      <c r="AX386" s="78" t="n">
        <v>40</v>
      </c>
      <c r="AY386" s="48" t="n">
        <v>1.00851907840039</v>
      </c>
      <c r="AZ386" s="48" t="n">
        <v>22.766989478502</v>
      </c>
      <c r="BA386" s="48" t="n">
        <v>6.71803835149797</v>
      </c>
      <c r="BB386" s="49" t="n">
        <f aca="false">AT386/V386</f>
        <v>1.00851907840039</v>
      </c>
      <c r="BC386" s="49" t="n">
        <f aca="false">AS386/V386</f>
        <v>1.0087541049183</v>
      </c>
      <c r="BD386" s="49" t="n">
        <f aca="false">SUM(AP386:AR386)/V386</f>
        <v>0.130739841229543</v>
      </c>
      <c r="BE386" s="50" t="n">
        <v>6.37</v>
      </c>
      <c r="BF386" s="51" t="n">
        <v>128.328086739882</v>
      </c>
      <c r="BG386" s="51" t="n">
        <v>481.33603502898</v>
      </c>
      <c r="BH386" s="51" t="n">
        <v>240.821352450788</v>
      </c>
      <c r="BI386" s="51" t="n">
        <v>227.667456444738</v>
      </c>
      <c r="BJ386" s="51" t="n">
        <v>9.32704389827088</v>
      </c>
      <c r="BK386" s="51" t="n">
        <v>22.1426002135383</v>
      </c>
      <c r="BL386" s="51" t="n">
        <v>13.7303875855768</v>
      </c>
      <c r="BM386" s="51"/>
      <c r="BN386" s="52" t="n">
        <f aca="false">(BG386*0.5-BH386*0.25+BI386*0.5)/SUM(BG386:BI386)*1000</f>
        <v>309.842819448881</v>
      </c>
      <c r="BO386" s="53" t="n">
        <v>6.14592206</v>
      </c>
      <c r="BP386" s="54" t="s">
        <v>77</v>
      </c>
      <c r="BQ386" s="55" t="n">
        <v>335.894826827488</v>
      </c>
      <c r="BR386" s="56" t="n">
        <v>11.3920471353846</v>
      </c>
      <c r="BS386" s="56" t="n">
        <v>14.8264706935323</v>
      </c>
      <c r="BT386" s="56" t="n">
        <v>11.2958171832044</v>
      </c>
      <c r="BU386" s="55"/>
      <c r="BV386" s="55"/>
      <c r="BW386" s="55"/>
      <c r="BX386" s="55"/>
      <c r="BY386" s="79" t="n">
        <v>0.0902506963788301</v>
      </c>
      <c r="BZ386" s="80" t="n">
        <v>0.8738698</v>
      </c>
      <c r="CA386" s="81" t="n">
        <v>3.16</v>
      </c>
      <c r="CB386" s="81" t="n">
        <v>0.03</v>
      </c>
      <c r="CC386" s="82" t="n">
        <v>6.154971</v>
      </c>
      <c r="CD386" s="82" t="n">
        <v>6.299752</v>
      </c>
      <c r="CE386" s="83" t="n">
        <v>84.75856</v>
      </c>
      <c r="CF386" s="84" t="n">
        <v>34.579595</v>
      </c>
      <c r="CG386" s="80" t="n">
        <v>0.113</v>
      </c>
      <c r="CH386" s="63" t="n">
        <v>30701.0454073107</v>
      </c>
      <c r="CI386" s="63" t="n">
        <v>10120.4445349821</v>
      </c>
      <c r="CJ386" s="64" t="n">
        <v>1042503.74635774</v>
      </c>
      <c r="CK386" s="65" t="n">
        <v>0.970782557889175</v>
      </c>
    </row>
    <row r="387" customFormat="false" ht="15" hidden="false" customHeight="false" outlineLevel="0" collapsed="false">
      <c r="A387" s="7" t="s">
        <v>73</v>
      </c>
      <c r="B387" s="66" t="n">
        <v>385</v>
      </c>
      <c r="C387" s="8" t="s">
        <v>464</v>
      </c>
      <c r="D387" s="67" t="n">
        <v>42086</v>
      </c>
      <c r="E387" s="4" t="s">
        <v>78</v>
      </c>
      <c r="F387" s="7" t="n">
        <v>2156</v>
      </c>
      <c r="G387" s="68" t="n">
        <v>1</v>
      </c>
      <c r="H387" s="68" t="n">
        <v>120</v>
      </c>
      <c r="I387" s="66" t="n">
        <v>1</v>
      </c>
      <c r="J387" s="69" t="n">
        <v>635.19880952381</v>
      </c>
      <c r="K387" s="31" t="n">
        <v>463.314186703493</v>
      </c>
      <c r="L387" s="31" t="n">
        <v>947.341134374413</v>
      </c>
      <c r="M387" s="31" t="n">
        <v>165.7526869362</v>
      </c>
      <c r="N387" s="31" t="n">
        <v>346.579024388768</v>
      </c>
      <c r="O387" s="32"/>
      <c r="P387" s="33" t="n">
        <v>40.5077983699295</v>
      </c>
      <c r="Q387" s="33" t="n">
        <v>15.3839917692641</v>
      </c>
      <c r="R387" s="31" t="n">
        <v>178.765055165284</v>
      </c>
      <c r="S387" s="34" t="s">
        <v>76</v>
      </c>
      <c r="T387" s="35" t="n">
        <v>19.2144397242857</v>
      </c>
      <c r="U387" s="35" t="n">
        <v>9.13273128571429</v>
      </c>
      <c r="V387" s="70" t="n">
        <v>28.34717101</v>
      </c>
      <c r="W387" s="35" t="n">
        <v>26.5447321721771</v>
      </c>
      <c r="X387" s="35" t="n">
        <v>4.72083562371733</v>
      </c>
      <c r="Y387" s="35" t="n">
        <v>8.81840234189968</v>
      </c>
      <c r="Z387" s="35"/>
      <c r="AA387" s="35" t="n">
        <v>1.06716670179696</v>
      </c>
      <c r="AB387" s="35" t="n">
        <v>0.386529877069484</v>
      </c>
      <c r="AC387" s="71" t="n">
        <v>4.992978455881</v>
      </c>
      <c r="AD387" s="38" t="n">
        <v>6.01391905723305</v>
      </c>
      <c r="AE387" s="38" t="n">
        <v>4.91801081769563</v>
      </c>
      <c r="AF387" s="38" t="n">
        <v>1.16676162774919</v>
      </c>
      <c r="AG387" s="72"/>
      <c r="AH387" s="72"/>
      <c r="AI387" s="73" t="n">
        <v>64.2725439752299</v>
      </c>
      <c r="AJ387" s="42" t="s">
        <v>16</v>
      </c>
      <c r="AK387" s="43" t="n">
        <v>787.847646062758</v>
      </c>
      <c r="AL387" s="43" t="n">
        <v>814.727427430952</v>
      </c>
      <c r="AM387" s="43" t="n">
        <v>752.848495319893</v>
      </c>
      <c r="AN387" s="74"/>
      <c r="AO387" s="75" t="n">
        <v>35.95</v>
      </c>
      <c r="AP387" s="76" t="n">
        <v>1.10726</v>
      </c>
      <c r="AQ387" s="76" t="n">
        <v>0.967055</v>
      </c>
      <c r="AR387" s="76" t="n">
        <v>1.722005</v>
      </c>
      <c r="AS387" s="77" t="n">
        <v>30.9889</v>
      </c>
      <c r="AT387" s="78" t="n">
        <v>30.2665339808917</v>
      </c>
      <c r="AU387" s="78" t="n">
        <v>30.8</v>
      </c>
      <c r="AV387" s="78" t="n">
        <v>26.9</v>
      </c>
      <c r="AW387" s="78" t="n">
        <v>47.9</v>
      </c>
      <c r="AX387" s="78" t="n">
        <v>33</v>
      </c>
      <c r="AY387" s="48" t="n">
        <v>1.06770915412387</v>
      </c>
      <c r="AZ387" s="48" t="n">
        <v>23.3384757562803</v>
      </c>
      <c r="BA387" s="48" t="n">
        <v>5.00869525371969</v>
      </c>
      <c r="BB387" s="49" t="n">
        <f aca="false">AT387/V387</f>
        <v>1.06770915412387</v>
      </c>
      <c r="BC387" s="49" t="n">
        <f aca="false">AS387/V387</f>
        <v>1.09319197986522</v>
      </c>
      <c r="BD387" s="49" t="n">
        <f aca="false">SUM(AP387:AR387)/V387</f>
        <v>0.133922358554255</v>
      </c>
      <c r="BE387" s="50" t="n">
        <v>6.57</v>
      </c>
      <c r="BF387" s="51" t="n">
        <v>95.2133507402479</v>
      </c>
      <c r="BG387" s="51" t="n">
        <v>500.120189048238</v>
      </c>
      <c r="BH387" s="51" t="n">
        <v>230.153113207188</v>
      </c>
      <c r="BI387" s="51" t="n">
        <v>216.833166959828</v>
      </c>
      <c r="BJ387" s="51" t="n">
        <v>9.53555616122453</v>
      </c>
      <c r="BK387" s="51" t="n">
        <v>23.2439181453305</v>
      </c>
      <c r="BL387" s="51" t="n">
        <v>15.1389321000818</v>
      </c>
      <c r="BM387" s="51"/>
      <c r="BN387" s="52" t="n">
        <f aca="false">(BG387*0.5-BH387*0.25+BI387*0.5)/SUM(BG387:BI387)*1000</f>
        <v>317.745057693023</v>
      </c>
      <c r="BO387" s="53" t="n">
        <v>6.14644888</v>
      </c>
      <c r="BP387" s="54" t="s">
        <v>77</v>
      </c>
      <c r="BQ387" s="55" t="n">
        <v>297.75471796433</v>
      </c>
      <c r="BR387" s="56" t="n">
        <v>10.5038600804042</v>
      </c>
      <c r="BS387" s="56" t="n">
        <v>13.7679083705691</v>
      </c>
      <c r="BT387" s="56" t="n">
        <v>9.83775407360199</v>
      </c>
      <c r="BU387" s="55"/>
      <c r="BV387" s="55"/>
      <c r="BW387" s="55"/>
      <c r="BX387" s="55"/>
      <c r="BY387" s="79" t="n">
        <v>0.100278551532033</v>
      </c>
      <c r="BZ387" s="80" t="n">
        <v>0.7605842</v>
      </c>
      <c r="CA387" s="81" t="n">
        <v>3.03</v>
      </c>
      <c r="CB387" s="81" t="n">
        <v>0.831</v>
      </c>
      <c r="CC387" s="82" t="n">
        <v>5.898792</v>
      </c>
      <c r="CD387" s="82" t="n">
        <v>5.7162</v>
      </c>
      <c r="CE387" s="83" t="n">
        <v>85.206808</v>
      </c>
      <c r="CF387" s="84" t="n">
        <v>31.866365</v>
      </c>
      <c r="CG387" s="80" t="n">
        <v>1.121</v>
      </c>
      <c r="CH387" s="63" t="n">
        <v>51695.979942575</v>
      </c>
      <c r="CI387" s="63" t="n">
        <v>16664.3726254837</v>
      </c>
      <c r="CJ387" s="64" t="n">
        <v>650871.822846406</v>
      </c>
      <c r="CK387" s="65" t="n">
        <v>2.56031557067669</v>
      </c>
    </row>
    <row r="388" customFormat="false" ht="15" hidden="false" customHeight="false" outlineLevel="0" collapsed="false">
      <c r="A388" s="7" t="s">
        <v>73</v>
      </c>
      <c r="B388" s="66" t="n">
        <v>386</v>
      </c>
      <c r="C388" s="8" t="s">
        <v>465</v>
      </c>
      <c r="D388" s="67" t="n">
        <v>42086</v>
      </c>
      <c r="E388" s="4" t="s">
        <v>78</v>
      </c>
      <c r="F388" s="86" t="s">
        <v>466</v>
      </c>
      <c r="G388" s="68" t="n">
        <v>1</v>
      </c>
      <c r="H388" s="68" t="n">
        <v>136</v>
      </c>
      <c r="I388" s="66" t="n">
        <v>1</v>
      </c>
      <c r="J388" s="69" t="n">
        <v>619.702380952381</v>
      </c>
      <c r="K388" s="31" t="n">
        <v>463.314186703493</v>
      </c>
      <c r="L388" s="31" t="n">
        <v>947.341134374413</v>
      </c>
      <c r="M388" s="31" t="n">
        <v>165.7526869362</v>
      </c>
      <c r="N388" s="31" t="n">
        <v>346.579024388768</v>
      </c>
      <c r="O388" s="32"/>
      <c r="P388" s="33" t="n">
        <v>40.5077983699295</v>
      </c>
      <c r="Q388" s="33" t="n">
        <v>15.3839917692641</v>
      </c>
      <c r="R388" s="31" t="n">
        <v>178.765055165284</v>
      </c>
      <c r="S388" s="34" t="s">
        <v>76</v>
      </c>
      <c r="T388" s="35" t="n">
        <v>16.08896483</v>
      </c>
      <c r="U388" s="35" t="n">
        <v>6.760902</v>
      </c>
      <c r="V388" s="70" t="n">
        <v>22.84986683</v>
      </c>
      <c r="W388" s="35" t="n">
        <v>21.3934871279375</v>
      </c>
      <c r="X388" s="35" t="n">
        <v>3.76606428572078</v>
      </c>
      <c r="Y388" s="35" t="n">
        <v>7.21188708022823</v>
      </c>
      <c r="Z388" s="35"/>
      <c r="AA388" s="35" t="n">
        <v>0.8510375114568</v>
      </c>
      <c r="AB388" s="35" t="n">
        <v>0.326435178636482</v>
      </c>
      <c r="AC388" s="71" t="n">
        <v>3.96306097522618</v>
      </c>
      <c r="AD388" s="38" t="n">
        <v>4.38454821246753</v>
      </c>
      <c r="AE388" s="38" t="n">
        <v>3.56078662919845</v>
      </c>
      <c r="AF388" s="38" t="n">
        <v>1.06025374348324</v>
      </c>
      <c r="AG388" s="72"/>
      <c r="AH388" s="72"/>
      <c r="AI388" s="73" t="n">
        <v>74.4512690516799</v>
      </c>
      <c r="AJ388" s="42" t="s">
        <v>16</v>
      </c>
      <c r="AK388" s="43" t="n">
        <v>808.114933662941</v>
      </c>
      <c r="AL388" s="43" t="n">
        <v>833.557446343169</v>
      </c>
      <c r="AM388" s="43" t="n">
        <v>718.471682094422</v>
      </c>
      <c r="AN388" s="74"/>
      <c r="AO388" s="75" t="n">
        <v>30.1357142857143</v>
      </c>
      <c r="AP388" s="76" t="n">
        <v>1.15721142857143</v>
      </c>
      <c r="AQ388" s="76" t="n">
        <v>1.01764540178571</v>
      </c>
      <c r="AR388" s="76" t="n">
        <v>1.39132825892857</v>
      </c>
      <c r="AS388" s="77" t="n">
        <v>29.4124571428571</v>
      </c>
      <c r="AT388" s="78" t="n">
        <v>29.4855398490105</v>
      </c>
      <c r="AU388" s="78" t="n">
        <v>38.4</v>
      </c>
      <c r="AV388" s="78" t="n">
        <v>33.76875</v>
      </c>
      <c r="AW388" s="78" t="n">
        <v>46.16875</v>
      </c>
      <c r="AX388" s="78" t="n">
        <v>39</v>
      </c>
      <c r="AY388" s="48" t="n">
        <v>1.29040313750531</v>
      </c>
      <c r="AZ388" s="48" t="n">
        <v>22.6921657734842</v>
      </c>
      <c r="BA388" s="48" t="n">
        <v>0.15770105651578</v>
      </c>
      <c r="BB388" s="49" t="n">
        <f aca="false">AT388/V388</f>
        <v>1.29040313750531</v>
      </c>
      <c r="BC388" s="49" t="n">
        <f aca="false">AS388/V388</f>
        <v>1.28720475098091</v>
      </c>
      <c r="BD388" s="49" t="n">
        <f aca="false">SUM(AP388:AR388)/V388</f>
        <v>0.156070278913118</v>
      </c>
      <c r="BE388" s="50" t="n">
        <v>6.39</v>
      </c>
      <c r="BF388" s="51" t="n">
        <v>136.354048076748</v>
      </c>
      <c r="BG388" s="51" t="n">
        <v>552.791446957322</v>
      </c>
      <c r="BH388" s="51" t="n">
        <v>194.677519433032</v>
      </c>
      <c r="BI388" s="51" t="n">
        <v>200.045833054146</v>
      </c>
      <c r="BJ388" s="51" t="n">
        <v>9.88369497203793</v>
      </c>
      <c r="BK388" s="51" t="n">
        <v>19.9867621674113</v>
      </c>
      <c r="BL388" s="51" t="n">
        <v>17.6396190379414</v>
      </c>
      <c r="BM388" s="51"/>
      <c r="BN388" s="52" t="n">
        <f aca="false">(BG388*0.5-BH388*0.25+BI388*0.5)/SUM(BG388:BI388)*1000</f>
        <v>345.904106552875</v>
      </c>
      <c r="BO388" s="53" t="n">
        <v>4.1631008</v>
      </c>
      <c r="BP388" s="54" t="s">
        <v>77</v>
      </c>
      <c r="BQ388" s="55" t="n">
        <v>315.595151295921</v>
      </c>
      <c r="BR388" s="56" t="n">
        <v>13.8116844900632</v>
      </c>
      <c r="BS388" s="56" t="n">
        <v>17.6975523879985</v>
      </c>
      <c r="BT388" s="56" t="n">
        <v>10.7033872505649</v>
      </c>
      <c r="BU388" s="55"/>
      <c r="BV388" s="55"/>
      <c r="BW388" s="55"/>
      <c r="BX388" s="55"/>
      <c r="BY388" s="79" t="n">
        <v>0.0902506963788301</v>
      </c>
      <c r="BZ388" s="80" t="n">
        <v>0.8064844</v>
      </c>
      <c r="CA388" s="81" t="n">
        <v>3.64</v>
      </c>
      <c r="CB388" s="81" t="n">
        <v>0.659</v>
      </c>
      <c r="CC388" s="82" t="n">
        <v>5.825598</v>
      </c>
      <c r="CD388" s="82" t="n">
        <v>4.306984</v>
      </c>
      <c r="CE388" s="83" t="n">
        <v>76.69796</v>
      </c>
      <c r="CF388" s="84" t="n">
        <v>33.42396</v>
      </c>
      <c r="CG388" s="80" t="n">
        <v>0.407</v>
      </c>
      <c r="CH388" s="63" t="n">
        <v>80431.4050761393</v>
      </c>
      <c r="CI388" s="63" t="n">
        <v>7725.25859575551</v>
      </c>
      <c r="CJ388" s="64" t="n">
        <v>712944.89434602</v>
      </c>
      <c r="CK388" s="65" t="n">
        <v>1.083570224995</v>
      </c>
    </row>
    <row r="389" customFormat="false" ht="15" hidden="false" customHeight="false" outlineLevel="0" collapsed="false">
      <c r="A389" s="7" t="s">
        <v>73</v>
      </c>
      <c r="B389" s="66" t="n">
        <v>387</v>
      </c>
      <c r="C389" s="8" t="s">
        <v>467</v>
      </c>
      <c r="D389" s="67" t="n">
        <v>42086</v>
      </c>
      <c r="E389" s="4" t="s">
        <v>78</v>
      </c>
      <c r="F389" s="7" t="n">
        <v>2164</v>
      </c>
      <c r="G389" s="68" t="n">
        <v>1</v>
      </c>
      <c r="H389" s="68" t="n">
        <v>103</v>
      </c>
      <c r="I389" s="66" t="n">
        <v>1</v>
      </c>
      <c r="J389" s="69" t="n">
        <v>662.338095238095</v>
      </c>
      <c r="K389" s="31" t="n">
        <v>463.314186703493</v>
      </c>
      <c r="L389" s="31" t="n">
        <v>947.341134374413</v>
      </c>
      <c r="M389" s="31" t="n">
        <v>165.7526869362</v>
      </c>
      <c r="N389" s="31" t="n">
        <v>346.579024388768</v>
      </c>
      <c r="O389" s="32"/>
      <c r="P389" s="33" t="n">
        <v>40.5077983699295</v>
      </c>
      <c r="Q389" s="33" t="n">
        <v>15.3839917692641</v>
      </c>
      <c r="R389" s="31" t="n">
        <v>178.765055165284</v>
      </c>
      <c r="S389" s="34" t="s">
        <v>76</v>
      </c>
      <c r="T389" s="35" t="n">
        <v>21.5349255957143</v>
      </c>
      <c r="U389" s="35" t="n">
        <v>8.73852771428571</v>
      </c>
      <c r="V389" s="70" t="n">
        <v>30.27345331</v>
      </c>
      <c r="W389" s="35" t="n">
        <v>28.3785224764285</v>
      </c>
      <c r="X389" s="35" t="n">
        <v>5.03215110610844</v>
      </c>
      <c r="Y389" s="35" t="n">
        <v>9.53638281911889</v>
      </c>
      <c r="Z389" s="35"/>
      <c r="AA389" s="35" t="n">
        <v>1.14600605482128</v>
      </c>
      <c r="AB389" s="35" t="n">
        <v>0.420455200197602</v>
      </c>
      <c r="AC389" s="71" t="n">
        <v>5.3282055616926</v>
      </c>
      <c r="AD389" s="38" t="n">
        <v>6.31982814705433</v>
      </c>
      <c r="AE389" s="38" t="n">
        <v>5.18701576966154</v>
      </c>
      <c r="AF389" s="38" t="n">
        <v>1.39644400407645</v>
      </c>
      <c r="AG389" s="72"/>
      <c r="AH389" s="72"/>
      <c r="AI389" s="73" t="n">
        <v>66.5295306160463</v>
      </c>
      <c r="AJ389" s="42" t="s">
        <v>16</v>
      </c>
      <c r="AK389" s="43" t="n">
        <v>791.241914744931</v>
      </c>
      <c r="AL389" s="43" t="n">
        <v>817.22037241474</v>
      </c>
      <c r="AM389" s="43" t="n">
        <v>722.495613778106</v>
      </c>
      <c r="AN389" s="74"/>
      <c r="AO389" s="75" t="n">
        <v>35.9142857142857</v>
      </c>
      <c r="AP389" s="76" t="n">
        <v>1.29273010989011</v>
      </c>
      <c r="AQ389" s="76" t="n">
        <v>1.16132065934066</v>
      </c>
      <c r="AR389" s="76" t="n">
        <v>1.71446205128205</v>
      </c>
      <c r="AS389" s="77" t="n">
        <v>33.7566659340659</v>
      </c>
      <c r="AT389" s="78" t="n">
        <v>33.9860354163459</v>
      </c>
      <c r="AU389" s="78" t="n">
        <v>35.9948717948718</v>
      </c>
      <c r="AV389" s="78" t="n">
        <v>32.3358974358974</v>
      </c>
      <c r="AW389" s="78" t="n">
        <v>47.7376068376068</v>
      </c>
      <c r="AX389" s="78" t="n">
        <v>38.5470085470086</v>
      </c>
      <c r="AY389" s="48" t="n">
        <v>1.12263490617767</v>
      </c>
      <c r="AZ389" s="48" t="n">
        <v>24.4571602585499</v>
      </c>
      <c r="BA389" s="48" t="n">
        <v>5.81629305145009</v>
      </c>
      <c r="BB389" s="49" t="n">
        <f aca="false">AT389/V389</f>
        <v>1.12263490617767</v>
      </c>
      <c r="BC389" s="49" t="n">
        <f aca="false">AS389/V389</f>
        <v>1.11505831820367</v>
      </c>
      <c r="BD389" s="49" t="n">
        <f aca="false">SUM(AP389:AR389)/V389</f>
        <v>0.13769531932242</v>
      </c>
      <c r="BE389" s="50" t="n">
        <v>6.25</v>
      </c>
      <c r="BF389" s="51" t="n">
        <v>142.734247085082</v>
      </c>
      <c r="BG389" s="51" t="n">
        <v>483.985372729134</v>
      </c>
      <c r="BH389" s="51" t="n">
        <v>250.999629994357</v>
      </c>
      <c r="BI389" s="51" t="n">
        <v>209.959935356801</v>
      </c>
      <c r="BJ389" s="51" t="n">
        <v>14.6771058515372</v>
      </c>
      <c r="BK389" s="51" t="n">
        <v>18.9803625389576</v>
      </c>
      <c r="BL389" s="51" t="n">
        <v>16.4224691511034</v>
      </c>
      <c r="BM389" s="51"/>
      <c r="BN389" s="52" t="n">
        <f aca="false">(BG389*0.5-BH389*0.25+BI389*0.5)/SUM(BG389:BI389)*1000</f>
        <v>300.782336716669</v>
      </c>
      <c r="BO389" s="53" t="n">
        <v>4.89003288</v>
      </c>
      <c r="BP389" s="54" t="s">
        <v>77</v>
      </c>
      <c r="BQ389" s="55" t="n">
        <v>304.482044606984</v>
      </c>
      <c r="BR389" s="56" t="n">
        <v>10.0577242209235</v>
      </c>
      <c r="BS389" s="56" t="n">
        <v>13.1290324711046</v>
      </c>
      <c r="BT389" s="56" t="n">
        <v>8.9590339348773</v>
      </c>
      <c r="BU389" s="55"/>
      <c r="BV389" s="55"/>
      <c r="BW389" s="55"/>
      <c r="BX389" s="55"/>
      <c r="BY389" s="79" t="n">
        <v>0.130362116991643</v>
      </c>
      <c r="BZ389" s="80" t="n">
        <v>0.6180006</v>
      </c>
      <c r="CA389" s="81" t="n">
        <v>3.37</v>
      </c>
      <c r="CB389" s="81" t="n">
        <v>0.03</v>
      </c>
      <c r="CC389" s="82" t="n">
        <v>5.667011</v>
      </c>
      <c r="CD389" s="82" t="n">
        <v>5.834152</v>
      </c>
      <c r="CE389" s="83" t="n">
        <v>91.254224</v>
      </c>
      <c r="CF389" s="84" t="n">
        <v>35.202633</v>
      </c>
      <c r="CG389" s="80" t="n">
        <v>0.092</v>
      </c>
      <c r="CH389" s="63" t="n">
        <v>27848.5049233042</v>
      </c>
      <c r="CI389" s="63" t="n">
        <v>5998.30084352752</v>
      </c>
      <c r="CJ389" s="64" t="n">
        <v>871294.175577843</v>
      </c>
      <c r="CK389" s="65" t="n">
        <v>0.688435778828595</v>
      </c>
    </row>
    <row r="390" customFormat="false" ht="15" hidden="false" customHeight="false" outlineLevel="0" collapsed="false">
      <c r="A390" s="7" t="s">
        <v>73</v>
      </c>
      <c r="B390" s="66" t="n">
        <v>388</v>
      </c>
      <c r="C390" s="8" t="s">
        <v>468</v>
      </c>
      <c r="D390" s="67" t="n">
        <v>42086</v>
      </c>
      <c r="E390" s="4" t="s">
        <v>78</v>
      </c>
      <c r="F390" s="7" t="n">
        <v>2166</v>
      </c>
      <c r="G390" s="68" t="n">
        <v>1</v>
      </c>
      <c r="H390" s="68" t="n">
        <v>126</v>
      </c>
      <c r="I390" s="66" t="n">
        <v>1</v>
      </c>
      <c r="J390" s="69" t="n">
        <v>674.595238095238</v>
      </c>
      <c r="K390" s="31" t="n">
        <v>463.314186703493</v>
      </c>
      <c r="L390" s="31" t="n">
        <v>947.341134374413</v>
      </c>
      <c r="M390" s="31" t="n">
        <v>165.7526869362</v>
      </c>
      <c r="N390" s="31" t="n">
        <v>346.579024388768</v>
      </c>
      <c r="O390" s="32"/>
      <c r="P390" s="33" t="n">
        <v>40.5077983699295</v>
      </c>
      <c r="Q390" s="33" t="n">
        <v>15.3839917692641</v>
      </c>
      <c r="R390" s="31" t="n">
        <v>178.765055165284</v>
      </c>
      <c r="S390" s="34" t="s">
        <v>76</v>
      </c>
      <c r="T390" s="35" t="n">
        <v>10.0543099414286</v>
      </c>
      <c r="U390" s="35" t="n">
        <v>3.06181542857143</v>
      </c>
      <c r="V390" s="70" t="n">
        <v>13.11612537</v>
      </c>
      <c r="W390" s="35" t="n">
        <v>12.26183848868</v>
      </c>
      <c r="X390" s="35" t="n">
        <v>2.08674641760594</v>
      </c>
      <c r="Y390" s="35" t="n">
        <v>4.30226099783418</v>
      </c>
      <c r="Z390" s="35"/>
      <c r="AA390" s="35" t="n">
        <v>0.467750579840655</v>
      </c>
      <c r="AB390" s="35" t="n">
        <v>0.214237377087637</v>
      </c>
      <c r="AC390" s="71" t="n">
        <v>2.15299958975721</v>
      </c>
      <c r="AD390" s="38" t="n">
        <v>2.68267752861656</v>
      </c>
      <c r="AE390" s="38" t="n">
        <v>2.19094697372466</v>
      </c>
      <c r="AF390" s="38" t="n">
        <v>0.627296356082347</v>
      </c>
      <c r="AG390" s="72"/>
      <c r="AH390" s="72"/>
      <c r="AI390" s="73" t="n">
        <v>79.8595339180099</v>
      </c>
      <c r="AJ390" s="42" t="s">
        <v>16</v>
      </c>
      <c r="AK390" s="43" t="n">
        <v>795.467224280081</v>
      </c>
      <c r="AL390" s="43" t="n">
        <v>821.319863595715</v>
      </c>
      <c r="AM390" s="43" t="n">
        <v>699.390232186418</v>
      </c>
      <c r="AN390" s="74"/>
      <c r="AO390" s="75" t="n">
        <v>23.7214285714286</v>
      </c>
      <c r="AP390" s="76" t="n">
        <v>0.766615268860353</v>
      </c>
      <c r="AQ390" s="76" t="n">
        <v>0.702154285714286</v>
      </c>
      <c r="AR390" s="76" t="n">
        <v>1.11485383627608</v>
      </c>
      <c r="AS390" s="77" t="n">
        <v>20.9878004614767</v>
      </c>
      <c r="AT390" s="78" t="n">
        <v>20.7911511258192</v>
      </c>
      <c r="AU390" s="78" t="n">
        <v>32.3174157303371</v>
      </c>
      <c r="AV390" s="78" t="n">
        <v>29.6</v>
      </c>
      <c r="AW390" s="78" t="n">
        <v>46.9977528089888</v>
      </c>
      <c r="AX390" s="78" t="n">
        <v>33.4887640449438</v>
      </c>
      <c r="AY390" s="48" t="n">
        <v>1.58515952991529</v>
      </c>
      <c r="AZ390" s="48" t="n">
        <v>20.2990354823942</v>
      </c>
      <c r="BA390" s="48" t="n">
        <v>-7.18291011239418</v>
      </c>
      <c r="BB390" s="49" t="n">
        <f aca="false">AT390/V390</f>
        <v>1.58515952991529</v>
      </c>
      <c r="BC390" s="49" t="n">
        <f aca="false">AS390/V390</f>
        <v>1.60015247410499</v>
      </c>
      <c r="BD390" s="49" t="n">
        <f aca="false">SUM(AP390:AR390)/V390</f>
        <v>0.196980687357575</v>
      </c>
      <c r="BE390" s="50" t="n">
        <v>6.36</v>
      </c>
      <c r="BF390" s="51" t="n">
        <v>195.15426789298</v>
      </c>
      <c r="BG390" s="51" t="n">
        <v>554.670295085254</v>
      </c>
      <c r="BH390" s="51" t="n">
        <v>226.47722036214</v>
      </c>
      <c r="BI390" s="51" t="n">
        <v>185.338147811814</v>
      </c>
      <c r="BJ390" s="51" t="n">
        <v>8.23968797542812</v>
      </c>
      <c r="BK390" s="51" t="n">
        <v>12.4935042304588</v>
      </c>
      <c r="BL390" s="51" t="n">
        <v>7.80602015679527</v>
      </c>
      <c r="BM390" s="51"/>
      <c r="BN390" s="52" t="n">
        <f aca="false">(BG390*0.5-BH390*0.25+BI390*0.5)/SUM(BG390:BI390)*1000</f>
        <v>324.252007320206</v>
      </c>
      <c r="BO390" s="53" t="n">
        <v>3.67129942</v>
      </c>
      <c r="BP390" s="54" t="s">
        <v>77</v>
      </c>
      <c r="BQ390" s="55" t="n">
        <v>414.173516442107</v>
      </c>
      <c r="BR390" s="56" t="n">
        <v>31.5774289097167</v>
      </c>
      <c r="BS390" s="56" t="n">
        <v>41.125804585131</v>
      </c>
      <c r="BT390" s="56" t="n">
        <v>19.9206630713088</v>
      </c>
      <c r="BU390" s="55"/>
      <c r="BV390" s="55"/>
      <c r="BW390" s="55"/>
      <c r="BX390" s="55"/>
      <c r="BY390" s="79" t="n">
        <v>0.0601671309192201</v>
      </c>
      <c r="BZ390" s="80" t="n">
        <v>0.7176138</v>
      </c>
      <c r="CA390" s="81" t="n">
        <v>3.74</v>
      </c>
      <c r="CB390" s="81" t="n">
        <v>0.399</v>
      </c>
      <c r="CC390" s="82" t="n">
        <v>4.642295</v>
      </c>
      <c r="CD390" s="82" t="n">
        <v>3.847592</v>
      </c>
      <c r="CE390" s="83" t="n">
        <v>84.310312</v>
      </c>
      <c r="CF390" s="84" t="n">
        <v>30.379113</v>
      </c>
      <c r="CG390" s="80" t="n">
        <v>0.785</v>
      </c>
      <c r="CH390" s="63" t="n">
        <v>72463.1862317406</v>
      </c>
      <c r="CI390" s="63" t="n">
        <v>6827.12627478566</v>
      </c>
      <c r="CJ390" s="64" t="n">
        <v>504264.816885269</v>
      </c>
      <c r="CK390" s="65" t="n">
        <v>1.35387717845463</v>
      </c>
    </row>
    <row r="391" customFormat="false" ht="15" hidden="false" customHeight="false" outlineLevel="0" collapsed="false">
      <c r="A391" s="7" t="s">
        <v>73</v>
      </c>
      <c r="B391" s="66" t="n">
        <v>389</v>
      </c>
      <c r="C391" s="8" t="s">
        <v>469</v>
      </c>
      <c r="D391" s="67" t="n">
        <v>42086</v>
      </c>
      <c r="E391" s="4" t="s">
        <v>78</v>
      </c>
      <c r="F391" s="7" t="n">
        <v>2173</v>
      </c>
      <c r="G391" s="68" t="n">
        <v>1</v>
      </c>
      <c r="H391" s="68" t="n">
        <v>141</v>
      </c>
      <c r="I391" s="66" t="n">
        <v>1</v>
      </c>
      <c r="J391" s="69" t="n">
        <v>548.091666666667</v>
      </c>
      <c r="K391" s="31" t="n">
        <v>463.314186703493</v>
      </c>
      <c r="L391" s="31" t="n">
        <v>947.341134374413</v>
      </c>
      <c r="M391" s="31" t="n">
        <v>165.7526869362</v>
      </c>
      <c r="N391" s="31" t="n">
        <v>346.579024388768</v>
      </c>
      <c r="O391" s="32"/>
      <c r="P391" s="33" t="n">
        <v>40.5077983699295</v>
      </c>
      <c r="Q391" s="33" t="n">
        <v>15.3839917692641</v>
      </c>
      <c r="R391" s="31" t="n">
        <v>178.765055165284</v>
      </c>
      <c r="S391" s="34" t="s">
        <v>76</v>
      </c>
      <c r="T391" s="35" t="n">
        <v>18.5297108585714</v>
      </c>
      <c r="U391" s="35" t="n">
        <v>7.98686457142857</v>
      </c>
      <c r="V391" s="70" t="n">
        <v>26.51657543</v>
      </c>
      <c r="W391" s="35" t="n">
        <v>24.8397587734204</v>
      </c>
      <c r="X391" s="35" t="n">
        <v>4.39935424220383</v>
      </c>
      <c r="Y391" s="35" t="n">
        <v>8.32531117658955</v>
      </c>
      <c r="Z391" s="35"/>
      <c r="AA391" s="35" t="n">
        <v>0.99733061046264</v>
      </c>
      <c r="AB391" s="35" t="n">
        <v>0.369272463848646</v>
      </c>
      <c r="AC391" s="71" t="n">
        <v>4.64820949527705</v>
      </c>
      <c r="AD391" s="38" t="n">
        <v>6.00334068176116</v>
      </c>
      <c r="AE391" s="38" t="n">
        <v>4.97783412866504</v>
      </c>
      <c r="AF391" s="38" t="n">
        <v>1.41472759439822</v>
      </c>
      <c r="AG391" s="72"/>
      <c r="AH391" s="72"/>
      <c r="AI391" s="73" t="n">
        <v>61.5111624383635</v>
      </c>
      <c r="AJ391" s="42" t="s">
        <v>16</v>
      </c>
      <c r="AK391" s="43" t="n">
        <v>773.600452380847</v>
      </c>
      <c r="AL391" s="43" t="n">
        <v>799.602154993891</v>
      </c>
      <c r="AM391" s="43" t="n">
        <v>678.423805742562</v>
      </c>
      <c r="AN391" s="74"/>
      <c r="AO391" s="75" t="n">
        <v>33.5571428571429</v>
      </c>
      <c r="AP391" s="76" t="n">
        <v>1.02822136363636</v>
      </c>
      <c r="AQ391" s="76" t="n">
        <v>1.00366363636364</v>
      </c>
      <c r="AR391" s="76" t="n">
        <v>1.56086474025974</v>
      </c>
      <c r="AS391" s="77" t="n">
        <v>28.8461775974026</v>
      </c>
      <c r="AT391" s="78" t="n">
        <v>28.7200235313095</v>
      </c>
      <c r="AU391" s="78" t="n">
        <v>30.6409090909091</v>
      </c>
      <c r="AV391" s="78" t="n">
        <v>29.9090909090909</v>
      </c>
      <c r="AW391" s="78" t="n">
        <v>46.5136363636364</v>
      </c>
      <c r="AX391" s="78" t="n">
        <v>35.5681818181818</v>
      </c>
      <c r="AY391" s="48" t="n">
        <v>1.08309700877952</v>
      </c>
      <c r="AZ391" s="48" t="n">
        <v>21.4716838759583</v>
      </c>
      <c r="BA391" s="48" t="n">
        <v>5.04489155404171</v>
      </c>
      <c r="BB391" s="49" t="n">
        <f aca="false">AT391/V391</f>
        <v>1.08309700877952</v>
      </c>
      <c r="BC391" s="49" t="n">
        <f aca="false">AS391/V391</f>
        <v>1.08785456378228</v>
      </c>
      <c r="BD391" s="49" t="n">
        <f aca="false">SUM(AP391:AR391)/V391</f>
        <v>0.135490714091044</v>
      </c>
      <c r="BE391" s="50" t="n">
        <v>6.28</v>
      </c>
      <c r="BF391" s="51" t="n">
        <v>206.90415387007</v>
      </c>
      <c r="BG391" s="51" t="n">
        <v>506.195525103853</v>
      </c>
      <c r="BH391" s="51" t="n">
        <v>228.176166615265</v>
      </c>
      <c r="BI391" s="51" t="n">
        <v>223.76945346122</v>
      </c>
      <c r="BJ391" s="51" t="n">
        <v>7.81744861998354</v>
      </c>
      <c r="BK391" s="51" t="n">
        <v>17.5526573949086</v>
      </c>
      <c r="BL391" s="51" t="n">
        <v>11.5136244266611</v>
      </c>
      <c r="BM391" s="51"/>
      <c r="BN391" s="52" t="n">
        <f aca="false">(BG391*0.5-BH391*0.25+BI391*0.5)/SUM(BG391:BI391)*1000</f>
        <v>321.391528980588</v>
      </c>
      <c r="BO391" s="53" t="n">
        <v>11.33100396</v>
      </c>
      <c r="BP391" s="54" t="s">
        <v>77</v>
      </c>
      <c r="BQ391" s="55" t="n">
        <v>341.437969862353</v>
      </c>
      <c r="BR391" s="56" t="n">
        <v>12.8763976616702</v>
      </c>
      <c r="BS391" s="56" t="n">
        <v>17.1905782530754</v>
      </c>
      <c r="BT391" s="56" t="n">
        <v>11.8884989592759</v>
      </c>
      <c r="BU391" s="55"/>
      <c r="BV391" s="55"/>
      <c r="BW391" s="55"/>
      <c r="BX391" s="55"/>
      <c r="BY391" s="79" t="n">
        <v>0.0902506963788301</v>
      </c>
      <c r="BZ391" s="80" t="n">
        <v>1.3514272</v>
      </c>
      <c r="CA391" s="81" t="n">
        <v>2.76</v>
      </c>
      <c r="CB391" s="81" t="n">
        <v>0.145</v>
      </c>
      <c r="CC391" s="82" t="n">
        <v>5.142454</v>
      </c>
      <c r="CD391" s="82" t="n">
        <v>5.114024</v>
      </c>
      <c r="CE391" s="83" t="n">
        <v>87.558144</v>
      </c>
      <c r="CF391" s="84" t="n">
        <v>33.634989</v>
      </c>
      <c r="CG391" s="80" t="n">
        <v>0.0605</v>
      </c>
      <c r="CH391" s="63" t="n">
        <v>84439.1697763341</v>
      </c>
      <c r="CI391" s="63" t="n">
        <v>5856.04586397834</v>
      </c>
      <c r="CJ391" s="64" t="n">
        <v>624555.048369852</v>
      </c>
      <c r="CK391" s="65" t="n">
        <v>0.937634861692845</v>
      </c>
    </row>
    <row r="392" customFormat="false" ht="15" hidden="false" customHeight="false" outlineLevel="0" collapsed="false">
      <c r="A392" s="7" t="s">
        <v>73</v>
      </c>
      <c r="B392" s="66" t="n">
        <v>390</v>
      </c>
      <c r="C392" s="8" t="s">
        <v>470</v>
      </c>
      <c r="D392" s="67" t="n">
        <v>42086</v>
      </c>
      <c r="E392" s="4" t="s">
        <v>78</v>
      </c>
      <c r="F392" s="7" t="n">
        <v>2176</v>
      </c>
      <c r="G392" s="68" t="n">
        <v>1</v>
      </c>
      <c r="H392" s="68" t="n">
        <v>139</v>
      </c>
      <c r="I392" s="66" t="n">
        <v>1</v>
      </c>
      <c r="J392" s="69" t="n">
        <v>596.630952380952</v>
      </c>
      <c r="K392" s="31" t="n">
        <v>463.314186703493</v>
      </c>
      <c r="L392" s="31" t="n">
        <v>947.341134374413</v>
      </c>
      <c r="M392" s="31" t="n">
        <v>165.7526869362</v>
      </c>
      <c r="N392" s="31" t="n">
        <v>346.579024388768</v>
      </c>
      <c r="O392" s="32"/>
      <c r="P392" s="33" t="n">
        <v>40.5077983699295</v>
      </c>
      <c r="Q392" s="33" t="n">
        <v>15.3839917692641</v>
      </c>
      <c r="R392" s="31" t="n">
        <v>178.765055165284</v>
      </c>
      <c r="S392" s="34" t="s">
        <v>76</v>
      </c>
      <c r="T392" s="35" t="n">
        <v>11.1338108528571</v>
      </c>
      <c r="U392" s="35" t="n">
        <v>2.99375185714286</v>
      </c>
      <c r="V392" s="70" t="n">
        <v>14.12756271</v>
      </c>
      <c r="W392" s="35" t="n">
        <v>13.2221716003519</v>
      </c>
      <c r="X392" s="35" t="n">
        <v>2.25398958560919</v>
      </c>
      <c r="Y392" s="35" t="n">
        <v>4.6605397318741</v>
      </c>
      <c r="Z392" s="35"/>
      <c r="AA392" s="35" t="n">
        <v>0.509234196414775</v>
      </c>
      <c r="AB392" s="35" t="n">
        <v>0.230240270933832</v>
      </c>
      <c r="AC392" s="71" t="n">
        <v>2.33394261392635</v>
      </c>
      <c r="AD392" s="38" t="n">
        <v>2.04953771998472</v>
      </c>
      <c r="AE392" s="38"/>
      <c r="AF392" s="38" t="n">
        <v>0.440216224439348</v>
      </c>
      <c r="AG392" s="72"/>
      <c r="AH392" s="72"/>
      <c r="AI392" s="73"/>
      <c r="AJ392" s="42" t="s">
        <v>16</v>
      </c>
      <c r="AK392" s="43" t="n">
        <v>854.926305261842</v>
      </c>
      <c r="AL392" s="43"/>
      <c r="AM392" s="43" t="n">
        <v>804.694650210476</v>
      </c>
      <c r="AN392" s="74"/>
      <c r="AO392" s="75" t="n">
        <v>23.7428571428571</v>
      </c>
      <c r="AP392" s="76" t="n">
        <v>1.04468571428571</v>
      </c>
      <c r="AQ392" s="76" t="n">
        <v>0.923597142857143</v>
      </c>
      <c r="AR392" s="76" t="n">
        <v>1.09217142857143</v>
      </c>
      <c r="AS392" s="77" t="n">
        <v>25.1674285714286</v>
      </c>
      <c r="AT392" s="78" t="n">
        <v>25.7702249317561</v>
      </c>
      <c r="AU392" s="78" t="n">
        <v>44</v>
      </c>
      <c r="AV392" s="78" t="n">
        <v>38.9</v>
      </c>
      <c r="AW392" s="78" t="n">
        <v>46</v>
      </c>
      <c r="AX392" s="78" t="n">
        <v>50</v>
      </c>
      <c r="AY392" s="48" t="n">
        <v>1.82410975344778</v>
      </c>
      <c r="AZ392" s="48" t="n">
        <v>20.8181503568196</v>
      </c>
      <c r="BA392" s="48" t="n">
        <v>-6.69058764681962</v>
      </c>
      <c r="BB392" s="49" t="n">
        <f aca="false">AT392/V392</f>
        <v>1.82410975344778</v>
      </c>
      <c r="BC392" s="49" t="n">
        <f aca="false">AS392/V392</f>
        <v>1.78144164623769</v>
      </c>
      <c r="BD392" s="49" t="n">
        <f aca="false">SUM(AP392:AR392)/V392</f>
        <v>0.216630026603809</v>
      </c>
      <c r="BE392" s="50" t="n">
        <v>6.64</v>
      </c>
      <c r="BF392" s="51" t="n">
        <v>112.094306917534</v>
      </c>
      <c r="BG392" s="51" t="n">
        <v>575.351300338681</v>
      </c>
      <c r="BH392" s="51" t="n">
        <v>209.603359539498</v>
      </c>
      <c r="BI392" s="51" t="n">
        <v>169.958615920216</v>
      </c>
      <c r="BJ392" s="51" t="n">
        <v>8.33937412510947</v>
      </c>
      <c r="BK392" s="51" t="n">
        <v>17.5923494826617</v>
      </c>
      <c r="BL392" s="51" t="n">
        <v>14.1798762157241</v>
      </c>
      <c r="BM392" s="51"/>
      <c r="BN392" s="52" t="n">
        <f aca="false">(BG392*0.5-BH392*0.25+BI392*0.5)/SUM(BG392:BI392)*1000</f>
        <v>335.375082074141</v>
      </c>
      <c r="BO392" s="53" t="n">
        <v>5.4195168</v>
      </c>
      <c r="BP392" s="54" t="s">
        <v>77</v>
      </c>
      <c r="BQ392" s="55" t="n">
        <v>452.799141492754</v>
      </c>
      <c r="BR392" s="56" t="n">
        <v>32.0507613937008</v>
      </c>
      <c r="BS392" s="56"/>
      <c r="BT392" s="56" t="n">
        <v>17.570632103206</v>
      </c>
      <c r="BU392" s="55"/>
      <c r="BV392" s="55"/>
      <c r="BW392" s="55"/>
      <c r="BX392" s="55"/>
      <c r="BY392" s="79" t="n">
        <v>0.0701949860724234</v>
      </c>
      <c r="BZ392" s="80" t="n">
        <v>0.7322628</v>
      </c>
      <c r="CA392" s="81" t="n">
        <v>3.45</v>
      </c>
      <c r="CB392" s="81" t="n">
        <v>0.413</v>
      </c>
      <c r="CC392" s="82" t="n">
        <v>5.8012</v>
      </c>
      <c r="CD392" s="82" t="n">
        <v>5.0954</v>
      </c>
      <c r="CE392" s="83" t="n">
        <v>93.943712</v>
      </c>
      <c r="CF392" s="84" t="n">
        <v>33.866116</v>
      </c>
      <c r="CG392" s="80" t="n">
        <v>0.134</v>
      </c>
      <c r="CH392" s="63" t="n">
        <v>95468.8333632186</v>
      </c>
      <c r="CI392" s="63" t="n">
        <v>8479.38407624816</v>
      </c>
      <c r="CJ392" s="64" t="n">
        <v>647817.629968493</v>
      </c>
      <c r="CK392" s="65" t="n">
        <v>1.30891530023049</v>
      </c>
    </row>
    <row r="393" customFormat="false" ht="15" hidden="false" customHeight="false" outlineLevel="0" collapsed="false">
      <c r="A393" s="7" t="s">
        <v>73</v>
      </c>
      <c r="B393" s="66" t="n">
        <v>391</v>
      </c>
      <c r="C393" s="8" t="s">
        <v>471</v>
      </c>
      <c r="D393" s="67" t="n">
        <v>42086</v>
      </c>
      <c r="E393" s="4" t="s">
        <v>78</v>
      </c>
      <c r="F393" s="7" t="n">
        <v>2180</v>
      </c>
      <c r="G393" s="68" t="n">
        <v>1</v>
      </c>
      <c r="H393" s="68" t="n">
        <v>126</v>
      </c>
      <c r="I393" s="66" t="n">
        <v>1</v>
      </c>
      <c r="J393" s="69" t="n">
        <v>535.303571428571</v>
      </c>
      <c r="K393" s="31" t="n">
        <v>463.314186703493</v>
      </c>
      <c r="L393" s="31" t="n">
        <v>947.341134374413</v>
      </c>
      <c r="M393" s="31" t="n">
        <v>165.7526869362</v>
      </c>
      <c r="N393" s="31" t="n">
        <v>346.579024388768</v>
      </c>
      <c r="O393" s="32"/>
      <c r="P393" s="33" t="n">
        <v>40.5077983699295</v>
      </c>
      <c r="Q393" s="33" t="n">
        <v>15.3839917692641</v>
      </c>
      <c r="R393" s="31" t="n">
        <v>178.765055165284</v>
      </c>
      <c r="S393" s="34" t="s">
        <v>76</v>
      </c>
      <c r="T393" s="35" t="n">
        <v>17.0945197985714</v>
      </c>
      <c r="U393" s="35" t="n">
        <v>6.46653257142857</v>
      </c>
      <c r="V393" s="70" t="n">
        <v>23.56105237</v>
      </c>
      <c r="W393" s="35" t="n">
        <v>22.0763536069412</v>
      </c>
      <c r="X393" s="35" t="n">
        <v>3.8818796350949</v>
      </c>
      <c r="Y393" s="35" t="n">
        <v>7.49213527797622</v>
      </c>
      <c r="Z393" s="35"/>
      <c r="AA393" s="35" t="n">
        <v>0.8819426376197</v>
      </c>
      <c r="AB393" s="35" t="n">
        <v>0.33938775353267</v>
      </c>
      <c r="AC393" s="71" t="n">
        <v>4.09022254813451</v>
      </c>
      <c r="AD393" s="38" t="n">
        <v>4.53199559620855</v>
      </c>
      <c r="AE393" s="38" t="n">
        <v>3.73177939563136</v>
      </c>
      <c r="AF393" s="38" t="n">
        <v>0.903871646465798</v>
      </c>
      <c r="AG393" s="72"/>
      <c r="AH393" s="72"/>
      <c r="AI393" s="73" t="n">
        <v>74.8870439804928</v>
      </c>
      <c r="AJ393" s="42" t="s">
        <v>16</v>
      </c>
      <c r="AK393" s="43" t="n">
        <v>807.648846705205</v>
      </c>
      <c r="AL393" s="43" t="n">
        <v>830.960336019531</v>
      </c>
      <c r="AM393" s="43" t="n">
        <v>767.156189415517</v>
      </c>
      <c r="AN393" s="74"/>
      <c r="AO393" s="75" t="n">
        <v>30.1857142857143</v>
      </c>
      <c r="AP393" s="76" t="n">
        <v>0.968726215213358</v>
      </c>
      <c r="AQ393" s="76" t="n">
        <v>0.957671187384045</v>
      </c>
      <c r="AR393" s="76" t="n">
        <v>1.47008348794063</v>
      </c>
      <c r="AS393" s="77" t="n">
        <v>26.6051789424861</v>
      </c>
      <c r="AT393" s="78" t="n">
        <v>27.1394528514706</v>
      </c>
      <c r="AU393" s="78" t="n">
        <v>32.0922077922078</v>
      </c>
      <c r="AV393" s="78" t="n">
        <v>31.725974025974</v>
      </c>
      <c r="AW393" s="78" t="n">
        <v>48.7012987012987</v>
      </c>
      <c r="AX393" s="78" t="n">
        <v>38.7532467532467</v>
      </c>
      <c r="AY393" s="48" t="n">
        <v>1.15187778649594</v>
      </c>
      <c r="AZ393" s="48" t="n">
        <v>20.3474493628133</v>
      </c>
      <c r="BA393" s="48" t="n">
        <v>3.21360300718665</v>
      </c>
      <c r="BB393" s="49" t="n">
        <f aca="false">AT393/V393</f>
        <v>1.15187778649594</v>
      </c>
      <c r="BC393" s="49" t="n">
        <f aca="false">AS393/V393</f>
        <v>1.12920163856357</v>
      </c>
      <c r="BD393" s="49" t="n">
        <f aca="false">SUM(AP393:AR393)/V393</f>
        <v>0.144156586777199</v>
      </c>
      <c r="BE393" s="50" t="n">
        <v>6.64</v>
      </c>
      <c r="BF393" s="51" t="n">
        <v>136.226608801639</v>
      </c>
      <c r="BG393" s="51" t="n">
        <v>592.561582935704</v>
      </c>
      <c r="BH393" s="51" t="n">
        <v>197.927937405185</v>
      </c>
      <c r="BI393" s="51" t="n">
        <v>168.862795862762</v>
      </c>
      <c r="BJ393" s="51" t="n">
        <v>8.83226961176787</v>
      </c>
      <c r="BK393" s="51" t="n">
        <v>15.4232401557312</v>
      </c>
      <c r="BL393" s="51" t="n">
        <v>11.4170496507407</v>
      </c>
      <c r="BM393" s="51"/>
      <c r="BN393" s="52" t="n">
        <f aca="false">(BG393*0.5-BH393*0.25+BI393*0.5)/SUM(BG393:BI393)*1000</f>
        <v>345.26440334108</v>
      </c>
      <c r="BO393" s="53" t="n">
        <v>3.32009934</v>
      </c>
      <c r="BP393" s="54" t="s">
        <v>77</v>
      </c>
      <c r="BQ393" s="55" t="n">
        <v>378.351611500885</v>
      </c>
      <c r="BR393" s="56" t="n">
        <v>16.0583494132306</v>
      </c>
      <c r="BS393" s="56" t="n">
        <v>20.6247148144557</v>
      </c>
      <c r="BT393" s="56" t="n">
        <v>13.9410183975166</v>
      </c>
      <c r="BU393" s="55"/>
      <c r="BV393" s="55"/>
      <c r="BW393" s="55"/>
      <c r="BX393" s="55"/>
      <c r="BY393" s="79" t="n">
        <v>0.0601671309192201</v>
      </c>
      <c r="BZ393" s="80" t="n">
        <v>0.734216</v>
      </c>
      <c r="CA393" s="81" t="n">
        <v>3.73</v>
      </c>
      <c r="CB393" s="81" t="n">
        <v>0.183</v>
      </c>
      <c r="CC393" s="82" t="n">
        <v>5.459628</v>
      </c>
      <c r="CD393" s="82" t="n">
        <v>5.741032</v>
      </c>
      <c r="CE393" s="83" t="n">
        <v>77.594456</v>
      </c>
      <c r="CF393" s="84" t="n">
        <v>33.172735</v>
      </c>
      <c r="CG393" s="80" t="n">
        <v>0.2285</v>
      </c>
      <c r="CH393" s="63" t="n">
        <v>101740.523615587</v>
      </c>
      <c r="CI393" s="63" t="n">
        <v>10018.7809059744</v>
      </c>
      <c r="CJ393" s="64" t="n">
        <v>597487.065085288</v>
      </c>
      <c r="CK393" s="65" t="n">
        <v>1.67681971567773</v>
      </c>
    </row>
    <row r="394" customFormat="false" ht="15" hidden="false" customHeight="false" outlineLevel="0" collapsed="false">
      <c r="A394" s="7" t="s">
        <v>73</v>
      </c>
      <c r="B394" s="66" t="n">
        <v>392</v>
      </c>
      <c r="C394" s="8" t="s">
        <v>472</v>
      </c>
      <c r="D394" s="67" t="n">
        <v>42086</v>
      </c>
      <c r="E394" s="4" t="s">
        <v>78</v>
      </c>
      <c r="F394" s="7" t="n">
        <v>2187</v>
      </c>
      <c r="G394" s="68" t="n">
        <v>1</v>
      </c>
      <c r="H394" s="68" t="n">
        <v>120</v>
      </c>
      <c r="I394" s="66" t="n">
        <v>1</v>
      </c>
      <c r="J394" s="69" t="n">
        <v>540.421428571429</v>
      </c>
      <c r="K394" s="31" t="n">
        <v>463.314186703493</v>
      </c>
      <c r="L394" s="31" t="n">
        <v>947.341134374413</v>
      </c>
      <c r="M394" s="31" t="n">
        <v>165.7526869362</v>
      </c>
      <c r="N394" s="31" t="n">
        <v>346.579024388768</v>
      </c>
      <c r="O394" s="32"/>
      <c r="P394" s="33" t="n">
        <v>40.5077983699295</v>
      </c>
      <c r="Q394" s="33" t="n">
        <v>15.3839917692641</v>
      </c>
      <c r="R394" s="31" t="n">
        <v>178.765055165284</v>
      </c>
      <c r="S394" s="34" t="s">
        <v>76</v>
      </c>
      <c r="T394" s="35" t="n">
        <v>15.1551396885714</v>
      </c>
      <c r="U394" s="35" t="n">
        <v>5.34378557142857</v>
      </c>
      <c r="V394" s="70" t="n">
        <v>20.49892526</v>
      </c>
      <c r="W394" s="35" t="n">
        <v>19.1999076811095</v>
      </c>
      <c r="X394" s="35" t="n">
        <v>3.34997264988817</v>
      </c>
      <c r="Y394" s="35" t="n">
        <v>6.57596361047546</v>
      </c>
      <c r="Z394" s="35"/>
      <c r="AA394" s="35" t="n">
        <v>0.759576516325806</v>
      </c>
      <c r="AB394" s="35" t="n">
        <v>0.305008568105643</v>
      </c>
      <c r="AC394" s="71" t="n">
        <v>3.5139307381555</v>
      </c>
      <c r="AD394" s="38" t="n">
        <v>4.3099245568856</v>
      </c>
      <c r="AE394" s="38" t="n">
        <v>3.59748475780196</v>
      </c>
      <c r="AF394" s="38" t="n">
        <v>0.890649105051297</v>
      </c>
      <c r="AG394" s="72"/>
      <c r="AH394" s="72"/>
      <c r="AI394" s="73" t="n">
        <v>70.7688879654184</v>
      </c>
      <c r="AJ394" s="42" t="s">
        <v>16</v>
      </c>
      <c r="AK394" s="43" t="n">
        <v>789.748755009335</v>
      </c>
      <c r="AL394" s="43" t="n">
        <v>812.630101271712</v>
      </c>
      <c r="AM394" s="43" t="n">
        <v>734.132424907699</v>
      </c>
      <c r="AN394" s="74"/>
      <c r="AO394" s="75" t="n">
        <v>28.1357142857143</v>
      </c>
      <c r="AP394" s="76" t="n">
        <v>1.1360393275076</v>
      </c>
      <c r="AQ394" s="76" t="n">
        <v>0.978105182370821</v>
      </c>
      <c r="AR394" s="76" t="n">
        <v>1.38219689589666</v>
      </c>
      <c r="AS394" s="77" t="n">
        <v>28.2948756268997</v>
      </c>
      <c r="AT394" s="78" t="n">
        <v>28.8612731212611</v>
      </c>
      <c r="AU394" s="78" t="n">
        <v>40.3771276595745</v>
      </c>
      <c r="AV394" s="78" t="n">
        <v>34.763829787234</v>
      </c>
      <c r="AW394" s="78" t="n">
        <v>49.1260638297872</v>
      </c>
      <c r="AX394" s="78" t="n">
        <v>34.7393617021277</v>
      </c>
      <c r="AY394" s="48" t="n">
        <v>1.4079407947098</v>
      </c>
      <c r="AZ394" s="48" t="n">
        <v>20.9825203877955</v>
      </c>
      <c r="BA394" s="48" t="n">
        <v>-0.483595127795482</v>
      </c>
      <c r="BB394" s="49" t="n">
        <f aca="false">AT394/V394</f>
        <v>1.4079407947098</v>
      </c>
      <c r="BC394" s="49" t="n">
        <f aca="false">AS394/V394</f>
        <v>1.3803102000724</v>
      </c>
      <c r="BD394" s="49" t="n">
        <f aca="false">SUM(AP394:AR394)/V394</f>
        <v>0.170562181257257</v>
      </c>
      <c r="BE394" s="50" t="n">
        <v>6.54</v>
      </c>
      <c r="BF394" s="51" t="n">
        <v>124.029868761966</v>
      </c>
      <c r="BG394" s="51" t="n">
        <v>557.768860829758</v>
      </c>
      <c r="BH394" s="51" t="n">
        <v>201.813907829049</v>
      </c>
      <c r="BI394" s="51" t="n">
        <v>199.684143456859</v>
      </c>
      <c r="BJ394" s="51" t="n">
        <v>9.71236721368798</v>
      </c>
      <c r="BK394" s="51" t="n">
        <v>17.2917545114476</v>
      </c>
      <c r="BL394" s="51" t="n">
        <v>8.75384178108996</v>
      </c>
      <c r="BM394" s="51"/>
      <c r="BN394" s="52" t="n">
        <f aca="false">(BG394*0.5-BH394*0.25+BI394*0.5)/SUM(BG394:BI394)*1000</f>
        <v>342.212392651008</v>
      </c>
      <c r="BO394" s="53" t="n">
        <v>7.12221892</v>
      </c>
      <c r="BP394" s="54" t="s">
        <v>77</v>
      </c>
      <c r="BQ394" s="55" t="n">
        <v>393.609718895029</v>
      </c>
      <c r="BR394" s="56" t="n">
        <v>19.2014807558272</v>
      </c>
      <c r="BS394" s="56" t="n">
        <v>25.2274740166823</v>
      </c>
      <c r="BT394" s="56" t="n">
        <v>13.6379887762148</v>
      </c>
      <c r="BU394" s="55"/>
      <c r="BV394" s="55"/>
      <c r="BW394" s="55"/>
      <c r="BX394" s="55"/>
      <c r="BY394" s="79" t="n">
        <v>0.0701949860724234</v>
      </c>
      <c r="BZ394" s="80" t="n">
        <v>1.085792</v>
      </c>
      <c r="CA394" s="81" t="n">
        <v>3.55</v>
      </c>
      <c r="CB394" s="81" t="n">
        <v>0.14</v>
      </c>
      <c r="CC394" s="82" t="n">
        <v>4.654494</v>
      </c>
      <c r="CD394" s="82" t="n">
        <v>4.648424</v>
      </c>
      <c r="CE394" s="83" t="n">
        <v>73.00188</v>
      </c>
      <c r="CF394" s="84" t="n">
        <v>36.619542</v>
      </c>
      <c r="CG394" s="80" t="n">
        <v>0.2075</v>
      </c>
      <c r="CH394" s="63" t="n">
        <v>46801.8131373405</v>
      </c>
      <c r="CI394" s="63" t="n">
        <v>10807.3680835997</v>
      </c>
      <c r="CJ394" s="64" t="n">
        <v>894763.602957272</v>
      </c>
      <c r="CK394" s="65" t="n">
        <v>1.20784618952764</v>
      </c>
    </row>
    <row r="395" customFormat="false" ht="15" hidden="false" customHeight="false" outlineLevel="0" collapsed="false">
      <c r="A395" s="7" t="s">
        <v>73</v>
      </c>
      <c r="B395" s="66" t="n">
        <v>393</v>
      </c>
      <c r="C395" s="8" t="s">
        <v>473</v>
      </c>
      <c r="D395" s="67" t="n">
        <v>42086</v>
      </c>
      <c r="E395" s="4" t="s">
        <v>78</v>
      </c>
      <c r="F395" s="86" t="s">
        <v>474</v>
      </c>
      <c r="G395" s="68" t="n">
        <v>1</v>
      </c>
      <c r="H395" s="68" t="n">
        <v>108</v>
      </c>
      <c r="I395" s="66" t="n">
        <v>1</v>
      </c>
      <c r="J395" s="69" t="n">
        <v>532.269047619048</v>
      </c>
      <c r="K395" s="31" t="n">
        <v>463.314186703493</v>
      </c>
      <c r="L395" s="31" t="n">
        <v>947.341134374413</v>
      </c>
      <c r="M395" s="31" t="n">
        <v>165.7526869362</v>
      </c>
      <c r="N395" s="31" t="n">
        <v>346.579024388768</v>
      </c>
      <c r="O395" s="32"/>
      <c r="P395" s="33" t="n">
        <v>40.5077983699295</v>
      </c>
      <c r="Q395" s="33" t="n">
        <v>15.3839917692641</v>
      </c>
      <c r="R395" s="31" t="n">
        <v>178.765055165284</v>
      </c>
      <c r="S395" s="34" t="s">
        <v>76</v>
      </c>
      <c r="T395" s="35" t="n">
        <v>16.4435893457143</v>
      </c>
      <c r="U395" s="35" t="n">
        <v>7.11279471428571</v>
      </c>
      <c r="V395" s="70" t="n">
        <v>23.55638406</v>
      </c>
      <c r="W395" s="35" t="n">
        <v>22.0537564902608</v>
      </c>
      <c r="X395" s="35" t="n">
        <v>3.88860753806302</v>
      </c>
      <c r="Y395" s="35" t="n">
        <v>7.41344894318626</v>
      </c>
      <c r="Z395" s="35"/>
      <c r="AA395" s="35" t="n">
        <v>0.878289454897819</v>
      </c>
      <c r="AB395" s="35" t="n">
        <v>0.333988833736535</v>
      </c>
      <c r="AC395" s="71" t="n">
        <v>4.09455154080502</v>
      </c>
      <c r="AD395" s="38" t="n">
        <v>4.83029193352856</v>
      </c>
      <c r="AE395" s="38" t="n">
        <v>4.00737153939302</v>
      </c>
      <c r="AF395" s="38" t="n">
        <v>1.04391566141208</v>
      </c>
      <c r="AG395" s="72"/>
      <c r="AH395" s="72"/>
      <c r="AI395" s="73" t="n">
        <v>69.144647638834</v>
      </c>
      <c r="AJ395" s="42" t="s">
        <v>16</v>
      </c>
      <c r="AK395" s="43" t="n">
        <v>794.947648958965</v>
      </c>
      <c r="AL395" s="43" t="n">
        <v>818.290750550242</v>
      </c>
      <c r="AM395" s="43" t="n">
        <v>731.545122207916</v>
      </c>
      <c r="AN395" s="74"/>
      <c r="AO395" s="75" t="n">
        <v>32.8928571428571</v>
      </c>
      <c r="AP395" s="76" t="n">
        <v>1.21520130494506</v>
      </c>
      <c r="AQ395" s="76" t="n">
        <v>1.03281462912088</v>
      </c>
      <c r="AR395" s="76" t="n">
        <v>1.52325556318681</v>
      </c>
      <c r="AS395" s="77" t="n">
        <v>31.3851624313187</v>
      </c>
      <c r="AT395" s="78" t="n">
        <v>31.0228831726395</v>
      </c>
      <c r="AU395" s="78" t="n">
        <v>36.9442307692308</v>
      </c>
      <c r="AV395" s="78" t="n">
        <v>31.399358974359</v>
      </c>
      <c r="AW395" s="78" t="n">
        <v>46.3096153846154</v>
      </c>
      <c r="AX395" s="78" t="n">
        <v>41.0897435897436</v>
      </c>
      <c r="AY395" s="48" t="n">
        <v>1.31696287060109</v>
      </c>
      <c r="AZ395" s="48" t="n">
        <v>21.8296834561871</v>
      </c>
      <c r="BA395" s="48" t="n">
        <v>1.72670060381292</v>
      </c>
      <c r="BB395" s="49" t="n">
        <f aca="false">AT395/V395</f>
        <v>1.31696287060109</v>
      </c>
      <c r="BC395" s="49" t="n">
        <f aca="false">AS395/V395</f>
        <v>1.33234210952658</v>
      </c>
      <c r="BD395" s="49" t="n">
        <f aca="false">SUM(AP395:AR395)/V395</f>
        <v>0.160095517531342</v>
      </c>
      <c r="BE395" s="50" t="n">
        <v>6.46</v>
      </c>
      <c r="BF395" s="51" t="n">
        <v>88.7081341021249</v>
      </c>
      <c r="BG395" s="51" t="n">
        <v>552.505901629399</v>
      </c>
      <c r="BH395" s="51" t="n">
        <v>195.957979324026</v>
      </c>
      <c r="BI395" s="51" t="n">
        <v>207.62917777244</v>
      </c>
      <c r="BJ395" s="51" t="n">
        <v>7.96517534443915</v>
      </c>
      <c r="BK395" s="51" t="n">
        <v>18.8070664098398</v>
      </c>
      <c r="BL395" s="51" t="n">
        <v>12.1595751417472</v>
      </c>
      <c r="BM395" s="51"/>
      <c r="BN395" s="52" t="n">
        <f aca="false">(BG395*0.5-BH395*0.25+BI395*0.5)/SUM(BG395:BI395)*1000</f>
        <v>346.282238792868</v>
      </c>
      <c r="BO395" s="53" t="n">
        <v>5.92179494</v>
      </c>
      <c r="BP395" s="54" t="s">
        <v>77</v>
      </c>
      <c r="BQ395" s="55" t="n">
        <v>373.491279202135</v>
      </c>
      <c r="BR395" s="56" t="n">
        <v>15.8552041879952</v>
      </c>
      <c r="BS395" s="56" t="n">
        <v>20.6961826548078</v>
      </c>
      <c r="BT395" s="56" t="n">
        <v>12.0392188283626</v>
      </c>
      <c r="BU395" s="55"/>
      <c r="BV395" s="55"/>
      <c r="BW395" s="55"/>
      <c r="BX395" s="55"/>
      <c r="BY395" s="79" t="n">
        <v>0.0701949860724234</v>
      </c>
      <c r="BZ395" s="80" t="n">
        <v>1.2293522</v>
      </c>
      <c r="CA395" s="81" t="n">
        <v>3.57</v>
      </c>
      <c r="CB395" s="81" t="n">
        <v>0.183</v>
      </c>
      <c r="CC395" s="82" t="n">
        <v>5.496225</v>
      </c>
      <c r="CD395" s="82" t="n">
        <v>4.009</v>
      </c>
      <c r="CE395" s="83" t="n">
        <v>76.021656</v>
      </c>
      <c r="CF395" s="84" t="n">
        <v>32.700432</v>
      </c>
      <c r="CG395" s="80" t="n">
        <v>0.7325</v>
      </c>
      <c r="CH395" s="63" t="n">
        <v>65780.470883072</v>
      </c>
      <c r="CI395" s="63" t="n">
        <v>10728.5237495174</v>
      </c>
      <c r="CJ395" s="64" t="n">
        <v>817672.77346222</v>
      </c>
      <c r="CK395" s="65" t="n">
        <v>1.31208034530614</v>
      </c>
    </row>
    <row r="396" customFormat="false" ht="15" hidden="false" customHeight="false" outlineLevel="0" collapsed="false">
      <c r="A396" s="7" t="s">
        <v>73</v>
      </c>
      <c r="B396" s="66" t="n">
        <v>394</v>
      </c>
      <c r="C396" s="8" t="s">
        <v>475</v>
      </c>
      <c r="D396" s="67" t="n">
        <v>42086</v>
      </c>
      <c r="E396" s="4" t="s">
        <v>78</v>
      </c>
      <c r="F396" s="7" t="n">
        <v>2221</v>
      </c>
      <c r="G396" s="68" t="n">
        <v>1</v>
      </c>
      <c r="H396" s="68" t="n">
        <v>133</v>
      </c>
      <c r="I396" s="66" t="n">
        <v>1</v>
      </c>
      <c r="J396" s="69" t="n">
        <v>493.357142857143</v>
      </c>
      <c r="K396" s="31" t="n">
        <v>463.314186703493</v>
      </c>
      <c r="L396" s="31" t="n">
        <v>947.341134374413</v>
      </c>
      <c r="M396" s="31" t="n">
        <v>165.7526869362</v>
      </c>
      <c r="N396" s="31" t="n">
        <v>346.579024388768</v>
      </c>
      <c r="O396" s="32"/>
      <c r="P396" s="33" t="n">
        <v>40.5077983699295</v>
      </c>
      <c r="Q396" s="33" t="n">
        <v>15.3839917692641</v>
      </c>
      <c r="R396" s="31" t="n">
        <v>178.765055165284</v>
      </c>
      <c r="S396" s="34" t="s">
        <v>76</v>
      </c>
      <c r="T396" s="35" t="n">
        <v>10.7720534085714</v>
      </c>
      <c r="U396" s="35" t="n">
        <v>3.87642557142857</v>
      </c>
      <c r="V396" s="70" t="n">
        <v>14.64847898</v>
      </c>
      <c r="W396" s="35" t="n">
        <v>13.6934751261409</v>
      </c>
      <c r="X396" s="35" t="n">
        <v>2.35476485318862</v>
      </c>
      <c r="Y396" s="35" t="n">
        <v>4.73167250330649</v>
      </c>
      <c r="Z396" s="35"/>
      <c r="AA396" s="35" t="n">
        <v>0.527210757811747</v>
      </c>
      <c r="AB396" s="35" t="n">
        <v>0.229693447744837</v>
      </c>
      <c r="AC396" s="71" t="n">
        <v>2.4414838971354</v>
      </c>
      <c r="AD396" s="38" t="n">
        <v>2.92811558009548</v>
      </c>
      <c r="AE396" s="38" t="n">
        <v>2.38926556522292</v>
      </c>
      <c r="AF396" s="38" t="n">
        <v>0.658181713198162</v>
      </c>
      <c r="AG396" s="72"/>
      <c r="AH396" s="72"/>
      <c r="AI396" s="73" t="n">
        <v>78.4441192506984</v>
      </c>
      <c r="AJ396" s="42" t="s">
        <v>16</v>
      </c>
      <c r="AK396" s="43" t="n">
        <v>800.107875766943</v>
      </c>
      <c r="AL396" s="43" t="n">
        <v>825.517953389217</v>
      </c>
      <c r="AM396" s="43" t="n">
        <v>720.489410096762</v>
      </c>
      <c r="AN396" s="74"/>
      <c r="AO396" s="75" t="n">
        <v>26.65</v>
      </c>
      <c r="AP396" s="76" t="n">
        <v>0.842460382513661</v>
      </c>
      <c r="AQ396" s="76" t="n">
        <v>0.865877431693989</v>
      </c>
      <c r="AR396" s="76" t="n">
        <v>1.25304513661202</v>
      </c>
      <c r="AS396" s="77" t="n">
        <v>23.2969057377049</v>
      </c>
      <c r="AT396" s="78" t="n">
        <v>23.7253146677804</v>
      </c>
      <c r="AU396" s="78" t="n">
        <v>31.6120218579235</v>
      </c>
      <c r="AV396" s="78" t="n">
        <v>32.4907103825137</v>
      </c>
      <c r="AW396" s="78" t="n">
        <v>47.0185792349727</v>
      </c>
      <c r="AX396" s="78" t="n">
        <v>36.2677595628415</v>
      </c>
      <c r="AY396" s="48" t="n">
        <v>1.61964356164031</v>
      </c>
      <c r="AZ396" s="48" t="n">
        <v>18.5576407034017</v>
      </c>
      <c r="BA396" s="48" t="n">
        <v>-3.90916172340166</v>
      </c>
      <c r="BB396" s="49" t="n">
        <f aca="false">AT396/V396</f>
        <v>1.61964356164031</v>
      </c>
      <c r="BC396" s="49" t="n">
        <f aca="false">AS396/V396</f>
        <v>1.59039759482967</v>
      </c>
      <c r="BD396" s="49" t="n">
        <f aca="false">SUM(AP396:AR396)/V396</f>
        <v>0.202163170310237</v>
      </c>
      <c r="BE396" s="50" t="n">
        <v>6.42</v>
      </c>
      <c r="BF396" s="51" t="n">
        <v>95.3656529093312</v>
      </c>
      <c r="BG396" s="51" t="n">
        <v>531.783872865807</v>
      </c>
      <c r="BH396" s="51" t="n">
        <v>241.027496868185</v>
      </c>
      <c r="BI396" s="51" t="n">
        <v>176.195110800084</v>
      </c>
      <c r="BJ396" s="51" t="n">
        <v>8.06368543215236</v>
      </c>
      <c r="BK396" s="51" t="n">
        <v>20.6211622617384</v>
      </c>
      <c r="BL396" s="51" t="n">
        <v>17.3335473939242</v>
      </c>
      <c r="BM396" s="51"/>
      <c r="BN396" s="52" t="n">
        <f aca="false">(BG396*0.5-BH396*0.25+BI396*0.5)/SUM(BG396:BI396)*1000</f>
        <v>309.515923906646</v>
      </c>
      <c r="BO396" s="53" t="n">
        <v>6.88032902</v>
      </c>
      <c r="BP396" s="54" t="s">
        <v>77</v>
      </c>
      <c r="BQ396" s="55" t="n">
        <v>313.152447450106</v>
      </c>
      <c r="BR396" s="56" t="n">
        <v>21.3778132103451</v>
      </c>
      <c r="BS396" s="56" t="n">
        <v>27.702286105237</v>
      </c>
      <c r="BT396" s="56" t="n">
        <v>13.1990851053021</v>
      </c>
      <c r="BU396" s="55"/>
      <c r="BV396" s="55"/>
      <c r="BW396" s="55"/>
      <c r="BX396" s="55"/>
      <c r="BY396" s="79" t="n">
        <v>0.0601671309192201</v>
      </c>
      <c r="BZ396" s="80" t="n">
        <v>0.6678072</v>
      </c>
      <c r="CA396" s="81" t="n">
        <v>3.65</v>
      </c>
      <c r="CB396" s="81" t="n">
        <v>0.22</v>
      </c>
      <c r="CC396" s="82" t="n">
        <v>4.752086</v>
      </c>
      <c r="CD396" s="82" t="n">
        <v>4.958824</v>
      </c>
      <c r="CE396" s="83" t="n">
        <v>74.118568</v>
      </c>
      <c r="CF396" s="84" t="n">
        <v>33.032049</v>
      </c>
      <c r="CG396" s="80" t="n">
        <v>0.953</v>
      </c>
      <c r="CH396" s="63" t="n">
        <v>40775.4499354937</v>
      </c>
      <c r="CI396" s="63" t="n">
        <v>8217.45388470172</v>
      </c>
      <c r="CJ396" s="64" t="n">
        <v>975831.369947208</v>
      </c>
      <c r="CK396" s="65" t="n">
        <v>0.842097737147586</v>
      </c>
    </row>
    <row r="397" customFormat="false" ht="15" hidden="false" customHeight="false" outlineLevel="0" collapsed="false">
      <c r="A397" s="7" t="s">
        <v>73</v>
      </c>
      <c r="B397" s="66" t="n">
        <v>395</v>
      </c>
      <c r="C397" s="8" t="s">
        <v>476</v>
      </c>
      <c r="D397" s="67" t="n">
        <v>42086</v>
      </c>
      <c r="E397" s="4" t="s">
        <v>78</v>
      </c>
      <c r="F397" s="7" t="n">
        <v>2226</v>
      </c>
      <c r="G397" s="68" t="n">
        <v>1</v>
      </c>
      <c r="H397" s="68" t="n">
        <v>112</v>
      </c>
      <c r="I397" s="66" t="n">
        <v>1</v>
      </c>
      <c r="J397" s="69" t="n">
        <v>541.511904761905</v>
      </c>
      <c r="K397" s="31" t="n">
        <v>463.314186703493</v>
      </c>
      <c r="L397" s="31" t="n">
        <v>947.341134374413</v>
      </c>
      <c r="M397" s="31" t="n">
        <v>165.7526869362</v>
      </c>
      <c r="N397" s="31" t="n">
        <v>346.579024388768</v>
      </c>
      <c r="O397" s="32"/>
      <c r="P397" s="33" t="n">
        <v>40.5077983699295</v>
      </c>
      <c r="Q397" s="33" t="n">
        <v>15.3839917692641</v>
      </c>
      <c r="R397" s="31" t="n">
        <v>178.765055165284</v>
      </c>
      <c r="S397" s="34" t="s">
        <v>76</v>
      </c>
      <c r="T397" s="35" t="n">
        <v>11.1181196228571</v>
      </c>
      <c r="U397" s="35" t="n">
        <v>2.80098385714286</v>
      </c>
      <c r="V397" s="70" t="n">
        <v>13.91910348</v>
      </c>
      <c r="W397" s="35" t="n">
        <v>13.0284163234367</v>
      </c>
      <c r="X397" s="35" t="n">
        <v>2.21451384306432</v>
      </c>
      <c r="Y397" s="35" t="n">
        <v>4.6139391753704</v>
      </c>
      <c r="Z397" s="35"/>
      <c r="AA397" s="35" t="n">
        <v>0.500792529785535</v>
      </c>
      <c r="AB397" s="35" t="n">
        <v>0.229446511540344</v>
      </c>
      <c r="AC397" s="71" t="n">
        <v>2.29041098359445</v>
      </c>
      <c r="AD397" s="38" t="n">
        <v>2.66976608228022</v>
      </c>
      <c r="AE397" s="38" t="n">
        <v>2.19242854433119</v>
      </c>
      <c r="AF397" s="38" t="n">
        <v>0.492477103543694</v>
      </c>
      <c r="AG397" s="72"/>
      <c r="AH397" s="72"/>
      <c r="AI397" s="73" t="n">
        <v>85.942552444286</v>
      </c>
      <c r="AJ397" s="42" t="s">
        <v>16</v>
      </c>
      <c r="AK397" s="43" t="n">
        <v>808.194106314653</v>
      </c>
      <c r="AL397" s="43" t="n">
        <v>831.719489928546</v>
      </c>
      <c r="AM397" s="43" t="n">
        <v>777.613897024806</v>
      </c>
      <c r="AN397" s="74"/>
      <c r="AO397" s="75" t="n">
        <v>20.9714285714286</v>
      </c>
      <c r="AP397" s="76" t="n">
        <v>0.503314285714286</v>
      </c>
      <c r="AQ397" s="76" t="n">
        <v>0.670037142857143</v>
      </c>
      <c r="AR397" s="76" t="n">
        <v>1.00872571428571</v>
      </c>
      <c r="AS397" s="77" t="n">
        <v>15.9382857142857</v>
      </c>
      <c r="AT397" s="78" t="n">
        <v>16.7548623839854</v>
      </c>
      <c r="AU397" s="78" t="n">
        <v>24</v>
      </c>
      <c r="AV397" s="78" t="n">
        <v>31.95</v>
      </c>
      <c r="AW397" s="78" t="n">
        <v>48.1</v>
      </c>
      <c r="AX397" s="78" t="n">
        <v>39</v>
      </c>
      <c r="AY397" s="48" t="n">
        <v>1.20373143342602</v>
      </c>
      <c r="AZ397" s="48" t="n">
        <v>16.4107292693206</v>
      </c>
      <c r="BA397" s="48" t="n">
        <v>-2.49162578932056</v>
      </c>
      <c r="BB397" s="49" t="n">
        <f aca="false">AT397/V397</f>
        <v>1.20373143342602</v>
      </c>
      <c r="BC397" s="49" t="n">
        <f aca="false">AS397/V397</f>
        <v>1.14506553796277</v>
      </c>
      <c r="BD397" s="49" t="n">
        <f aca="false">SUM(AP397:AR397)/V397</f>
        <v>0.156768512138193</v>
      </c>
      <c r="BE397" s="50" t="n">
        <v>6.52</v>
      </c>
      <c r="BF397" s="51" t="n">
        <v>107.067226179488</v>
      </c>
      <c r="BG397" s="51" t="n">
        <v>523.618495755823</v>
      </c>
      <c r="BH397" s="51" t="n">
        <v>248.518225469449</v>
      </c>
      <c r="BI397" s="51" t="n">
        <v>170.399175405088</v>
      </c>
      <c r="BJ397" s="51" t="n">
        <v>7.72108230879248</v>
      </c>
      <c r="BK397" s="51" t="n">
        <v>19.6940685739625</v>
      </c>
      <c r="BL397" s="51" t="n">
        <v>25.0738281087746</v>
      </c>
      <c r="BM397" s="51"/>
      <c r="BN397" s="52" t="n">
        <f aca="false">(BG397*0.5-BH397*0.25+BI397*0.5)/SUM(BG397:BI397)*1000</f>
        <v>302.247670599665</v>
      </c>
      <c r="BO397" s="53" t="n">
        <v>6.83464478</v>
      </c>
      <c r="BP397" s="54" t="s">
        <v>77</v>
      </c>
      <c r="BQ397" s="55" t="n">
        <v>326.514314995925</v>
      </c>
      <c r="BR397" s="56" t="n">
        <v>23.4579989627267</v>
      </c>
      <c r="BS397" s="56" t="n">
        <v>30.1323997084534</v>
      </c>
      <c r="BT397" s="56" t="n">
        <v>19.4877348147015</v>
      </c>
      <c r="BU397" s="55"/>
      <c r="BV397" s="55"/>
      <c r="BW397" s="55"/>
      <c r="BX397" s="55"/>
      <c r="BY397" s="79" t="n">
        <v>0.0601671309192201</v>
      </c>
      <c r="BZ397" s="80" t="n">
        <v>0.7254266</v>
      </c>
      <c r="CA397" s="81" t="n">
        <v>3.82</v>
      </c>
      <c r="CB397" s="81" t="n">
        <v>0.03</v>
      </c>
      <c r="CC397" s="82" t="n">
        <v>5.374235</v>
      </c>
      <c r="CD397" s="82" t="n">
        <v>4.263528</v>
      </c>
      <c r="CE397" s="83" t="n">
        <v>84.310312</v>
      </c>
      <c r="CF397" s="84" t="n">
        <v>33.162686</v>
      </c>
      <c r="CG397" s="80" t="n">
        <v>0.071</v>
      </c>
      <c r="CH397" s="63" t="n">
        <v>90289.6083617382</v>
      </c>
      <c r="CI397" s="63" t="n">
        <v>3946.70325688651</v>
      </c>
      <c r="CJ397" s="64" t="n">
        <v>482158.854792041</v>
      </c>
      <c r="CK397" s="65" t="n">
        <v>0.818548330630319</v>
      </c>
    </row>
    <row r="398" customFormat="false" ht="15" hidden="false" customHeight="false" outlineLevel="0" collapsed="false">
      <c r="A398" s="7" t="s">
        <v>73</v>
      </c>
      <c r="B398" s="66" t="n">
        <v>396</v>
      </c>
      <c r="C398" s="8" t="s">
        <v>477</v>
      </c>
      <c r="D398" s="67" t="n">
        <v>42086</v>
      </c>
      <c r="E398" s="4" t="s">
        <v>78</v>
      </c>
      <c r="F398" s="7" t="n">
        <v>2246</v>
      </c>
      <c r="G398" s="68" t="n">
        <v>1</v>
      </c>
      <c r="H398" s="68" t="n">
        <v>115</v>
      </c>
      <c r="I398" s="66" t="n">
        <v>1</v>
      </c>
      <c r="J398" s="69" t="n">
        <v>645.333333333333</v>
      </c>
      <c r="K398" s="31" t="n">
        <v>463.314186703493</v>
      </c>
      <c r="L398" s="31" t="n">
        <v>947.341134374413</v>
      </c>
      <c r="M398" s="31" t="n">
        <v>165.7526869362</v>
      </c>
      <c r="N398" s="31" t="n">
        <v>346.579024388768</v>
      </c>
      <c r="O398" s="32"/>
      <c r="P398" s="33" t="n">
        <v>40.5077983699295</v>
      </c>
      <c r="Q398" s="33" t="n">
        <v>15.3839917692641</v>
      </c>
      <c r="R398" s="31" t="n">
        <v>178.765055165284</v>
      </c>
      <c r="S398" s="34" t="s">
        <v>76</v>
      </c>
      <c r="T398" s="35" t="n">
        <v>11.7490995514286</v>
      </c>
      <c r="U398" s="35" t="n">
        <v>2.69769342857143</v>
      </c>
      <c r="V398" s="70" t="n">
        <v>14.44679298</v>
      </c>
      <c r="W398" s="35" t="n">
        <v>13.5308847423702</v>
      </c>
      <c r="X398" s="35" t="n">
        <v>2.30024456954899</v>
      </c>
      <c r="Y398" s="35" t="n">
        <v>4.80967389465133</v>
      </c>
      <c r="Z398" s="35"/>
      <c r="AA398" s="35" t="n">
        <v>0.522515904427185</v>
      </c>
      <c r="AB398" s="35" t="n">
        <v>0.238580481904799</v>
      </c>
      <c r="AC398" s="71" t="n">
        <v>2.38297438709234</v>
      </c>
      <c r="AD398" s="38" t="n">
        <v>2.78362719509778</v>
      </c>
      <c r="AE398" s="38" t="n">
        <v>2.24231327036512</v>
      </c>
      <c r="AF398" s="38" t="n">
        <v>0.589761265336477</v>
      </c>
      <c r="AG398" s="72"/>
      <c r="AH398" s="72"/>
      <c r="AI398" s="73" t="n">
        <v>85.7084893857055</v>
      </c>
      <c r="AJ398" s="42" t="s">
        <v>16</v>
      </c>
      <c r="AK398" s="43" t="n">
        <v>807.318676265978</v>
      </c>
      <c r="AL398" s="43" t="n">
        <v>834.281843866159</v>
      </c>
      <c r="AM398" s="43" t="n">
        <v>743.609321746117</v>
      </c>
      <c r="AN398" s="74"/>
      <c r="AO398" s="75" t="n">
        <v>18.3428571428571</v>
      </c>
      <c r="AP398" s="76" t="n">
        <v>0.583302857142857</v>
      </c>
      <c r="AQ398" s="76" t="n">
        <v>0.614485714285714</v>
      </c>
      <c r="AR398" s="76" t="n">
        <v>0.863948571428572</v>
      </c>
      <c r="AS398" s="77" t="n">
        <v>16.0866857142857</v>
      </c>
      <c r="AT398" s="78" t="n">
        <v>16.5224395632393</v>
      </c>
      <c r="AU398" s="78" t="n">
        <v>31.8</v>
      </c>
      <c r="AV398" s="78" t="n">
        <v>33.5</v>
      </c>
      <c r="AW398" s="78" t="n">
        <v>47.1</v>
      </c>
      <c r="AX398" s="78" t="n">
        <v>29</v>
      </c>
      <c r="AY398" s="48" t="n">
        <v>1.14367524931747</v>
      </c>
      <c r="AZ398" s="48" t="n">
        <v>17.9906921794193</v>
      </c>
      <c r="BA398" s="48" t="n">
        <v>-3.54389919941929</v>
      </c>
      <c r="BB398" s="49" t="n">
        <f aca="false">AT398/V398</f>
        <v>1.14367524931747</v>
      </c>
      <c r="BC398" s="49" t="n">
        <f aca="false">AS398/V398</f>
        <v>1.11351257933549</v>
      </c>
      <c r="BD398" s="49" t="n">
        <f aca="false">SUM(AP398:AR398)/V398</f>
        <v>0.142712444603546</v>
      </c>
      <c r="BE398" s="50" t="n">
        <v>6.5</v>
      </c>
      <c r="BF398" s="51" t="n">
        <v>99.8701479954249</v>
      </c>
      <c r="BG398" s="51" t="n">
        <v>538.85880285547</v>
      </c>
      <c r="BH398" s="51" t="n">
        <v>231.991900162056</v>
      </c>
      <c r="BI398" s="51" t="n">
        <v>184.140448186158</v>
      </c>
      <c r="BJ398" s="51" t="n">
        <v>9.10109676202676</v>
      </c>
      <c r="BK398" s="51" t="n">
        <v>17.3303814290627</v>
      </c>
      <c r="BL398" s="51" t="n">
        <v>13.6022462271168</v>
      </c>
      <c r="BM398" s="51"/>
      <c r="BN398" s="52" t="n">
        <f aca="false">(BG398*0.5-BH398*0.25+BI398*0.5)/SUM(BG398:BI398)*1000</f>
        <v>317.805720082079</v>
      </c>
      <c r="BO398" s="53" t="n">
        <v>12.59149536</v>
      </c>
      <c r="BP398" s="54" t="s">
        <v>77</v>
      </c>
      <c r="BQ398" s="55" t="n">
        <v>475.625165950035</v>
      </c>
      <c r="BR398" s="56" t="n">
        <v>32.9225431975446</v>
      </c>
      <c r="BS398" s="56" t="n">
        <v>42.1333352169098</v>
      </c>
      <c r="BT398" s="56" t="n">
        <v>28.7866185940393</v>
      </c>
      <c r="BU398" s="55"/>
      <c r="BV398" s="55"/>
      <c r="BW398" s="55"/>
      <c r="BX398" s="55"/>
      <c r="BY398" s="79" t="n">
        <v>0.110306406685237</v>
      </c>
      <c r="BZ398" s="80" t="n">
        <v>0.6931988</v>
      </c>
      <c r="CA398" s="81" t="n">
        <v>3.83</v>
      </c>
      <c r="CB398" s="81" t="n">
        <v>0.082</v>
      </c>
      <c r="CC398" s="82" t="n">
        <v>5.593817</v>
      </c>
      <c r="CD398" s="82" t="n">
        <v>4.828456</v>
      </c>
      <c r="CE398" s="83" t="n">
        <v>84.310312</v>
      </c>
      <c r="CF398" s="84" t="n">
        <v>34.12739</v>
      </c>
      <c r="CG398" s="80" t="n">
        <v>0.092</v>
      </c>
      <c r="CH398" s="63" t="n">
        <v>59386.2469732686</v>
      </c>
      <c r="CI398" s="63" t="n">
        <v>8713.60615682096</v>
      </c>
      <c r="CJ398" s="64" t="n">
        <v>526672.151413054</v>
      </c>
      <c r="CK398" s="65" t="n">
        <v>1.65446495195208</v>
      </c>
    </row>
    <row r="399" customFormat="false" ht="15" hidden="false" customHeight="false" outlineLevel="0" collapsed="false">
      <c r="A399" s="7" t="s">
        <v>73</v>
      </c>
      <c r="B399" s="66" t="n">
        <v>397</v>
      </c>
      <c r="C399" s="8" t="s">
        <v>478</v>
      </c>
      <c r="D399" s="67" t="n">
        <v>42086</v>
      </c>
      <c r="E399" s="4" t="s">
        <v>78</v>
      </c>
      <c r="F399" s="7" t="n">
        <v>3868</v>
      </c>
      <c r="G399" s="68" t="n">
        <v>1</v>
      </c>
      <c r="H399" s="68" t="n">
        <v>110</v>
      </c>
      <c r="I399" s="66" t="n">
        <v>3</v>
      </c>
      <c r="J399" s="69" t="n">
        <v>723.279761904762</v>
      </c>
      <c r="K399" s="31" t="n">
        <v>463.314186703493</v>
      </c>
      <c r="L399" s="31" t="n">
        <v>947.341134374413</v>
      </c>
      <c r="M399" s="31" t="n">
        <v>165.7526869362</v>
      </c>
      <c r="N399" s="31" t="n">
        <v>346.579024388768</v>
      </c>
      <c r="O399" s="32"/>
      <c r="P399" s="33" t="n">
        <v>40.5077983699295</v>
      </c>
      <c r="Q399" s="33" t="n">
        <v>15.3839917692641</v>
      </c>
      <c r="R399" s="31" t="n">
        <v>178.765055165284</v>
      </c>
      <c r="S399" s="34" t="s">
        <v>76</v>
      </c>
      <c r="T399" s="35" t="n">
        <v>17.5577816371429</v>
      </c>
      <c r="U399" s="35" t="n">
        <v>6.29946214285714</v>
      </c>
      <c r="V399" s="70" t="n">
        <v>23.85724378</v>
      </c>
      <c r="W399" s="35" t="n">
        <v>22.3591968322117</v>
      </c>
      <c r="X399" s="35" t="n">
        <v>3.9251526134494</v>
      </c>
      <c r="Y399" s="35" t="n">
        <v>7.6185565166294</v>
      </c>
      <c r="Z399" s="35"/>
      <c r="AA399" s="35" t="n">
        <v>0.893346176633719</v>
      </c>
      <c r="AB399" s="35" t="n">
        <v>0.346513016473126</v>
      </c>
      <c r="AC399" s="71" t="n">
        <v>4.13500389589671</v>
      </c>
      <c r="AD399" s="38" t="n">
        <v>5.41737908516208</v>
      </c>
      <c r="AE399" s="38" t="n">
        <v>4.51695628914777</v>
      </c>
      <c r="AF399" s="38" t="n">
        <v>1.18144668751873</v>
      </c>
      <c r="AG399" s="72"/>
      <c r="AH399" s="72"/>
      <c r="AI399" s="73" t="n">
        <v>63.9632211491729</v>
      </c>
      <c r="AJ399" s="42" t="s">
        <v>16</v>
      </c>
      <c r="AK399" s="43" t="n">
        <v>772.925190557697</v>
      </c>
      <c r="AL399" s="43" t="n">
        <v>797.982176057395</v>
      </c>
      <c r="AM399" s="43" t="n">
        <v>699.006177881964</v>
      </c>
      <c r="AN399" s="74"/>
      <c r="AO399" s="75" t="n">
        <v>33.8571428571429</v>
      </c>
      <c r="AP399" s="76" t="n">
        <v>1.33053301834352</v>
      </c>
      <c r="AQ399" s="76" t="n">
        <v>1.07333729849917</v>
      </c>
      <c r="AR399" s="76" t="n">
        <v>1.55258054474708</v>
      </c>
      <c r="AS399" s="77" t="n">
        <v>33.50085241801</v>
      </c>
      <c r="AT399" s="78" t="n">
        <v>32.9027714310498</v>
      </c>
      <c r="AU399" s="78" t="n">
        <v>39.2984435797665</v>
      </c>
      <c r="AV399" s="78" t="n">
        <v>31.7019455252918</v>
      </c>
      <c r="AW399" s="78" t="n">
        <v>45.8568093385214</v>
      </c>
      <c r="AX399" s="78" t="n">
        <v>32.9610894941634</v>
      </c>
      <c r="AY399" s="48" t="n">
        <v>1.37915224970928</v>
      </c>
      <c r="AZ399" s="48" t="n">
        <v>25.3349146907215</v>
      </c>
      <c r="BA399" s="48" t="n">
        <v>-1.47767091072148</v>
      </c>
      <c r="BB399" s="49" t="n">
        <f aca="false">AT399/V399</f>
        <v>1.37915224970928</v>
      </c>
      <c r="BC399" s="49" t="n">
        <f aca="false">AS399/V399</f>
        <v>1.40422140658572</v>
      </c>
      <c r="BD399" s="49" t="n">
        <f aca="false">SUM(AP399:AR399)/V399</f>
        <v>0.165838556124683</v>
      </c>
      <c r="BE399" s="50" t="n">
        <v>6.51</v>
      </c>
      <c r="BF399" s="51" t="n">
        <v>90.3526791030516</v>
      </c>
      <c r="BG399" s="51" t="n">
        <v>577.239635486485</v>
      </c>
      <c r="BH399" s="51" t="n">
        <v>212.61593694473</v>
      </c>
      <c r="BI399" s="51" t="n">
        <v>151.141897484833</v>
      </c>
      <c r="BJ399" s="51" t="n">
        <v>22.3750196605575</v>
      </c>
      <c r="BK399" s="51" t="n">
        <v>16.2281896895397</v>
      </c>
      <c r="BL399" s="51" t="n">
        <v>15.4241963557445</v>
      </c>
      <c r="BM399" s="51"/>
      <c r="BN399" s="52" t="n">
        <f aca="false">(BG399*0.5-BH399*0.25+BI399*0.5)/SUM(BG399:BI399)*1000</f>
        <v>330.539445846996</v>
      </c>
      <c r="BO399" s="53" t="n">
        <v>3.37750284</v>
      </c>
      <c r="BP399" s="54" t="s">
        <v>77</v>
      </c>
      <c r="BQ399" s="55" t="n">
        <v>336.084138610113</v>
      </c>
      <c r="BR399" s="56" t="n">
        <v>14.0872995099232</v>
      </c>
      <c r="BS399" s="56" t="n">
        <v>18.8364313214444</v>
      </c>
      <c r="BT399" s="56" t="n">
        <v>10.2144629158186</v>
      </c>
      <c r="BU399" s="55"/>
      <c r="BV399" s="55"/>
      <c r="BW399" s="55"/>
      <c r="BX399" s="55"/>
      <c r="BY399" s="79" t="n">
        <v>0.0601671309192201</v>
      </c>
      <c r="BZ399" s="80" t="n">
        <v>1.0896984</v>
      </c>
      <c r="CA399" s="81" t="n">
        <v>3.49</v>
      </c>
      <c r="CB399" s="81" t="n">
        <v>0.171</v>
      </c>
      <c r="CC399" s="82" t="n">
        <v>0.018874</v>
      </c>
      <c r="CD399" s="82" t="n">
        <v>5.076776</v>
      </c>
      <c r="CE399" s="83" t="n">
        <v>80.842288</v>
      </c>
      <c r="CF399" s="84" t="n">
        <v>36.277876</v>
      </c>
      <c r="CG399" s="80" t="n">
        <v>0.176</v>
      </c>
      <c r="CH399" s="63" t="n">
        <v>53679.9530269731</v>
      </c>
      <c r="CI399" s="63" t="n">
        <v>9180.34892441149</v>
      </c>
      <c r="CJ399" s="64" t="n">
        <v>810989.565539323</v>
      </c>
      <c r="CK399" s="65" t="n">
        <v>1.13199347001541</v>
      </c>
    </row>
    <row r="400" customFormat="false" ht="15" hidden="false" customHeight="false" outlineLevel="0" collapsed="false">
      <c r="A400" s="7" t="s">
        <v>73</v>
      </c>
      <c r="B400" s="66" t="n">
        <v>398</v>
      </c>
      <c r="C400" s="8" t="s">
        <v>479</v>
      </c>
      <c r="D400" s="67" t="n">
        <v>42086</v>
      </c>
      <c r="E400" s="4" t="s">
        <v>78</v>
      </c>
      <c r="F400" s="7" t="n">
        <v>918</v>
      </c>
      <c r="G400" s="68" t="n">
        <v>1</v>
      </c>
      <c r="H400" s="68" t="n">
        <v>129</v>
      </c>
      <c r="I400" s="66" t="n">
        <v>4</v>
      </c>
      <c r="J400" s="69" t="n">
        <v>639.827380952381</v>
      </c>
      <c r="K400" s="31" t="n">
        <v>463.314186703493</v>
      </c>
      <c r="L400" s="31" t="n">
        <v>947.341134374413</v>
      </c>
      <c r="M400" s="31" t="n">
        <v>165.7526869362</v>
      </c>
      <c r="N400" s="31" t="n">
        <v>346.579024388768</v>
      </c>
      <c r="O400" s="32"/>
      <c r="P400" s="33" t="n">
        <v>40.5077983699295</v>
      </c>
      <c r="Q400" s="33" t="n">
        <v>15.3839917692641</v>
      </c>
      <c r="R400" s="31" t="n">
        <v>178.765055165284</v>
      </c>
      <c r="S400" s="34" t="s">
        <v>76</v>
      </c>
      <c r="T400" s="35" t="n">
        <v>12.0472711242857</v>
      </c>
      <c r="U400" s="35" t="n">
        <v>3.01416328571429</v>
      </c>
      <c r="V400" s="70" t="n">
        <v>15.06143441</v>
      </c>
      <c r="W400" s="35" t="n">
        <v>14.1065636005664</v>
      </c>
      <c r="X400" s="35" t="n">
        <v>2.40944768008823</v>
      </c>
      <c r="Y400" s="35" t="n">
        <v>4.98134077580457</v>
      </c>
      <c r="Z400" s="35"/>
      <c r="AA400" s="35" t="n">
        <v>0.547118690954935</v>
      </c>
      <c r="AB400" s="35" t="n">
        <v>0.244306900936028</v>
      </c>
      <c r="AC400" s="71" t="n">
        <v>2.50180507358484</v>
      </c>
      <c r="AD400" s="38" t="n">
        <v>4.01139527106244</v>
      </c>
      <c r="AE400" s="38" t="n">
        <v>3.34662649193603</v>
      </c>
      <c r="AF400" s="38" t="n">
        <v>0.812587348970086</v>
      </c>
      <c r="AG400" s="72"/>
      <c r="AH400" s="72"/>
      <c r="AI400" s="73" t="n">
        <v>60.9032230501988</v>
      </c>
      <c r="AJ400" s="42" t="s">
        <v>16</v>
      </c>
      <c r="AK400" s="43" t="n">
        <v>733.664459714469</v>
      </c>
      <c r="AL400" s="43" t="n">
        <v>762.761038995943</v>
      </c>
      <c r="AM400" s="43" t="n">
        <v>662.74953563618</v>
      </c>
      <c r="AN400" s="74"/>
      <c r="AO400" s="75" t="n">
        <v>26.0785714285714</v>
      </c>
      <c r="AP400" s="76" t="n">
        <v>1.03792714285714</v>
      </c>
      <c r="AQ400" s="76" t="n">
        <v>0.938828571428572</v>
      </c>
      <c r="AR400" s="76" t="n">
        <v>1.19961428571429</v>
      </c>
      <c r="AS400" s="77" t="n">
        <v>26.0003357142857</v>
      </c>
      <c r="AT400" s="78" t="n">
        <v>26.3865311191993</v>
      </c>
      <c r="AU400" s="78" t="n">
        <v>39.8</v>
      </c>
      <c r="AV400" s="78" t="n">
        <v>36</v>
      </c>
      <c r="AW400" s="78" t="n">
        <v>46</v>
      </c>
      <c r="AX400" s="78" t="n">
        <v>26</v>
      </c>
      <c r="AY400" s="48" t="n">
        <v>1.75192683518112</v>
      </c>
      <c r="AZ400" s="48" t="n">
        <v>21.6709350386966</v>
      </c>
      <c r="BA400" s="48" t="n">
        <v>-6.60950062869656</v>
      </c>
      <c r="BB400" s="49" t="n">
        <f aca="false">AT400/V400</f>
        <v>1.75192683518112</v>
      </c>
      <c r="BC400" s="49" t="n">
        <f aca="false">AS400/V400</f>
        <v>1.72628549223857</v>
      </c>
      <c r="BD400" s="49" t="n">
        <f aca="false">SUM(AP400:AR400)/V400</f>
        <v>0.210894255721823</v>
      </c>
      <c r="BE400" s="50" t="n">
        <v>6.25</v>
      </c>
      <c r="BF400" s="51" t="n">
        <v>128.928767697401</v>
      </c>
      <c r="BG400" s="51" t="n">
        <v>518.883377724827</v>
      </c>
      <c r="BH400" s="51" t="n">
        <v>232.552536099432</v>
      </c>
      <c r="BI400" s="51" t="n">
        <v>191.67362021285</v>
      </c>
      <c r="BJ400" s="51" t="n">
        <v>14.617516829651</v>
      </c>
      <c r="BK400" s="51" t="n">
        <v>18.8893606984776</v>
      </c>
      <c r="BL400" s="51" t="n">
        <v>18.4084640566526</v>
      </c>
      <c r="BM400" s="51"/>
      <c r="BN400" s="52" t="n">
        <f aca="false">(BG400*0.5-BH400*0.25+BI400*0.5)/SUM(BG400:BI400)*1000</f>
        <v>315.064533036826</v>
      </c>
      <c r="BO400" s="53" t="n">
        <v>3.69955884</v>
      </c>
      <c r="BP400" s="54" t="s">
        <v>77</v>
      </c>
      <c r="BQ400" s="55" t="n">
        <v>329.3265937246</v>
      </c>
      <c r="BR400" s="56" t="n">
        <v>21.8655530914071</v>
      </c>
      <c r="BS400" s="56" t="n">
        <v>30.6067396491055</v>
      </c>
      <c r="BT400" s="56" t="n">
        <v>12.480859732448</v>
      </c>
      <c r="BU400" s="55"/>
      <c r="BV400" s="55"/>
      <c r="BW400" s="55"/>
      <c r="BX400" s="55"/>
      <c r="BY400" s="79" t="n">
        <v>0.100278551532033</v>
      </c>
      <c r="BZ400" s="80" t="n">
        <v>0.6248368</v>
      </c>
      <c r="CA400" s="81" t="n">
        <v>3.59</v>
      </c>
      <c r="CB400" s="81" t="n">
        <v>0.03</v>
      </c>
      <c r="CC400" s="82" t="n">
        <v>4.739887</v>
      </c>
      <c r="CD400" s="82" t="n">
        <v>6.920552</v>
      </c>
      <c r="CE400" s="83" t="n">
        <v>88.5726</v>
      </c>
      <c r="CF400" s="84" t="n">
        <v>33.986704</v>
      </c>
      <c r="CG400" s="80" t="n">
        <v>0.1025</v>
      </c>
      <c r="CH400" s="63" t="n">
        <v>30326.6128717542</v>
      </c>
      <c r="CI400" s="63" t="n">
        <v>10699.1752930463</v>
      </c>
      <c r="CJ400" s="64" t="n">
        <v>861229.443122052</v>
      </c>
      <c r="CK400" s="65" t="n">
        <v>1.24231415663874</v>
      </c>
    </row>
    <row r="401" customFormat="false" ht="15" hidden="false" customHeight="false" outlineLevel="0" collapsed="false">
      <c r="A401" s="7" t="s">
        <v>73</v>
      </c>
      <c r="B401" s="66" t="n">
        <v>399</v>
      </c>
      <c r="C401" s="8" t="s">
        <v>480</v>
      </c>
      <c r="D401" s="67" t="n">
        <v>42086</v>
      </c>
      <c r="E401" s="4" t="s">
        <v>78</v>
      </c>
      <c r="F401" s="7" t="n">
        <v>1929</v>
      </c>
      <c r="G401" s="68" t="n">
        <v>1</v>
      </c>
      <c r="H401" s="68" t="n">
        <v>119</v>
      </c>
      <c r="I401" s="66" t="n">
        <v>2</v>
      </c>
      <c r="J401" s="69" t="n">
        <v>572.013888888889</v>
      </c>
      <c r="K401" s="31" t="n">
        <v>463.314186703493</v>
      </c>
      <c r="L401" s="31" t="n">
        <v>947.341134374413</v>
      </c>
      <c r="M401" s="31" t="n">
        <v>165.7526869362</v>
      </c>
      <c r="N401" s="31" t="n">
        <v>346.579024388768</v>
      </c>
      <c r="O401" s="32"/>
      <c r="P401" s="33" t="n">
        <v>40.5077983699295</v>
      </c>
      <c r="Q401" s="33" t="n">
        <v>15.3839917692641</v>
      </c>
      <c r="R401" s="31" t="n">
        <v>178.765055165284</v>
      </c>
      <c r="S401" s="34" t="s">
        <v>76</v>
      </c>
      <c r="T401" s="35" t="n">
        <v>11.0169637528571</v>
      </c>
      <c r="U401" s="35" t="n">
        <v>4.34369835714286</v>
      </c>
      <c r="V401" s="70" t="n">
        <v>15.36066211</v>
      </c>
      <c r="W401" s="35" t="n">
        <v>14.3788934113672</v>
      </c>
      <c r="X401" s="35" t="n">
        <v>2.51608006040968</v>
      </c>
      <c r="Y401" s="35" t="n">
        <v>4.8853050588013</v>
      </c>
      <c r="Z401" s="35"/>
      <c r="AA401" s="35" t="n">
        <v>0.56808046519855</v>
      </c>
      <c r="AB401" s="35" t="n">
        <v>0.225182862278809</v>
      </c>
      <c r="AC401" s="71" t="n">
        <v>2.63913542890778</v>
      </c>
      <c r="AD401" s="38" t="n">
        <v>2.75776999820369</v>
      </c>
      <c r="AE401" s="38" t="n">
        <v>2.19326022440711</v>
      </c>
      <c r="AF401" s="38" t="n">
        <v>0.483741243529164</v>
      </c>
      <c r="AG401" s="72"/>
      <c r="AH401" s="72"/>
      <c r="AI401" s="73" t="n">
        <v>81.6539676715189</v>
      </c>
      <c r="AJ401" s="42" t="s">
        <v>16</v>
      </c>
      <c r="AK401" s="43" t="n">
        <v>820.465421447664</v>
      </c>
      <c r="AL401" s="43" t="n">
        <v>847.466688731886</v>
      </c>
      <c r="AM401" s="43" t="n">
        <v>807.740122764456</v>
      </c>
      <c r="AN401" s="74"/>
      <c r="AO401" s="75" t="n">
        <v>19.8083333333333</v>
      </c>
      <c r="AP401" s="76" t="n">
        <v>1.16076833333333</v>
      </c>
      <c r="AQ401" s="76" t="n">
        <v>0.738850833333333</v>
      </c>
      <c r="AR401" s="76" t="n">
        <v>0.788371666666667</v>
      </c>
      <c r="AS401" s="77" t="n">
        <v>25.3348583333333</v>
      </c>
      <c r="AT401" s="78" t="n">
        <v>24.1360882802548</v>
      </c>
      <c r="AU401" s="78" t="n">
        <v>58.6</v>
      </c>
      <c r="AV401" s="78" t="n">
        <v>37.3</v>
      </c>
      <c r="AW401" s="78" t="n">
        <v>39.8</v>
      </c>
      <c r="AX401" s="78" t="n">
        <v>22</v>
      </c>
      <c r="AY401" s="48" t="n">
        <v>1.57129218177007</v>
      </c>
      <c r="AZ401" s="48" t="n">
        <v>20.3546580171026</v>
      </c>
      <c r="BA401" s="48" t="n">
        <v>-4.99399590710256</v>
      </c>
      <c r="BB401" s="49" t="n">
        <f aca="false">AT401/V401</f>
        <v>1.57129218177007</v>
      </c>
      <c r="BC401" s="49" t="n">
        <f aca="false">AS401/V401</f>
        <v>1.64933374303182</v>
      </c>
      <c r="BD401" s="49" t="n">
        <f aca="false">SUM(AP401:AR401)/V401</f>
        <v>0.174991859991726</v>
      </c>
      <c r="BE401" s="50" t="n">
        <v>7.03</v>
      </c>
      <c r="BF401" s="51" t="n">
        <v>53.0658372045654</v>
      </c>
      <c r="BG401" s="51" t="n">
        <v>591.286884347178</v>
      </c>
      <c r="BH401" s="51" t="n">
        <v>205.030687143494</v>
      </c>
      <c r="BI401" s="51" t="n">
        <v>142.193796866944</v>
      </c>
      <c r="BJ401" s="51" t="n">
        <v>28.2938826779392</v>
      </c>
      <c r="BK401" s="51" t="n">
        <v>9.65571505664942</v>
      </c>
      <c r="BL401" s="51" t="n">
        <v>18.5639095296865</v>
      </c>
      <c r="BM401" s="51"/>
      <c r="BN401" s="52" t="n">
        <f aca="false">(BG401*0.5-BH401*0.25+BI401*0.5)/SUM(BG401:BI401)*1000</f>
        <v>336.152208122187</v>
      </c>
      <c r="BO401" s="53" t="n">
        <v>2.30078216</v>
      </c>
      <c r="BP401" s="54" t="s">
        <v>77</v>
      </c>
      <c r="BQ401" s="55" t="n">
        <v>284.430156187196</v>
      </c>
      <c r="BR401" s="56" t="n">
        <v>18.5167901064648</v>
      </c>
      <c r="BS401" s="56" t="n">
        <v>23.3414342794731</v>
      </c>
      <c r="BT401" s="56" t="n">
        <v>11.784434697311</v>
      </c>
      <c r="BU401" s="55"/>
      <c r="BV401" s="55"/>
      <c r="BW401" s="55"/>
      <c r="BX401" s="55"/>
      <c r="BY401" s="79" t="n">
        <v>0.18050139275766</v>
      </c>
      <c r="BZ401" s="80" t="n">
        <v>0.3416228</v>
      </c>
      <c r="CA401" s="81" t="n">
        <v>4.02</v>
      </c>
      <c r="CB401" s="81" t="n">
        <v>0.339</v>
      </c>
      <c r="CC401" s="82" t="n">
        <v>3.544385</v>
      </c>
      <c r="CD401" s="82" t="n">
        <v>4.387688</v>
      </c>
      <c r="CE401" s="83" t="n">
        <v>74.008472</v>
      </c>
      <c r="CF401" s="84" t="n">
        <v>30.017349</v>
      </c>
      <c r="CG401" s="80" t="n">
        <v>1.0055</v>
      </c>
      <c r="CH401" s="63" t="n">
        <v>46733.0043531285</v>
      </c>
      <c r="CI401" s="63" t="n">
        <v>14169.9866781723</v>
      </c>
      <c r="CJ401" s="64" t="n">
        <v>793663.977067839</v>
      </c>
      <c r="CK401" s="65" t="n">
        <v>1.78538866417029</v>
      </c>
    </row>
    <row r="402" s="1" customFormat="true" ht="15" hidden="false" customHeight="false" outlineLevel="0" collapsed="false">
      <c r="A402" s="7" t="s">
        <v>73</v>
      </c>
      <c r="B402" s="66" t="n">
        <v>1000</v>
      </c>
      <c r="C402" s="8" t="s">
        <v>481</v>
      </c>
      <c r="D402" s="67" t="n">
        <v>42086</v>
      </c>
      <c r="E402" s="4" t="s">
        <v>78</v>
      </c>
      <c r="F402" s="7" t="n">
        <v>1966</v>
      </c>
      <c r="G402" s="68" t="n">
        <v>1</v>
      </c>
      <c r="H402" s="68" t="n">
        <v>141</v>
      </c>
      <c r="I402" s="7" t="n">
        <v>2</v>
      </c>
      <c r="J402" s="69" t="n">
        <v>647.763095238095</v>
      </c>
      <c r="K402" s="31" t="n">
        <v>463.314186703493</v>
      </c>
      <c r="L402" s="31" t="n">
        <v>947.341134374413</v>
      </c>
      <c r="M402" s="31" t="n">
        <v>165.7526869362</v>
      </c>
      <c r="N402" s="31" t="n">
        <v>346.579024388768</v>
      </c>
      <c r="O402" s="32"/>
      <c r="P402" s="33" t="n">
        <v>40.5077983699295</v>
      </c>
      <c r="Q402" s="33" t="n">
        <v>15.3839917692641</v>
      </c>
      <c r="R402" s="31" t="n">
        <v>178.765055165284</v>
      </c>
      <c r="S402" s="34" t="s">
        <v>76</v>
      </c>
      <c r="T402" s="35" t="n">
        <v>13.4094160471429</v>
      </c>
      <c r="U402" s="35" t="n">
        <v>6.46897114285714</v>
      </c>
      <c r="V402" s="70" t="n">
        <v>19.87838719</v>
      </c>
      <c r="W402" s="35" t="n">
        <v>18.5869984309387</v>
      </c>
      <c r="X402" s="35" t="n">
        <v>3.27063033943749</v>
      </c>
      <c r="Y402" s="35" t="n">
        <v>6.21636738073347</v>
      </c>
      <c r="Z402" s="35"/>
      <c r="AA402" s="35" t="n">
        <v>0.732420543053799</v>
      </c>
      <c r="AB402" s="35" t="n">
        <v>0.282979334119432</v>
      </c>
      <c r="AC402" s="71" t="n">
        <v>3.43038616522606</v>
      </c>
      <c r="AD402" s="38" t="n">
        <v>3.30244376540484</v>
      </c>
      <c r="AE402" s="38" t="n">
        <v>2.65341430578718</v>
      </c>
      <c r="AF402" s="38" t="n">
        <v>0.736319514301816</v>
      </c>
      <c r="AG402" s="72"/>
      <c r="AH402" s="72"/>
      <c r="AI402" s="73" t="n">
        <v>85.6878585136912</v>
      </c>
      <c r="AJ402" s="42" t="s">
        <v>16</v>
      </c>
      <c r="AK402" s="43" t="n">
        <v>833.867620454331</v>
      </c>
      <c r="AL402" s="43" t="n">
        <v>857.24352882225</v>
      </c>
      <c r="AM402" s="43" t="n">
        <v>774.869233791657</v>
      </c>
      <c r="AN402" s="74"/>
      <c r="AO402" s="75" t="n">
        <v>34.0714285714286</v>
      </c>
      <c r="AP402" s="76" t="n">
        <v>1.35863056057866</v>
      </c>
      <c r="AQ402" s="76" t="n">
        <v>1.15618589511754</v>
      </c>
      <c r="AR402" s="76" t="n">
        <v>1.59040253164557</v>
      </c>
      <c r="AS402" s="77" t="n">
        <v>34.0080298372514</v>
      </c>
      <c r="AT402" s="78" t="n">
        <v>34.0846450881699</v>
      </c>
      <c r="AU402" s="78" t="n">
        <v>39.8759493670886</v>
      </c>
      <c r="AV402" s="78" t="n">
        <v>33.9341772151899</v>
      </c>
      <c r="AW402" s="78" t="n">
        <v>46.6784810126582</v>
      </c>
      <c r="AX402" s="78" t="n">
        <v>36</v>
      </c>
      <c r="AY402" s="48" t="n">
        <v>1.71465847618244</v>
      </c>
      <c r="AZ402" s="48" t="n">
        <v>24.8207838141092</v>
      </c>
      <c r="BA402" s="48" t="n">
        <v>-4.9423966241092</v>
      </c>
      <c r="BB402" s="49" t="n">
        <f aca="false">AT402/V402</f>
        <v>1.71465847618244</v>
      </c>
      <c r="BC402" s="49" t="n">
        <f aca="false">AS402/V402</f>
        <v>1.71080427764076</v>
      </c>
      <c r="BD402" s="49" t="n">
        <f aca="false">SUM(AP402:AR402)/V402</f>
        <v>0.206516703196471</v>
      </c>
      <c r="BE402" s="50" t="n">
        <v>6.77</v>
      </c>
      <c r="BF402" s="51" t="n">
        <v>56.4033909631195</v>
      </c>
      <c r="BG402" s="51" t="n">
        <v>527.059769303749</v>
      </c>
      <c r="BH402" s="51" t="n">
        <v>210.320563190011</v>
      </c>
      <c r="BI402" s="51" t="n">
        <v>213.319953983582</v>
      </c>
      <c r="BJ402" s="51" t="n">
        <v>9.84945988724332</v>
      </c>
      <c r="BK402" s="51" t="n">
        <v>20.8199600941178</v>
      </c>
      <c r="BL402" s="51" t="n">
        <v>13.6551691631874</v>
      </c>
      <c r="BM402" s="51"/>
      <c r="BN402" s="52" t="n">
        <f aca="false">(BG402*0.5-BH402*0.25+BI402*0.5)/SUM(BG402:BI402)*1000</f>
        <v>334.079757168278</v>
      </c>
      <c r="BO402" s="53" t="n">
        <v>4.19686698</v>
      </c>
      <c r="BP402" s="54" t="s">
        <v>77</v>
      </c>
      <c r="BQ402" s="55" t="n">
        <v>319.045587564735</v>
      </c>
      <c r="BR402" s="56" t="n">
        <v>16.0498728853231</v>
      </c>
      <c r="BS402" s="56" t="n">
        <v>20.0234664755128</v>
      </c>
      <c r="BT402" s="56" t="n">
        <v>9.3603904849069</v>
      </c>
      <c r="BU402" s="55"/>
      <c r="BV402" s="55"/>
      <c r="BW402" s="55"/>
      <c r="BX402" s="55"/>
      <c r="BY402" s="79" t="n">
        <v>0.0902506963788301</v>
      </c>
      <c r="BZ402" s="80" t="n">
        <v>0.9969214</v>
      </c>
      <c r="CA402" s="81" t="n">
        <v>3.57</v>
      </c>
      <c r="CB402" s="81" t="n">
        <v>0.278</v>
      </c>
      <c r="CC402" s="82" t="n">
        <v>6.301359</v>
      </c>
      <c r="CD402" s="82" t="n">
        <v>5.28164</v>
      </c>
      <c r="CE402" s="83" t="n">
        <v>80.27608</v>
      </c>
      <c r="CF402" s="84" t="n">
        <v>35.594544</v>
      </c>
      <c r="CG402" s="80" t="n">
        <v>0.1235</v>
      </c>
      <c r="CH402" s="63" t="n">
        <v>156440.614714066</v>
      </c>
      <c r="CI402" s="63" t="n">
        <v>4245.83456583304</v>
      </c>
      <c r="CJ402" s="64" t="n">
        <v>235282.442965788</v>
      </c>
      <c r="CK402" s="65" t="n">
        <v>1.80456922850398</v>
      </c>
    </row>
    <row r="403" s="1" customFormat="true" ht="15" hidden="false" customHeight="false" outlineLevel="0" collapsed="false">
      <c r="A403" s="7" t="s">
        <v>73</v>
      </c>
      <c r="B403" s="66" t="n">
        <v>1001</v>
      </c>
      <c r="C403" s="8" t="s">
        <v>482</v>
      </c>
      <c r="D403" s="67" t="n">
        <v>42086</v>
      </c>
      <c r="E403" s="4" t="s">
        <v>78</v>
      </c>
      <c r="F403" s="7" t="n">
        <v>1988</v>
      </c>
      <c r="G403" s="68" t="n">
        <v>1</v>
      </c>
      <c r="H403" s="68" t="n">
        <v>123</v>
      </c>
      <c r="I403" s="7" t="n">
        <v>2</v>
      </c>
      <c r="J403" s="69" t="n">
        <v>624.032142857143</v>
      </c>
      <c r="K403" s="31" t="n">
        <v>463.314186703493</v>
      </c>
      <c r="L403" s="31" t="n">
        <v>947.341134374413</v>
      </c>
      <c r="M403" s="31" t="n">
        <v>165.7526869362</v>
      </c>
      <c r="N403" s="31" t="n">
        <v>346.579024388768</v>
      </c>
      <c r="O403" s="32"/>
      <c r="P403" s="33" t="n">
        <v>40.5077983699295</v>
      </c>
      <c r="Q403" s="33" t="n">
        <v>15.3839917692641</v>
      </c>
      <c r="R403" s="31" t="n">
        <v>178.765055165284</v>
      </c>
      <c r="S403" s="34" t="s">
        <v>76</v>
      </c>
      <c r="T403" s="35" t="n">
        <v>17.7197266485714</v>
      </c>
      <c r="U403" s="35" t="n">
        <v>10.0311065714286</v>
      </c>
      <c r="V403" s="70" t="n">
        <v>27.75083322</v>
      </c>
      <c r="W403" s="35" t="n">
        <v>25.9581930069072</v>
      </c>
      <c r="X403" s="35" t="n">
        <v>4.63822123605459</v>
      </c>
      <c r="Y403" s="35" t="n">
        <v>8.49884582849136</v>
      </c>
      <c r="Z403" s="35"/>
      <c r="AA403" s="35" t="n">
        <v>1.04042182016483</v>
      </c>
      <c r="AB403" s="35" t="n">
        <v>0.368169844434613</v>
      </c>
      <c r="AC403" s="71" t="n">
        <v>4.90376317032398</v>
      </c>
      <c r="AD403" s="38" t="n">
        <v>3.92788300473156</v>
      </c>
      <c r="AE403" s="38" t="n">
        <v>3.14029634045141</v>
      </c>
      <c r="AF403" s="38" t="n">
        <v>0.766356466875795</v>
      </c>
      <c r="AG403" s="72"/>
      <c r="AH403" s="72"/>
      <c r="AI403" s="73" t="n">
        <v>93.7323856110563</v>
      </c>
      <c r="AJ403" s="42" t="s">
        <v>16</v>
      </c>
      <c r="AK403" s="43" t="n">
        <v>858.458916401085</v>
      </c>
      <c r="AL403" s="43" t="n">
        <v>879.024848161973</v>
      </c>
      <c r="AM403" s="43" t="n">
        <v>834.77362810583</v>
      </c>
      <c r="AN403" s="74"/>
      <c r="AO403" s="75" t="n">
        <v>44.4928571428571</v>
      </c>
      <c r="AP403" s="76" t="n">
        <v>1.60297203724291</v>
      </c>
      <c r="AQ403" s="76" t="n">
        <v>1.34619458310172</v>
      </c>
      <c r="AR403" s="76" t="n">
        <v>2.09173559477487</v>
      </c>
      <c r="AS403" s="77" t="n">
        <v>41.8417234157865</v>
      </c>
      <c r="AT403" s="78" t="n">
        <v>41.2388684133436</v>
      </c>
      <c r="AU403" s="78" t="n">
        <v>36.027626459144</v>
      </c>
      <c r="AV403" s="78" t="n">
        <v>30.256420233463</v>
      </c>
      <c r="AW403" s="78" t="n">
        <v>47.0128404669261</v>
      </c>
      <c r="AX403" s="78" t="n">
        <v>38.3073929961089</v>
      </c>
      <c r="AY403" s="48" t="n">
        <v>1.48604072845001</v>
      </c>
      <c r="AZ403" s="48" t="n">
        <v>27.1827856490028</v>
      </c>
      <c r="BA403" s="48" t="n">
        <v>0.56804757099723</v>
      </c>
      <c r="BB403" s="49" t="n">
        <f aca="false">AT403/V403</f>
        <v>1.48604072845001</v>
      </c>
      <c r="BC403" s="49" t="n">
        <f aca="false">AS403/V403</f>
        <v>1.50776458076334</v>
      </c>
      <c r="BD403" s="49" t="n">
        <f aca="false">SUM(AP403:AR403)/V403</f>
        <v>0.181648679704743</v>
      </c>
      <c r="BE403" s="50" t="n">
        <v>6.48</v>
      </c>
      <c r="BF403" s="51" t="n">
        <v>84.4003330178063</v>
      </c>
      <c r="BG403" s="51" t="n">
        <v>545.288142226768</v>
      </c>
      <c r="BH403" s="51" t="n">
        <v>219.41769138823</v>
      </c>
      <c r="BI403" s="51" t="n">
        <v>177.626739202004</v>
      </c>
      <c r="BJ403" s="51" t="n">
        <v>19.0932864070018</v>
      </c>
      <c r="BK403" s="51" t="n">
        <v>19.5176245616104</v>
      </c>
      <c r="BL403" s="51" t="n">
        <v>14.0813918362768</v>
      </c>
      <c r="BM403" s="51"/>
      <c r="BN403" s="52" t="n">
        <f aca="false">(BG403*0.5-BH403*0.25+BI403*0.5)/SUM(BG403:BI403)*1000</f>
        <v>325.366040304403</v>
      </c>
      <c r="BO403" s="53" t="n">
        <v>6.37449236</v>
      </c>
      <c r="BP403" s="54" t="s">
        <v>77</v>
      </c>
      <c r="BQ403" s="55" t="n">
        <v>333.107881619289</v>
      </c>
      <c r="BR403" s="56" t="n">
        <v>12.0035272086612</v>
      </c>
      <c r="BS403" s="56" t="n">
        <v>14.5985358111024</v>
      </c>
      <c r="BT403" s="56" t="n">
        <v>8.07752235780325</v>
      </c>
      <c r="BU403" s="55"/>
      <c r="BV403" s="55"/>
      <c r="BW403" s="55"/>
      <c r="BX403" s="55"/>
      <c r="BY403" s="79" t="n">
        <v>0.130362116991643</v>
      </c>
      <c r="BZ403" s="80" t="n">
        <v>1.0496578</v>
      </c>
      <c r="CA403" s="81" t="n">
        <v>3.55</v>
      </c>
      <c r="CB403" s="81" t="n">
        <v>0.236</v>
      </c>
      <c r="CC403" s="82" t="n">
        <v>5.349837</v>
      </c>
      <c r="CD403" s="82" t="n">
        <v>7.063336</v>
      </c>
      <c r="CE403" s="83" t="n">
        <v>80.055888</v>
      </c>
      <c r="CF403" s="84" t="n">
        <v>36.458758</v>
      </c>
      <c r="CG403" s="80" t="n">
        <v>0.197</v>
      </c>
      <c r="CH403" s="63" t="n">
        <v>74982.8096509385</v>
      </c>
      <c r="CI403" s="63" t="n">
        <v>10159.5092085173</v>
      </c>
      <c r="CJ403" s="64" t="n">
        <v>801453.511865419</v>
      </c>
      <c r="CK403" s="65" t="n">
        <v>1.26763549701973</v>
      </c>
    </row>
    <row r="404" s="1" customFormat="true" ht="15" hidden="false" customHeight="false" outlineLevel="0" collapsed="false">
      <c r="A404" s="7" t="s">
        <v>73</v>
      </c>
      <c r="B404" s="66" t="n">
        <v>1002</v>
      </c>
      <c r="C404" s="8" t="s">
        <v>483</v>
      </c>
      <c r="D404" s="67" t="n">
        <v>42086</v>
      </c>
      <c r="E404" s="4" t="s">
        <v>78</v>
      </c>
      <c r="F404" s="7" t="n">
        <v>1989</v>
      </c>
      <c r="G404" s="68" t="n">
        <v>1</v>
      </c>
      <c r="H404" s="68" t="n">
        <v>109</v>
      </c>
      <c r="I404" s="7" t="n">
        <v>2</v>
      </c>
      <c r="J404" s="69" t="n">
        <v>644.630952380953</v>
      </c>
      <c r="K404" s="31" t="n">
        <v>463.314186703493</v>
      </c>
      <c r="L404" s="31" t="n">
        <v>947.341134374413</v>
      </c>
      <c r="M404" s="31" t="n">
        <v>165.7526869362</v>
      </c>
      <c r="N404" s="31" t="n">
        <v>346.579024388768</v>
      </c>
      <c r="O404" s="32"/>
      <c r="P404" s="33" t="n">
        <v>40.5077983699295</v>
      </c>
      <c r="Q404" s="33" t="n">
        <v>15.3839917692641</v>
      </c>
      <c r="R404" s="31" t="n">
        <v>178.765055165284</v>
      </c>
      <c r="S404" s="34" t="s">
        <v>76</v>
      </c>
      <c r="T404" s="35" t="n">
        <v>11.9013654042857</v>
      </c>
      <c r="U404" s="35" t="n">
        <v>2.35549828571429</v>
      </c>
      <c r="V404" s="70" t="n">
        <v>14.25686369</v>
      </c>
      <c r="W404" s="35" t="n">
        <v>13.3621119867266</v>
      </c>
      <c r="X404" s="35" t="n">
        <v>2.26721856683793</v>
      </c>
      <c r="Y404" s="35" t="n">
        <v>4.78225253831568</v>
      </c>
      <c r="Z404" s="35"/>
      <c r="AA404" s="35" t="n">
        <v>0.517588192160786</v>
      </c>
      <c r="AB404" s="35" t="n">
        <v>0.237734298684113</v>
      </c>
      <c r="AC404" s="71" t="n">
        <v>2.35055969660564</v>
      </c>
      <c r="AD404" s="38" t="n">
        <v>3.19689418853652</v>
      </c>
      <c r="AE404" s="38" t="n">
        <v>2.66451803054091</v>
      </c>
      <c r="AF404" s="38" t="n">
        <v>0.724156023523677</v>
      </c>
      <c r="AG404" s="72"/>
      <c r="AH404" s="72"/>
      <c r="AI404" s="73" t="n">
        <v>74.3641436543583</v>
      </c>
      <c r="AJ404" s="42" t="s">
        <v>16</v>
      </c>
      <c r="AK404" s="43" t="n">
        <v>775.764553968565</v>
      </c>
      <c r="AL404" s="43" t="n">
        <v>800.591550707872</v>
      </c>
      <c r="AM404" s="43" t="n">
        <v>680.597171302434</v>
      </c>
      <c r="AN404" s="74"/>
      <c r="AO404" s="75" t="n">
        <v>19.4571428571429</v>
      </c>
      <c r="AP404" s="76" t="n">
        <v>0.700457142857143</v>
      </c>
      <c r="AQ404" s="76" t="n">
        <v>0.688782857142857</v>
      </c>
      <c r="AR404" s="76" t="n">
        <v>0.924214285714286</v>
      </c>
      <c r="AS404" s="77" t="n">
        <v>18.2897142857143</v>
      </c>
      <c r="AT404" s="78" t="n">
        <v>18.8488282984531</v>
      </c>
      <c r="AU404" s="78" t="n">
        <v>36</v>
      </c>
      <c r="AV404" s="78" t="n">
        <v>35.4</v>
      </c>
      <c r="AW404" s="78" t="n">
        <v>47.5</v>
      </c>
      <c r="AX404" s="78" t="n">
        <v>29</v>
      </c>
      <c r="AY404" s="48" t="n">
        <v>1.3220879927241</v>
      </c>
      <c r="AZ404" s="48" t="n">
        <v>18.7106367095297</v>
      </c>
      <c r="BA404" s="48" t="n">
        <v>-4.45377301952972</v>
      </c>
      <c r="BB404" s="49" t="n">
        <f aca="false">AT404/V404</f>
        <v>1.3220879927241</v>
      </c>
      <c r="BC404" s="49" t="n">
        <f aca="false">AS404/V404</f>
        <v>1.28287081109873</v>
      </c>
      <c r="BD404" s="49" t="n">
        <f aca="false">SUM(AP404:AR404)/V404</f>
        <v>0.162269510042169</v>
      </c>
      <c r="BE404" s="50" t="n">
        <v>6.45</v>
      </c>
      <c r="BF404" s="51" t="n">
        <v>104.563007293169</v>
      </c>
      <c r="BG404" s="51" t="n">
        <v>566.23552466729</v>
      </c>
      <c r="BH404" s="51" t="n">
        <v>214.884620344272</v>
      </c>
      <c r="BI404" s="51" t="n">
        <v>158.988780650335</v>
      </c>
      <c r="BJ404" s="51" t="n">
        <v>18.6971184752428</v>
      </c>
      <c r="BK404" s="51" t="n">
        <v>16.3834599789473</v>
      </c>
      <c r="BL404" s="51" t="n">
        <v>19.8353715058029</v>
      </c>
      <c r="BM404" s="51"/>
      <c r="BN404" s="52" t="n">
        <f aca="false">(BG404*0.5-BH404*0.25+BI404*0.5)/SUM(BG404:BI404)*1000</f>
        <v>328.569370145343</v>
      </c>
      <c r="BO404" s="53" t="n">
        <v>8.90082288</v>
      </c>
      <c r="BP404" s="54" t="s">
        <v>77</v>
      </c>
      <c r="BQ404" s="55" t="n">
        <v>320.190258427652</v>
      </c>
      <c r="BR404" s="56" t="n">
        <v>22.4586743192501</v>
      </c>
      <c r="BS404" s="56" t="n">
        <v>29.931053631224</v>
      </c>
      <c r="BT404" s="56" t="n">
        <v>16.9872765223252</v>
      </c>
      <c r="BU404" s="55"/>
      <c r="BV404" s="55"/>
      <c r="BW404" s="55"/>
      <c r="BX404" s="55"/>
      <c r="BY404" s="79" t="n">
        <v>0.100278551532033</v>
      </c>
      <c r="BZ404" s="80" t="n">
        <v>0.8299228</v>
      </c>
      <c r="CA404" s="81" t="n">
        <v>3.64</v>
      </c>
      <c r="CB404" s="81" t="n">
        <v>0.173</v>
      </c>
      <c r="CC404" s="82" t="n">
        <v>3.84936</v>
      </c>
      <c r="CD404" s="82" t="n">
        <v>3.35716</v>
      </c>
      <c r="CE404" s="83" t="n">
        <v>80.39404</v>
      </c>
      <c r="CF404" s="84" t="n">
        <v>35.996504</v>
      </c>
      <c r="CG404" s="80" t="n">
        <v>0.1655</v>
      </c>
      <c r="CH404" s="63" t="n">
        <v>53293.0965722451</v>
      </c>
      <c r="CI404" s="63" t="n">
        <v>7210.05036984654</v>
      </c>
      <c r="CJ404" s="64" t="n">
        <v>762252.229851084</v>
      </c>
      <c r="CK404" s="65" t="n">
        <v>0.945887737351076</v>
      </c>
    </row>
    <row r="405" s="1" customFormat="true" ht="15" hidden="false" customHeight="false" outlineLevel="0" collapsed="false">
      <c r="A405" s="7" t="s">
        <v>73</v>
      </c>
      <c r="B405" s="66" t="n">
        <v>1003</v>
      </c>
      <c r="C405" s="8" t="s">
        <v>484</v>
      </c>
      <c r="D405" s="67" t="n">
        <v>42086</v>
      </c>
      <c r="E405" s="4" t="s">
        <v>78</v>
      </c>
      <c r="F405" s="7" t="n">
        <v>2016</v>
      </c>
      <c r="G405" s="68" t="n">
        <v>1</v>
      </c>
      <c r="H405" s="68" t="n">
        <v>119</v>
      </c>
      <c r="I405" s="7" t="n">
        <v>2</v>
      </c>
      <c r="J405" s="69" t="n">
        <v>648.540476190476</v>
      </c>
      <c r="K405" s="31" t="n">
        <v>463.314186703493</v>
      </c>
      <c r="L405" s="31" t="n">
        <v>947.341134374413</v>
      </c>
      <c r="M405" s="31" t="n">
        <v>165.7526869362</v>
      </c>
      <c r="N405" s="31" t="n">
        <v>346.579024388768</v>
      </c>
      <c r="O405" s="32"/>
      <c r="P405" s="33" t="n">
        <v>40.5077983699295</v>
      </c>
      <c r="Q405" s="33" t="n">
        <v>15.3839917692641</v>
      </c>
      <c r="R405" s="31" t="n">
        <v>178.765055165284</v>
      </c>
      <c r="S405" s="34" t="s">
        <v>76</v>
      </c>
      <c r="T405" s="35" t="n">
        <v>19.4595455542857</v>
      </c>
      <c r="U405" s="35" t="n">
        <v>8.18733928571429</v>
      </c>
      <c r="V405" s="70" t="n">
        <v>27.64688484</v>
      </c>
      <c r="W405" s="35" t="n">
        <v>25.9050899295678</v>
      </c>
      <c r="X405" s="35" t="n">
        <v>4.58931912163196</v>
      </c>
      <c r="Y405" s="35" t="n">
        <v>8.6928624269297</v>
      </c>
      <c r="Z405" s="35"/>
      <c r="AA405" s="35" t="n">
        <v>1.0421521411936</v>
      </c>
      <c r="AB405" s="35" t="n">
        <v>0.384920860064447</v>
      </c>
      <c r="AC405" s="71" t="n">
        <v>4.85237439367773</v>
      </c>
      <c r="AD405" s="38" t="n">
        <v>5.0120872130358</v>
      </c>
      <c r="AE405" s="38" t="n">
        <v>4.10460773307761</v>
      </c>
      <c r="AF405" s="38" t="n">
        <v>0.966987278888588</v>
      </c>
      <c r="AG405" s="72"/>
      <c r="AH405" s="72"/>
      <c r="AI405" s="73" t="n">
        <v>76.7985160081247</v>
      </c>
      <c r="AJ405" s="42" t="s">
        <v>16</v>
      </c>
      <c r="AK405" s="43" t="n">
        <v>818.710598244898</v>
      </c>
      <c r="AL405" s="43" t="n">
        <v>841.552075509583</v>
      </c>
      <c r="AM405" s="43" t="n">
        <v>789.296134511403</v>
      </c>
      <c r="AN405" s="74"/>
      <c r="AO405" s="75" t="n">
        <v>38.7</v>
      </c>
      <c r="AP405" s="76" t="n">
        <v>1.34663778947368</v>
      </c>
      <c r="AQ405" s="76" t="n">
        <v>1.23823705263158</v>
      </c>
      <c r="AR405" s="76" t="n">
        <v>1.7028</v>
      </c>
      <c r="AS405" s="77" t="n">
        <v>35.6795668421053</v>
      </c>
      <c r="AT405" s="78" t="n">
        <v>35.1933012772377</v>
      </c>
      <c r="AU405" s="78" t="n">
        <v>34.7968421052632</v>
      </c>
      <c r="AV405" s="78" t="n">
        <v>31.9957894736842</v>
      </c>
      <c r="AW405" s="78" t="n">
        <v>44</v>
      </c>
      <c r="AX405" s="78" t="n">
        <v>31.5631578947368</v>
      </c>
      <c r="AY405" s="48" t="n">
        <v>1.27295720588091</v>
      </c>
      <c r="AZ405" s="48" t="n">
        <v>25.2270685993509</v>
      </c>
      <c r="BA405" s="48" t="n">
        <v>2.41981624064906</v>
      </c>
      <c r="BB405" s="49" t="n">
        <f aca="false">AT405/V405</f>
        <v>1.27295720588091</v>
      </c>
      <c r="BC405" s="49" t="n">
        <f aca="false">AS405/V405</f>
        <v>1.29054564550735</v>
      </c>
      <c r="BD405" s="49" t="n">
        <f aca="false">SUM(AP405:AR405)/V405</f>
        <v>0.15508708727653</v>
      </c>
      <c r="BE405" s="50" t="n">
        <v>6.48</v>
      </c>
      <c r="BF405" s="51" t="n">
        <v>114.148933277468</v>
      </c>
      <c r="BG405" s="51" t="n">
        <v>515.277809654795</v>
      </c>
      <c r="BH405" s="51" t="n">
        <v>273.705479513768</v>
      </c>
      <c r="BI405" s="51" t="n">
        <v>164.614998291548</v>
      </c>
      <c r="BJ405" s="51" t="n">
        <v>10.0065948352969</v>
      </c>
      <c r="BK405" s="51" t="n">
        <v>17.1334221458935</v>
      </c>
      <c r="BL405" s="51" t="n">
        <v>14.2865711805886</v>
      </c>
      <c r="BM405" s="51"/>
      <c r="BN405" s="52" t="n">
        <f aca="false">(BG405*0.5-BH405*0.25+BI405*0.5)/SUM(BG405:BI405)*1000</f>
        <v>284.732090719162</v>
      </c>
      <c r="BO405" s="53" t="n">
        <v>8.2673765</v>
      </c>
      <c r="BP405" s="54" t="s">
        <v>77</v>
      </c>
      <c r="BQ405" s="55" t="n">
        <v>338.707648102996</v>
      </c>
      <c r="BR405" s="56" t="n">
        <v>12.2512047944349</v>
      </c>
      <c r="BS405" s="56" t="n">
        <v>15.5367044201218</v>
      </c>
      <c r="BT405" s="56" t="n">
        <v>9.62420789782701</v>
      </c>
      <c r="BU405" s="55"/>
      <c r="BV405" s="55"/>
      <c r="BW405" s="55"/>
      <c r="BX405" s="55"/>
      <c r="BY405" s="79" t="n">
        <v>0.0401114206128134</v>
      </c>
      <c r="BZ405" s="80" t="n">
        <v>0.6258134</v>
      </c>
      <c r="CA405" s="81" t="n">
        <v>3.46</v>
      </c>
      <c r="CB405" s="81" t="n">
        <v>0.31</v>
      </c>
      <c r="CC405" s="82" t="n">
        <v>4.910673</v>
      </c>
      <c r="CD405" s="82" t="n">
        <v>5.37476</v>
      </c>
      <c r="CE405" s="83" t="n">
        <v>78.1528</v>
      </c>
      <c r="CF405" s="84" t="n">
        <v>33.956557</v>
      </c>
      <c r="CG405" s="80" t="n">
        <v>0.0605</v>
      </c>
      <c r="CH405" s="63" t="n">
        <v>24578.2621748533</v>
      </c>
      <c r="CI405" s="63" t="n">
        <v>7680.62901483163</v>
      </c>
      <c r="CJ405" s="64" t="n">
        <v>943994.825966268</v>
      </c>
      <c r="CK405" s="65" t="n">
        <v>0.813630414443191</v>
      </c>
    </row>
    <row r="406" s="1" customFormat="true" ht="15" hidden="false" customHeight="false" outlineLevel="0" collapsed="false">
      <c r="A406" s="7" t="s">
        <v>73</v>
      </c>
      <c r="B406" s="66" t="n">
        <v>1004</v>
      </c>
      <c r="C406" s="8" t="s">
        <v>485</v>
      </c>
      <c r="D406" s="67" t="n">
        <v>42086</v>
      </c>
      <c r="E406" s="4" t="s">
        <v>78</v>
      </c>
      <c r="F406" s="7" t="n">
        <v>2142</v>
      </c>
      <c r="G406" s="68" t="n">
        <v>1</v>
      </c>
      <c r="H406" s="68" t="n">
        <v>104</v>
      </c>
      <c r="I406" s="7" t="n">
        <v>1</v>
      </c>
      <c r="J406" s="69" t="n">
        <v>616.428571428572</v>
      </c>
      <c r="K406" s="31" t="n">
        <v>463.314186703493</v>
      </c>
      <c r="L406" s="31" t="n">
        <v>947.341134374413</v>
      </c>
      <c r="M406" s="31" t="n">
        <v>165.7526869362</v>
      </c>
      <c r="N406" s="31" t="n">
        <v>346.579024388768</v>
      </c>
      <c r="O406" s="32"/>
      <c r="P406" s="33" t="n">
        <v>40.5077983699295</v>
      </c>
      <c r="Q406" s="33" t="n">
        <v>15.3839917692641</v>
      </c>
      <c r="R406" s="31" t="n">
        <v>178.765055165284</v>
      </c>
      <c r="S406" s="34" t="s">
        <v>76</v>
      </c>
      <c r="T406" s="35" t="n">
        <v>17.5552217728571</v>
      </c>
      <c r="U406" s="35" t="n">
        <v>7.04778085714286</v>
      </c>
      <c r="V406" s="70" t="n">
        <v>24.60300263</v>
      </c>
      <c r="W406" s="35" t="n">
        <v>23.0483888874241</v>
      </c>
      <c r="X406" s="35" t="n">
        <v>4.06339178692041</v>
      </c>
      <c r="Y406" s="35" t="n">
        <v>7.78189928167636</v>
      </c>
      <c r="Z406" s="35"/>
      <c r="AA406" s="35" t="n">
        <v>0.921824456767254</v>
      </c>
      <c r="AB406" s="35" t="n">
        <v>0.349993953138293</v>
      </c>
      <c r="AC406" s="71" t="n">
        <v>4.28475476156791</v>
      </c>
      <c r="AD406" s="38" t="n">
        <v>5.27938750950336</v>
      </c>
      <c r="AE406" s="38" t="n">
        <v>4.28169954272995</v>
      </c>
      <c r="AF406" s="38" t="n">
        <v>1.02692205323471</v>
      </c>
      <c r="AG406" s="72"/>
      <c r="AH406" s="72"/>
      <c r="AI406" s="73" t="n">
        <v>66.2944238338772</v>
      </c>
      <c r="AJ406" s="42" t="s">
        <v>16</v>
      </c>
      <c r="AK406" s="43" t="n">
        <v>785.416943252858</v>
      </c>
      <c r="AL406" s="43" t="n">
        <v>814.229985286904</v>
      </c>
      <c r="AM406" s="43" t="n">
        <v>747.274664348081</v>
      </c>
      <c r="AN406" s="74"/>
      <c r="AO406" s="75" t="n">
        <v>31.1785714285714</v>
      </c>
      <c r="AP406" s="76" t="n">
        <v>1.05695357142857</v>
      </c>
      <c r="AQ406" s="76" t="n">
        <v>0.947828571428571</v>
      </c>
      <c r="AR406" s="76" t="n">
        <v>1.48098214285714</v>
      </c>
      <c r="AS406" s="77" t="n">
        <v>28.3257321428571</v>
      </c>
      <c r="AT406" s="78" t="n">
        <v>28.2036988171065</v>
      </c>
      <c r="AU406" s="78" t="n">
        <v>33.9</v>
      </c>
      <c r="AV406" s="78" t="n">
        <v>30.4</v>
      </c>
      <c r="AW406" s="78" t="n">
        <v>47.5</v>
      </c>
      <c r="AX406" s="78" t="n">
        <v>36</v>
      </c>
      <c r="AY406" s="48" t="n">
        <v>1.14635190026423</v>
      </c>
      <c r="AZ406" s="48" t="n">
        <v>21.8704837551822</v>
      </c>
      <c r="BA406" s="48" t="n">
        <v>2.73251887481778</v>
      </c>
      <c r="BB406" s="49" t="n">
        <f aca="false">AT406/V406</f>
        <v>1.14635190026423</v>
      </c>
      <c r="BC406" s="49" t="n">
        <f aca="false">AS406/V406</f>
        <v>1.15131199914265</v>
      </c>
      <c r="BD406" s="49" t="n">
        <f aca="false">SUM(AP406:AR406)/V406</f>
        <v>0.141680441941825</v>
      </c>
      <c r="BE406" s="50" t="n">
        <v>6.65</v>
      </c>
      <c r="BF406" s="51" t="n">
        <v>91.7408380228458</v>
      </c>
      <c r="BG406" s="51" t="n">
        <v>564.72216227401</v>
      </c>
      <c r="BH406" s="51" t="n">
        <v>213.074979102758</v>
      </c>
      <c r="BI406" s="51" t="n">
        <v>167.765791394801</v>
      </c>
      <c r="BJ406" s="51" t="n">
        <v>16.5147290589797</v>
      </c>
      <c r="BK406" s="51" t="n">
        <v>18.9755761569898</v>
      </c>
      <c r="BL406" s="51" t="n">
        <v>13.971637634351</v>
      </c>
      <c r="BM406" s="51"/>
      <c r="BN406" s="52" t="n">
        <f aca="false">(BG406*0.5-BH406*0.25+BI406*0.5)/SUM(BG406:BI406)*1000</f>
        <v>330.993550203311</v>
      </c>
      <c r="BO406" s="53" t="n">
        <v>11.10385508</v>
      </c>
      <c r="BP406" s="54" t="s">
        <v>77</v>
      </c>
      <c r="BQ406" s="55" t="n">
        <v>328.134632542914</v>
      </c>
      <c r="BR406" s="56" t="n">
        <v>13.3371782898888</v>
      </c>
      <c r="BS406" s="56" t="n">
        <v>17.4849504095236</v>
      </c>
      <c r="BT406" s="56" t="n">
        <v>11.6344538590764</v>
      </c>
      <c r="BU406" s="55"/>
      <c r="BV406" s="55"/>
      <c r="BW406" s="55"/>
      <c r="BX406" s="55"/>
      <c r="BY406" s="79" t="n">
        <v>0.0701949860724234</v>
      </c>
      <c r="BZ406" s="80" t="n">
        <v>1.2654864</v>
      </c>
      <c r="CA406" s="81" t="n">
        <v>3.07</v>
      </c>
      <c r="CB406" s="81" t="n">
        <v>0.274</v>
      </c>
      <c r="CC406" s="82" t="n">
        <v>6.996702</v>
      </c>
      <c r="CD406" s="82" t="n">
        <v>4.667048</v>
      </c>
      <c r="CE406" s="83" t="n">
        <v>89.917344</v>
      </c>
      <c r="CF406" s="84" t="n">
        <v>33.132539</v>
      </c>
      <c r="CG406" s="80" t="n">
        <v>0.092</v>
      </c>
      <c r="CH406" s="63" t="n">
        <v>70028.2289140683</v>
      </c>
      <c r="CI406" s="63" t="n">
        <v>8280.18410839078</v>
      </c>
      <c r="CJ406" s="64" t="n">
        <v>484180.227378739</v>
      </c>
      <c r="CK406" s="65" t="n">
        <v>1.71014503281519</v>
      </c>
    </row>
    <row r="407" s="1" customFormat="true" ht="15" hidden="false" customHeight="false" outlineLevel="0" collapsed="false">
      <c r="A407" s="7" t="s">
        <v>73</v>
      </c>
      <c r="B407" s="66" t="n">
        <v>1005</v>
      </c>
      <c r="C407" s="8" t="s">
        <v>486</v>
      </c>
      <c r="D407" s="67" t="n">
        <v>42086</v>
      </c>
      <c r="E407" s="4" t="s">
        <v>78</v>
      </c>
      <c r="F407" s="7" t="n">
        <v>2885</v>
      </c>
      <c r="G407" s="68" t="n">
        <v>1</v>
      </c>
      <c r="H407" s="68" t="n">
        <v>107</v>
      </c>
      <c r="I407" s="7" t="n">
        <v>3</v>
      </c>
      <c r="J407" s="69" t="n">
        <v>732.541666666667</v>
      </c>
      <c r="K407" s="31" t="n">
        <v>463.314186703493</v>
      </c>
      <c r="L407" s="31" t="n">
        <v>947.341134374413</v>
      </c>
      <c r="M407" s="31" t="n">
        <v>165.7526869362</v>
      </c>
      <c r="N407" s="31" t="n">
        <v>346.579024388768</v>
      </c>
      <c r="O407" s="32"/>
      <c r="P407" s="33" t="n">
        <v>40.5077983699295</v>
      </c>
      <c r="Q407" s="33" t="n">
        <v>15.3839917692641</v>
      </c>
      <c r="R407" s="31" t="n">
        <v>178.765055165284</v>
      </c>
      <c r="S407" s="34" t="s">
        <v>76</v>
      </c>
      <c r="T407" s="35" t="n">
        <v>16.43571153</v>
      </c>
      <c r="U407" s="35" t="n">
        <v>5.982815</v>
      </c>
      <c r="V407" s="70" t="n">
        <v>22.41852653</v>
      </c>
      <c r="W407" s="35" t="n">
        <v>21.0032186409898</v>
      </c>
      <c r="X407" s="35" t="n">
        <v>3.67995153100008</v>
      </c>
      <c r="Y407" s="35" t="n">
        <v>7.16071240217836</v>
      </c>
      <c r="Z407" s="35"/>
      <c r="AA407" s="35" t="n">
        <v>0.835591929122794</v>
      </c>
      <c r="AB407" s="35" t="n">
        <v>0.327927296777419</v>
      </c>
      <c r="AC407" s="71" t="n">
        <v>3.86990628187685</v>
      </c>
      <c r="AD407" s="38" t="n">
        <v>4.74383028947895</v>
      </c>
      <c r="AE407" s="38" t="n">
        <v>3.91501298817341</v>
      </c>
      <c r="AF407" s="38" t="n">
        <v>1.05864719270428</v>
      </c>
      <c r="AG407" s="72"/>
      <c r="AH407" s="72"/>
      <c r="AI407" s="73" t="n">
        <v>69.1271139072384</v>
      </c>
      <c r="AJ407" s="42" t="s">
        <v>16</v>
      </c>
      <c r="AK407" s="43" t="n">
        <v>788.396874204429</v>
      </c>
      <c r="AL407" s="43" t="n">
        <v>813.599379452591</v>
      </c>
      <c r="AM407" s="43" t="n">
        <v>712.320343410454</v>
      </c>
      <c r="AN407" s="74"/>
      <c r="AO407" s="75" t="n">
        <v>34.2785714285714</v>
      </c>
      <c r="AP407" s="76" t="n">
        <v>1.415705</v>
      </c>
      <c r="AQ407" s="76" t="n">
        <v>1.14147642857143</v>
      </c>
      <c r="AR407" s="76" t="n">
        <v>1.56995857142857</v>
      </c>
      <c r="AS407" s="77" t="n">
        <v>34.9470035714286</v>
      </c>
      <c r="AT407" s="78" t="n">
        <v>34.5611185577798</v>
      </c>
      <c r="AU407" s="78" t="n">
        <v>41.3</v>
      </c>
      <c r="AV407" s="78" t="n">
        <v>33.3</v>
      </c>
      <c r="AW407" s="78" t="n">
        <v>45.8</v>
      </c>
      <c r="AX407" s="78" t="n">
        <v>36</v>
      </c>
      <c r="AY407" s="48" t="n">
        <v>1.54163202972019</v>
      </c>
      <c r="AZ407" s="48" t="n">
        <v>25.930940898318</v>
      </c>
      <c r="BA407" s="48" t="n">
        <v>-3.51241436831799</v>
      </c>
      <c r="BB407" s="49" t="n">
        <f aca="false">AT407/V407</f>
        <v>1.54163202972019</v>
      </c>
      <c r="BC407" s="49" t="n">
        <f aca="false">AS407/V407</f>
        <v>1.55884480296523</v>
      </c>
      <c r="BD407" s="49" t="n">
        <f aca="false">SUM(AP407:AR407)/V407</f>
        <v>0.184095060595403</v>
      </c>
      <c r="BE407" s="50" t="n">
        <v>6.72</v>
      </c>
      <c r="BF407" s="51" t="n">
        <v>79.2593200454589</v>
      </c>
      <c r="BG407" s="51" t="n">
        <v>619.633539610647</v>
      </c>
      <c r="BH407" s="51" t="n">
        <v>201.378098371483</v>
      </c>
      <c r="BI407" s="51" t="n">
        <v>135.748130626816</v>
      </c>
      <c r="BJ407" s="51" t="n">
        <v>10.2379680771695</v>
      </c>
      <c r="BK407" s="51" t="n">
        <v>17.7465669730646</v>
      </c>
      <c r="BL407" s="51" t="n">
        <v>10.2805719627104</v>
      </c>
      <c r="BM407" s="51"/>
      <c r="BN407" s="52" t="n">
        <f aca="false">(BG407*0.5-BH407*0.25+BI407*0.5)/SUM(BG407:BI407)*1000</f>
        <v>342.14054694398</v>
      </c>
      <c r="BO407" s="53" t="n">
        <v>1.07564734</v>
      </c>
      <c r="BP407" s="54" t="s">
        <v>77</v>
      </c>
      <c r="BQ407" s="55" t="n">
        <v>295.488041277473</v>
      </c>
      <c r="BR407" s="56" t="n">
        <v>13.1805290986478</v>
      </c>
      <c r="BS407" s="56" t="n">
        <v>17.2919291399546</v>
      </c>
      <c r="BT407" s="56" t="n">
        <v>8.54972447675475</v>
      </c>
      <c r="BU407" s="55"/>
      <c r="BV407" s="55"/>
      <c r="BW407" s="55"/>
      <c r="BX407" s="55"/>
      <c r="BY407" s="79" t="n">
        <v>0.0701949860724234</v>
      </c>
      <c r="BZ407" s="80" t="n">
        <v>0.4480722</v>
      </c>
      <c r="CA407" s="81" t="n">
        <v>3.46</v>
      </c>
      <c r="CB407" s="81" t="n">
        <v>0.266</v>
      </c>
      <c r="CC407" s="82" t="n">
        <v>5.92319</v>
      </c>
      <c r="CD407" s="82" t="n">
        <v>3.400616</v>
      </c>
      <c r="CE407" s="83" t="n">
        <v>78.601048</v>
      </c>
      <c r="CF407" s="84" t="n">
        <v>31.71563</v>
      </c>
      <c r="CG407" s="80" t="n">
        <v>0.1235</v>
      </c>
      <c r="CH407" s="63" t="n">
        <v>39130.4283728349</v>
      </c>
      <c r="CI407" s="63" t="n">
        <v>10415.2019700293</v>
      </c>
      <c r="CJ407" s="64" t="n">
        <v>859542.134180091</v>
      </c>
      <c r="CK407" s="65" t="n">
        <v>1.2117151162071</v>
      </c>
    </row>
    <row r="408" s="1" customFormat="true" ht="15" hidden="false" customHeight="false" outlineLevel="0" collapsed="false">
      <c r="A408" s="7" t="s">
        <v>73</v>
      </c>
      <c r="B408" s="66" t="n">
        <v>1006</v>
      </c>
      <c r="C408" s="8" t="s">
        <v>487</v>
      </c>
      <c r="D408" s="67" t="n">
        <v>42086</v>
      </c>
      <c r="E408" s="4" t="s">
        <v>78</v>
      </c>
      <c r="F408" s="7" t="n">
        <v>919</v>
      </c>
      <c r="G408" s="68" t="n">
        <v>1</v>
      </c>
      <c r="H408" s="68" t="n">
        <v>82</v>
      </c>
      <c r="I408" s="7" t="n">
        <v>4</v>
      </c>
      <c r="J408" s="69" t="n">
        <v>794.332142857143</v>
      </c>
      <c r="K408" s="31" t="n">
        <v>463.314186703493</v>
      </c>
      <c r="L408" s="31" t="n">
        <v>947.341134374413</v>
      </c>
      <c r="M408" s="31" t="n">
        <v>165.7526869362</v>
      </c>
      <c r="N408" s="31" t="n">
        <v>346.579024388768</v>
      </c>
      <c r="O408" s="32"/>
      <c r="P408" s="33" t="n">
        <v>40.5077983699295</v>
      </c>
      <c r="Q408" s="33" t="n">
        <v>15.3839917692641</v>
      </c>
      <c r="R408" s="31" t="n">
        <v>178.765055165284</v>
      </c>
      <c r="S408" s="34" t="s">
        <v>76</v>
      </c>
      <c r="T408" s="35" t="n">
        <v>22.3755939957143</v>
      </c>
      <c r="U408" s="35" t="n">
        <v>12.5115737142857</v>
      </c>
      <c r="V408" s="70" t="n">
        <v>34.88716771</v>
      </c>
      <c r="W408" s="35" t="n">
        <v>32.6598116526803</v>
      </c>
      <c r="X408" s="35" t="n">
        <v>5.86704932085433</v>
      </c>
      <c r="Y408" s="35" t="n">
        <v>10.6593483199674</v>
      </c>
      <c r="Z408" s="35"/>
      <c r="AA408" s="35" t="n">
        <v>1.32279284883297</v>
      </c>
      <c r="AB408" s="35" t="n">
        <v>0.452239512909221</v>
      </c>
      <c r="AC408" s="71" t="n">
        <v>6.22952467833218</v>
      </c>
      <c r="AD408" s="38" t="n">
        <v>7.53757684478064</v>
      </c>
      <c r="AE408" s="38" t="n">
        <v>6.21549860509256</v>
      </c>
      <c r="AF408" s="38" t="n">
        <v>1.53650197023348</v>
      </c>
      <c r="AG408" s="88"/>
      <c r="AH408" s="88"/>
      <c r="AI408" s="73" t="n">
        <v>59.9979969985144</v>
      </c>
      <c r="AJ408" s="42" t="s">
        <v>16</v>
      </c>
      <c r="AK408" s="43" t="n">
        <v>783.944145095502</v>
      </c>
      <c r="AL408" s="43" t="n">
        <v>809.689698422298</v>
      </c>
      <c r="AM408" s="43" t="n">
        <v>738.113336669592</v>
      </c>
      <c r="AN408" s="88"/>
      <c r="AO408" s="75" t="n">
        <v>52.1285714285714</v>
      </c>
      <c r="AP408" s="76" t="n">
        <v>1.83492571428571</v>
      </c>
      <c r="AQ408" s="76" t="n">
        <v>1.57428285714286</v>
      </c>
      <c r="AR408" s="76" t="n">
        <v>2.36142428571429</v>
      </c>
      <c r="AS408" s="77" t="n">
        <v>48.3753142857143</v>
      </c>
      <c r="AT408" s="78" t="n">
        <v>47.2969169153776</v>
      </c>
      <c r="AU408" s="78" t="n">
        <v>35.2</v>
      </c>
      <c r="AV408" s="78" t="n">
        <v>30.2</v>
      </c>
      <c r="AW408" s="78" t="n">
        <v>45.3</v>
      </c>
      <c r="AX408" s="78" t="n">
        <v>32</v>
      </c>
      <c r="AY408" s="48" t="n">
        <v>1.35571099690677</v>
      </c>
      <c r="AZ408" s="48" t="n">
        <v>30.7856966165481</v>
      </c>
      <c r="BA408" s="48" t="n">
        <v>4.10147109345191</v>
      </c>
      <c r="BB408" s="49" t="n">
        <f aca="false">AT408/V408</f>
        <v>1.35571099690677</v>
      </c>
      <c r="BC408" s="49" t="n">
        <f aca="false">AS408/V408</f>
        <v>1.38662200061165</v>
      </c>
      <c r="BD408" s="49" t="n">
        <f aca="false">SUM(AP408:AR408)/V408</f>
        <v>0.165408464943652</v>
      </c>
      <c r="BE408" s="50" t="n">
        <v>6.43</v>
      </c>
      <c r="BF408" s="51" t="n">
        <v>117.803539628904</v>
      </c>
      <c r="BG408" s="51" t="n">
        <v>532.7235885214</v>
      </c>
      <c r="BH408" s="51" t="n">
        <v>245.239605829827</v>
      </c>
      <c r="BI408" s="51" t="n">
        <v>172.355191788147</v>
      </c>
      <c r="BJ408" s="51" t="n">
        <v>10.7304971050985</v>
      </c>
      <c r="BK408" s="51" t="n">
        <v>16.5000680337542</v>
      </c>
      <c r="BL408" s="51" t="n">
        <v>17.4759243436637</v>
      </c>
      <c r="BM408" s="51"/>
      <c r="BN408" s="52" t="n">
        <f aca="false">(BG408*0.5-BH408*0.25+BI408*0.5)/SUM(BG408:BI408)*1000</f>
        <v>306.454650299279</v>
      </c>
      <c r="BO408" s="53" t="n">
        <v>4.52728252</v>
      </c>
      <c r="BP408" s="54" t="s">
        <v>77</v>
      </c>
      <c r="BQ408" s="55" t="n">
        <v>394.493149520417</v>
      </c>
      <c r="BR408" s="56" t="n">
        <v>11.3076863332571</v>
      </c>
      <c r="BS408" s="56" t="n">
        <v>14.9178822989468</v>
      </c>
      <c r="BT408" s="56" t="n">
        <v>8.34077938370134</v>
      </c>
      <c r="BU408" s="55"/>
      <c r="BV408" s="55"/>
      <c r="BW408" s="55"/>
      <c r="BX408" s="55"/>
      <c r="BY408" s="79" t="n">
        <v>0.12033426183844</v>
      </c>
      <c r="BZ408" s="80" t="n">
        <v>0.8279696</v>
      </c>
      <c r="CA408" s="81" t="n">
        <v>3.26</v>
      </c>
      <c r="CB408" s="81" t="n">
        <v>0.03</v>
      </c>
      <c r="CC408" s="82" t="n">
        <v>5.374235</v>
      </c>
      <c r="CD408" s="82" t="n">
        <v>6.0266</v>
      </c>
      <c r="CE408" s="83" t="n">
        <v>79.60764</v>
      </c>
      <c r="CF408" s="84" t="n">
        <v>33.413911</v>
      </c>
      <c r="CG408" s="80" t="n">
        <v>0.0815</v>
      </c>
      <c r="CH408" s="63" t="n">
        <v>29832.042215637</v>
      </c>
      <c r="CI408" s="63" t="n">
        <v>7100.67476425998</v>
      </c>
      <c r="CJ408" s="64" t="n">
        <v>678991.090988054</v>
      </c>
      <c r="CK408" s="65" t="n">
        <v>1.0457684730336</v>
      </c>
    </row>
    <row r="409" s="1" customFormat="true" ht="15" hidden="false" customHeight="false" outlineLevel="0" collapsed="false">
      <c r="A409" s="7"/>
      <c r="B409" s="89"/>
      <c r="C409" s="8"/>
      <c r="D409" s="7"/>
      <c r="E409" s="4"/>
      <c r="F409" s="7"/>
      <c r="G409" s="68"/>
      <c r="H409" s="68"/>
      <c r="I409" s="7"/>
      <c r="J409" s="8"/>
      <c r="K409" s="88"/>
      <c r="L409" s="88"/>
      <c r="M409" s="88"/>
      <c r="N409" s="88"/>
      <c r="O409" s="88"/>
      <c r="P409" s="90"/>
      <c r="Q409" s="90"/>
      <c r="R409" s="88"/>
      <c r="S409" s="34"/>
      <c r="T409" s="35"/>
      <c r="U409" s="35"/>
      <c r="V409" s="35"/>
      <c r="W409" s="35"/>
      <c r="X409" s="35"/>
      <c r="Y409" s="35"/>
      <c r="Z409" s="35"/>
      <c r="AA409" s="35"/>
      <c r="AB409" s="35"/>
      <c r="AC409" s="71"/>
      <c r="AD409" s="72"/>
      <c r="AE409" s="72"/>
      <c r="AF409" s="72"/>
      <c r="AG409" s="72"/>
      <c r="AH409" s="72"/>
      <c r="AI409" s="72"/>
      <c r="AJ409" s="91"/>
      <c r="AK409" s="74"/>
      <c r="AL409" s="74"/>
      <c r="AM409" s="74"/>
      <c r="AN409" s="74"/>
      <c r="AO409" s="92"/>
      <c r="AP409" s="92"/>
      <c r="AQ409" s="92"/>
      <c r="AR409" s="92"/>
      <c r="AS409" s="77"/>
      <c r="AT409" s="92"/>
      <c r="AU409" s="78"/>
      <c r="AV409" s="78"/>
      <c r="AW409" s="78"/>
      <c r="AX409" s="78"/>
      <c r="AY409" s="48"/>
      <c r="AZ409" s="48"/>
      <c r="BA409" s="48"/>
      <c r="BB409" s="49"/>
      <c r="BC409" s="49"/>
      <c r="BD409" s="49"/>
      <c r="BE409" s="50"/>
      <c r="BF409" s="31"/>
      <c r="BG409" s="31"/>
      <c r="BH409" s="31"/>
      <c r="BI409" s="31"/>
      <c r="BJ409" s="31"/>
      <c r="BK409" s="31"/>
      <c r="BL409" s="31"/>
      <c r="BM409" s="51"/>
      <c r="BN409" s="52"/>
      <c r="BO409" s="93"/>
      <c r="BP409" s="94"/>
      <c r="BQ409" s="55"/>
      <c r="BR409" s="56"/>
      <c r="BS409" s="56"/>
      <c r="BT409" s="56"/>
      <c r="BU409" s="55"/>
      <c r="BV409" s="55"/>
      <c r="BW409" s="55"/>
      <c r="BX409" s="55"/>
      <c r="BY409" s="79"/>
      <c r="BZ409" s="80"/>
      <c r="CA409" s="81"/>
      <c r="CB409" s="81"/>
      <c r="CC409" s="82"/>
      <c r="CD409" s="82"/>
      <c r="CE409" s="83"/>
      <c r="CF409" s="84"/>
      <c r="CG409" s="80"/>
    </row>
    <row r="410" s="1" customFormat="true" ht="15" hidden="false" customHeight="false" outlineLevel="0" collapsed="false">
      <c r="A410" s="7" t="s">
        <v>488</v>
      </c>
      <c r="B410" s="66" t="n">
        <v>400</v>
      </c>
      <c r="C410" s="8" t="s">
        <v>489</v>
      </c>
      <c r="D410" s="67" t="n">
        <v>41648</v>
      </c>
      <c r="E410" s="4" t="s">
        <v>490</v>
      </c>
      <c r="F410" s="7" t="n">
        <v>75</v>
      </c>
      <c r="G410" s="68" t="n">
        <v>1</v>
      </c>
      <c r="H410" s="68" t="n">
        <v>149</v>
      </c>
      <c r="I410" s="7" t="n">
        <v>4</v>
      </c>
      <c r="J410" s="8" t="n">
        <v>750</v>
      </c>
      <c r="K410" s="32"/>
      <c r="L410" s="31" t="n">
        <v>931.863</v>
      </c>
      <c r="M410" s="31" t="n">
        <v>153.830460063246</v>
      </c>
      <c r="N410" s="31" t="n">
        <v>291.237376313373</v>
      </c>
      <c r="O410" s="95"/>
      <c r="P410" s="33" t="n">
        <v>43.0480465163725</v>
      </c>
      <c r="Q410" s="33" t="n">
        <v>7.9</v>
      </c>
      <c r="R410" s="31" t="n">
        <v>281.444455778843</v>
      </c>
      <c r="S410" s="34" t="s">
        <v>76</v>
      </c>
      <c r="T410" s="35"/>
      <c r="U410" s="35"/>
      <c r="V410" s="35" t="n">
        <v>23.4495231802425</v>
      </c>
      <c r="W410" s="35" t="n">
        <v>21.8517430193104</v>
      </c>
      <c r="X410" s="35" t="n">
        <v>3.60725093908046</v>
      </c>
      <c r="Y410" s="35" t="n">
        <v>6.82937760681347</v>
      </c>
      <c r="Z410" s="35"/>
      <c r="AA410" s="35" t="n">
        <v>1.00945616464984</v>
      </c>
      <c r="AB410" s="35" t="n">
        <v>0.185251233123916</v>
      </c>
      <c r="AC410" s="71" t="n">
        <v>6.59973828973673</v>
      </c>
      <c r="AD410" s="72"/>
      <c r="AE410" s="72"/>
      <c r="AF410" s="72"/>
      <c r="AG410" s="72"/>
      <c r="AH410" s="72"/>
      <c r="AI410" s="73" t="n">
        <v>23.9658959532343</v>
      </c>
      <c r="AJ410" s="42" t="s">
        <v>16</v>
      </c>
      <c r="AK410" s="43" t="n">
        <v>670.364921244104</v>
      </c>
      <c r="AL410" s="74"/>
      <c r="AM410" s="74"/>
      <c r="AN410" s="74"/>
      <c r="AO410" s="78" t="n">
        <v>39.66</v>
      </c>
      <c r="AP410" s="76" t="n">
        <v>1.14671755927242</v>
      </c>
      <c r="AQ410" s="76" t="n">
        <v>1.26304730194195</v>
      </c>
      <c r="AR410" s="76" t="n">
        <v>2.00612536443149</v>
      </c>
      <c r="AS410" s="77" t="n">
        <v>33.0647633890863</v>
      </c>
      <c r="AT410" s="78" t="n">
        <v>34.5500964187343</v>
      </c>
      <c r="AU410" s="78" t="n">
        <v>28.9137054783767</v>
      </c>
      <c r="AV410" s="78" t="n">
        <v>31.8468810373663</v>
      </c>
      <c r="AW410" s="78" t="n">
        <v>50.5830903790087</v>
      </c>
      <c r="AX410" s="78" t="n">
        <v>24.2175</v>
      </c>
      <c r="AY410" s="48" t="n">
        <v>1.47338161860129</v>
      </c>
      <c r="AZ410" s="48" t="n">
        <v>25.9558838471133</v>
      </c>
      <c r="BA410" s="48" t="n">
        <v>-2.5063606668708</v>
      </c>
      <c r="BB410" s="49" t="n">
        <f aca="false">AT410/V410</f>
        <v>1.47338161860129</v>
      </c>
      <c r="BC410" s="49" t="n">
        <f aca="false">AS410/V410</f>
        <v>1.41003990294119</v>
      </c>
      <c r="BD410" s="49" t="n">
        <f aca="false">SUM(AP410:AR410)/V410</f>
        <v>0.188314712913501</v>
      </c>
      <c r="BE410" s="53" t="n">
        <v>5.98</v>
      </c>
      <c r="BF410" s="51" t="n">
        <v>129.67</v>
      </c>
      <c r="BG410" s="51" t="n">
        <v>562.350582247243</v>
      </c>
      <c r="BH410" s="51" t="n">
        <v>314.876224261587</v>
      </c>
      <c r="BI410" s="51" t="n">
        <v>96.7841443664687</v>
      </c>
      <c r="BJ410" s="51" t="n">
        <v>4.62713040795866</v>
      </c>
      <c r="BK410" s="51" t="n">
        <v>11.4135883396314</v>
      </c>
      <c r="BL410" s="51" t="n">
        <v>8.09747821392766</v>
      </c>
      <c r="BM410" s="51" t="n">
        <v>1.85085216318347</v>
      </c>
      <c r="BN410" s="52" t="n">
        <f aca="false">(BG410*0.5-BH410*0.25+BI410*0.5)/SUM(BG410:BI410)*1000</f>
        <v>257.541567695962</v>
      </c>
      <c r="BO410" s="93" t="n">
        <v>5.47642857142857</v>
      </c>
      <c r="BP410" s="94" t="s">
        <v>491</v>
      </c>
      <c r="BQ410" s="55" t="n">
        <v>345.287037037037</v>
      </c>
      <c r="BR410" s="56" t="n">
        <v>14.7246933075364</v>
      </c>
      <c r="BS410" s="56"/>
      <c r="BT410" s="56" t="n">
        <v>9.99380820395657</v>
      </c>
      <c r="BU410" s="55" t="n">
        <v>13777.0438596491</v>
      </c>
      <c r="BV410" s="55" t="n">
        <v>587.519147138011</v>
      </c>
      <c r="BW410" s="55"/>
      <c r="BX410" s="55" t="n">
        <v>398.755583564123</v>
      </c>
      <c r="BY410" s="96" t="n">
        <v>0.08137</v>
      </c>
      <c r="BZ410" s="96" t="n">
        <v>0.8734</v>
      </c>
      <c r="CA410" s="97" t="n">
        <v>3.939</v>
      </c>
      <c r="CB410" s="98"/>
      <c r="CC410" s="97" t="n">
        <v>5.8848</v>
      </c>
      <c r="CD410" s="97" t="n">
        <v>3.2634</v>
      </c>
      <c r="CE410" s="97" t="n">
        <v>75.75</v>
      </c>
      <c r="CF410" s="97" t="n">
        <v>35.2591</v>
      </c>
      <c r="CG410" s="97" t="n">
        <v>0.4002</v>
      </c>
      <c r="CH410" s="63" t="n">
        <v>47379.650930491</v>
      </c>
      <c r="CI410" s="63" t="n">
        <v>4643.84530846475</v>
      </c>
      <c r="CJ410" s="64" t="n">
        <v>762184.242340787</v>
      </c>
      <c r="CK410" s="65" t="n">
        <v>0.609281201380231</v>
      </c>
    </row>
    <row r="411" s="1" customFormat="true" ht="15" hidden="false" customHeight="false" outlineLevel="0" collapsed="false">
      <c r="A411" s="7" t="s">
        <v>488</v>
      </c>
      <c r="B411" s="66" t="n">
        <v>401</v>
      </c>
      <c r="C411" s="8" t="s">
        <v>492</v>
      </c>
      <c r="D411" s="67" t="n">
        <v>41648</v>
      </c>
      <c r="E411" s="4" t="s">
        <v>490</v>
      </c>
      <c r="F411" s="7" t="n">
        <v>119</v>
      </c>
      <c r="G411" s="68" t="n">
        <v>1</v>
      </c>
      <c r="H411" s="68" t="n">
        <v>130</v>
      </c>
      <c r="I411" s="7" t="n">
        <v>4</v>
      </c>
      <c r="J411" s="8" t="n">
        <v>786</v>
      </c>
      <c r="K411" s="32"/>
      <c r="L411" s="31" t="n">
        <v>931.863</v>
      </c>
      <c r="M411" s="31" t="n">
        <v>153.830460063246</v>
      </c>
      <c r="N411" s="31" t="n">
        <v>291.237376313373</v>
      </c>
      <c r="O411" s="95"/>
      <c r="P411" s="33" t="n">
        <v>43.0480465163725</v>
      </c>
      <c r="Q411" s="33" t="n">
        <v>7.9</v>
      </c>
      <c r="R411" s="31" t="n">
        <v>281.444455778843</v>
      </c>
      <c r="S411" s="34" t="s">
        <v>76</v>
      </c>
      <c r="T411" s="35"/>
      <c r="U411" s="35"/>
      <c r="V411" s="35" t="n">
        <v>24.7409796197052</v>
      </c>
      <c r="W411" s="35" t="n">
        <v>23.0552034913573</v>
      </c>
      <c r="X411" s="35" t="n">
        <v>3.80591627731464</v>
      </c>
      <c r="Y411" s="35" t="n">
        <v>7.20549799186558</v>
      </c>
      <c r="Z411" s="35"/>
      <c r="AA411" s="35" t="n">
        <v>1.06505084152969</v>
      </c>
      <c r="AB411" s="35" t="n">
        <v>0.195453738995671</v>
      </c>
      <c r="AC411" s="71" t="n">
        <v>6.96321154450337</v>
      </c>
      <c r="AD411" s="72"/>
      <c r="AE411" s="72"/>
      <c r="AF411" s="72"/>
      <c r="AG411" s="72"/>
      <c r="AH411" s="72"/>
      <c r="AI411" s="73" t="n">
        <v>23.4005768726338</v>
      </c>
      <c r="AJ411" s="42" t="s">
        <v>16</v>
      </c>
      <c r="AK411" s="43" t="n">
        <v>662.401485100191</v>
      </c>
      <c r="AL411" s="74"/>
      <c r="AM411" s="74"/>
      <c r="AN411" s="74"/>
      <c r="AO411" s="78" t="n">
        <v>39.8</v>
      </c>
      <c r="AP411" s="76" t="n">
        <v>0.971240277124675</v>
      </c>
      <c r="AQ411" s="76" t="n">
        <v>1.26873202043951</v>
      </c>
      <c r="AR411" s="76" t="n">
        <v>1.98516520894072</v>
      </c>
      <c r="AS411" s="77" t="n">
        <v>30.4886041568701</v>
      </c>
      <c r="AT411" s="78" t="n">
        <v>32.3440477912072</v>
      </c>
      <c r="AU411" s="78" t="n">
        <v>24.4030220383084</v>
      </c>
      <c r="AV411" s="78" t="n">
        <v>31.8776889557666</v>
      </c>
      <c r="AW411" s="78" t="n">
        <v>49.8785228377065</v>
      </c>
      <c r="AX411" s="78" t="n">
        <v>30.095</v>
      </c>
      <c r="AY411" s="48" t="n">
        <v>1.30730667452822</v>
      </c>
      <c r="AZ411" s="48" t="n">
        <v>25.3519187181827</v>
      </c>
      <c r="BA411" s="48" t="n">
        <v>-0.610939098477484</v>
      </c>
      <c r="BB411" s="49" t="n">
        <f aca="false">AT411/V411</f>
        <v>1.30730667452822</v>
      </c>
      <c r="BC411" s="49" t="n">
        <f aca="false">AS411/V411</f>
        <v>1.23231192238594</v>
      </c>
      <c r="BD411" s="49" t="n">
        <f aca="false">SUM(AP411:AR411)/V411</f>
        <v>0.170774867101049</v>
      </c>
      <c r="BE411" s="53" t="n">
        <v>6.14</v>
      </c>
      <c r="BF411" s="51" t="n">
        <v>109.32</v>
      </c>
      <c r="BG411" s="51" t="n">
        <v>544.365166483718</v>
      </c>
      <c r="BH411" s="51" t="n">
        <v>326.930113428467</v>
      </c>
      <c r="BI411" s="51" t="n">
        <v>88.4559092572265</v>
      </c>
      <c r="BJ411" s="51" t="n">
        <v>5.7628979143798</v>
      </c>
      <c r="BK411" s="51" t="n">
        <v>20.1244054152945</v>
      </c>
      <c r="BL411" s="51" t="n">
        <v>11.1598975484815</v>
      </c>
      <c r="BM411" s="51" t="n">
        <v>3.20160995243322</v>
      </c>
      <c r="BN411" s="52" t="n">
        <f aca="false">(BG411*0.5-BH411*0.25+BI411*0.5)/SUM(BG411:BI411)*1000</f>
        <v>244.519634006862</v>
      </c>
      <c r="BO411" s="93" t="n">
        <v>6.375</v>
      </c>
      <c r="BP411" s="94" t="s">
        <v>491</v>
      </c>
      <c r="BQ411" s="55" t="n">
        <v>283.673148148148</v>
      </c>
      <c r="BR411" s="56" t="n">
        <v>11.4657201334992</v>
      </c>
      <c r="BS411" s="56"/>
      <c r="BT411" s="56" t="n">
        <v>8.77049001347521</v>
      </c>
      <c r="BU411" s="55" t="n">
        <v>13081.8592592593</v>
      </c>
      <c r="BV411" s="55" t="n">
        <v>528.752679172012</v>
      </c>
      <c r="BW411" s="55"/>
      <c r="BX411" s="55" t="n">
        <v>404.459557557777</v>
      </c>
      <c r="BY411" s="96" t="n">
        <v>0.14008</v>
      </c>
      <c r="BZ411" s="96" t="n">
        <v>0.5401</v>
      </c>
      <c r="CA411" s="97" t="n">
        <v>4.2016</v>
      </c>
      <c r="CB411" s="98"/>
      <c r="CC411" s="97" t="n">
        <v>6.3072</v>
      </c>
      <c r="CD411" s="97" t="n">
        <v>4.557</v>
      </c>
      <c r="CE411" s="97" t="n">
        <v>82.82</v>
      </c>
      <c r="CF411" s="97" t="n">
        <v>36.2792</v>
      </c>
      <c r="CG411" s="97" t="n">
        <v>0.3178</v>
      </c>
      <c r="CH411" s="63" t="n">
        <v>20859.2462859561</v>
      </c>
      <c r="CI411" s="63" t="n">
        <v>5852.51668960997</v>
      </c>
      <c r="CJ411" s="64" t="n">
        <v>877719.293329383</v>
      </c>
      <c r="CK411" s="65" t="n">
        <v>0.666786834251994</v>
      </c>
    </row>
    <row r="412" s="1" customFormat="true" ht="15" hidden="false" customHeight="false" outlineLevel="0" collapsed="false">
      <c r="A412" s="7" t="s">
        <v>488</v>
      </c>
      <c r="B412" s="66" t="n">
        <v>402</v>
      </c>
      <c r="C412" s="8" t="s">
        <v>493</v>
      </c>
      <c r="D412" s="67" t="n">
        <v>41648</v>
      </c>
      <c r="E412" s="4" t="s">
        <v>490</v>
      </c>
      <c r="F412" s="7" t="n">
        <v>153</v>
      </c>
      <c r="G412" s="68" t="n">
        <v>1</v>
      </c>
      <c r="H412" s="68" t="n">
        <v>103</v>
      </c>
      <c r="I412" s="7" t="n">
        <v>4</v>
      </c>
      <c r="J412" s="8" t="n">
        <v>823</v>
      </c>
      <c r="K412" s="32"/>
      <c r="L412" s="31" t="n">
        <v>931.863</v>
      </c>
      <c r="M412" s="31" t="n">
        <v>153.830460063246</v>
      </c>
      <c r="N412" s="31" t="n">
        <v>291.237376313373</v>
      </c>
      <c r="O412" s="95"/>
      <c r="P412" s="33" t="n">
        <v>43.0480465163725</v>
      </c>
      <c r="Q412" s="33" t="n">
        <v>7.9</v>
      </c>
      <c r="R412" s="31" t="n">
        <v>281.444455778843</v>
      </c>
      <c r="S412" s="34" t="s">
        <v>76</v>
      </c>
      <c r="T412" s="35"/>
      <c r="U412" s="35"/>
      <c r="V412" s="35" t="n">
        <v>19.951363418304</v>
      </c>
      <c r="W412" s="35" t="n">
        <v>18.591937369071</v>
      </c>
      <c r="X412" s="35" t="n">
        <v>3.06912741352671</v>
      </c>
      <c r="Y412" s="35" t="n">
        <v>5.81058273582146</v>
      </c>
      <c r="Z412" s="35"/>
      <c r="AA412" s="35" t="n">
        <v>0.858867220496202</v>
      </c>
      <c r="AB412" s="35" t="n">
        <v>0.157615771004601</v>
      </c>
      <c r="AC412" s="71" t="n">
        <v>5.61520061931048</v>
      </c>
      <c r="AD412" s="72"/>
      <c r="AE412" s="72"/>
      <c r="AF412" s="72"/>
      <c r="AG412" s="72"/>
      <c r="AH412" s="72"/>
      <c r="AI412" s="73" t="n">
        <v>22.1</v>
      </c>
      <c r="AJ412" s="42" t="s">
        <v>16</v>
      </c>
      <c r="AK412" s="43" t="n">
        <v>642.533936651584</v>
      </c>
      <c r="AL412" s="74"/>
      <c r="AM412" s="74"/>
      <c r="AN412" s="74"/>
      <c r="AO412" s="78" t="n">
        <v>26.66</v>
      </c>
      <c r="AP412" s="76" t="n">
        <v>0.731013548499757</v>
      </c>
      <c r="AQ412" s="76" t="n">
        <v>0.816200377338435</v>
      </c>
      <c r="AR412" s="76" t="n">
        <v>1.31162536443149</v>
      </c>
      <c r="AS412" s="77" t="n">
        <v>21.6292032274964</v>
      </c>
      <c r="AT412" s="78" t="n">
        <v>22.2917240658687</v>
      </c>
      <c r="AU412" s="78" t="n">
        <v>27.4198630344995</v>
      </c>
      <c r="AV412" s="78" t="n">
        <v>30.6151679421769</v>
      </c>
      <c r="AW412" s="78" t="n">
        <v>49.198250728863</v>
      </c>
      <c r="AX412" s="78" t="n">
        <v>24.805</v>
      </c>
      <c r="AY412" s="48" t="n">
        <v>1.11730329394018</v>
      </c>
      <c r="AZ412" s="48" t="n">
        <v>22.2481626452008</v>
      </c>
      <c r="BA412" s="48" t="n">
        <v>-2.2967992268968</v>
      </c>
      <c r="BB412" s="49" t="n">
        <f aca="false">AT412/V412</f>
        <v>1.11730329394018</v>
      </c>
      <c r="BC412" s="49" t="n">
        <f aca="false">AS412/V412</f>
        <v>1.08409649877126</v>
      </c>
      <c r="BD412" s="49" t="n">
        <f aca="false">SUM(AP412:AR412)/V412</f>
        <v>0.14329042233008</v>
      </c>
      <c r="BE412" s="53" t="n">
        <v>6.13</v>
      </c>
      <c r="BF412" s="51" t="n">
        <v>109.13</v>
      </c>
      <c r="BG412" s="51" t="n">
        <v>579.767250068725</v>
      </c>
      <c r="BH412" s="51" t="n">
        <v>285.805919545496</v>
      </c>
      <c r="BI412" s="51" t="n">
        <v>96.9485934206909</v>
      </c>
      <c r="BJ412" s="51" t="n">
        <v>7.23907266562815</v>
      </c>
      <c r="BK412" s="51" t="n">
        <v>15.6693851369926</v>
      </c>
      <c r="BL412" s="51" t="n">
        <v>11.6374965637313</v>
      </c>
      <c r="BM412" s="51" t="n">
        <v>2.93228259873545</v>
      </c>
      <c r="BN412" s="52" t="n">
        <f aca="false">(BG412*0.5-BH412*0.25+BI412*0.5)/SUM(BG412:BI412)*1000</f>
        <v>277.299124143184</v>
      </c>
      <c r="BO412" s="93" t="n">
        <v>6.83642857142857</v>
      </c>
      <c r="BP412" s="94" t="s">
        <v>491</v>
      </c>
      <c r="BQ412" s="55" t="n">
        <v>247.833333333333</v>
      </c>
      <c r="BR412" s="56" t="n">
        <v>12.4218745424668</v>
      </c>
      <c r="BS412" s="56"/>
      <c r="BT412" s="56" t="n">
        <v>11.1177283821127</v>
      </c>
      <c r="BU412" s="55" t="n">
        <v>11613.196031746</v>
      </c>
      <c r="BV412" s="55" t="n">
        <v>582.075309253891</v>
      </c>
      <c r="BW412" s="55"/>
      <c r="BX412" s="55" t="n">
        <v>520.964461852784</v>
      </c>
      <c r="BY412" s="96" t="n">
        <v>0.09167</v>
      </c>
      <c r="BZ412" s="96" t="n">
        <v>0.5203</v>
      </c>
      <c r="CA412" s="97" t="n">
        <v>4.6965</v>
      </c>
      <c r="CB412" s="98"/>
      <c r="CC412" s="97" t="n">
        <v>5.2416</v>
      </c>
      <c r="CD412" s="97" t="n">
        <v>4.1846</v>
      </c>
      <c r="CE412" s="97" t="n">
        <v>83.83</v>
      </c>
      <c r="CF412" s="97" t="n">
        <v>35.1076</v>
      </c>
      <c r="CG412" s="97" t="n">
        <v>0.6989</v>
      </c>
      <c r="CH412" s="63" t="n">
        <v>36662.4664381784</v>
      </c>
      <c r="CI412" s="63" t="n">
        <v>8551.5543707955</v>
      </c>
      <c r="CJ412" s="64" t="n">
        <v>764712.272258955</v>
      </c>
      <c r="CK412" s="65" t="n">
        <v>1.11827084264442</v>
      </c>
    </row>
    <row r="413" s="1" customFormat="true" ht="15" hidden="false" customHeight="false" outlineLevel="0" collapsed="false">
      <c r="A413" s="7" t="s">
        <v>488</v>
      </c>
      <c r="B413" s="66" t="n">
        <v>403</v>
      </c>
      <c r="C413" s="8" t="s">
        <v>494</v>
      </c>
      <c r="D413" s="67" t="n">
        <v>41648</v>
      </c>
      <c r="E413" s="4" t="s">
        <v>490</v>
      </c>
      <c r="F413" s="7" t="n">
        <v>236</v>
      </c>
      <c r="G413" s="68" t="n">
        <v>1</v>
      </c>
      <c r="H413" s="68" t="n">
        <v>160</v>
      </c>
      <c r="I413" s="7" t="n">
        <v>3</v>
      </c>
      <c r="J413" s="8" t="n">
        <v>844</v>
      </c>
      <c r="K413" s="32"/>
      <c r="L413" s="31" t="n">
        <v>931.863</v>
      </c>
      <c r="M413" s="31" t="n">
        <v>153.830460063246</v>
      </c>
      <c r="N413" s="31" t="n">
        <v>291.237376313373</v>
      </c>
      <c r="O413" s="95"/>
      <c r="P413" s="33" t="n">
        <v>43.0480465163725</v>
      </c>
      <c r="Q413" s="33" t="n">
        <v>7.9</v>
      </c>
      <c r="R413" s="31" t="n">
        <v>281.444455778843</v>
      </c>
      <c r="S413" s="34" t="s">
        <v>76</v>
      </c>
      <c r="T413" s="35"/>
      <c r="U413" s="35"/>
      <c r="V413" s="35" t="n">
        <v>25.9571669741538</v>
      </c>
      <c r="W413" s="35" t="n">
        <v>24.1885234880359</v>
      </c>
      <c r="X413" s="35" t="n">
        <v>3.99300293757257</v>
      </c>
      <c r="Y413" s="35" t="n">
        <v>7.5596972060807</v>
      </c>
      <c r="Z413" s="35"/>
      <c r="AA413" s="35" t="n">
        <v>1.11740533133662</v>
      </c>
      <c r="AB413" s="35" t="n">
        <v>0.205061619095815</v>
      </c>
      <c r="AC413" s="71" t="n">
        <v>7.30550073260128</v>
      </c>
      <c r="AD413" s="72"/>
      <c r="AE413" s="72"/>
      <c r="AF413" s="72"/>
      <c r="AG413" s="72"/>
      <c r="AH413" s="72"/>
      <c r="AI413" s="73" t="n">
        <v>21.4</v>
      </c>
      <c r="AJ413" s="42" t="s">
        <v>16</v>
      </c>
      <c r="AK413" s="43" t="n">
        <v>630.841121495327</v>
      </c>
      <c r="AL413" s="74"/>
      <c r="AM413" s="74"/>
      <c r="AN413" s="74"/>
      <c r="AO413" s="78" t="n">
        <v>36.14</v>
      </c>
      <c r="AP413" s="76" t="n">
        <v>1.14205986341235</v>
      </c>
      <c r="AQ413" s="76" t="n">
        <v>1.26028097171065</v>
      </c>
      <c r="AR413" s="76" t="n">
        <v>1.74465937803693</v>
      </c>
      <c r="AS413" s="77" t="n">
        <v>31.5868979511852</v>
      </c>
      <c r="AT413" s="78" t="n">
        <v>33.071482928924</v>
      </c>
      <c r="AU413" s="78" t="n">
        <v>31.6009923467721</v>
      </c>
      <c r="AV413" s="78" t="n">
        <v>34.872190694816</v>
      </c>
      <c r="AW413" s="78" t="n">
        <v>48.2750242954325</v>
      </c>
      <c r="AX413" s="78" t="n">
        <v>29.6525</v>
      </c>
      <c r="AY413" s="48" t="n">
        <v>1.27407906116465</v>
      </c>
      <c r="AZ413" s="48" t="n">
        <v>26.7428184818452</v>
      </c>
      <c r="BA413" s="48" t="n">
        <v>-0.785651507691423</v>
      </c>
      <c r="BB413" s="49" t="n">
        <f aca="false">AT413/V413</f>
        <v>1.27407906116465</v>
      </c>
      <c r="BC413" s="49" t="n">
        <f aca="false">AS413/V413</f>
        <v>1.21688541675742</v>
      </c>
      <c r="BD413" s="49" t="n">
        <f aca="false">SUM(AP413:AR413)/V413</f>
        <v>0.159763205949601</v>
      </c>
      <c r="BE413" s="53" t="n">
        <v>6.23</v>
      </c>
      <c r="BF413" s="51" t="n">
        <v>107.75</v>
      </c>
      <c r="BG413" s="51" t="n">
        <v>580.139211136891</v>
      </c>
      <c r="BH413" s="51" t="n">
        <v>293.549883990719</v>
      </c>
      <c r="BI413" s="51" t="n">
        <v>92.2505800464037</v>
      </c>
      <c r="BJ413" s="51" t="n">
        <v>6.58932714617169</v>
      </c>
      <c r="BK413" s="51" t="n">
        <v>15.4060324825986</v>
      </c>
      <c r="BL413" s="51" t="n">
        <v>9.93039443155453</v>
      </c>
      <c r="BM413" s="51" t="n">
        <v>2.13457076566125</v>
      </c>
      <c r="BN413" s="52" t="n">
        <f aca="false">(BG413*0.5-BH413*0.25+BI413*0.5)/SUM(BG413:BI413)*1000</f>
        <v>272.074365872406</v>
      </c>
      <c r="BO413" s="93" t="n">
        <v>6.66642857142857</v>
      </c>
      <c r="BP413" s="94" t="s">
        <v>491</v>
      </c>
      <c r="BQ413" s="55" t="n">
        <v>277.136111111111</v>
      </c>
      <c r="BR413" s="56" t="n">
        <v>10.676670200067</v>
      </c>
      <c r="BS413" s="56"/>
      <c r="BT413" s="56" t="n">
        <v>8.37991183240019</v>
      </c>
      <c r="BU413" s="55" t="n">
        <v>11744.0601851852</v>
      </c>
      <c r="BV413" s="55" t="n">
        <v>452.439983025846</v>
      </c>
      <c r="BW413" s="55"/>
      <c r="BX413" s="55" t="n">
        <v>355.11138736733</v>
      </c>
      <c r="BY413" s="96" t="n">
        <v>0.103</v>
      </c>
      <c r="BZ413" s="96" t="n">
        <v>0.4609</v>
      </c>
      <c r="CA413" s="97" t="n">
        <v>4.1208</v>
      </c>
      <c r="CB413" s="98"/>
      <c r="CC413" s="97" t="n">
        <v>5.6544</v>
      </c>
      <c r="CD413" s="97" t="n">
        <v>6.5856</v>
      </c>
      <c r="CE413" s="97" t="n">
        <v>78.78</v>
      </c>
      <c r="CF413" s="97" t="n">
        <v>35.1379</v>
      </c>
      <c r="CG413" s="97" t="n">
        <v>0.0912</v>
      </c>
      <c r="CH413" s="63" t="n">
        <v>19547.3037961174</v>
      </c>
      <c r="CI413" s="63" t="n">
        <v>5244.52265759771</v>
      </c>
      <c r="CJ413" s="64" t="n">
        <v>937502.368689512</v>
      </c>
      <c r="CK413" s="65" t="n">
        <v>0.559414336726292</v>
      </c>
    </row>
    <row r="414" s="1" customFormat="true" ht="15" hidden="false" customHeight="false" outlineLevel="0" collapsed="false">
      <c r="A414" s="7" t="s">
        <v>488</v>
      </c>
      <c r="B414" s="66" t="n">
        <v>404</v>
      </c>
      <c r="C414" s="8" t="s">
        <v>495</v>
      </c>
      <c r="D414" s="67" t="n">
        <v>41648</v>
      </c>
      <c r="E414" s="4" t="s">
        <v>490</v>
      </c>
      <c r="F414" s="7" t="n">
        <v>254</v>
      </c>
      <c r="G414" s="68" t="n">
        <v>1</v>
      </c>
      <c r="H414" s="68" t="n">
        <v>143</v>
      </c>
      <c r="I414" s="7" t="n">
        <v>2</v>
      </c>
      <c r="J414" s="8" t="n">
        <v>786</v>
      </c>
      <c r="K414" s="32"/>
      <c r="L414" s="31" t="n">
        <v>931.863</v>
      </c>
      <c r="M414" s="31" t="n">
        <v>153.830460063246</v>
      </c>
      <c r="N414" s="31" t="n">
        <v>291.237376313373</v>
      </c>
      <c r="O414" s="95"/>
      <c r="P414" s="33" t="n">
        <v>43.0480465163725</v>
      </c>
      <c r="Q414" s="33" t="n">
        <v>7.9</v>
      </c>
      <c r="R414" s="31" t="n">
        <v>281.444455778843</v>
      </c>
      <c r="S414" s="34" t="s">
        <v>76</v>
      </c>
      <c r="T414" s="35"/>
      <c r="U414" s="35"/>
      <c r="V414" s="35" t="n">
        <v>23.6565828332737</v>
      </c>
      <c r="W414" s="35" t="n">
        <v>22.0446942487629</v>
      </c>
      <c r="X414" s="35" t="n">
        <v>3.63910302076677</v>
      </c>
      <c r="Y414" s="35" t="n">
        <v>6.88968111690261</v>
      </c>
      <c r="Z414" s="35"/>
      <c r="AA414" s="35" t="n">
        <v>1.01836967822518</v>
      </c>
      <c r="AB414" s="35" t="n">
        <v>0.186887004382862</v>
      </c>
      <c r="AC414" s="71" t="n">
        <v>6.65801408109783</v>
      </c>
      <c r="AD414" s="72"/>
      <c r="AE414" s="72"/>
      <c r="AF414" s="72"/>
      <c r="AG414" s="72"/>
      <c r="AH414" s="72"/>
      <c r="AI414" s="73" t="n">
        <v>22.8</v>
      </c>
      <c r="AJ414" s="42" t="s">
        <v>16</v>
      </c>
      <c r="AK414" s="43" t="n">
        <v>653.508771929824</v>
      </c>
      <c r="AL414" s="74"/>
      <c r="AM414" s="74"/>
      <c r="AN414" s="74"/>
      <c r="AO414" s="78" t="n">
        <v>34.46</v>
      </c>
      <c r="AP414" s="76" t="n">
        <v>0.851602512762084</v>
      </c>
      <c r="AQ414" s="76" t="n">
        <v>1.14216617796544</v>
      </c>
      <c r="AR414" s="76" t="n">
        <v>1.77825655976676</v>
      </c>
      <c r="AS414" s="77" t="n">
        <v>26.5580376914313</v>
      </c>
      <c r="AT414" s="78" t="n">
        <v>28.7842303325139</v>
      </c>
      <c r="AU414" s="78" t="n">
        <v>24.7127833070831</v>
      </c>
      <c r="AV414" s="78" t="n">
        <v>33.144694659473</v>
      </c>
      <c r="AW414" s="78" t="n">
        <v>51.6034985422741</v>
      </c>
      <c r="AX414" s="78" t="n">
        <v>28.345</v>
      </c>
      <c r="AY414" s="48" t="n">
        <v>1.21675351572874</v>
      </c>
      <c r="AZ414" s="48" t="n">
        <v>24.0118376561555</v>
      </c>
      <c r="BA414" s="48" t="n">
        <v>-0.355254822881871</v>
      </c>
      <c r="BB414" s="49" t="n">
        <f aca="false">AT414/V414</f>
        <v>1.21675351572874</v>
      </c>
      <c r="BC414" s="49" t="n">
        <f aca="false">AS414/V414</f>
        <v>1.12264894209812</v>
      </c>
      <c r="BD414" s="49" t="n">
        <f aca="false">SUM(AP414:AR414)/V414</f>
        <v>0.159449286360532</v>
      </c>
      <c r="BE414" s="53" t="n">
        <v>6.3</v>
      </c>
      <c r="BF414" s="51" t="n">
        <v>110.8</v>
      </c>
      <c r="BG414" s="51" t="n">
        <v>544.043321299639</v>
      </c>
      <c r="BH414" s="51" t="n">
        <v>342.328519855596</v>
      </c>
      <c r="BI414" s="51" t="n">
        <v>80.5054151624549</v>
      </c>
      <c r="BJ414" s="51" t="n">
        <v>4.42238267148014</v>
      </c>
      <c r="BK414" s="51" t="n">
        <v>18.3212996389892</v>
      </c>
      <c r="BL414" s="51" t="n">
        <v>8.30324909747293</v>
      </c>
      <c r="BM414" s="51" t="n">
        <v>2.07581227436823</v>
      </c>
      <c r="BN414" s="52" t="n">
        <f aca="false">(BG414*0.5-BH414*0.25+BI414*0.5)/SUM(BG414:BI414)*1000</f>
        <v>234.458134976197</v>
      </c>
      <c r="BO414" s="93" t="n">
        <v>4.65071428571429</v>
      </c>
      <c r="BP414" s="94" t="s">
        <v>491</v>
      </c>
      <c r="BQ414" s="55" t="n">
        <v>230.414814814815</v>
      </c>
      <c r="BR414" s="56" t="n">
        <v>9.73998723478903</v>
      </c>
      <c r="BS414" s="56"/>
      <c r="BT414" s="56" t="n">
        <v>8.00489754817395</v>
      </c>
      <c r="BU414" s="55" t="n">
        <v>11912.4187969925</v>
      </c>
      <c r="BV414" s="55" t="n">
        <v>503.556193257013</v>
      </c>
      <c r="BW414" s="55"/>
      <c r="BX414" s="55" t="n">
        <v>413.852260747668</v>
      </c>
      <c r="BY414" s="96" t="n">
        <v>0.14832</v>
      </c>
      <c r="BZ414" s="96" t="n">
        <v>0.3586</v>
      </c>
      <c r="CA414" s="97" t="n">
        <v>4.7066</v>
      </c>
      <c r="CB414" s="98"/>
      <c r="CC414" s="97" t="n">
        <v>4.7904</v>
      </c>
      <c r="CD414" s="97" t="n">
        <v>7.1736</v>
      </c>
      <c r="CE414" s="97" t="n">
        <v>89.89</v>
      </c>
      <c r="CF414" s="97" t="n">
        <v>39.996</v>
      </c>
      <c r="CG414" s="97" t="n">
        <v>0.1118</v>
      </c>
      <c r="CH414" s="63" t="n">
        <v>2399.60781871121</v>
      </c>
      <c r="CI414" s="63" t="n">
        <v>5180.27937999585</v>
      </c>
      <c r="CJ414" s="63" t="n">
        <v>1297085.37740583</v>
      </c>
      <c r="CK414" s="85" t="n">
        <v>0.399378442640099</v>
      </c>
    </row>
    <row r="415" s="1" customFormat="true" ht="15" hidden="false" customHeight="false" outlineLevel="0" collapsed="false">
      <c r="A415" s="7" t="s">
        <v>488</v>
      </c>
      <c r="B415" s="66" t="n">
        <v>405</v>
      </c>
      <c r="C415" s="8" t="s">
        <v>496</v>
      </c>
      <c r="D415" s="67" t="n">
        <v>41648</v>
      </c>
      <c r="E415" s="4" t="s">
        <v>490</v>
      </c>
      <c r="F415" s="7" t="n">
        <v>266</v>
      </c>
      <c r="G415" s="68" t="n">
        <v>1</v>
      </c>
      <c r="H415" s="68" t="n">
        <v>113</v>
      </c>
      <c r="I415" s="7" t="n">
        <v>3</v>
      </c>
      <c r="J415" s="8" t="n">
        <v>854</v>
      </c>
      <c r="K415" s="32"/>
      <c r="L415" s="31" t="n">
        <v>931.863</v>
      </c>
      <c r="M415" s="31" t="n">
        <v>153.830460063246</v>
      </c>
      <c r="N415" s="31" t="n">
        <v>291.237376313373</v>
      </c>
      <c r="O415" s="95"/>
      <c r="P415" s="33" t="n">
        <v>43.0480465163725</v>
      </c>
      <c r="Q415" s="33" t="n">
        <v>7.9</v>
      </c>
      <c r="R415" s="31" t="n">
        <v>281.444455778843</v>
      </c>
      <c r="S415" s="34" t="s">
        <v>76</v>
      </c>
      <c r="T415" s="35"/>
      <c r="U415" s="35"/>
      <c r="V415" s="35" t="n">
        <v>25.0970228899938</v>
      </c>
      <c r="W415" s="35" t="n">
        <v>23.3869870413383</v>
      </c>
      <c r="X415" s="35" t="n">
        <v>3.86068657738557</v>
      </c>
      <c r="Y415" s="35" t="n">
        <v>7.30919109975848</v>
      </c>
      <c r="Z415" s="35"/>
      <c r="AA415" s="35" t="n">
        <v>1.08037780879092</v>
      </c>
      <c r="AB415" s="35" t="n">
        <v>0.198266480830951</v>
      </c>
      <c r="AC415" s="71" t="n">
        <v>7.06341794894349</v>
      </c>
      <c r="AD415" s="72"/>
      <c r="AE415" s="72"/>
      <c r="AF415" s="72"/>
      <c r="AG415" s="72"/>
      <c r="AH415" s="72"/>
      <c r="AI415" s="73" t="n">
        <v>24.2</v>
      </c>
      <c r="AJ415" s="42" t="s">
        <v>16</v>
      </c>
      <c r="AK415" s="43" t="n">
        <v>673.553719008264</v>
      </c>
      <c r="AL415" s="74"/>
      <c r="AM415" s="74"/>
      <c r="AN415" s="74"/>
      <c r="AO415" s="78" t="n">
        <v>35.96</v>
      </c>
      <c r="AP415" s="76" t="n">
        <v>1.08491713123938</v>
      </c>
      <c r="AQ415" s="76" t="n">
        <v>1.15914241555789</v>
      </c>
      <c r="AR415" s="76" t="n">
        <v>1.77353741496599</v>
      </c>
      <c r="AS415" s="77" t="n">
        <v>30.6577569685908</v>
      </c>
      <c r="AT415" s="78" t="n">
        <v>31.74594058169</v>
      </c>
      <c r="AU415" s="78" t="n">
        <v>30.1701093225635</v>
      </c>
      <c r="AV415" s="78" t="n">
        <v>32.2342162279724</v>
      </c>
      <c r="AW415" s="78" t="n">
        <v>49.3197278911565</v>
      </c>
      <c r="AX415" s="78" t="n">
        <v>29.3025</v>
      </c>
      <c r="AY415" s="48" t="n">
        <v>1.264928542355</v>
      </c>
      <c r="AZ415" s="48" t="n">
        <v>26.1020389692471</v>
      </c>
      <c r="BA415" s="48" t="n">
        <v>-1.00501607925327</v>
      </c>
      <c r="BB415" s="49" t="n">
        <f aca="false">AT415/V415</f>
        <v>1.264928542355</v>
      </c>
      <c r="BC415" s="49" t="n">
        <f aca="false">AS415/V415</f>
        <v>1.2215694707285</v>
      </c>
      <c r="BD415" s="49" t="n">
        <f aca="false">SUM(AP415:AR415)/V415</f>
        <v>0.160082611366827</v>
      </c>
      <c r="BE415" s="53" t="n">
        <v>5.98</v>
      </c>
      <c r="BF415" s="51" t="n">
        <v>95.93</v>
      </c>
      <c r="BG415" s="51" t="n">
        <v>545.397685812572</v>
      </c>
      <c r="BH415" s="51" t="n">
        <v>328.15594704472</v>
      </c>
      <c r="BI415" s="51" t="n">
        <v>85.1662670697384</v>
      </c>
      <c r="BJ415" s="51" t="n">
        <v>6.88001667882831</v>
      </c>
      <c r="BK415" s="51" t="n">
        <v>18.9721672052538</v>
      </c>
      <c r="BL415" s="51" t="n">
        <v>11.4666944647139</v>
      </c>
      <c r="BM415" s="51" t="n">
        <v>3.96122172417388</v>
      </c>
      <c r="BN415" s="52" t="n">
        <f aca="false">(BG415*0.5-BH415*0.25+BI415*0.5)/SUM(BG415:BI415)*1000</f>
        <v>243.285854082853</v>
      </c>
      <c r="BO415" s="93" t="n">
        <v>6.545</v>
      </c>
      <c r="BP415" s="94" t="s">
        <v>491</v>
      </c>
      <c r="BQ415" s="55" t="n">
        <v>275.251851851852</v>
      </c>
      <c r="BR415" s="56" t="n">
        <v>10.9675100930635</v>
      </c>
      <c r="BS415" s="56"/>
      <c r="BT415" s="56" t="n">
        <v>8.67045823208678</v>
      </c>
      <c r="BU415" s="55" t="n">
        <v>12159.8157894737</v>
      </c>
      <c r="BV415" s="55" t="n">
        <v>484.512280312012</v>
      </c>
      <c r="BW415" s="55"/>
      <c r="BX415" s="55" t="n">
        <v>383.035297321984</v>
      </c>
      <c r="BY415" s="96" t="n">
        <v>0.1133</v>
      </c>
      <c r="BZ415" s="96" t="n">
        <v>0.4796</v>
      </c>
      <c r="CA415" s="97" t="n">
        <v>4.4642</v>
      </c>
      <c r="CB415" s="98"/>
      <c r="CC415" s="97" t="n">
        <v>5.808</v>
      </c>
      <c r="CD415" s="97" t="n">
        <v>7.2226</v>
      </c>
      <c r="CE415" s="97" t="n">
        <v>76.76</v>
      </c>
      <c r="CF415" s="97" t="n">
        <v>37.7336</v>
      </c>
      <c r="CG415" s="97" t="n">
        <v>0.0603</v>
      </c>
      <c r="CH415" s="63" t="n">
        <v>10498.4171080472</v>
      </c>
      <c r="CI415" s="63" t="n">
        <v>10259.0305363142</v>
      </c>
      <c r="CJ415" s="64" t="n">
        <v>912749.078030525</v>
      </c>
      <c r="CK415" s="65" t="n">
        <v>1.12397051755457</v>
      </c>
    </row>
    <row r="416" s="1" customFormat="true" ht="15" hidden="false" customHeight="false" outlineLevel="0" collapsed="false">
      <c r="A416" s="7" t="s">
        <v>488</v>
      </c>
      <c r="B416" s="66" t="n">
        <v>406</v>
      </c>
      <c r="C416" s="8" t="s">
        <v>497</v>
      </c>
      <c r="D416" s="67" t="n">
        <v>41648</v>
      </c>
      <c r="E416" s="4" t="s">
        <v>490</v>
      </c>
      <c r="F416" s="7" t="n">
        <v>271</v>
      </c>
      <c r="G416" s="68" t="n">
        <v>1</v>
      </c>
      <c r="H416" s="68" t="n">
        <v>107</v>
      </c>
      <c r="I416" s="7" t="n">
        <v>3</v>
      </c>
      <c r="J416" s="8" t="n">
        <v>870</v>
      </c>
      <c r="K416" s="32"/>
      <c r="L416" s="31" t="n">
        <v>931.863</v>
      </c>
      <c r="M416" s="31" t="n">
        <v>153.830460063246</v>
      </c>
      <c r="N416" s="31" t="n">
        <v>291.237376313373</v>
      </c>
      <c r="O416" s="95"/>
      <c r="P416" s="33" t="n">
        <v>43.0480465163725</v>
      </c>
      <c r="Q416" s="33" t="n">
        <v>7.9</v>
      </c>
      <c r="R416" s="31" t="n">
        <v>281.444455778843</v>
      </c>
      <c r="S416" s="34" t="s">
        <v>76</v>
      </c>
      <c r="T416" s="35"/>
      <c r="U416" s="35"/>
      <c r="V416" s="35" t="n">
        <v>32.9438677938505</v>
      </c>
      <c r="W416" s="35" t="n">
        <v>30.6991714739809</v>
      </c>
      <c r="X416" s="35" t="n">
        <v>5.06777033899078</v>
      </c>
      <c r="Y416" s="35" t="n">
        <v>9.59448562189567</v>
      </c>
      <c r="Z416" s="35"/>
      <c r="AA416" s="35" t="n">
        <v>1.4181691532189</v>
      </c>
      <c r="AB416" s="35" t="n">
        <v>0.260256555571419</v>
      </c>
      <c r="AC416" s="71" t="n">
        <v>9.27186894249042</v>
      </c>
      <c r="AD416" s="72"/>
      <c r="AE416" s="72"/>
      <c r="AF416" s="72"/>
      <c r="AG416" s="72"/>
      <c r="AH416" s="72"/>
      <c r="AI416" s="73" t="n">
        <v>25.4196261405836</v>
      </c>
      <c r="AJ416" s="42" t="s">
        <v>16</v>
      </c>
      <c r="AK416" s="43" t="n">
        <v>689.216514975124</v>
      </c>
      <c r="AL416" s="74"/>
      <c r="AM416" s="74"/>
      <c r="AN416" s="74"/>
      <c r="AO416" s="78" t="n">
        <v>44.3</v>
      </c>
      <c r="AP416" s="76" t="n">
        <v>1.71884348281849</v>
      </c>
      <c r="AQ416" s="76" t="n">
        <v>1.55351602406613</v>
      </c>
      <c r="AR416" s="76" t="n">
        <v>2.20316083576288</v>
      </c>
      <c r="AS416" s="77" t="n">
        <v>43.5026522422773</v>
      </c>
      <c r="AT416" s="78" t="n">
        <v>44.835695349639</v>
      </c>
      <c r="AU416" s="78" t="n">
        <v>38.8000786189275</v>
      </c>
      <c r="AV416" s="78" t="n">
        <v>35.0680818073618</v>
      </c>
      <c r="AW416" s="78" t="n">
        <v>49.7327502429543</v>
      </c>
      <c r="AX416" s="78" t="n">
        <v>29.5875</v>
      </c>
      <c r="AY416" s="48" t="n">
        <v>1.36097241617781</v>
      </c>
      <c r="AZ416" s="48" t="n">
        <v>30.8571801163244</v>
      </c>
      <c r="BA416" s="48" t="n">
        <v>2.08668767752616</v>
      </c>
      <c r="BB416" s="49" t="n">
        <f aca="false">AT416/V416</f>
        <v>1.36097241617781</v>
      </c>
      <c r="BC416" s="49" t="n">
        <f aca="false">AS416/V416</f>
        <v>1.32050834208355</v>
      </c>
      <c r="BD416" s="49" t="n">
        <f aca="false">SUM(AP416:AR416)/V416</f>
        <v>0.166207573953098</v>
      </c>
      <c r="BE416" s="53" t="n">
        <v>6.33</v>
      </c>
      <c r="BF416" s="51" t="n">
        <v>128.44</v>
      </c>
      <c r="BG416" s="51" t="n">
        <v>545.62441606976</v>
      </c>
      <c r="BH416" s="51" t="n">
        <v>313.998754282155</v>
      </c>
      <c r="BI416" s="51" t="n">
        <v>106.508875739645</v>
      </c>
      <c r="BJ416" s="51" t="n">
        <v>6.07287449392713</v>
      </c>
      <c r="BK416" s="51" t="n">
        <v>14.7150420429773</v>
      </c>
      <c r="BL416" s="51" t="n">
        <v>10.1993148551853</v>
      </c>
      <c r="BM416" s="51" t="n">
        <v>2.88072251635005</v>
      </c>
      <c r="BN416" s="52" t="n">
        <f aca="false">(BG416*0.5-BH416*0.25+BI416*0.5)/SUM(BG416:BI416)*1000</f>
        <v>256.245466999758</v>
      </c>
      <c r="BO416" s="93" t="n">
        <v>5.97428571428571</v>
      </c>
      <c r="BP416" s="94" t="s">
        <v>491</v>
      </c>
      <c r="BQ416" s="55" t="n">
        <v>357.747916666667</v>
      </c>
      <c r="BR416" s="56" t="n">
        <v>10.8593173972561</v>
      </c>
      <c r="BS416" s="56"/>
      <c r="BT416" s="56" t="n">
        <v>7.97908706170088</v>
      </c>
      <c r="BU416" s="55" t="n">
        <v>13791.5640350877</v>
      </c>
      <c r="BV416" s="55" t="n">
        <v>418.63827651901</v>
      </c>
      <c r="BW416" s="55"/>
      <c r="BX416" s="55" t="n">
        <v>307.602322826443</v>
      </c>
      <c r="BY416" s="96" t="n">
        <v>0.07725</v>
      </c>
      <c r="BZ416" s="96" t="n">
        <v>0.5203</v>
      </c>
      <c r="CA416" s="97" t="n">
        <v>4.5248</v>
      </c>
      <c r="CB416" s="98"/>
      <c r="CC416" s="97" t="n">
        <v>5.6736</v>
      </c>
      <c r="CD416" s="97" t="n">
        <v>5.0274</v>
      </c>
      <c r="CE416" s="97" t="n">
        <v>80.8</v>
      </c>
      <c r="CF416" s="97" t="n">
        <v>36.865</v>
      </c>
      <c r="CG416" s="97" t="n">
        <v>0.0809</v>
      </c>
      <c r="CH416" s="63" t="n">
        <v>55704.4580720644</v>
      </c>
      <c r="CI416" s="63" t="n">
        <v>5208.91848525599</v>
      </c>
      <c r="CJ416" s="64" t="n">
        <v>706369.827528877</v>
      </c>
      <c r="CK416" s="65" t="n">
        <v>0.737420864008103</v>
      </c>
    </row>
    <row r="417" s="1" customFormat="true" ht="15" hidden="false" customHeight="false" outlineLevel="0" collapsed="false">
      <c r="A417" s="7" t="s">
        <v>488</v>
      </c>
      <c r="B417" s="66" t="n">
        <v>407</v>
      </c>
      <c r="C417" s="8" t="s">
        <v>498</v>
      </c>
      <c r="D417" s="67" t="n">
        <v>41648</v>
      </c>
      <c r="E417" s="4" t="s">
        <v>490</v>
      </c>
      <c r="F417" s="7" t="n">
        <v>283</v>
      </c>
      <c r="G417" s="68" t="n">
        <v>1</v>
      </c>
      <c r="H417" s="68" t="n">
        <v>145</v>
      </c>
      <c r="I417" s="7" t="n">
        <v>2</v>
      </c>
      <c r="J417" s="8" t="n">
        <v>755</v>
      </c>
      <c r="K417" s="32"/>
      <c r="L417" s="31" t="n">
        <v>931.863</v>
      </c>
      <c r="M417" s="31" t="n">
        <v>153.830460063246</v>
      </c>
      <c r="N417" s="31" t="n">
        <v>291.237376313373</v>
      </c>
      <c r="O417" s="95"/>
      <c r="P417" s="33" t="n">
        <v>43.0480465163725</v>
      </c>
      <c r="Q417" s="33" t="n">
        <v>7.9</v>
      </c>
      <c r="R417" s="31" t="n">
        <v>281.444455778843</v>
      </c>
      <c r="S417" s="34" t="s">
        <v>76</v>
      </c>
      <c r="T417" s="35"/>
      <c r="U417" s="35"/>
      <c r="V417" s="35" t="n">
        <v>22.2365259590838</v>
      </c>
      <c r="W417" s="35" t="n">
        <v>20.7213957898097</v>
      </c>
      <c r="X417" s="35" t="n">
        <v>3.42065501849417</v>
      </c>
      <c r="Y417" s="35" t="n">
        <v>6.47610747864778</v>
      </c>
      <c r="Z417" s="35"/>
      <c r="AA417" s="35" t="n">
        <v>0.957239003849164</v>
      </c>
      <c r="AB417" s="35" t="n">
        <v>0.175668555076762</v>
      </c>
      <c r="AC417" s="71" t="n">
        <v>6.25834694696645</v>
      </c>
      <c r="AD417" s="72"/>
      <c r="AE417" s="72"/>
      <c r="AF417" s="72"/>
      <c r="AG417" s="72"/>
      <c r="AH417" s="72"/>
      <c r="AI417" s="73" t="n">
        <v>21.6515706887495</v>
      </c>
      <c r="AJ417" s="42" t="s">
        <v>16</v>
      </c>
      <c r="AK417" s="43" t="n">
        <v>635.130397070686</v>
      </c>
      <c r="AL417" s="74"/>
      <c r="AM417" s="74"/>
      <c r="AN417" s="74"/>
      <c r="AO417" s="78" t="n">
        <v>29.08</v>
      </c>
      <c r="AP417" s="76" t="n">
        <v>1.31149498454844</v>
      </c>
      <c r="AQ417" s="76" t="n">
        <v>1.15758995900881</v>
      </c>
      <c r="AR417" s="76" t="n">
        <v>1.49073858114674</v>
      </c>
      <c r="AS417" s="77" t="n">
        <v>31.3044247682266</v>
      </c>
      <c r="AT417" s="78" t="n">
        <v>32.9626455568107</v>
      </c>
      <c r="AU417" s="78" t="n">
        <v>45.0995524260124</v>
      </c>
      <c r="AV417" s="78" t="n">
        <v>39.8070824968643</v>
      </c>
      <c r="AW417" s="78" t="n">
        <v>51.2633624878523</v>
      </c>
      <c r="AX417" s="78" t="n">
        <v>26.9375</v>
      </c>
      <c r="AY417" s="48" t="n">
        <v>1.48236489897134</v>
      </c>
      <c r="AZ417" s="48" t="n">
        <v>25.3505782445585</v>
      </c>
      <c r="BA417" s="48" t="n">
        <v>-3.11405228547476</v>
      </c>
      <c r="BB417" s="49" t="n">
        <f aca="false">AT417/V417</f>
        <v>1.48236489897134</v>
      </c>
      <c r="BC417" s="49" t="n">
        <f aca="false">AS417/V417</f>
        <v>1.40779296306573</v>
      </c>
      <c r="BD417" s="49" t="n">
        <f aca="false">SUM(AP417:AR417)/V417</f>
        <v>0.178077435836437</v>
      </c>
      <c r="BE417" s="53" t="n">
        <v>5.95</v>
      </c>
      <c r="BF417" s="51" t="n">
        <v>124.53</v>
      </c>
      <c r="BG417" s="51" t="n">
        <v>609.090179073316</v>
      </c>
      <c r="BH417" s="51" t="n">
        <v>248.614791616478</v>
      </c>
      <c r="BI417" s="51" t="n">
        <v>109.612141652614</v>
      </c>
      <c r="BJ417" s="51" t="n">
        <v>5.54083353408817</v>
      </c>
      <c r="BK417" s="51" t="n">
        <v>10.6801573917931</v>
      </c>
      <c r="BL417" s="51" t="n">
        <v>11.5634786798362</v>
      </c>
      <c r="BM417" s="51" t="n">
        <v>4.89841805187505</v>
      </c>
      <c r="BN417" s="52" t="n">
        <f aca="false">(BG417*0.5-BH417*0.25+BI417*0.5)/SUM(BG417:BI417)*1000</f>
        <v>307.238917482982</v>
      </c>
      <c r="BO417" s="93" t="n">
        <v>3.69142857142857</v>
      </c>
      <c r="BP417" s="94" t="s">
        <v>491</v>
      </c>
      <c r="BQ417" s="55" t="n">
        <v>347.941176470588</v>
      </c>
      <c r="BR417" s="56" t="n">
        <v>15.6472812844424</v>
      </c>
      <c r="BS417" s="56"/>
      <c r="BT417" s="56" t="n">
        <v>10.5556204786693</v>
      </c>
      <c r="BU417" s="55" t="n">
        <v>11525.8929824561</v>
      </c>
      <c r="BV417" s="55" t="n">
        <v>518.331550695658</v>
      </c>
      <c r="BW417" s="55"/>
      <c r="BX417" s="55" t="n">
        <v>349.665288928081</v>
      </c>
      <c r="BY417" s="96" t="n">
        <v>0.09064</v>
      </c>
      <c r="BZ417" s="96" t="n">
        <v>0.6292</v>
      </c>
      <c r="CA417" s="97" t="n">
        <v>4.2521</v>
      </c>
      <c r="CB417" s="98"/>
      <c r="CC417" s="97" t="n">
        <v>4.6752</v>
      </c>
      <c r="CD417" s="97" t="n">
        <v>5.5566</v>
      </c>
      <c r="CE417" s="97" t="n">
        <v>77.77</v>
      </c>
      <c r="CF417" s="97" t="n">
        <v>33.5825</v>
      </c>
      <c r="CG417" s="97" t="n">
        <v>0.0603</v>
      </c>
      <c r="CH417" s="63" t="n">
        <v>59910.9722718545</v>
      </c>
      <c r="CI417" s="63" t="n">
        <v>5928.94477467774</v>
      </c>
      <c r="CJ417" s="64" t="n">
        <v>446692.412505067</v>
      </c>
      <c r="CK417" s="65" t="n">
        <v>1.32729919038204</v>
      </c>
    </row>
    <row r="418" s="1" customFormat="true" ht="15" hidden="false" customHeight="false" outlineLevel="0" collapsed="false">
      <c r="A418" s="7" t="s">
        <v>488</v>
      </c>
      <c r="B418" s="66" t="n">
        <v>408</v>
      </c>
      <c r="C418" s="8" t="s">
        <v>499</v>
      </c>
      <c r="D418" s="67" t="n">
        <v>41648</v>
      </c>
      <c r="E418" s="4" t="s">
        <v>490</v>
      </c>
      <c r="F418" s="7" t="n">
        <v>287</v>
      </c>
      <c r="G418" s="68" t="n">
        <v>1</v>
      </c>
      <c r="H418" s="68" t="n">
        <v>104</v>
      </c>
      <c r="I418" s="7" t="n">
        <v>3</v>
      </c>
      <c r="J418" s="8" t="n">
        <v>660</v>
      </c>
      <c r="K418" s="32"/>
      <c r="L418" s="31" t="n">
        <v>931.863</v>
      </c>
      <c r="M418" s="31" t="n">
        <v>153.830460063246</v>
      </c>
      <c r="N418" s="31" t="n">
        <v>291.237376313373</v>
      </c>
      <c r="O418" s="95"/>
      <c r="P418" s="33" t="n">
        <v>43.0480465163725</v>
      </c>
      <c r="Q418" s="33" t="n">
        <v>7.9</v>
      </c>
      <c r="R418" s="31" t="n">
        <v>281.444455778843</v>
      </c>
      <c r="S418" s="34" t="s">
        <v>76</v>
      </c>
      <c r="T418" s="35"/>
      <c r="U418" s="35"/>
      <c r="V418" s="35" t="n">
        <v>22.7188642878739</v>
      </c>
      <c r="W418" s="35" t="n">
        <v>21.170869031891</v>
      </c>
      <c r="X418" s="35" t="n">
        <v>3.49485334551809</v>
      </c>
      <c r="Y418" s="35" t="n">
        <v>6.61658242801998</v>
      </c>
      <c r="Z418" s="35"/>
      <c r="AA418" s="35" t="n">
        <v>0.978002726663549</v>
      </c>
      <c r="AB418" s="35" t="n">
        <v>0.179479027874204</v>
      </c>
      <c r="AC418" s="71" t="n">
        <v>6.39409839541406</v>
      </c>
      <c r="AD418" s="72"/>
      <c r="AE418" s="72"/>
      <c r="AF418" s="72"/>
      <c r="AG418" s="72"/>
      <c r="AH418" s="72"/>
      <c r="AI418" s="73" t="n">
        <v>19.1</v>
      </c>
      <c r="AJ418" s="42" t="s">
        <v>16</v>
      </c>
      <c r="AK418" s="43" t="n">
        <v>586.387434554974</v>
      </c>
      <c r="AL418" s="74"/>
      <c r="AM418" s="74"/>
      <c r="AN418" s="74"/>
      <c r="AO418" s="78" t="n">
        <v>44.52</v>
      </c>
      <c r="AP418" s="76" t="n">
        <v>1.3410115509291</v>
      </c>
      <c r="AQ418" s="76" t="n">
        <v>1.41819414692051</v>
      </c>
      <c r="AR418" s="76" t="n">
        <v>2.15677551020408</v>
      </c>
      <c r="AS418" s="77" t="n">
        <v>37.9231732639364</v>
      </c>
      <c r="AT418" s="78" t="n">
        <v>38.9412967181007</v>
      </c>
      <c r="AU418" s="78" t="n">
        <v>30.1215532553705</v>
      </c>
      <c r="AV418" s="78" t="n">
        <v>31.8552144411616</v>
      </c>
      <c r="AW418" s="78" t="n">
        <v>48.4450923226433</v>
      </c>
      <c r="AX418" s="78" t="n">
        <v>32.1625</v>
      </c>
      <c r="AY418" s="48" t="n">
        <v>1.71405120540667</v>
      </c>
      <c r="AZ418" s="48" t="n">
        <v>25.950360241235</v>
      </c>
      <c r="BA418" s="48" t="n">
        <v>-3.23149595336116</v>
      </c>
      <c r="BB418" s="49" t="n">
        <f aca="false">AT418/V418</f>
        <v>1.71405120540667</v>
      </c>
      <c r="BC418" s="49" t="n">
        <f aca="false">AS418/V418</f>
        <v>1.6692371935237</v>
      </c>
      <c r="BD418" s="49" t="n">
        <f aca="false">SUM(AP418:AR418)/V418</f>
        <v>0.216383228746059</v>
      </c>
      <c r="BE418" s="53" t="n">
        <v>5.87</v>
      </c>
      <c r="BF418" s="51" t="n">
        <v>125.18</v>
      </c>
      <c r="BG418" s="51" t="n">
        <v>558.555679821058</v>
      </c>
      <c r="BH418" s="51" t="n">
        <v>346.620865953028</v>
      </c>
      <c r="BI418" s="51" t="n">
        <v>75.8907173669915</v>
      </c>
      <c r="BJ418" s="51" t="n">
        <v>3.43505352292699</v>
      </c>
      <c r="BK418" s="51" t="n">
        <v>9.34654098098738</v>
      </c>
      <c r="BL418" s="51" t="n">
        <v>4.79309793896789</v>
      </c>
      <c r="BM418" s="51" t="n">
        <v>1.3580444160409</v>
      </c>
      <c r="BN418" s="52" t="n">
        <f aca="false">(BG418*0.5-BH418*0.25+BI418*0.5)/SUM(BG418:BI418)*1000</f>
        <v>235.017506717694</v>
      </c>
      <c r="BO418" s="93" t="n">
        <v>2.24642857142857</v>
      </c>
      <c r="BP418" s="94" t="s">
        <v>491</v>
      </c>
      <c r="BQ418" s="55" t="n">
        <v>264.5275</v>
      </c>
      <c r="BR418" s="56" t="n">
        <v>11.6435177677958</v>
      </c>
      <c r="BS418" s="56"/>
      <c r="BT418" s="56" t="n">
        <v>6.7929812896303</v>
      </c>
      <c r="BU418" s="55" t="n">
        <v>12225.8975</v>
      </c>
      <c r="BV418" s="55" t="n">
        <v>538.138585850242</v>
      </c>
      <c r="BW418" s="55"/>
      <c r="BX418" s="55" t="n">
        <v>313.957123423606</v>
      </c>
      <c r="BY418" s="96" t="n">
        <v>0.11124</v>
      </c>
      <c r="BZ418" s="96" t="n">
        <v>0.4323</v>
      </c>
      <c r="CA418" s="97" t="n">
        <v>4.141</v>
      </c>
      <c r="CB418" s="98"/>
      <c r="CC418" s="97" t="n">
        <v>5.3376</v>
      </c>
      <c r="CD418" s="97" t="n">
        <v>7.7224</v>
      </c>
      <c r="CE418" s="97" t="n">
        <v>82.82</v>
      </c>
      <c r="CF418" s="97" t="n">
        <v>39.0668</v>
      </c>
      <c r="CG418" s="97" t="n">
        <v>0.1221</v>
      </c>
      <c r="CH418" s="63" t="n">
        <v>25092.2102120557</v>
      </c>
      <c r="CI418" s="63" t="n">
        <v>5595.62493434955</v>
      </c>
      <c r="CJ418" s="64" t="n">
        <v>1050026.70096675</v>
      </c>
      <c r="CK418" s="65" t="n">
        <v>0.532903108958822</v>
      </c>
    </row>
    <row r="419" s="1" customFormat="true" ht="15" hidden="false" customHeight="false" outlineLevel="0" collapsed="false">
      <c r="A419" s="7" t="s">
        <v>488</v>
      </c>
      <c r="B419" s="66" t="n">
        <v>409</v>
      </c>
      <c r="C419" s="8" t="s">
        <v>500</v>
      </c>
      <c r="D419" s="67" t="n">
        <v>41648</v>
      </c>
      <c r="E419" s="4" t="s">
        <v>490</v>
      </c>
      <c r="F419" s="7" t="n">
        <v>293</v>
      </c>
      <c r="G419" s="68" t="n">
        <v>1</v>
      </c>
      <c r="H419" s="68" t="n">
        <v>105</v>
      </c>
      <c r="I419" s="7" t="n">
        <v>3</v>
      </c>
      <c r="J419" s="8" t="n">
        <v>708</v>
      </c>
      <c r="K419" s="32"/>
      <c r="L419" s="31" t="n">
        <v>931.863</v>
      </c>
      <c r="M419" s="31" t="n">
        <v>153.830460063246</v>
      </c>
      <c r="N419" s="31" t="n">
        <v>291.237376313373</v>
      </c>
      <c r="O419" s="95"/>
      <c r="P419" s="33" t="n">
        <v>43.0480465163725</v>
      </c>
      <c r="Q419" s="33" t="n">
        <v>7.9</v>
      </c>
      <c r="R419" s="31" t="n">
        <v>281.444455778843</v>
      </c>
      <c r="S419" s="34" t="s">
        <v>76</v>
      </c>
      <c r="T419" s="35"/>
      <c r="U419" s="35"/>
      <c r="V419" s="35" t="n">
        <v>19.9043363340445</v>
      </c>
      <c r="W419" s="35" t="n">
        <v>18.5481145692517</v>
      </c>
      <c r="X419" s="35" t="n">
        <v>3.06189321551965</v>
      </c>
      <c r="Y419" s="35" t="n">
        <v>5.79688669118608</v>
      </c>
      <c r="Z419" s="35"/>
      <c r="AA419" s="35" t="n">
        <v>0.856842796385472</v>
      </c>
      <c r="AB419" s="35" t="n">
        <v>0.157244257038952</v>
      </c>
      <c r="AC419" s="71" t="n">
        <v>5.60196510717421</v>
      </c>
      <c r="AD419" s="72"/>
      <c r="AE419" s="72"/>
      <c r="AF419" s="72"/>
      <c r="AG419" s="72"/>
      <c r="AH419" s="72"/>
      <c r="AI419" s="73" t="n">
        <v>24.2782351397843</v>
      </c>
      <c r="AJ419" s="42" t="s">
        <v>16</v>
      </c>
      <c r="AK419" s="43" t="n">
        <v>674.605672343357</v>
      </c>
      <c r="AL419" s="74"/>
      <c r="AM419" s="74"/>
      <c r="AN419" s="74"/>
      <c r="AO419" s="78" t="n">
        <v>41.1</v>
      </c>
      <c r="AP419" s="76" t="n">
        <v>0.979886987239265</v>
      </c>
      <c r="AQ419" s="76" t="n">
        <v>1.29437389890558</v>
      </c>
      <c r="AR419" s="76" t="n">
        <v>1.98709912536443</v>
      </c>
      <c r="AS419" s="77" t="n">
        <v>31.138304808589</v>
      </c>
      <c r="AT419" s="78" t="n">
        <v>32.6658947446836</v>
      </c>
      <c r="AU419" s="78" t="n">
        <v>23.8415325362352</v>
      </c>
      <c r="AV419" s="78" t="n">
        <v>31.4932822118146</v>
      </c>
      <c r="AW419" s="78" t="n">
        <v>48.3479105928086</v>
      </c>
      <c r="AX419" s="78" t="n">
        <v>27.8275</v>
      </c>
      <c r="AY419" s="48" t="n">
        <v>1.64114463283117</v>
      </c>
      <c r="AZ419" s="48" t="n">
        <v>24.1795853876006</v>
      </c>
      <c r="BA419" s="48" t="n">
        <v>-4.27524905355612</v>
      </c>
      <c r="BB419" s="49" t="n">
        <f aca="false">AT419/V419</f>
        <v>1.64114463283117</v>
      </c>
      <c r="BC419" s="49" t="n">
        <f aca="false">AS419/V419</f>
        <v>1.56439804301989</v>
      </c>
      <c r="BD419" s="49" t="n">
        <f aca="false">SUM(AP419:AR419)/V419</f>
        <v>0.214092042055209</v>
      </c>
      <c r="BE419" s="53" t="n">
        <v>6.13</v>
      </c>
      <c r="BF419" s="51" t="n">
        <v>121.08</v>
      </c>
      <c r="BG419" s="51" t="n">
        <v>525.107367030063</v>
      </c>
      <c r="BH419" s="51" t="n">
        <v>364.965312190287</v>
      </c>
      <c r="BI419" s="51" t="n">
        <v>84.9025437727122</v>
      </c>
      <c r="BJ419" s="51" t="n">
        <v>3.30360092500826</v>
      </c>
      <c r="BK419" s="51" t="n">
        <v>14.2880740006607</v>
      </c>
      <c r="BL419" s="51" t="n">
        <v>5.69871159563925</v>
      </c>
      <c r="BM419" s="51" t="n">
        <v>1.73439048562934</v>
      </c>
      <c r="BN419" s="52" t="n">
        <f aca="false">(BG419*0.5-BH419*0.25+BI419*0.5)/SUM(BG419:BI419)*1000</f>
        <v>219.250317662008</v>
      </c>
      <c r="BO419" s="93" t="n">
        <v>3.12071428571429</v>
      </c>
      <c r="BP419" s="94" t="s">
        <v>491</v>
      </c>
      <c r="BQ419" s="55" t="n">
        <v>187.404444444444</v>
      </c>
      <c r="BR419" s="56" t="n">
        <v>9.41525712283642</v>
      </c>
      <c r="BS419" s="56"/>
      <c r="BT419" s="56" t="n">
        <v>5.73700631527764</v>
      </c>
      <c r="BU419" s="55" t="n">
        <v>10635.4412037037</v>
      </c>
      <c r="BV419" s="55" t="n">
        <v>534.327848224347</v>
      </c>
      <c r="BW419" s="55"/>
      <c r="BX419" s="55" t="n">
        <v>325.58242432452</v>
      </c>
      <c r="BY419" s="96" t="n">
        <v>0.10918</v>
      </c>
      <c r="BZ419" s="96" t="n">
        <v>0.4697</v>
      </c>
      <c r="CA419" s="97" t="n">
        <v>4.4238</v>
      </c>
      <c r="CB419" s="98"/>
      <c r="CC419" s="97" t="n">
        <v>4.5696</v>
      </c>
      <c r="CD419" s="97" t="n">
        <v>7.5068</v>
      </c>
      <c r="CE419" s="97" t="n">
        <v>79.79</v>
      </c>
      <c r="CF419" s="97" t="n">
        <v>35.9358</v>
      </c>
      <c r="CG419" s="97" t="n">
        <v>0.0809</v>
      </c>
      <c r="CH419" s="63" t="n">
        <v>6600.95337520311</v>
      </c>
      <c r="CI419" s="63" t="n">
        <v>6346.89704284055</v>
      </c>
      <c r="CJ419" s="64" t="n">
        <v>1156972.07204386</v>
      </c>
      <c r="CK419" s="65" t="n">
        <v>0.548578241100357</v>
      </c>
    </row>
    <row r="420" s="1" customFormat="true" ht="15" hidden="false" customHeight="false" outlineLevel="0" collapsed="false">
      <c r="A420" s="7" t="s">
        <v>488</v>
      </c>
      <c r="B420" s="66" t="n">
        <v>410</v>
      </c>
      <c r="C420" s="8" t="s">
        <v>501</v>
      </c>
      <c r="D420" s="67" t="n">
        <v>41648</v>
      </c>
      <c r="E420" s="4" t="s">
        <v>490</v>
      </c>
      <c r="F420" s="7" t="n">
        <v>321</v>
      </c>
      <c r="G420" s="68" t="n">
        <v>1</v>
      </c>
      <c r="H420" s="68" t="n">
        <v>144</v>
      </c>
      <c r="I420" s="7" t="n">
        <v>2</v>
      </c>
      <c r="J420" s="8" t="n">
        <v>865</v>
      </c>
      <c r="K420" s="32"/>
      <c r="L420" s="31" t="n">
        <v>931.863</v>
      </c>
      <c r="M420" s="31" t="n">
        <v>153.830460063246</v>
      </c>
      <c r="N420" s="31" t="n">
        <v>291.237376313373</v>
      </c>
      <c r="O420" s="95"/>
      <c r="P420" s="33" t="n">
        <v>43.0480465163725</v>
      </c>
      <c r="Q420" s="33" t="n">
        <v>7.9</v>
      </c>
      <c r="R420" s="31" t="n">
        <v>281.444455778843</v>
      </c>
      <c r="S420" s="34" t="s">
        <v>76</v>
      </c>
      <c r="T420" s="35"/>
      <c r="U420" s="35"/>
      <c r="V420" s="35" t="n">
        <v>25.3545445030312</v>
      </c>
      <c r="W420" s="35" t="n">
        <v>23.6269619042282</v>
      </c>
      <c r="X420" s="35" t="n">
        <v>3.90030124559534</v>
      </c>
      <c r="Y420" s="35" t="n">
        <v>7.38419101868348</v>
      </c>
      <c r="Z420" s="35"/>
      <c r="AA420" s="35" t="n">
        <v>1.09146361116793</v>
      </c>
      <c r="AB420" s="35" t="n">
        <v>0.200300901573947</v>
      </c>
      <c r="AC420" s="71" t="n">
        <v>7.13589597917609</v>
      </c>
      <c r="AD420" s="72"/>
      <c r="AE420" s="72"/>
      <c r="AF420" s="72"/>
      <c r="AG420" s="72"/>
      <c r="AH420" s="72"/>
      <c r="AI420" s="73" t="n">
        <v>21.720100715655</v>
      </c>
      <c r="AJ420" s="42" t="s">
        <v>16</v>
      </c>
      <c r="AK420" s="43" t="n">
        <v>636.281612897587</v>
      </c>
      <c r="AL420" s="74"/>
      <c r="AM420" s="74"/>
      <c r="AN420" s="74"/>
      <c r="AO420" s="78" t="n">
        <v>39.78</v>
      </c>
      <c r="AP420" s="76" t="n">
        <v>1.31435867740177</v>
      </c>
      <c r="AQ420" s="76" t="n">
        <v>1.35150613781272</v>
      </c>
      <c r="AR420" s="76" t="n">
        <v>1.96483819241983</v>
      </c>
      <c r="AS420" s="77" t="n">
        <v>35.6273801610266</v>
      </c>
      <c r="AT420" s="78" t="n">
        <v>37.0599540070635</v>
      </c>
      <c r="AU420" s="78" t="n">
        <v>33.0406907340818</v>
      </c>
      <c r="AV420" s="78" t="n">
        <v>33.9745132682935</v>
      </c>
      <c r="AW420" s="78" t="n">
        <v>49.3926141885326</v>
      </c>
      <c r="AX420" s="78" t="n">
        <v>29.6125</v>
      </c>
      <c r="AY420" s="48" t="n">
        <v>1.46166909062921</v>
      </c>
      <c r="AZ420" s="48" t="n">
        <v>28.4198755786817</v>
      </c>
      <c r="BA420" s="48" t="n">
        <v>-3.06533107565043</v>
      </c>
      <c r="BB420" s="49" t="n">
        <f aca="false">AT420/V420</f>
        <v>1.46166909062921</v>
      </c>
      <c r="BC420" s="49" t="n">
        <f aca="false">AS420/V420</f>
        <v>1.40516743090246</v>
      </c>
      <c r="BD420" s="49" t="n">
        <f aca="false">SUM(AP420:AR420)/V420</f>
        <v>0.182637988510529</v>
      </c>
      <c r="BE420" s="53" t="n">
        <v>6.53</v>
      </c>
      <c r="BF420" s="51" t="n">
        <v>109.36</v>
      </c>
      <c r="BG420" s="51" t="n">
        <v>551.115581565472</v>
      </c>
      <c r="BH420" s="51" t="n">
        <v>316.93489392831</v>
      </c>
      <c r="BI420" s="51" t="n">
        <v>98.9392831016825</v>
      </c>
      <c r="BJ420" s="51" t="n">
        <v>5.12070226773958</v>
      </c>
      <c r="BK420" s="51" t="n">
        <v>17.0080468178493</v>
      </c>
      <c r="BL420" s="51" t="n">
        <v>8.22970007315289</v>
      </c>
      <c r="BM420" s="51" t="n">
        <v>2.65179224579371</v>
      </c>
      <c r="BN420" s="52" t="n">
        <f aca="false">(BG420*0.5-BH420*0.25+BI420*0.5)/SUM(BG420:BI420)*1000</f>
        <v>254.184397163121</v>
      </c>
      <c r="BO420" s="93" t="n">
        <v>3.60642857142857</v>
      </c>
      <c r="BP420" s="94" t="s">
        <v>491</v>
      </c>
      <c r="BQ420" s="55" t="n">
        <v>264.475</v>
      </c>
      <c r="BR420" s="56" t="n">
        <v>10.4310688747881</v>
      </c>
      <c r="BS420" s="56"/>
      <c r="BT420" s="56" t="n">
        <v>7.13640928830057</v>
      </c>
      <c r="BU420" s="55" t="n">
        <v>13549.7907407407</v>
      </c>
      <c r="BV420" s="55" t="n">
        <v>534.41270613719</v>
      </c>
      <c r="BW420" s="55"/>
      <c r="BX420" s="55" t="n">
        <v>365.618120793085</v>
      </c>
      <c r="BY420" s="96" t="n">
        <v>0.0618</v>
      </c>
      <c r="BZ420" s="96" t="n">
        <v>0.4686</v>
      </c>
      <c r="CA420" s="97" t="n">
        <v>5.2116</v>
      </c>
      <c r="CB420" s="98"/>
      <c r="CC420" s="97" t="n">
        <v>5.2608</v>
      </c>
      <c r="CD420" s="97" t="n">
        <v>7.644</v>
      </c>
      <c r="CE420" s="97" t="n">
        <v>83.83</v>
      </c>
      <c r="CF420" s="97" t="n">
        <v>37.1579</v>
      </c>
      <c r="CG420" s="97" t="n">
        <v>0.4826</v>
      </c>
      <c r="CH420" s="63" t="n">
        <v>7273.07256880569</v>
      </c>
      <c r="CI420" s="63" t="n">
        <v>8983.38680036766</v>
      </c>
      <c r="CJ420" s="64" t="n">
        <v>1002474.22756465</v>
      </c>
      <c r="CK420" s="65" t="n">
        <v>0.89612147159048</v>
      </c>
    </row>
    <row r="421" s="1" customFormat="true" ht="15" hidden="false" customHeight="false" outlineLevel="0" collapsed="false">
      <c r="A421" s="7" t="s">
        <v>488</v>
      </c>
      <c r="B421" s="66" t="n">
        <v>411</v>
      </c>
      <c r="C421" s="8" t="s">
        <v>502</v>
      </c>
      <c r="D421" s="67" t="n">
        <v>41648</v>
      </c>
      <c r="E421" s="4" t="s">
        <v>490</v>
      </c>
      <c r="F421" s="7" t="n">
        <v>325</v>
      </c>
      <c r="G421" s="68" t="n">
        <v>1</v>
      </c>
      <c r="H421" s="68" t="n">
        <v>153</v>
      </c>
      <c r="I421" s="7" t="n">
        <v>2</v>
      </c>
      <c r="J421" s="8" t="n">
        <v>747</v>
      </c>
      <c r="K421" s="32"/>
      <c r="L421" s="31" t="n">
        <v>931.863</v>
      </c>
      <c r="M421" s="31" t="n">
        <v>153.830460063246</v>
      </c>
      <c r="N421" s="31" t="n">
        <v>291.237376313373</v>
      </c>
      <c r="O421" s="95"/>
      <c r="P421" s="33" t="n">
        <v>43.0480465163725</v>
      </c>
      <c r="Q421" s="33" t="n">
        <v>7.9</v>
      </c>
      <c r="R421" s="31" t="n">
        <v>281.444455778843</v>
      </c>
      <c r="S421" s="34" t="s">
        <v>76</v>
      </c>
      <c r="T421" s="35"/>
      <c r="U421" s="35"/>
      <c r="V421" s="35" t="n">
        <v>20.7645004816292</v>
      </c>
      <c r="W421" s="35" t="n">
        <v>19.3496697123124</v>
      </c>
      <c r="X421" s="35" t="n">
        <v>3.19421266207251</v>
      </c>
      <c r="Y421" s="35" t="n">
        <v>6.04739864072747</v>
      </c>
      <c r="Z421" s="35"/>
      <c r="AA421" s="35" t="n">
        <v>0.893871182622414</v>
      </c>
      <c r="AB421" s="35" t="n">
        <v>0.164039553804871</v>
      </c>
      <c r="AC421" s="71" t="n">
        <v>5.84405353757166</v>
      </c>
      <c r="AD421" s="72"/>
      <c r="AE421" s="72"/>
      <c r="AF421" s="72"/>
      <c r="AG421" s="72"/>
      <c r="AH421" s="72"/>
      <c r="AI421" s="73" t="n">
        <v>24.6607829402859</v>
      </c>
      <c r="AJ421" s="42" t="s">
        <v>16</v>
      </c>
      <c r="AK421" s="43" t="n">
        <v>679.653317612453</v>
      </c>
      <c r="AL421" s="74"/>
      <c r="AM421" s="74"/>
      <c r="AN421" s="74"/>
      <c r="AO421" s="78" t="n">
        <v>16.24</v>
      </c>
      <c r="AP421" s="76" t="n">
        <v>0.658122448979592</v>
      </c>
      <c r="AQ421" s="76" t="n">
        <v>0.667591836734694</v>
      </c>
      <c r="AR421" s="76" t="n">
        <v>0.670748299319728</v>
      </c>
      <c r="AS421" s="77" t="n">
        <v>16.3678367346939</v>
      </c>
      <c r="AT421" s="78" t="n">
        <v>16.8127888903332</v>
      </c>
      <c r="AU421" s="78" t="n">
        <v>40.5247813411079</v>
      </c>
      <c r="AV421" s="78" t="n">
        <v>41.1078717201166</v>
      </c>
      <c r="AW421" s="78" t="n">
        <v>41.3022351797862</v>
      </c>
      <c r="AX421" s="78" t="n">
        <v>29.84</v>
      </c>
      <c r="AY421" s="48" t="n">
        <v>0.809689060673905</v>
      </c>
      <c r="AZ421" s="48" t="n">
        <v>19.7720666595538</v>
      </c>
      <c r="BA421" s="48" t="n">
        <v>0.992433822075423</v>
      </c>
      <c r="BB421" s="49" t="n">
        <f aca="false">AT421/V421</f>
        <v>0.809689060673905</v>
      </c>
      <c r="BC421" s="49" t="n">
        <f aca="false">AS421/V421</f>
        <v>0.788260557925525</v>
      </c>
      <c r="BD421" s="49" t="n">
        <f aca="false">SUM(AP421:AR421)/V421</f>
        <v>0.0961478744360032</v>
      </c>
      <c r="BE421" s="53" t="n">
        <v>6.83</v>
      </c>
      <c r="BF421" s="51" t="n">
        <v>80.01</v>
      </c>
      <c r="BG421" s="51" t="n">
        <v>526.934133233346</v>
      </c>
      <c r="BH421" s="51" t="n">
        <v>186.97662792151</v>
      </c>
      <c r="BI421" s="51" t="n">
        <v>248.093988251469</v>
      </c>
      <c r="BJ421" s="51" t="n">
        <v>5.49931258592676</v>
      </c>
      <c r="BK421" s="51" t="n">
        <v>14.3732033495813</v>
      </c>
      <c r="BL421" s="51" t="n">
        <v>6.62417197850269</v>
      </c>
      <c r="BM421" s="51" t="n">
        <v>11.498562679665</v>
      </c>
      <c r="BN421" s="52" t="n">
        <f aca="false">(BG421*0.5-BH421*0.25+BI421*0.5)/SUM(BG421:BI421)*1000</f>
        <v>354.228920358581</v>
      </c>
      <c r="BO421" s="93" t="n">
        <v>1.93071428571429</v>
      </c>
      <c r="BP421" s="94" t="s">
        <v>491</v>
      </c>
      <c r="BQ421" s="55" t="n">
        <v>406.31862745098</v>
      </c>
      <c r="BR421" s="56" t="n">
        <v>19.5679461593819</v>
      </c>
      <c r="BS421" s="56"/>
      <c r="BT421" s="56" t="n">
        <v>24.1672354361506</v>
      </c>
      <c r="BU421" s="55" t="n">
        <v>14812.3245614035</v>
      </c>
      <c r="BV421" s="55" t="n">
        <v>713.348465786995</v>
      </c>
      <c r="BW421" s="55"/>
      <c r="BX421" s="55" t="n">
        <v>881.015318637594</v>
      </c>
      <c r="BY421" s="96" t="n">
        <v>0.10918</v>
      </c>
      <c r="BZ421" s="96" t="n">
        <v>1.496</v>
      </c>
      <c r="CA421" s="97" t="n">
        <v>3.9491</v>
      </c>
      <c r="CB421" s="98"/>
      <c r="CC421" s="97" t="n">
        <v>5.1744</v>
      </c>
      <c r="CD421" s="97" t="n">
        <v>7.889</v>
      </c>
      <c r="CE421" s="97" t="n">
        <v>73.73</v>
      </c>
      <c r="CF421" s="97" t="n">
        <v>36.5317</v>
      </c>
      <c r="CG421" s="97" t="n">
        <v>0.0603</v>
      </c>
      <c r="CH421" s="63" t="n">
        <v>33554.3091065142</v>
      </c>
      <c r="CI421" s="63" t="n">
        <v>9015.50275982635</v>
      </c>
      <c r="CJ421" s="64" t="n">
        <v>698865.336570392</v>
      </c>
      <c r="CK421" s="65" t="n">
        <v>1.29002002074806</v>
      </c>
    </row>
    <row r="422" s="1" customFormat="true" ht="15" hidden="false" customHeight="false" outlineLevel="0" collapsed="false">
      <c r="A422" s="7" t="s">
        <v>488</v>
      </c>
      <c r="B422" s="66" t="n">
        <v>412</v>
      </c>
      <c r="C422" s="8" t="s">
        <v>503</v>
      </c>
      <c r="D422" s="67" t="n">
        <v>41648</v>
      </c>
      <c r="E422" s="4" t="s">
        <v>490</v>
      </c>
      <c r="F422" s="7" t="n">
        <v>337</v>
      </c>
      <c r="G422" s="68" t="n">
        <v>1</v>
      </c>
      <c r="H422" s="68" t="n">
        <v>105</v>
      </c>
      <c r="I422" s="7" t="n">
        <v>2</v>
      </c>
      <c r="J422" s="8" t="n">
        <v>656</v>
      </c>
      <c r="K422" s="32"/>
      <c r="L422" s="31" t="n">
        <v>931.863</v>
      </c>
      <c r="M422" s="31" t="n">
        <v>153.830460063246</v>
      </c>
      <c r="N422" s="31" t="n">
        <v>291.237376313373</v>
      </c>
      <c r="O422" s="95"/>
      <c r="P422" s="33" t="n">
        <v>43.0480465163725</v>
      </c>
      <c r="Q422" s="33" t="n">
        <v>7.9</v>
      </c>
      <c r="R422" s="31" t="n">
        <v>281.444455778843</v>
      </c>
      <c r="S422" s="34" t="s">
        <v>76</v>
      </c>
      <c r="T422" s="35"/>
      <c r="U422" s="35"/>
      <c r="V422" s="35" t="n">
        <v>23.4873561154345</v>
      </c>
      <c r="W422" s="35" t="n">
        <v>21.8869981317971</v>
      </c>
      <c r="X422" s="35" t="n">
        <v>3.61307079690658</v>
      </c>
      <c r="Y422" s="35" t="n">
        <v>6.84039597159701</v>
      </c>
      <c r="Z422" s="35"/>
      <c r="AA422" s="35" t="n">
        <v>1.01108479860383</v>
      </c>
      <c r="AB422" s="35" t="n">
        <v>0.185550113311933</v>
      </c>
      <c r="AC422" s="71" t="n">
        <v>6.61038615959235</v>
      </c>
      <c r="AD422" s="72"/>
      <c r="AE422" s="72"/>
      <c r="AF422" s="72"/>
      <c r="AG422" s="72"/>
      <c r="AH422" s="72"/>
      <c r="AI422" s="73" t="n">
        <v>24.0405335455356</v>
      </c>
      <c r="AJ422" s="42" t="s">
        <v>16</v>
      </c>
      <c r="AK422" s="43" t="n">
        <v>671.388324845766</v>
      </c>
      <c r="AL422" s="74"/>
      <c r="AM422" s="74"/>
      <c r="AN422" s="74"/>
      <c r="AO422" s="78" t="n">
        <v>36.98</v>
      </c>
      <c r="AP422" s="76" t="n">
        <v>1.45823884358938</v>
      </c>
      <c r="AQ422" s="76" t="n">
        <v>1.32737527114742</v>
      </c>
      <c r="AR422" s="76" t="n">
        <v>1.96579786200194</v>
      </c>
      <c r="AS422" s="77" t="n">
        <v>36.6655826538408</v>
      </c>
      <c r="AT422" s="78" t="n">
        <v>38.6155451938704</v>
      </c>
      <c r="AU422" s="78" t="n">
        <v>39.4331758677497</v>
      </c>
      <c r="AV422" s="78" t="n">
        <v>35.8944097119367</v>
      </c>
      <c r="AW422" s="78" t="n">
        <v>53.1584062196307</v>
      </c>
      <c r="AX422" s="78" t="n">
        <v>30.8075</v>
      </c>
      <c r="AY422" s="48" t="n">
        <v>1.64409927639725</v>
      </c>
      <c r="AZ422" s="48" t="n">
        <v>25.4603809709594</v>
      </c>
      <c r="BA422" s="48" t="n">
        <v>-1.97302485552488</v>
      </c>
      <c r="BB422" s="49" t="n">
        <f aca="false">AT422/V422</f>
        <v>1.64409927639725</v>
      </c>
      <c r="BC422" s="49" t="n">
        <f aca="false">AS422/V422</f>
        <v>1.56107747818182</v>
      </c>
      <c r="BD422" s="49" t="n">
        <f aca="false">SUM(AP422:AR422)/V422</f>
        <v>0.202296586869409</v>
      </c>
      <c r="BE422" s="53" t="n">
        <v>5.98</v>
      </c>
      <c r="BF422" s="51" t="n">
        <v>134.83</v>
      </c>
      <c r="BG422" s="51" t="n">
        <v>548.765111622043</v>
      </c>
      <c r="BH422" s="51" t="n">
        <v>326.559371059853</v>
      </c>
      <c r="BI422" s="51" t="n">
        <v>97.4560557739376</v>
      </c>
      <c r="BJ422" s="51" t="n">
        <v>4.89505302974116</v>
      </c>
      <c r="BK422" s="51" t="n">
        <v>11.9409626937625</v>
      </c>
      <c r="BL422" s="51" t="n">
        <v>8.38092412667804</v>
      </c>
      <c r="BM422" s="51" t="n">
        <v>2.00252169398502</v>
      </c>
      <c r="BN422" s="52" t="n">
        <f aca="false">(BG422*0.5-BH422*0.25+BI422*0.5)/SUM(BG422:BI422)*1000</f>
        <v>248.227355901189</v>
      </c>
      <c r="BO422" s="93" t="n">
        <v>8.25714285714286</v>
      </c>
      <c r="BP422" s="94" t="s">
        <v>491</v>
      </c>
      <c r="BQ422" s="55" t="n">
        <v>252.184210526316</v>
      </c>
      <c r="BR422" s="56" t="n">
        <v>10.7370199219909</v>
      </c>
      <c r="BS422" s="56"/>
      <c r="BT422" s="56" t="n">
        <v>6.53063964940073</v>
      </c>
      <c r="BU422" s="55" t="n">
        <v>10356.7763157895</v>
      </c>
      <c r="BV422" s="55" t="n">
        <v>440.951134086293</v>
      </c>
      <c r="BW422" s="55"/>
      <c r="BX422" s="55" t="n">
        <v>268.202255433479</v>
      </c>
      <c r="BY422" s="96" t="n">
        <v>0.07828</v>
      </c>
      <c r="BZ422" s="96" t="n">
        <v>0.5104</v>
      </c>
      <c r="CA422" s="97" t="n">
        <v>4.444</v>
      </c>
      <c r="CB422" s="98"/>
      <c r="CC422" s="97" t="n">
        <v>5.7696</v>
      </c>
      <c r="CD422" s="97" t="n">
        <v>7.9772</v>
      </c>
      <c r="CE422" s="97" t="n">
        <v>81.81</v>
      </c>
      <c r="CF422" s="97" t="n">
        <v>37.3801</v>
      </c>
      <c r="CG422" s="97" t="n">
        <v>0.0706</v>
      </c>
      <c r="CH422" s="63" t="n">
        <v>17765.7583922452</v>
      </c>
      <c r="CI422" s="63" t="n">
        <v>5749.79006786584</v>
      </c>
      <c r="CJ422" s="64" t="n">
        <v>937502.368689512</v>
      </c>
      <c r="CK422" s="65" t="n">
        <v>0.613309390983533</v>
      </c>
    </row>
    <row r="423" s="1" customFormat="true" ht="15" hidden="false" customHeight="false" outlineLevel="0" collapsed="false">
      <c r="A423" s="7" t="s">
        <v>488</v>
      </c>
      <c r="B423" s="66" t="n">
        <v>413</v>
      </c>
      <c r="C423" s="8" t="s">
        <v>504</v>
      </c>
      <c r="D423" s="67" t="n">
        <v>41648</v>
      </c>
      <c r="E423" s="4" t="s">
        <v>490</v>
      </c>
      <c r="F423" s="7" t="n">
        <v>339</v>
      </c>
      <c r="G423" s="68" t="n">
        <v>1</v>
      </c>
      <c r="H423" s="68" t="n">
        <v>92</v>
      </c>
      <c r="I423" s="7" t="n">
        <v>2</v>
      </c>
      <c r="J423" s="8" t="n">
        <v>698</v>
      </c>
      <c r="K423" s="32"/>
      <c r="L423" s="31" t="n">
        <v>931.863</v>
      </c>
      <c r="M423" s="31" t="n">
        <v>153.830460063246</v>
      </c>
      <c r="N423" s="31" t="n">
        <v>291.237376313373</v>
      </c>
      <c r="O423" s="95"/>
      <c r="P423" s="33" t="n">
        <v>43.0480465163725</v>
      </c>
      <c r="Q423" s="33" t="n">
        <v>7.9</v>
      </c>
      <c r="R423" s="31" t="n">
        <v>281.444455778843</v>
      </c>
      <c r="S423" s="34" t="s">
        <v>76</v>
      </c>
      <c r="T423" s="35"/>
      <c r="U423" s="35"/>
      <c r="V423" s="35" t="n">
        <v>27.1273170357382</v>
      </c>
      <c r="W423" s="35" t="n">
        <v>25.2789430348741</v>
      </c>
      <c r="X423" s="35" t="n">
        <v>4.17300765988913</v>
      </c>
      <c r="Y423" s="35" t="n">
        <v>7.90048863990947</v>
      </c>
      <c r="Z423" s="35"/>
      <c r="AA423" s="35" t="n">
        <v>1.16777800561884</v>
      </c>
      <c r="AB423" s="35" t="n">
        <v>0.214305804582332</v>
      </c>
      <c r="AC423" s="71" t="n">
        <v>7.63483297986347</v>
      </c>
      <c r="AD423" s="72"/>
      <c r="AE423" s="72"/>
      <c r="AF423" s="72"/>
      <c r="AG423" s="72"/>
      <c r="AH423" s="72"/>
      <c r="AI423" s="73" t="n">
        <v>30.2540572342291</v>
      </c>
      <c r="AJ423" s="42" t="s">
        <v>16</v>
      </c>
      <c r="AK423" s="43" t="n">
        <v>738.877997789267</v>
      </c>
      <c r="AL423" s="74"/>
      <c r="AM423" s="74"/>
      <c r="AN423" s="74"/>
      <c r="AO423" s="78" t="n">
        <v>36</v>
      </c>
      <c r="AP423" s="76" t="n">
        <v>1.47314693376327</v>
      </c>
      <c r="AQ423" s="76" t="n">
        <v>1.30640781240863</v>
      </c>
      <c r="AR423" s="76" t="n">
        <v>1.69067055393586</v>
      </c>
      <c r="AS423" s="77" t="n">
        <v>36.4972040064491</v>
      </c>
      <c r="AT423" s="78" t="n">
        <v>37.1800915877456</v>
      </c>
      <c r="AU423" s="78" t="n">
        <v>40.9207481600909</v>
      </c>
      <c r="AV423" s="78" t="n">
        <v>36.2891059002398</v>
      </c>
      <c r="AW423" s="78" t="n">
        <v>46.9630709426628</v>
      </c>
      <c r="AX423" s="78" t="n">
        <v>34.1275</v>
      </c>
      <c r="AY423" s="48" t="n">
        <v>1.37057754509094</v>
      </c>
      <c r="AZ423" s="48" t="n">
        <v>25.6630465097467</v>
      </c>
      <c r="BA423" s="48" t="n">
        <v>1.4642705259915</v>
      </c>
      <c r="BB423" s="49" t="n">
        <f aca="false">AT423/V423</f>
        <v>1.37057754509094</v>
      </c>
      <c r="BC423" s="49" t="n">
        <f aca="false">AS423/V423</f>
        <v>1.34540411638817</v>
      </c>
      <c r="BD423" s="49" t="n">
        <f aca="false">SUM(AP423:AR423)/V423</f>
        <v>0.164786856518784</v>
      </c>
      <c r="BE423" s="53" t="n">
        <v>5.93</v>
      </c>
      <c r="BF423" s="51" t="n">
        <v>132.04</v>
      </c>
      <c r="BG423" s="51" t="n">
        <v>572.629506210239</v>
      </c>
      <c r="BH423" s="51" t="n">
        <v>283.853377764314</v>
      </c>
      <c r="BI423" s="51" t="n">
        <v>109.815207512875</v>
      </c>
      <c r="BJ423" s="51" t="n">
        <v>6.4374431990306</v>
      </c>
      <c r="BK423" s="51" t="n">
        <v>12.6476825204484</v>
      </c>
      <c r="BL423" s="51" t="n">
        <v>12.5719478945774</v>
      </c>
      <c r="BM423" s="51" t="n">
        <v>2.0448348985156</v>
      </c>
      <c r="BN423" s="52" t="n">
        <f aca="false">(BG423*0.5-BH423*0.25+BI423*0.5)/SUM(BG423:BI423)*1000</f>
        <v>279.684928285916</v>
      </c>
      <c r="BO423" s="93" t="n">
        <v>8.82785714285714</v>
      </c>
      <c r="BP423" s="94" t="s">
        <v>491</v>
      </c>
      <c r="BQ423" s="55" t="n">
        <v>355.013095238095</v>
      </c>
      <c r="BR423" s="56" t="n">
        <v>13.0869224837234</v>
      </c>
      <c r="BS423" s="56"/>
      <c r="BT423" s="56" t="n">
        <v>9.54847285408801</v>
      </c>
      <c r="BU423" s="55" t="n">
        <v>12453.6055555556</v>
      </c>
      <c r="BV423" s="55" t="n">
        <v>459.079883909967</v>
      </c>
      <c r="BW423" s="55"/>
      <c r="BX423" s="55" t="n">
        <v>334.953600804475</v>
      </c>
      <c r="BY423" s="96" t="n">
        <v>0.08549</v>
      </c>
      <c r="BZ423" s="96" t="n">
        <v>0.4686</v>
      </c>
      <c r="CA423" s="97" t="n">
        <v>3.9996</v>
      </c>
      <c r="CB423" s="98"/>
      <c r="CC423" s="97" t="n">
        <v>6.6816</v>
      </c>
      <c r="CD423" s="97" t="n">
        <v>6.9384</v>
      </c>
      <c r="CE423" s="97" t="n">
        <v>83.83</v>
      </c>
      <c r="CF423" s="97" t="n">
        <v>37.4104</v>
      </c>
      <c r="CG423" s="97" t="n">
        <v>0.1942</v>
      </c>
      <c r="CH423" s="63" t="n">
        <v>38336.1090891243</v>
      </c>
      <c r="CI423" s="63" t="n">
        <v>8131.13780726972</v>
      </c>
      <c r="CJ423" s="63" t="n">
        <v>621748.442510603</v>
      </c>
      <c r="CK423" s="85" t="n">
        <v>1.30778579427339</v>
      </c>
    </row>
    <row r="424" s="1" customFormat="true" ht="15" hidden="false" customHeight="false" outlineLevel="0" collapsed="false">
      <c r="A424" s="7" t="s">
        <v>488</v>
      </c>
      <c r="B424" s="66" t="n">
        <v>414</v>
      </c>
      <c r="C424" s="8" t="s">
        <v>505</v>
      </c>
      <c r="D424" s="67" t="n">
        <v>41648</v>
      </c>
      <c r="E424" s="4" t="s">
        <v>490</v>
      </c>
      <c r="F424" s="7" t="n">
        <v>352</v>
      </c>
      <c r="G424" s="68" t="n">
        <v>1</v>
      </c>
      <c r="H424" s="68" t="n">
        <v>181</v>
      </c>
      <c r="I424" s="7" t="n">
        <v>2</v>
      </c>
      <c r="J424" s="8" t="n">
        <v>818</v>
      </c>
      <c r="K424" s="32"/>
      <c r="L424" s="31" t="n">
        <v>931.863</v>
      </c>
      <c r="M424" s="31" t="n">
        <v>153.830460063246</v>
      </c>
      <c r="N424" s="31" t="n">
        <v>291.237376313373</v>
      </c>
      <c r="O424" s="95"/>
      <c r="P424" s="33" t="n">
        <v>43.0480465163725</v>
      </c>
      <c r="Q424" s="33" t="n">
        <v>7.9</v>
      </c>
      <c r="R424" s="31" t="n">
        <v>281.444455778843</v>
      </c>
      <c r="S424" s="34" t="s">
        <v>76</v>
      </c>
      <c r="T424" s="35"/>
      <c r="U424" s="35"/>
      <c r="V424" s="35" t="n">
        <v>24.0286881211723</v>
      </c>
      <c r="W424" s="35" t="n">
        <v>22.39144539866</v>
      </c>
      <c r="X424" s="35" t="n">
        <v>3.69634414839618</v>
      </c>
      <c r="Y424" s="35" t="n">
        <v>6.99805208466253</v>
      </c>
      <c r="Z424" s="35"/>
      <c r="AA424" s="35" t="n">
        <v>1.03438808396763</v>
      </c>
      <c r="AB424" s="35" t="n">
        <v>0.189826636157261</v>
      </c>
      <c r="AC424" s="71" t="n">
        <v>6.76274105134288</v>
      </c>
      <c r="AD424" s="72"/>
      <c r="AE424" s="72"/>
      <c r="AF424" s="72"/>
      <c r="AG424" s="72"/>
      <c r="AH424" s="72"/>
      <c r="AI424" s="73" t="n">
        <v>20.7935198302533</v>
      </c>
      <c r="AJ424" s="42" t="s">
        <v>16</v>
      </c>
      <c r="AK424" s="43" t="n">
        <v>620.073943012478</v>
      </c>
      <c r="AL424" s="74"/>
      <c r="AM424" s="74"/>
      <c r="AN424" s="74"/>
      <c r="AO424" s="78" t="n">
        <v>25.98</v>
      </c>
      <c r="AP424" s="76" t="n">
        <v>0.697734144106622</v>
      </c>
      <c r="AQ424" s="76" t="n">
        <v>0.920506422324032</v>
      </c>
      <c r="AR424" s="76" t="n">
        <v>1.31625267249757</v>
      </c>
      <c r="AS424" s="77" t="n">
        <v>20.8580121615993</v>
      </c>
      <c r="AT424" s="78" t="n">
        <v>22.7095790900111</v>
      </c>
      <c r="AU424" s="78" t="n">
        <v>26.8565875329724</v>
      </c>
      <c r="AV424" s="78" t="n">
        <v>35.4313480494239</v>
      </c>
      <c r="AW424" s="78" t="n">
        <v>50.6640751538711</v>
      </c>
      <c r="AX424" s="78" t="n">
        <v>30.53</v>
      </c>
      <c r="AY424" s="48" t="n">
        <v>0.945102744498198</v>
      </c>
      <c r="AZ424" s="48" t="n">
        <v>22.487405439929</v>
      </c>
      <c r="BA424" s="48" t="n">
        <v>1.54128268124323</v>
      </c>
      <c r="BB424" s="49" t="n">
        <f aca="false">AT424/V424</f>
        <v>0.945102744498198</v>
      </c>
      <c r="BC424" s="49" t="n">
        <f aca="false">AS424/V424</f>
        <v>0.868046231089113</v>
      </c>
      <c r="BD424" s="49" t="n">
        <f aca="false">SUM(AP424:AR424)/V424</f>
        <v>0.122124571434367</v>
      </c>
      <c r="BE424" s="53" t="n">
        <v>6.07</v>
      </c>
      <c r="BF424" s="51" t="n">
        <v>135.44</v>
      </c>
      <c r="BG424" s="51" t="n">
        <v>523.626698168931</v>
      </c>
      <c r="BH424" s="51" t="n">
        <v>360.750147666864</v>
      </c>
      <c r="BI424" s="51" t="n">
        <v>89.5599527466037</v>
      </c>
      <c r="BJ424" s="51" t="n">
        <v>4.43000590667454</v>
      </c>
      <c r="BK424" s="51" t="n">
        <v>13.5853514471353</v>
      </c>
      <c r="BL424" s="51" t="n">
        <v>6.497341996456</v>
      </c>
      <c r="BM424" s="51" t="n">
        <v>1.55050206733609</v>
      </c>
      <c r="BN424" s="52" t="n">
        <f aca="false">(BG424*0.5-BH424*0.25+BI424*0.5)/SUM(BG424:BI424)*1000</f>
        <v>222.196952467592</v>
      </c>
      <c r="BO424" s="93" t="n">
        <v>6.86071428571429</v>
      </c>
      <c r="BP424" s="94" t="s">
        <v>491</v>
      </c>
      <c r="BQ424" s="55" t="n">
        <v>299</v>
      </c>
      <c r="BR424" s="56" t="n">
        <v>12.4434591889577</v>
      </c>
      <c r="BS424" s="56"/>
      <c r="BT424" s="56" t="n">
        <v>13.1662501896178</v>
      </c>
      <c r="BU424" s="55" t="n">
        <v>14141.5877192982</v>
      </c>
      <c r="BV424" s="55" t="n">
        <v>588.529329940312</v>
      </c>
      <c r="BW424" s="55"/>
      <c r="BX424" s="55" t="n">
        <v>622.714655487316</v>
      </c>
      <c r="BY424" s="96" t="n">
        <v>0.07828</v>
      </c>
      <c r="BZ424" s="96" t="n">
        <v>0.2882</v>
      </c>
      <c r="CA424" s="97" t="n">
        <v>4.4743</v>
      </c>
      <c r="CB424" s="98"/>
      <c r="CC424" s="97" t="n">
        <v>5.4432</v>
      </c>
      <c r="CD424" s="97" t="n">
        <v>6.664</v>
      </c>
      <c r="CE424" s="97" t="n">
        <v>85.85</v>
      </c>
      <c r="CF424" s="97" t="n">
        <v>37.7336</v>
      </c>
      <c r="CG424" s="97" t="n">
        <v>0.1633</v>
      </c>
      <c r="CH424" s="63" t="n">
        <v>26008.3809444089</v>
      </c>
      <c r="CI424" s="63" t="n">
        <v>1273.27375652821</v>
      </c>
      <c r="CJ424" s="64" t="n">
        <v>660220.878728078</v>
      </c>
      <c r="CK424" s="65" t="n">
        <v>0.192855724129958</v>
      </c>
    </row>
    <row r="425" s="1" customFormat="true" ht="15" hidden="false" customHeight="false" outlineLevel="0" collapsed="false">
      <c r="A425" s="7" t="s">
        <v>488</v>
      </c>
      <c r="B425" s="66" t="n">
        <v>415</v>
      </c>
      <c r="C425" s="8" t="s">
        <v>506</v>
      </c>
      <c r="D425" s="67" t="n">
        <v>41648</v>
      </c>
      <c r="E425" s="4" t="s">
        <v>490</v>
      </c>
      <c r="F425" s="7" t="n">
        <v>354</v>
      </c>
      <c r="G425" s="68" t="n">
        <v>1</v>
      </c>
      <c r="H425" s="68" t="n">
        <v>99</v>
      </c>
      <c r="I425" s="7" t="n">
        <v>2</v>
      </c>
      <c r="J425" s="8" t="n">
        <v>708</v>
      </c>
      <c r="K425" s="32"/>
      <c r="L425" s="31" t="n">
        <v>931.863</v>
      </c>
      <c r="M425" s="31" t="n">
        <v>153.830460063246</v>
      </c>
      <c r="N425" s="31" t="n">
        <v>291.237376313373</v>
      </c>
      <c r="O425" s="95"/>
      <c r="P425" s="33" t="n">
        <v>43.0480465163725</v>
      </c>
      <c r="Q425" s="33" t="n">
        <v>7.9</v>
      </c>
      <c r="R425" s="31" t="n">
        <v>281.444455778843</v>
      </c>
      <c r="S425" s="34" t="s">
        <v>76</v>
      </c>
      <c r="T425" s="35"/>
      <c r="U425" s="35"/>
      <c r="V425" s="35" t="n">
        <v>21.1165838314364</v>
      </c>
      <c r="W425" s="35" t="n">
        <v>19.6777631589139</v>
      </c>
      <c r="X425" s="35" t="n">
        <v>3.24837380575397</v>
      </c>
      <c r="Y425" s="35" t="n">
        <v>6.14993847176895</v>
      </c>
      <c r="Z425" s="35"/>
      <c r="AA425" s="35" t="n">
        <v>0.909027683042556</v>
      </c>
      <c r="AB425" s="35" t="n">
        <v>0.166821012268348</v>
      </c>
      <c r="AC425" s="71" t="n">
        <v>5.94314544434695</v>
      </c>
      <c r="AD425" s="72"/>
      <c r="AE425" s="72"/>
      <c r="AF425" s="72"/>
      <c r="AG425" s="72"/>
      <c r="AH425" s="72"/>
      <c r="AI425" s="73" t="n">
        <v>17.1</v>
      </c>
      <c r="AJ425" s="42" t="s">
        <v>16</v>
      </c>
      <c r="AK425" s="43" t="n">
        <v>538.011695906433</v>
      </c>
      <c r="AL425" s="74"/>
      <c r="AM425" s="74"/>
      <c r="AN425" s="74"/>
      <c r="AO425" s="78" t="n">
        <v>37.8</v>
      </c>
      <c r="AP425" s="76" t="n">
        <v>1.10131864016904</v>
      </c>
      <c r="AQ425" s="76" t="n">
        <v>1.25250862599299</v>
      </c>
      <c r="AR425" s="76" t="n">
        <v>1.96255102040816</v>
      </c>
      <c r="AS425" s="77" t="n">
        <v>31.6397796025356</v>
      </c>
      <c r="AT425" s="78" t="n">
        <v>33.6733332946037</v>
      </c>
      <c r="AU425" s="78" t="n">
        <v>29.1354137610858</v>
      </c>
      <c r="AV425" s="78" t="n">
        <v>33.1351488357935</v>
      </c>
      <c r="AW425" s="78" t="n">
        <v>51.9193391642371</v>
      </c>
      <c r="AX425" s="78" t="n">
        <v>30.7025</v>
      </c>
      <c r="AY425" s="48" t="n">
        <v>1.59463924484196</v>
      </c>
      <c r="AZ425" s="48" t="n">
        <v>24.2365906122247</v>
      </c>
      <c r="BA425" s="48" t="n">
        <v>-3.12000678078826</v>
      </c>
      <c r="BB425" s="49" t="n">
        <f aca="false">AT425/V425</f>
        <v>1.59463924484196</v>
      </c>
      <c r="BC425" s="49" t="n">
        <f aca="false">AS425/V425</f>
        <v>1.49833798189616</v>
      </c>
      <c r="BD425" s="49" t="n">
        <f aca="false">SUM(AP425:AR425)/V425</f>
        <v>0.204407034822762</v>
      </c>
      <c r="BE425" s="53" t="n">
        <v>6.02</v>
      </c>
      <c r="BF425" s="51" t="n">
        <v>130.45</v>
      </c>
      <c r="BG425" s="51" t="n">
        <v>541.20352625527</v>
      </c>
      <c r="BH425" s="51" t="n">
        <v>351.782292065926</v>
      </c>
      <c r="BI425" s="51" t="n">
        <v>81.3338443848218</v>
      </c>
      <c r="BJ425" s="51" t="n">
        <v>4.29283250287467</v>
      </c>
      <c r="BK425" s="51" t="n">
        <v>13.2617861249521</v>
      </c>
      <c r="BL425" s="51" t="n">
        <v>5.74932924492143</v>
      </c>
      <c r="BM425" s="51" t="n">
        <v>2.37638942123419</v>
      </c>
      <c r="BN425" s="52" t="n">
        <f aca="false">(BG425*0.5-BH425*0.25+BI425*0.5)/SUM(BG425:BI425)*1000</f>
        <v>229.209284028324</v>
      </c>
      <c r="BO425" s="93" t="n">
        <v>4.04357142857143</v>
      </c>
      <c r="BP425" s="94" t="s">
        <v>491</v>
      </c>
      <c r="BQ425" s="55" t="n">
        <v>276.043518518519</v>
      </c>
      <c r="BR425" s="56" t="n">
        <v>13.0723568131115</v>
      </c>
      <c r="BS425" s="56"/>
      <c r="BT425" s="56" t="n">
        <v>8.19768913589423</v>
      </c>
      <c r="BU425" s="55" t="n">
        <v>11958.7134920635</v>
      </c>
      <c r="BV425" s="55" t="n">
        <v>566.318566844153</v>
      </c>
      <c r="BW425" s="55"/>
      <c r="BX425" s="55" t="n">
        <v>355.138987502016</v>
      </c>
      <c r="BY425" s="96" t="n">
        <v>0.13081</v>
      </c>
      <c r="BZ425" s="96" t="n">
        <v>0.5357</v>
      </c>
      <c r="CA425" s="97" t="n">
        <v>4.3733</v>
      </c>
      <c r="CB425" s="98"/>
      <c r="CC425" s="97" t="n">
        <v>6.3456</v>
      </c>
      <c r="CD425" s="97" t="n">
        <v>5.7036</v>
      </c>
      <c r="CE425" s="97" t="n">
        <v>80.8</v>
      </c>
      <c r="CF425" s="97" t="n">
        <v>38.784</v>
      </c>
      <c r="CG425" s="97" t="n">
        <v>0.0912</v>
      </c>
      <c r="CH425" s="63" t="n">
        <v>22386.747650769</v>
      </c>
      <c r="CI425" s="63" t="n">
        <v>5410.88280212966</v>
      </c>
      <c r="CJ425" s="63" t="n">
        <v>922262.445058342</v>
      </c>
      <c r="CK425" s="85" t="n">
        <v>0.586696642709697</v>
      </c>
    </row>
    <row r="426" s="1" customFormat="true" ht="15" hidden="false" customHeight="false" outlineLevel="0" collapsed="false">
      <c r="A426" s="7" t="s">
        <v>488</v>
      </c>
      <c r="B426" s="66" t="n">
        <v>416</v>
      </c>
      <c r="C426" s="8" t="s">
        <v>507</v>
      </c>
      <c r="D426" s="67" t="n">
        <v>41648</v>
      </c>
      <c r="E426" s="4" t="s">
        <v>490</v>
      </c>
      <c r="F426" s="7" t="n">
        <v>415</v>
      </c>
      <c r="G426" s="68" t="n">
        <v>1</v>
      </c>
      <c r="H426" s="68" t="n">
        <v>160</v>
      </c>
      <c r="I426" s="7" t="n">
        <v>1</v>
      </c>
      <c r="J426" s="8" t="n">
        <v>771</v>
      </c>
      <c r="K426" s="32"/>
      <c r="L426" s="31" t="n">
        <v>931.863</v>
      </c>
      <c r="M426" s="31" t="n">
        <v>153.830460063246</v>
      </c>
      <c r="N426" s="31" t="n">
        <v>291.237376313373</v>
      </c>
      <c r="O426" s="95"/>
      <c r="P426" s="33" t="n">
        <v>43.0480465163725</v>
      </c>
      <c r="Q426" s="33" t="n">
        <v>7.9</v>
      </c>
      <c r="R426" s="31" t="n">
        <v>281.444455778843</v>
      </c>
      <c r="S426" s="34" t="s">
        <v>76</v>
      </c>
      <c r="T426" s="35"/>
      <c r="U426" s="35"/>
      <c r="V426" s="35" t="n">
        <v>19.9999000847475</v>
      </c>
      <c r="W426" s="35" t="n">
        <v>18.6371668926731</v>
      </c>
      <c r="X426" s="35" t="n">
        <v>3.07659383125566</v>
      </c>
      <c r="Y426" s="35" t="n">
        <v>5.82471842721149</v>
      </c>
      <c r="Z426" s="35"/>
      <c r="AA426" s="35" t="n">
        <v>0.860956629171014</v>
      </c>
      <c r="AB426" s="35" t="n">
        <v>0.157999210669505</v>
      </c>
      <c r="AC426" s="71" t="n">
        <v>5.62886099498301</v>
      </c>
      <c r="AD426" s="72"/>
      <c r="AE426" s="72"/>
      <c r="AF426" s="72"/>
      <c r="AG426" s="72"/>
      <c r="AH426" s="72"/>
      <c r="AI426" s="73" t="n">
        <v>19.582278634927</v>
      </c>
      <c r="AJ426" s="42" t="s">
        <v>16</v>
      </c>
      <c r="AK426" s="43" t="n">
        <v>596.574017391953</v>
      </c>
      <c r="AL426" s="74"/>
      <c r="AM426" s="74"/>
      <c r="AN426" s="74"/>
      <c r="AO426" s="78" t="n">
        <v>30.24</v>
      </c>
      <c r="AP426" s="76" t="n">
        <v>0.935268878377932</v>
      </c>
      <c r="AQ426" s="76" t="n">
        <v>1.01343744914497</v>
      </c>
      <c r="AR426" s="76" t="n">
        <v>1.548</v>
      </c>
      <c r="AS426" s="77" t="n">
        <v>26.125033175669</v>
      </c>
      <c r="AT426" s="78" t="n">
        <v>27.5719338570647</v>
      </c>
      <c r="AU426" s="78" t="n">
        <v>30.9282036500639</v>
      </c>
      <c r="AV426" s="78" t="n">
        <v>33.513143159556</v>
      </c>
      <c r="AW426" s="78" t="n">
        <v>51.1904761904762</v>
      </c>
      <c r="AX426" s="78" t="n">
        <v>26.615</v>
      </c>
      <c r="AY426" s="48" t="n">
        <v>1.37860358002947</v>
      </c>
      <c r="AZ426" s="48" t="n">
        <v>23.7352738619873</v>
      </c>
      <c r="BA426" s="48" t="n">
        <v>-3.73537377723978</v>
      </c>
      <c r="BB426" s="49" t="n">
        <f aca="false">AT426/V426</f>
        <v>1.37860358002947</v>
      </c>
      <c r="BC426" s="49" t="n">
        <f aca="false">AS426/V426</f>
        <v>1.30625818453926</v>
      </c>
      <c r="BD426" s="49" t="n">
        <f aca="false">SUM(AP426:AR426)/V426</f>
        <v>0.174836189816248</v>
      </c>
      <c r="BE426" s="53" t="n">
        <v>6.08</v>
      </c>
      <c r="BF426" s="51" t="n">
        <v>116.61</v>
      </c>
      <c r="BG426" s="51" t="n">
        <v>575.079324243204</v>
      </c>
      <c r="BH426" s="51" t="n">
        <v>286.253323042621</v>
      </c>
      <c r="BI426" s="51" t="n">
        <v>107.023411371237</v>
      </c>
      <c r="BJ426" s="51" t="n">
        <v>6.68896321070234</v>
      </c>
      <c r="BK426" s="51" t="n">
        <v>11.3197838950347</v>
      </c>
      <c r="BL426" s="51" t="n">
        <v>11.6628076494297</v>
      </c>
      <c r="BM426" s="51" t="n">
        <v>1.9723865877712</v>
      </c>
      <c r="BN426" s="52" t="n">
        <f aca="false">(BG426*0.5-BH426*0.25+BI426*0.5)/SUM(BG426:BI426)*1000</f>
        <v>278.294367693943</v>
      </c>
      <c r="BO426" s="93" t="n">
        <v>5.65857142857143</v>
      </c>
      <c r="BP426" s="94" t="s">
        <v>491</v>
      </c>
      <c r="BQ426" s="55" t="n">
        <v>290.073148148148</v>
      </c>
      <c r="BR426" s="56" t="n">
        <v>14.503729864599</v>
      </c>
      <c r="BS426" s="56"/>
      <c r="BT426" s="56" t="n">
        <v>10.5205949518054</v>
      </c>
      <c r="BU426" s="55" t="n">
        <v>11529.9719298246</v>
      </c>
      <c r="BV426" s="55" t="n">
        <v>576.501476555757</v>
      </c>
      <c r="BW426" s="55"/>
      <c r="BX426" s="55" t="n">
        <v>418.17784670444</v>
      </c>
      <c r="BY426" s="96" t="n">
        <v>0.10815</v>
      </c>
      <c r="BZ426" s="96" t="n">
        <v>0.6149</v>
      </c>
      <c r="CA426" s="97" t="n">
        <v>4.444</v>
      </c>
      <c r="CB426" s="98"/>
      <c r="CC426" s="97" t="n">
        <v>5.6064</v>
      </c>
      <c r="CD426" s="97" t="n">
        <v>6.5072</v>
      </c>
      <c r="CE426" s="97" t="n">
        <v>81.81</v>
      </c>
      <c r="CF426" s="97" t="n">
        <v>39.1274</v>
      </c>
      <c r="CG426" s="97" t="n">
        <v>0.1015</v>
      </c>
      <c r="CH426" s="63" t="n">
        <v>47445.7036049002</v>
      </c>
      <c r="CI426" s="63" t="n">
        <v>4783.82250942453</v>
      </c>
      <c r="CJ426" s="64" t="n">
        <v>432463.503312399</v>
      </c>
      <c r="CK426" s="65" t="n">
        <v>1.10617947474953</v>
      </c>
    </row>
    <row r="427" s="1" customFormat="true" ht="15" hidden="false" customHeight="false" outlineLevel="0" collapsed="false">
      <c r="A427" s="7" t="s">
        <v>488</v>
      </c>
      <c r="B427" s="66" t="n">
        <v>417</v>
      </c>
      <c r="C427" s="8" t="s">
        <v>508</v>
      </c>
      <c r="D427" s="67" t="n">
        <v>41648</v>
      </c>
      <c r="E427" s="4" t="s">
        <v>490</v>
      </c>
      <c r="F427" s="7" t="n">
        <v>426</v>
      </c>
      <c r="G427" s="68" t="n">
        <v>1</v>
      </c>
      <c r="H427" s="68" t="n">
        <v>129</v>
      </c>
      <c r="I427" s="7" t="n">
        <v>1</v>
      </c>
      <c r="J427" s="8" t="n">
        <v>740</v>
      </c>
      <c r="K427" s="32"/>
      <c r="L427" s="31" t="n">
        <v>931.863</v>
      </c>
      <c r="M427" s="31" t="n">
        <v>153.830460063246</v>
      </c>
      <c r="N427" s="31" t="n">
        <v>291.237376313373</v>
      </c>
      <c r="O427" s="95"/>
      <c r="P427" s="33" t="n">
        <v>43.0480465163725</v>
      </c>
      <c r="Q427" s="33" t="n">
        <v>7.9</v>
      </c>
      <c r="R427" s="31" t="n">
        <v>281.444455778843</v>
      </c>
      <c r="S427" s="34" t="s">
        <v>76</v>
      </c>
      <c r="T427" s="35"/>
      <c r="U427" s="35"/>
      <c r="V427" s="35" t="n">
        <v>18.1200418825724</v>
      </c>
      <c r="W427" s="35" t="n">
        <v>16.8853965888196</v>
      </c>
      <c r="X427" s="35" t="n">
        <v>2.7874143791614</v>
      </c>
      <c r="Y427" s="35" t="n">
        <v>5.27723345656883</v>
      </c>
      <c r="Z427" s="35"/>
      <c r="AA427" s="35" t="n">
        <v>0.780032405839596</v>
      </c>
      <c r="AB427" s="35" t="n">
        <v>0.143148330872322</v>
      </c>
      <c r="AC427" s="71" t="n">
        <v>5.09978532633044</v>
      </c>
      <c r="AD427" s="72"/>
      <c r="AE427" s="72"/>
      <c r="AF427" s="72"/>
      <c r="AG427" s="72"/>
      <c r="AH427" s="72"/>
      <c r="AI427" s="73" t="n">
        <v>21.7</v>
      </c>
      <c r="AJ427" s="42" t="s">
        <v>16</v>
      </c>
      <c r="AK427" s="43" t="n">
        <v>635.944700460829</v>
      </c>
      <c r="AL427" s="74"/>
      <c r="AM427" s="74"/>
      <c r="AN427" s="74"/>
      <c r="AO427" s="78" t="n">
        <v>42.14</v>
      </c>
      <c r="AP427" s="76" t="n">
        <v>1.03637647733792</v>
      </c>
      <c r="AQ427" s="76" t="n">
        <v>1.24173243832473</v>
      </c>
      <c r="AR427" s="76" t="n">
        <v>1.97902380952381</v>
      </c>
      <c r="AS427" s="77" t="n">
        <v>32.4016471600688</v>
      </c>
      <c r="AT427" s="78" t="n">
        <v>32.913533725804</v>
      </c>
      <c r="AU427" s="78" t="n">
        <v>24.5936515742269</v>
      </c>
      <c r="AV427" s="78" t="n">
        <v>29.4668352711136</v>
      </c>
      <c r="AW427" s="78" t="n">
        <v>46.9630709426628</v>
      </c>
      <c r="AX427" s="78" t="n">
        <v>36.0975</v>
      </c>
      <c r="AY427" s="48" t="n">
        <v>1.81641598507892</v>
      </c>
      <c r="AZ427" s="48" t="n">
        <v>25.4170292234248</v>
      </c>
      <c r="BA427" s="48" t="n">
        <v>-7.29698734085239</v>
      </c>
      <c r="BB427" s="49" t="n">
        <f aca="false">AT427/V427</f>
        <v>1.81641598507892</v>
      </c>
      <c r="BC427" s="49" t="n">
        <f aca="false">AS427/V427</f>
        <v>1.78816623990435</v>
      </c>
      <c r="BD427" s="49" t="n">
        <f aca="false">SUM(AP427:AR427)/V427</f>
        <v>0.234940556582317</v>
      </c>
      <c r="BE427" s="53" t="n">
        <v>6.17</v>
      </c>
      <c r="BF427" s="51" t="n">
        <v>118.94</v>
      </c>
      <c r="BG427" s="51" t="n">
        <v>546.998486631915</v>
      </c>
      <c r="BH427" s="51" t="n">
        <v>323.860770136203</v>
      </c>
      <c r="BI427" s="51" t="n">
        <v>91.7269211367076</v>
      </c>
      <c r="BJ427" s="51" t="n">
        <v>6.47385236253573</v>
      </c>
      <c r="BK427" s="51" t="n">
        <v>18.1604170169834</v>
      </c>
      <c r="BL427" s="51" t="n">
        <v>10.5935765932403</v>
      </c>
      <c r="BM427" s="51" t="n">
        <v>2.18597612241466</v>
      </c>
      <c r="BN427" s="52" t="n">
        <f aca="false">(BG427*0.5-BH427*0.25+BI427*0.5)/SUM(BG427:BI427)*1000</f>
        <v>247.663551401869</v>
      </c>
      <c r="BO427" s="93" t="n">
        <v>5.70714285714286</v>
      </c>
      <c r="BP427" s="94" t="s">
        <v>491</v>
      </c>
      <c r="BQ427" s="55" t="n">
        <v>300.636507936508</v>
      </c>
      <c r="BR427" s="56" t="n">
        <v>16.5913804109722</v>
      </c>
      <c r="BS427" s="56"/>
      <c r="BT427" s="56" t="n">
        <v>9.13413036840862</v>
      </c>
      <c r="BU427" s="55" t="n">
        <v>12130.7376984127</v>
      </c>
      <c r="BV427" s="55" t="n">
        <v>669.465212995995</v>
      </c>
      <c r="BW427" s="55"/>
      <c r="BX427" s="55" t="n">
        <v>368.563819353808</v>
      </c>
      <c r="BY427" s="96" t="n">
        <v>0.12566</v>
      </c>
      <c r="BZ427" s="96" t="n">
        <v>0.3971</v>
      </c>
      <c r="CA427" s="97" t="n">
        <v>4.1006</v>
      </c>
      <c r="CB427" s="98"/>
      <c r="CC427" s="97" t="n">
        <v>6.5568</v>
      </c>
      <c r="CD427" s="97" t="n">
        <v>10.2116</v>
      </c>
      <c r="CE427" s="97" t="n">
        <v>95.95</v>
      </c>
      <c r="CF427" s="97" t="n">
        <v>38.2588</v>
      </c>
      <c r="CG427" s="97" t="n">
        <v>0.0603</v>
      </c>
      <c r="CH427" s="63" t="n">
        <v>24246.2121472533</v>
      </c>
      <c r="CI427" s="63" t="n">
        <v>4969.82326709018</v>
      </c>
      <c r="CJ427" s="64" t="n">
        <v>615527.070383451</v>
      </c>
      <c r="CK427" s="65" t="n">
        <v>0.807409374212275</v>
      </c>
    </row>
    <row r="428" s="1" customFormat="true" ht="15" hidden="false" customHeight="false" outlineLevel="0" collapsed="false">
      <c r="A428" s="7" t="s">
        <v>488</v>
      </c>
      <c r="B428" s="66" t="n">
        <v>418</v>
      </c>
      <c r="C428" s="8" t="s">
        <v>509</v>
      </c>
      <c r="D428" s="67" t="n">
        <v>41648</v>
      </c>
      <c r="E428" s="4" t="s">
        <v>490</v>
      </c>
      <c r="F428" s="7" t="n">
        <v>429</v>
      </c>
      <c r="G428" s="68" t="n">
        <v>1</v>
      </c>
      <c r="H428" s="68" t="n">
        <v>158</v>
      </c>
      <c r="I428" s="7" t="n">
        <v>1</v>
      </c>
      <c r="J428" s="8" t="n">
        <v>698</v>
      </c>
      <c r="K428" s="32"/>
      <c r="L428" s="31" t="n">
        <v>931.863</v>
      </c>
      <c r="M428" s="31" t="n">
        <v>153.830460063246</v>
      </c>
      <c r="N428" s="31" t="n">
        <v>291.237376313373</v>
      </c>
      <c r="O428" s="95"/>
      <c r="P428" s="33" t="n">
        <v>43.0480465163725</v>
      </c>
      <c r="Q428" s="33" t="n">
        <v>7.9</v>
      </c>
      <c r="R428" s="31" t="n">
        <v>281.444455778843</v>
      </c>
      <c r="S428" s="34" t="s">
        <v>76</v>
      </c>
      <c r="T428" s="35"/>
      <c r="U428" s="35"/>
      <c r="V428" s="35" t="n">
        <v>20.927229000416</v>
      </c>
      <c r="W428" s="35" t="n">
        <v>19.5013103980147</v>
      </c>
      <c r="X428" s="35" t="n">
        <v>3.2192452649829</v>
      </c>
      <c r="Y428" s="35" t="n">
        <v>6.09479126759031</v>
      </c>
      <c r="Z428" s="35"/>
      <c r="AA428" s="35" t="n">
        <v>0.90087632746869</v>
      </c>
      <c r="AB428" s="35" t="n">
        <v>0.165325109103287</v>
      </c>
      <c r="AC428" s="71" t="n">
        <v>5.88985257698131</v>
      </c>
      <c r="AD428" s="72"/>
      <c r="AE428" s="72"/>
      <c r="AF428" s="72"/>
      <c r="AG428" s="72"/>
      <c r="AH428" s="72"/>
      <c r="AI428" s="73" t="n">
        <v>23.8154833735851</v>
      </c>
      <c r="AJ428" s="42" t="s">
        <v>16</v>
      </c>
      <c r="AK428" s="43" t="n">
        <v>668.283029318554</v>
      </c>
      <c r="AL428" s="74"/>
      <c r="AM428" s="74"/>
      <c r="AN428" s="74"/>
      <c r="AO428" s="78" t="n">
        <v>27.98</v>
      </c>
      <c r="AP428" s="76" t="n">
        <v>1.19557336160438</v>
      </c>
      <c r="AQ428" s="76" t="n">
        <v>1.10162740312748</v>
      </c>
      <c r="AR428" s="76" t="n">
        <v>1.39152235179786</v>
      </c>
      <c r="AS428" s="77" t="n">
        <v>29.1256004240657</v>
      </c>
      <c r="AT428" s="78" t="n">
        <v>30.5875186636527</v>
      </c>
      <c r="AU428" s="78" t="n">
        <v>42.7295697499779</v>
      </c>
      <c r="AV428" s="78" t="n">
        <v>39.3719586535913</v>
      </c>
      <c r="AW428" s="78" t="n">
        <v>49.7327502429543</v>
      </c>
      <c r="AX428" s="78" t="n">
        <v>27.68</v>
      </c>
      <c r="AY428" s="48" t="n">
        <v>1.4616134158538</v>
      </c>
      <c r="AZ428" s="48" t="n">
        <v>23.8244194425681</v>
      </c>
      <c r="BA428" s="48" t="n">
        <v>-2.89719044215204</v>
      </c>
      <c r="BB428" s="49" t="n">
        <f aca="false">AT428/V428</f>
        <v>1.4616134158538</v>
      </c>
      <c r="BC428" s="49" t="n">
        <f aca="false">AS428/V428</f>
        <v>1.39175618632962</v>
      </c>
      <c r="BD428" s="49" t="n">
        <f aca="false">SUM(AP428:AR428)/V428</f>
        <v>0.17626428785466</v>
      </c>
      <c r="BE428" s="53" t="n">
        <v>6.06</v>
      </c>
      <c r="BF428" s="51" t="n">
        <v>127</v>
      </c>
      <c r="BG428" s="51" t="n">
        <v>605.433070866142</v>
      </c>
      <c r="BH428" s="51" t="n">
        <v>251.338582677165</v>
      </c>
      <c r="BI428" s="51" t="n">
        <v>109.685039370079</v>
      </c>
      <c r="BJ428" s="51" t="n">
        <v>6.37795275590551</v>
      </c>
      <c r="BK428" s="51" t="n">
        <v>10.9448818897638</v>
      </c>
      <c r="BL428" s="51" t="n">
        <v>13.7007874015748</v>
      </c>
      <c r="BM428" s="51" t="n">
        <v>2.51968503937008</v>
      </c>
      <c r="BN428" s="52" t="n">
        <f aca="false">(BG428*0.5-BH428*0.25+BI428*0.5)/SUM(BG428:BI428)*1000</f>
        <v>304.953560371517</v>
      </c>
      <c r="BO428" s="93" t="n">
        <v>3.46071428571429</v>
      </c>
      <c r="BP428" s="94" t="s">
        <v>491</v>
      </c>
      <c r="BQ428" s="55" t="n">
        <v>314.035087719298</v>
      </c>
      <c r="BR428" s="56" t="n">
        <v>15.0060520536692</v>
      </c>
      <c r="BS428" s="56"/>
      <c r="BT428" s="56" t="n">
        <v>10.266772246958</v>
      </c>
      <c r="BU428" s="55" t="n">
        <v>11891.5208333333</v>
      </c>
      <c r="BV428" s="55" t="n">
        <v>568.231982987185</v>
      </c>
      <c r="BW428" s="55"/>
      <c r="BX428" s="55" t="n">
        <v>388.770366243015</v>
      </c>
      <c r="BY428" s="96" t="n">
        <v>0.08137</v>
      </c>
      <c r="BZ428" s="96" t="n">
        <v>0.1507</v>
      </c>
      <c r="CA428" s="97" t="n">
        <v>4.1107</v>
      </c>
      <c r="CB428" s="98"/>
      <c r="CC428" s="97" t="n">
        <v>5.7984</v>
      </c>
      <c r="CD428" s="97" t="n">
        <v>7.5754</v>
      </c>
      <c r="CE428" s="97" t="n">
        <v>78.78</v>
      </c>
      <c r="CF428" s="97" t="n">
        <v>36.8347</v>
      </c>
      <c r="CG428" s="97" t="n">
        <v>0.1324</v>
      </c>
      <c r="CH428" s="63" t="n">
        <v>40363.4790303288</v>
      </c>
      <c r="CI428" s="63" t="n">
        <v>9390.47073747242</v>
      </c>
      <c r="CJ428" s="64" t="n">
        <v>724272.298354443</v>
      </c>
      <c r="CK428" s="65" t="n">
        <v>1.29653871324469</v>
      </c>
    </row>
    <row r="429" s="1" customFormat="true" ht="15" hidden="false" customHeight="false" outlineLevel="0" collapsed="false">
      <c r="A429" s="7" t="s">
        <v>488</v>
      </c>
      <c r="B429" s="66" t="n">
        <v>419</v>
      </c>
      <c r="C429" s="8" t="s">
        <v>510</v>
      </c>
      <c r="D429" s="67" t="n">
        <v>41648</v>
      </c>
      <c r="E429" s="4" t="s">
        <v>490</v>
      </c>
      <c r="F429" s="7" t="n">
        <v>431</v>
      </c>
      <c r="G429" s="68" t="n">
        <v>1</v>
      </c>
      <c r="H429" s="68" t="n">
        <v>165</v>
      </c>
      <c r="I429" s="7" t="n">
        <v>1</v>
      </c>
      <c r="J429" s="8" t="n">
        <v>660</v>
      </c>
      <c r="K429" s="32"/>
      <c r="L429" s="31" t="n">
        <v>931.863</v>
      </c>
      <c r="M429" s="31" t="n">
        <v>153.830460063246</v>
      </c>
      <c r="N429" s="31" t="n">
        <v>291.237376313373</v>
      </c>
      <c r="O429" s="95"/>
      <c r="P429" s="33" t="n">
        <v>43.0480465163725</v>
      </c>
      <c r="Q429" s="33" t="n">
        <v>7.9</v>
      </c>
      <c r="R429" s="31" t="n">
        <v>281.444455778843</v>
      </c>
      <c r="S429" s="34" t="s">
        <v>76</v>
      </c>
      <c r="T429" s="35"/>
      <c r="U429" s="35"/>
      <c r="V429" s="35" t="n">
        <v>26.0642767825411</v>
      </c>
      <c r="W429" s="35" t="n">
        <v>24.2883351554091</v>
      </c>
      <c r="X429" s="35" t="n">
        <v>4.00947968867408</v>
      </c>
      <c r="Y429" s="35" t="n">
        <v>7.59089158565286</v>
      </c>
      <c r="Z429" s="35"/>
      <c r="AA429" s="35" t="n">
        <v>1.12201619935044</v>
      </c>
      <c r="AB429" s="35" t="n">
        <v>0.205907786582075</v>
      </c>
      <c r="AC429" s="71" t="n">
        <v>7.33564619433143</v>
      </c>
      <c r="AD429" s="72"/>
      <c r="AE429" s="72"/>
      <c r="AF429" s="72"/>
      <c r="AG429" s="72"/>
      <c r="AH429" s="72"/>
      <c r="AI429" s="73" t="n">
        <v>22.086189575585</v>
      </c>
      <c r="AJ429" s="42" t="s">
        <v>16</v>
      </c>
      <c r="AK429" s="43" t="n">
        <v>642.310414253937</v>
      </c>
      <c r="AL429" s="74"/>
      <c r="AM429" s="74"/>
      <c r="AN429" s="74"/>
      <c r="AO429" s="78" t="n">
        <v>29.32</v>
      </c>
      <c r="AP429" s="76" t="n">
        <v>1.01875341913769</v>
      </c>
      <c r="AQ429" s="76" t="n">
        <v>1.0289277489393</v>
      </c>
      <c r="AR429" s="76" t="n">
        <v>1.47312342079689</v>
      </c>
      <c r="AS429" s="77" t="n">
        <v>27.0093012870653</v>
      </c>
      <c r="AT429" s="78" t="n">
        <v>28.3091378526386</v>
      </c>
      <c r="AU429" s="78" t="n">
        <v>34.7460238450781</v>
      </c>
      <c r="AV429" s="78" t="n">
        <v>35.0930337291711</v>
      </c>
      <c r="AW429" s="78" t="n">
        <v>50.242954324587</v>
      </c>
      <c r="AX429" s="78" t="n">
        <v>27.635</v>
      </c>
      <c r="AY429" s="48" t="n">
        <v>1.08612788641046</v>
      </c>
      <c r="AZ429" s="48" t="n">
        <v>22.5309570822114</v>
      </c>
      <c r="BA429" s="48" t="n">
        <v>3.53331970032978</v>
      </c>
      <c r="BB429" s="49" t="n">
        <f aca="false">AT429/V429</f>
        <v>1.08612788641046</v>
      </c>
      <c r="BC429" s="49" t="n">
        <f aca="false">AS429/V429</f>
        <v>1.03625746121439</v>
      </c>
      <c r="BD429" s="49" t="n">
        <f aca="false">SUM(AP429:AR429)/V429</f>
        <v>0.135081614512022</v>
      </c>
      <c r="BE429" s="53" t="n">
        <v>5.83</v>
      </c>
      <c r="BF429" s="51" t="n">
        <v>142.83</v>
      </c>
      <c r="BG429" s="51" t="n">
        <v>537.352096898411</v>
      </c>
      <c r="BH429" s="51" t="n">
        <v>332.283133795421</v>
      </c>
      <c r="BI429" s="51" t="n">
        <v>92.3475460337464</v>
      </c>
      <c r="BJ429" s="51" t="n">
        <v>5.25099768956102</v>
      </c>
      <c r="BK429" s="51" t="n">
        <v>18.4134985647273</v>
      </c>
      <c r="BL429" s="51" t="n">
        <v>10.7120352867045</v>
      </c>
      <c r="BM429" s="51" t="n">
        <v>3.64069173142897</v>
      </c>
      <c r="BN429" s="52" t="n">
        <f aca="false">(BG429*0.5-BH429*0.25+BI429*0.5)/SUM(BG429:BI429)*1000</f>
        <v>240.938864628821</v>
      </c>
      <c r="BO429" s="93" t="n">
        <v>5.015</v>
      </c>
      <c r="BP429" s="94" t="s">
        <v>491</v>
      </c>
      <c r="BQ429" s="55" t="n">
        <v>287.921296296296</v>
      </c>
      <c r="BR429" s="56" t="n">
        <v>11.0465868168327</v>
      </c>
      <c r="BS429" s="56"/>
      <c r="BT429" s="56" t="n">
        <v>10.1706133826842</v>
      </c>
      <c r="BU429" s="55" t="n">
        <v>10832.6470588235</v>
      </c>
      <c r="BV429" s="55" t="n">
        <v>415.612800201679</v>
      </c>
      <c r="BW429" s="55"/>
      <c r="BX429" s="55" t="n">
        <v>382.655491495792</v>
      </c>
      <c r="BY429" s="96" t="n">
        <v>0.09682</v>
      </c>
      <c r="BZ429" s="96" t="n">
        <v>0.5016</v>
      </c>
      <c r="CA429" s="97" t="n">
        <v>4.444</v>
      </c>
      <c r="CB429" s="98"/>
      <c r="CC429" s="97" t="n">
        <v>5.568</v>
      </c>
      <c r="CD429" s="97" t="n">
        <v>5.537</v>
      </c>
      <c r="CE429" s="97" t="n">
        <v>85.85</v>
      </c>
      <c r="CF429" s="97" t="n">
        <v>38.8042</v>
      </c>
      <c r="CG429" s="97" t="n">
        <v>0.153</v>
      </c>
      <c r="CH429" s="63" t="n">
        <v>15707.3797391383</v>
      </c>
      <c r="CI429" s="63" t="n">
        <v>6435.4513971885</v>
      </c>
      <c r="CJ429" s="64" t="n">
        <v>856939.42056907</v>
      </c>
      <c r="CK429" s="65" t="n">
        <v>0.750980902817482</v>
      </c>
    </row>
    <row r="430" s="1" customFormat="true" ht="15" hidden="false" customHeight="false" outlineLevel="0" collapsed="false">
      <c r="A430" s="7" t="s">
        <v>488</v>
      </c>
      <c r="B430" s="66" t="n">
        <v>420</v>
      </c>
      <c r="C430" s="8" t="s">
        <v>511</v>
      </c>
      <c r="D430" s="67" t="n">
        <v>41648</v>
      </c>
      <c r="E430" s="4" t="s">
        <v>490</v>
      </c>
      <c r="F430" s="7" t="n">
        <v>438</v>
      </c>
      <c r="G430" s="68" t="n">
        <v>1</v>
      </c>
      <c r="H430" s="68" t="n">
        <v>160</v>
      </c>
      <c r="I430" s="7" t="n">
        <v>1</v>
      </c>
      <c r="J430" s="8" t="n">
        <v>750</v>
      </c>
      <c r="K430" s="32"/>
      <c r="L430" s="31" t="n">
        <v>931.863</v>
      </c>
      <c r="M430" s="31" t="n">
        <v>153.830460063246</v>
      </c>
      <c r="N430" s="31" t="n">
        <v>291.237376313373</v>
      </c>
      <c r="O430" s="95"/>
      <c r="P430" s="33" t="n">
        <v>43.0480465163725</v>
      </c>
      <c r="Q430" s="33" t="n">
        <v>7.9</v>
      </c>
      <c r="R430" s="31" t="n">
        <v>281.444455778843</v>
      </c>
      <c r="S430" s="34" t="s">
        <v>76</v>
      </c>
      <c r="T430" s="35"/>
      <c r="U430" s="35"/>
      <c r="V430" s="35" t="n">
        <v>22.6586571287145</v>
      </c>
      <c r="W430" s="35" t="n">
        <v>21.1147642079353</v>
      </c>
      <c r="X430" s="35" t="n">
        <v>3.48559165052551</v>
      </c>
      <c r="Y430" s="35" t="n">
        <v>6.59904785295114</v>
      </c>
      <c r="Z430" s="35"/>
      <c r="AA430" s="35" t="n">
        <v>0.97541092607544</v>
      </c>
      <c r="AB430" s="35" t="n">
        <v>0.179003391316845</v>
      </c>
      <c r="AC430" s="71" t="n">
        <v>6.37715342427047</v>
      </c>
      <c r="AD430" s="72"/>
      <c r="AE430" s="72"/>
      <c r="AF430" s="72"/>
      <c r="AG430" s="72"/>
      <c r="AH430" s="72"/>
      <c r="AI430" s="73" t="n">
        <v>25.2554197704334</v>
      </c>
      <c r="AJ430" s="42" t="s">
        <v>16</v>
      </c>
      <c r="AK430" s="43" t="n">
        <v>687.195854521152</v>
      </c>
      <c r="AL430" s="74"/>
      <c r="AM430" s="74"/>
      <c r="AN430" s="74"/>
      <c r="AO430" s="78" t="n">
        <v>26.72</v>
      </c>
      <c r="AP430" s="76" t="n">
        <v>0.963869445344275</v>
      </c>
      <c r="AQ430" s="76" t="n">
        <v>0.927638806464385</v>
      </c>
      <c r="AR430" s="76" t="n">
        <v>1.36651117589893</v>
      </c>
      <c r="AS430" s="77" t="n">
        <v>25.1460416801641</v>
      </c>
      <c r="AT430" s="78" t="n">
        <v>26.2803368542969</v>
      </c>
      <c r="AU430" s="78" t="n">
        <v>36.0729582838426</v>
      </c>
      <c r="AV430" s="78" t="n">
        <v>34.7170212000144</v>
      </c>
      <c r="AW430" s="78" t="n">
        <v>51.1418853255588</v>
      </c>
      <c r="AX430" s="78" t="n">
        <v>28.925</v>
      </c>
      <c r="AY430" s="48" t="n">
        <v>1.15983646802231</v>
      </c>
      <c r="AZ430" s="48" t="n">
        <v>23.0847809308066</v>
      </c>
      <c r="BA430" s="48" t="n">
        <v>-0.426123802092004</v>
      </c>
      <c r="BB430" s="49" t="n">
        <f aca="false">AT430/V430</f>
        <v>1.15983646802231</v>
      </c>
      <c r="BC430" s="49" t="n">
        <f aca="false">AS430/V430</f>
        <v>1.10977634452562</v>
      </c>
      <c r="BD430" s="49" t="n">
        <f aca="false">SUM(AP430:AR430)/V430</f>
        <v>0.143786960065644</v>
      </c>
      <c r="BE430" s="53" t="n">
        <v>6.07</v>
      </c>
      <c r="BF430" s="51" t="n">
        <v>124.35</v>
      </c>
      <c r="BG430" s="51" t="n">
        <v>623.401688781665</v>
      </c>
      <c r="BH430" s="51" t="n">
        <v>223.723361479694</v>
      </c>
      <c r="BI430" s="51" t="n">
        <v>117.249698431846</v>
      </c>
      <c r="BJ430" s="51" t="n">
        <v>6.35303578608766</v>
      </c>
      <c r="BK430" s="51" t="n">
        <v>10.8564535585042</v>
      </c>
      <c r="BL430" s="51" t="n">
        <v>16.1640530759952</v>
      </c>
      <c r="BM430" s="51" t="n">
        <v>2.25170888620828</v>
      </c>
      <c r="BN430" s="52" t="n">
        <f aca="false">(BG430*0.5-BH430*0.25+BI430*0.5)/SUM(BG430:BI430)*1000</f>
        <v>326.009006004003</v>
      </c>
      <c r="BO430" s="93" t="n">
        <v>9.22857142857143</v>
      </c>
      <c r="BP430" s="94" t="s">
        <v>491</v>
      </c>
      <c r="BQ430" s="55" t="n">
        <v>337.263888888889</v>
      </c>
      <c r="BR430" s="56" t="n">
        <v>14.8845488491675</v>
      </c>
      <c r="BS430" s="56"/>
      <c r="BT430" s="56" t="n">
        <v>12.8333168162472</v>
      </c>
      <c r="BU430" s="55" t="n">
        <v>11219.8166666667</v>
      </c>
      <c r="BV430" s="55" t="n">
        <v>495.166884909882</v>
      </c>
      <c r="BW430" s="55"/>
      <c r="BX430" s="55" t="n">
        <v>426.928190794183</v>
      </c>
      <c r="BY430" s="96" t="n">
        <v>0.0515</v>
      </c>
      <c r="BZ430" s="96" t="n">
        <v>0.836</v>
      </c>
      <c r="CA430" s="97" t="n">
        <v>4.2218</v>
      </c>
      <c r="CB430" s="98"/>
      <c r="CC430" s="97" t="n">
        <v>4.5792</v>
      </c>
      <c r="CD430" s="97" t="n">
        <v>8.0752</v>
      </c>
      <c r="CE430" s="97" t="n">
        <v>82.82</v>
      </c>
      <c r="CF430" s="97" t="n">
        <v>34.2996</v>
      </c>
      <c r="CG430" s="97" t="n">
        <v>0.5856</v>
      </c>
      <c r="CH430" s="63" t="n">
        <v>60871.7816152008</v>
      </c>
      <c r="CI430" s="63" t="n">
        <v>9063.2630458887</v>
      </c>
      <c r="CJ430" s="64" t="n">
        <v>613769.342143273</v>
      </c>
      <c r="CK430" s="65" t="n">
        <v>1.47665620023312</v>
      </c>
    </row>
    <row r="431" s="1" customFormat="true" ht="15" hidden="false" customHeight="false" outlineLevel="0" collapsed="false">
      <c r="A431" s="7" t="s">
        <v>488</v>
      </c>
      <c r="B431" s="66" t="n">
        <v>421</v>
      </c>
      <c r="C431" s="8" t="s">
        <v>512</v>
      </c>
      <c r="D431" s="67" t="n">
        <v>41648</v>
      </c>
      <c r="E431" s="4" t="s">
        <v>490</v>
      </c>
      <c r="F431" s="7" t="n">
        <v>439</v>
      </c>
      <c r="G431" s="68" t="n">
        <v>1</v>
      </c>
      <c r="H431" s="68" t="n">
        <v>122</v>
      </c>
      <c r="I431" s="7" t="n">
        <v>1</v>
      </c>
      <c r="J431" s="8" t="n">
        <v>671</v>
      </c>
      <c r="K431" s="32"/>
      <c r="L431" s="31" t="n">
        <v>931.863</v>
      </c>
      <c r="M431" s="31" t="n">
        <v>153.830460063246</v>
      </c>
      <c r="N431" s="31" t="n">
        <v>291.237376313373</v>
      </c>
      <c r="O431" s="95"/>
      <c r="P431" s="33" t="n">
        <v>43.0480465163725</v>
      </c>
      <c r="Q431" s="33" t="n">
        <v>7.9</v>
      </c>
      <c r="R431" s="31" t="n">
        <v>281.444455778843</v>
      </c>
      <c r="S431" s="34" t="s">
        <v>76</v>
      </c>
      <c r="T431" s="35"/>
      <c r="U431" s="35"/>
      <c r="V431" s="35" t="n">
        <v>19.9484841560183</v>
      </c>
      <c r="W431" s="35" t="n">
        <v>18.5892542910796</v>
      </c>
      <c r="X431" s="35" t="n">
        <v>3.06868449528466</v>
      </c>
      <c r="Y431" s="35" t="n">
        <v>5.80974418702766</v>
      </c>
      <c r="Z431" s="35"/>
      <c r="AA431" s="35" t="n">
        <v>0.858743273879394</v>
      </c>
      <c r="AB431" s="35" t="n">
        <v>0.157593024832544</v>
      </c>
      <c r="AC431" s="71" t="n">
        <v>5.61439026690344</v>
      </c>
      <c r="AD431" s="72"/>
      <c r="AE431" s="72"/>
      <c r="AF431" s="72"/>
      <c r="AG431" s="72"/>
      <c r="AH431" s="72"/>
      <c r="AI431" s="73" t="n">
        <v>23.9355690748539</v>
      </c>
      <c r="AJ431" s="42" t="s">
        <v>16</v>
      </c>
      <c r="AK431" s="43" t="n">
        <v>669.947266543182</v>
      </c>
      <c r="AL431" s="74"/>
      <c r="AM431" s="74"/>
      <c r="AN431" s="74"/>
      <c r="AO431" s="78" t="n">
        <v>34.08</v>
      </c>
      <c r="AP431" s="76" t="n">
        <v>1.06156444407156</v>
      </c>
      <c r="AQ431" s="76" t="n">
        <v>1.06547207248778</v>
      </c>
      <c r="AR431" s="76" t="n">
        <v>1.75450728862974</v>
      </c>
      <c r="AS431" s="77" t="n">
        <v>29.5554666610735</v>
      </c>
      <c r="AT431" s="78" t="n">
        <v>30.6265442407902</v>
      </c>
      <c r="AU431" s="78" t="n">
        <v>31.1491914340248</v>
      </c>
      <c r="AV431" s="78" t="n">
        <v>31.2638518922471</v>
      </c>
      <c r="AW431" s="78" t="n">
        <v>51.4820213799806</v>
      </c>
      <c r="AX431" s="78" t="n">
        <v>32.9575</v>
      </c>
      <c r="AY431" s="48" t="n">
        <v>1.53528177886892</v>
      </c>
      <c r="AZ431" s="48" t="n">
        <v>23.343076495594</v>
      </c>
      <c r="BA431" s="48" t="n">
        <v>-3.39459233957577</v>
      </c>
      <c r="BB431" s="49" t="n">
        <f aca="false">AT431/V431</f>
        <v>1.53528177886892</v>
      </c>
      <c r="BC431" s="49" t="n">
        <f aca="false">AS431/V431</f>
        <v>1.48158959998757</v>
      </c>
      <c r="BD431" s="49" t="n">
        <f aca="false">SUM(AP431:AR431)/V431</f>
        <v>0.194578383742409</v>
      </c>
      <c r="BE431" s="53" t="n">
        <v>6.42</v>
      </c>
      <c r="BF431" s="51" t="n">
        <v>107.64</v>
      </c>
      <c r="BG431" s="51" t="n">
        <v>581.010776662951</v>
      </c>
      <c r="BH431" s="51" t="n">
        <v>296.729840208101</v>
      </c>
      <c r="BI431" s="51" t="n">
        <v>92.1590486807878</v>
      </c>
      <c r="BJ431" s="51" t="n">
        <v>6.78186547751765</v>
      </c>
      <c r="BK431" s="51" t="n">
        <v>11.0553697510219</v>
      </c>
      <c r="BL431" s="51" t="n">
        <v>10.776662950576</v>
      </c>
      <c r="BM431" s="51" t="n">
        <v>1.48643626904496</v>
      </c>
      <c r="BN431" s="52" t="n">
        <f aca="false">(BG431*0.5-BH431*0.25+BI431*0.5)/SUM(BG431:BI431)*1000</f>
        <v>270.545977011494</v>
      </c>
      <c r="BO431" s="93" t="n">
        <v>6.43571428571429</v>
      </c>
      <c r="BP431" s="94" t="s">
        <v>491</v>
      </c>
      <c r="BQ431" s="55" t="n">
        <v>245.235714285714</v>
      </c>
      <c r="BR431" s="56" t="n">
        <v>12.2934510897024</v>
      </c>
      <c r="BS431" s="56"/>
      <c r="BT431" s="56" t="n">
        <v>8.00729303174517</v>
      </c>
      <c r="BU431" s="55" t="n">
        <v>11233.5697916667</v>
      </c>
      <c r="BV431" s="55" t="n">
        <v>563.128992850197</v>
      </c>
      <c r="BW431" s="55"/>
      <c r="BX431" s="55" t="n">
        <v>366.791946990388</v>
      </c>
      <c r="BY431" s="96" t="n">
        <v>0.11948</v>
      </c>
      <c r="BZ431" s="96" t="n">
        <v>0.4235</v>
      </c>
      <c r="CA431" s="97" t="n">
        <v>4.4844</v>
      </c>
      <c r="CB431" s="98"/>
      <c r="CC431" s="97" t="n">
        <v>6.1632</v>
      </c>
      <c r="CD431" s="97" t="n">
        <v>7.8106</v>
      </c>
      <c r="CE431" s="97" t="n">
        <v>91.91</v>
      </c>
      <c r="CF431" s="97" t="n">
        <v>37.1781</v>
      </c>
      <c r="CG431" s="97" t="n">
        <v>0.1324</v>
      </c>
      <c r="CH431" s="63" t="n">
        <v>37297.6846306311</v>
      </c>
      <c r="CI431" s="63" t="n">
        <v>8221.6821823216</v>
      </c>
      <c r="CJ431" s="64" t="n">
        <v>717722.173217985</v>
      </c>
      <c r="CK431" s="65" t="n">
        <v>1.14552433923823</v>
      </c>
    </row>
    <row r="432" s="1" customFormat="true" ht="15" hidden="false" customHeight="false" outlineLevel="0" collapsed="false">
      <c r="A432" s="7" t="s">
        <v>488</v>
      </c>
      <c r="B432" s="66" t="n">
        <v>422</v>
      </c>
      <c r="C432" s="8" t="s">
        <v>513</v>
      </c>
      <c r="D432" s="67" t="n">
        <v>41648</v>
      </c>
      <c r="E432" s="4" t="s">
        <v>490</v>
      </c>
      <c r="F432" s="7" t="n">
        <v>447</v>
      </c>
      <c r="G432" s="68" t="n">
        <v>1</v>
      </c>
      <c r="H432" s="68" t="n">
        <v>115</v>
      </c>
      <c r="I432" s="7" t="n">
        <v>1</v>
      </c>
      <c r="J432" s="8" t="n">
        <v>729</v>
      </c>
      <c r="K432" s="32"/>
      <c r="L432" s="31" t="n">
        <v>931.863</v>
      </c>
      <c r="M432" s="31" t="n">
        <v>153.830460063246</v>
      </c>
      <c r="N432" s="31" t="n">
        <v>291.237376313373</v>
      </c>
      <c r="O432" s="95"/>
      <c r="P432" s="33" t="n">
        <v>43.0480465163725</v>
      </c>
      <c r="Q432" s="33" t="n">
        <v>7.9</v>
      </c>
      <c r="R432" s="31" t="n">
        <v>281.444455778843</v>
      </c>
      <c r="S432" s="34" t="s">
        <v>76</v>
      </c>
      <c r="T432" s="35"/>
      <c r="U432" s="35"/>
      <c r="V432" s="35" t="n">
        <v>20.0144558041615</v>
      </c>
      <c r="W432" s="35" t="n">
        <v>18.6507308290333</v>
      </c>
      <c r="X432" s="35" t="n">
        <v>3.07883294426967</v>
      </c>
      <c r="Y432" s="35" t="n">
        <v>5.82895759674396</v>
      </c>
      <c r="Z432" s="35"/>
      <c r="AA432" s="35" t="n">
        <v>0.861583224457426</v>
      </c>
      <c r="AB432" s="35" t="n">
        <v>0.158114200852876</v>
      </c>
      <c r="AC432" s="71" t="n">
        <v>5.63295762151194</v>
      </c>
      <c r="AD432" s="72"/>
      <c r="AE432" s="72"/>
      <c r="AF432" s="72"/>
      <c r="AG432" s="72"/>
      <c r="AH432" s="72"/>
      <c r="AI432" s="73" t="n">
        <v>25.442973521442</v>
      </c>
      <c r="AJ432" s="42" t="s">
        <v>16</v>
      </c>
      <c r="AK432" s="43" t="n">
        <v>689.501700996454</v>
      </c>
      <c r="AL432" s="74"/>
      <c r="AM432" s="74"/>
      <c r="AN432" s="74"/>
      <c r="AO432" s="78" t="n">
        <v>30.6</v>
      </c>
      <c r="AP432" s="76" t="n">
        <v>0.969942502135294</v>
      </c>
      <c r="AQ432" s="76" t="n">
        <v>1.00701473949411</v>
      </c>
      <c r="AR432" s="76" t="n">
        <v>1.59616618075802</v>
      </c>
      <c r="AS432" s="77" t="n">
        <v>26.7891375320294</v>
      </c>
      <c r="AT432" s="78" t="n">
        <v>28.2014532348016</v>
      </c>
      <c r="AU432" s="78" t="n">
        <v>31.6974673900423</v>
      </c>
      <c r="AV432" s="78" t="n">
        <v>32.9089784148403</v>
      </c>
      <c r="AW432" s="78" t="n">
        <v>52.1622934888241</v>
      </c>
      <c r="AX432" s="78" t="n">
        <v>26.6275</v>
      </c>
      <c r="AY432" s="48" t="n">
        <v>1.40905421115361</v>
      </c>
      <c r="AZ432" s="48" t="n">
        <v>23.0496181069212</v>
      </c>
      <c r="BA432" s="48" t="n">
        <v>-3.03516230275973</v>
      </c>
      <c r="BB432" s="49" t="n">
        <f aca="false">AT432/V432</f>
        <v>1.40905421115361</v>
      </c>
      <c r="BC432" s="49" t="n">
        <f aca="false">AS432/V432</f>
        <v>1.33848942954818</v>
      </c>
      <c r="BD432" s="49" t="n">
        <f aca="false">SUM(AP432:AR432)/V432</f>
        <v>0.178527133455434</v>
      </c>
      <c r="BE432" s="53" t="n">
        <v>6</v>
      </c>
      <c r="BF432" s="51" t="n">
        <v>126.1</v>
      </c>
      <c r="BG432" s="51" t="n">
        <v>580.729579698652</v>
      </c>
      <c r="BH432" s="51" t="n">
        <v>243.219666931007</v>
      </c>
      <c r="BI432" s="51" t="n">
        <v>145.915939730373</v>
      </c>
      <c r="BJ432" s="51" t="n">
        <v>4.36161776367962</v>
      </c>
      <c r="BK432" s="51" t="n">
        <v>13.7985725614592</v>
      </c>
      <c r="BL432" s="51" t="n">
        <v>8.00951625693894</v>
      </c>
      <c r="BM432" s="51" t="n">
        <v>3.96510705789056</v>
      </c>
      <c r="BN432" s="52" t="n">
        <f aca="false">(BG432*0.5-BH432*0.25+BI432*0.5)/SUM(BG432:BI432)*1000</f>
        <v>311.917416189697</v>
      </c>
      <c r="BO432" s="93" t="n">
        <v>5.36714285714286</v>
      </c>
      <c r="BP432" s="94" t="s">
        <v>491</v>
      </c>
      <c r="BQ432" s="55" t="n">
        <v>269.633333333333</v>
      </c>
      <c r="BR432" s="56" t="n">
        <v>13.4719292880934</v>
      </c>
      <c r="BS432" s="56"/>
      <c r="BT432" s="56" t="n">
        <v>9.56097301399335</v>
      </c>
      <c r="BU432" s="55" t="n">
        <v>10770.0882352941</v>
      </c>
      <c r="BV432" s="55" t="n">
        <v>538.115467174219</v>
      </c>
      <c r="BW432" s="55"/>
      <c r="BX432" s="55" t="n">
        <v>381.898342103997</v>
      </c>
      <c r="BY432" s="96" t="n">
        <v>0.09064</v>
      </c>
      <c r="BZ432" s="96" t="n">
        <v>1.2595</v>
      </c>
      <c r="CA432" s="97" t="n">
        <v>3.8279</v>
      </c>
      <c r="CB432" s="98"/>
      <c r="CC432" s="97" t="n">
        <v>5.9328</v>
      </c>
      <c r="CD432" s="97" t="n">
        <v>6.958</v>
      </c>
      <c r="CE432" s="97" t="n">
        <v>75.75</v>
      </c>
      <c r="CF432" s="97" t="n">
        <v>35.653</v>
      </c>
      <c r="CG432" s="97" t="n">
        <v>0.1324</v>
      </c>
      <c r="CH432" s="63" t="n">
        <v>38725.124868924</v>
      </c>
      <c r="CI432" s="63" t="n">
        <v>2870.01799423169</v>
      </c>
      <c r="CJ432" s="64" t="n">
        <v>469644.06806173</v>
      </c>
      <c r="CK432" s="65" t="n">
        <v>0.611104917406186</v>
      </c>
    </row>
    <row r="433" s="1" customFormat="true" ht="15" hidden="false" customHeight="false" outlineLevel="0" collapsed="false">
      <c r="A433" s="7" t="s">
        <v>488</v>
      </c>
      <c r="B433" s="66" t="n">
        <v>423</v>
      </c>
      <c r="C433" s="8" t="s">
        <v>514</v>
      </c>
      <c r="D433" s="67" t="n">
        <v>41648</v>
      </c>
      <c r="E433" s="4" t="s">
        <v>490</v>
      </c>
      <c r="F433" s="7" t="n">
        <v>448</v>
      </c>
      <c r="G433" s="68" t="n">
        <v>1</v>
      </c>
      <c r="H433" s="68" t="n">
        <v>143</v>
      </c>
      <c r="I433" s="7" t="n">
        <v>1</v>
      </c>
      <c r="J433" s="8" t="n">
        <v>635</v>
      </c>
      <c r="K433" s="32"/>
      <c r="L433" s="31" t="n">
        <v>931.863</v>
      </c>
      <c r="M433" s="31" t="n">
        <v>153.830460063246</v>
      </c>
      <c r="N433" s="31" t="n">
        <v>291.237376313373</v>
      </c>
      <c r="O433" s="95"/>
      <c r="P433" s="33" t="n">
        <v>43.0480465163725</v>
      </c>
      <c r="Q433" s="33" t="n">
        <v>7.9</v>
      </c>
      <c r="R433" s="31" t="n">
        <v>281.444455778843</v>
      </c>
      <c r="S433" s="34" t="s">
        <v>76</v>
      </c>
      <c r="T433" s="35"/>
      <c r="U433" s="35"/>
      <c r="V433" s="35" t="n">
        <v>21.0867395521408</v>
      </c>
      <c r="W433" s="35" t="n">
        <v>19.6499523792766</v>
      </c>
      <c r="X433" s="35" t="n">
        <v>3.24378284653966</v>
      </c>
      <c r="Y433" s="35" t="n">
        <v>6.14124670216893</v>
      </c>
      <c r="Z433" s="35"/>
      <c r="AA433" s="35" t="n">
        <v>0.90774294511919</v>
      </c>
      <c r="AB433" s="35" t="n">
        <v>0.166585242461912</v>
      </c>
      <c r="AC433" s="71" t="n">
        <v>5.93474593740248</v>
      </c>
      <c r="AD433" s="72"/>
      <c r="AE433" s="72"/>
      <c r="AF433" s="72"/>
      <c r="AG433" s="72"/>
      <c r="AH433" s="72"/>
      <c r="AI433" s="73" t="n">
        <v>20.6</v>
      </c>
      <c r="AJ433" s="42" t="s">
        <v>16</v>
      </c>
      <c r="AK433" s="43" t="n">
        <v>616.504854368932</v>
      </c>
      <c r="AL433" s="74"/>
      <c r="AM433" s="74"/>
      <c r="AN433" s="74"/>
      <c r="AO433" s="78" t="n">
        <v>28.66</v>
      </c>
      <c r="AP433" s="76" t="n">
        <v>0.876134663114989</v>
      </c>
      <c r="AQ433" s="76" t="n">
        <v>1.02396466675056</v>
      </c>
      <c r="AR433" s="76" t="n">
        <v>1.42975056689342</v>
      </c>
      <c r="AS433" s="77" t="n">
        <v>24.6060199467248</v>
      </c>
      <c r="AT433" s="78" t="n">
        <v>26.298483729008</v>
      </c>
      <c r="AU433" s="78" t="n">
        <v>30.5699463752613</v>
      </c>
      <c r="AV433" s="78" t="n">
        <v>35.7280065160699</v>
      </c>
      <c r="AW433" s="78" t="n">
        <v>49.8866213151928</v>
      </c>
      <c r="AX433" s="78" t="n">
        <v>31.8066666666667</v>
      </c>
      <c r="AY433" s="48" t="n">
        <v>1.2471574215625</v>
      </c>
      <c r="AZ433" s="48" t="n">
        <v>21.1889724795627</v>
      </c>
      <c r="BA433" s="48" t="n">
        <v>-0.102232927421859</v>
      </c>
      <c r="BB433" s="49" t="n">
        <f aca="false">AT433/V433</f>
        <v>1.2471574215625</v>
      </c>
      <c r="BC433" s="49" t="n">
        <f aca="false">AS433/V433</f>
        <v>1.16689542666764</v>
      </c>
      <c r="BD433" s="49" t="n">
        <f aca="false">SUM(AP433:AR433)/V433</f>
        <v>0.157912032276271</v>
      </c>
      <c r="BE433" s="53" t="n">
        <v>5.98</v>
      </c>
      <c r="BF433" s="51" t="n">
        <v>120.73</v>
      </c>
      <c r="BG433" s="51" t="n">
        <v>634.142301002236</v>
      </c>
      <c r="BH433" s="51" t="n">
        <v>234.573014163837</v>
      </c>
      <c r="BI433" s="51" t="n">
        <v>103.868135508987</v>
      </c>
      <c r="BJ433" s="51" t="n">
        <v>5.54957342831111</v>
      </c>
      <c r="BK433" s="51" t="n">
        <v>9.19406941108258</v>
      </c>
      <c r="BL433" s="51" t="n">
        <v>10.1880228609293</v>
      </c>
      <c r="BM433" s="51" t="n">
        <v>2.48488362461691</v>
      </c>
      <c r="BN433" s="52" t="n">
        <f aca="false">(BG433*0.5-BH433*0.25+BI433*0.5)/SUM(BG433:BI433)*1000</f>
        <v>319.110884006132</v>
      </c>
      <c r="BO433" s="93" t="n">
        <v>4.675</v>
      </c>
      <c r="BP433" s="94" t="s">
        <v>491</v>
      </c>
      <c r="BQ433" s="55" t="n">
        <v>270.983333333333</v>
      </c>
      <c r="BR433" s="56" t="n">
        <v>12.850888240132</v>
      </c>
      <c r="BS433" s="56"/>
      <c r="BT433" s="56" t="n">
        <v>10.3041428595532</v>
      </c>
      <c r="BU433" s="55" t="n">
        <v>9910.75873015873</v>
      </c>
      <c r="BV433" s="55" t="n">
        <v>469.999579861674</v>
      </c>
      <c r="BW433" s="55"/>
      <c r="BX433" s="55" t="n">
        <v>376.856659580981</v>
      </c>
      <c r="BY433" s="96" t="n">
        <v>0.1133</v>
      </c>
      <c r="BZ433" s="96" t="n">
        <v>0.7392</v>
      </c>
      <c r="CA433" s="97" t="n">
        <v>4.2319</v>
      </c>
      <c r="CB433" s="98"/>
      <c r="CC433" s="97" t="n">
        <v>5.664</v>
      </c>
      <c r="CD433" s="97" t="n">
        <v>7.6048</v>
      </c>
      <c r="CE433" s="97" t="n">
        <v>89.89</v>
      </c>
      <c r="CF433" s="97" t="n">
        <v>39.0567</v>
      </c>
      <c r="CG433" s="97" t="n">
        <v>0.0809</v>
      </c>
      <c r="CH433" s="63" t="n">
        <v>37203.6415016016</v>
      </c>
      <c r="CI433" s="63" t="n">
        <v>10726.5330894418</v>
      </c>
      <c r="CJ433" s="64" t="n">
        <v>722499.239025943</v>
      </c>
      <c r="CK433" s="65" t="n">
        <v>1.4846428217562</v>
      </c>
    </row>
    <row r="434" s="1" customFormat="true" ht="15" hidden="false" customHeight="false" outlineLevel="0" collapsed="false">
      <c r="A434" s="7" t="s">
        <v>488</v>
      </c>
      <c r="B434" s="66" t="n">
        <v>424</v>
      </c>
      <c r="C434" s="8" t="s">
        <v>515</v>
      </c>
      <c r="D434" s="67" t="n">
        <v>41648</v>
      </c>
      <c r="E434" s="4" t="s">
        <v>490</v>
      </c>
      <c r="F434" s="7" t="n">
        <v>455</v>
      </c>
      <c r="G434" s="68" t="n">
        <v>1</v>
      </c>
      <c r="H434" s="68" t="n">
        <v>143</v>
      </c>
      <c r="I434" s="7" t="n">
        <v>1</v>
      </c>
      <c r="J434" s="8" t="n">
        <v>666</v>
      </c>
      <c r="K434" s="32"/>
      <c r="L434" s="31" t="n">
        <v>931.863</v>
      </c>
      <c r="M434" s="31" t="n">
        <v>153.830460063246</v>
      </c>
      <c r="N434" s="31" t="n">
        <v>291.237376313373</v>
      </c>
      <c r="O434" s="95"/>
      <c r="P434" s="33" t="n">
        <v>43.0480465163725</v>
      </c>
      <c r="Q434" s="33" t="n">
        <v>7.9</v>
      </c>
      <c r="R434" s="31" t="n">
        <v>281.444455778843</v>
      </c>
      <c r="S434" s="34" t="s">
        <v>76</v>
      </c>
      <c r="T434" s="35"/>
      <c r="U434" s="35"/>
      <c r="V434" s="35" t="n">
        <v>19.0918911118112</v>
      </c>
      <c r="W434" s="35" t="n">
        <v>17.7910269271257</v>
      </c>
      <c r="X434" s="35" t="n">
        <v>2.93691439320731</v>
      </c>
      <c r="Y434" s="35" t="n">
        <v>5.56027227626451</v>
      </c>
      <c r="Z434" s="35"/>
      <c r="AA434" s="35" t="n">
        <v>0.821868616666768</v>
      </c>
      <c r="AB434" s="35" t="n">
        <v>0.150825939783308</v>
      </c>
      <c r="AC434" s="71" t="n">
        <v>5.37330690375264</v>
      </c>
      <c r="AD434" s="72"/>
      <c r="AE434" s="72"/>
      <c r="AF434" s="72"/>
      <c r="AG434" s="72"/>
      <c r="AH434" s="72"/>
      <c r="AI434" s="73" t="n">
        <v>22.7223936114411</v>
      </c>
      <c r="AJ434" s="42" t="s">
        <v>16</v>
      </c>
      <c r="AK434" s="43" t="n">
        <v>652.325360827205</v>
      </c>
      <c r="AL434" s="74"/>
      <c r="AM434" s="74"/>
      <c r="AN434" s="74"/>
      <c r="AO434" s="78" t="n">
        <v>30.42</v>
      </c>
      <c r="AP434" s="76" t="n">
        <v>1.11834702988338</v>
      </c>
      <c r="AQ434" s="76" t="n">
        <v>1.05083325437318</v>
      </c>
      <c r="AR434" s="76" t="n">
        <v>1.60599271137026</v>
      </c>
      <c r="AS434" s="77" t="n">
        <v>28.9432054482507</v>
      </c>
      <c r="AT434" s="78" t="n">
        <v>30.399894728162</v>
      </c>
      <c r="AU434" s="78" t="n">
        <v>36.7635447035957</v>
      </c>
      <c r="AV434" s="78" t="n">
        <v>34.5441569484937</v>
      </c>
      <c r="AW434" s="78" t="n">
        <v>52.7939747327503</v>
      </c>
      <c r="AX434" s="78" t="n">
        <v>27.715</v>
      </c>
      <c r="AY434" s="48" t="n">
        <v>1.59229353185212</v>
      </c>
      <c r="AZ434" s="48" t="n">
        <v>23.2279132936286</v>
      </c>
      <c r="BA434" s="48" t="n">
        <v>-4.13602218181743</v>
      </c>
      <c r="BB434" s="49" t="n">
        <f aca="false">AT434/V434</f>
        <v>1.59229353185212</v>
      </c>
      <c r="BC434" s="49" t="n">
        <f aca="false">AS434/V434</f>
        <v>1.51599468479815</v>
      </c>
      <c r="BD434" s="49" t="n">
        <f aca="false">SUM(AP434:AR434)/V434</f>
        <v>0.197736985483398</v>
      </c>
      <c r="BE434" s="53" t="n">
        <v>6.22</v>
      </c>
      <c r="BF434" s="51" t="n">
        <v>108.46</v>
      </c>
      <c r="BG434" s="51" t="n">
        <v>579.476304628435</v>
      </c>
      <c r="BH434" s="51" t="n">
        <v>290.429651484418</v>
      </c>
      <c r="BI434" s="51" t="n">
        <v>98.5616817259819</v>
      </c>
      <c r="BJ434" s="51" t="n">
        <v>6.26959247648903</v>
      </c>
      <c r="BK434" s="51" t="n">
        <v>11.801585838097</v>
      </c>
      <c r="BL434" s="51" t="n">
        <v>11.3405863912963</v>
      </c>
      <c r="BM434" s="51" t="n">
        <v>2.12059745528305</v>
      </c>
      <c r="BN434" s="52" t="n">
        <f aca="false">(BG434*0.5-BH434*0.25+BI434*0.5)/SUM(BG434:BI434)*1000</f>
        <v>275.085681645088</v>
      </c>
      <c r="BO434" s="93" t="n">
        <v>7.69857142857143</v>
      </c>
      <c r="BP434" s="94" t="s">
        <v>491</v>
      </c>
      <c r="BQ434" s="55" t="n">
        <v>290.058823529412</v>
      </c>
      <c r="BR434" s="56" t="n">
        <v>15.1927759188804</v>
      </c>
      <c r="BS434" s="56"/>
      <c r="BT434" s="56" t="n">
        <v>9.54144170968809</v>
      </c>
      <c r="BU434" s="55" t="n">
        <v>11802.0763157895</v>
      </c>
      <c r="BV434" s="55" t="n">
        <v>618.172199216458</v>
      </c>
      <c r="BW434" s="55"/>
      <c r="BX434" s="55" t="n">
        <v>388.227538987371</v>
      </c>
      <c r="BY434" s="96" t="n">
        <v>0.08961</v>
      </c>
      <c r="BZ434" s="96" t="n">
        <v>0.6567</v>
      </c>
      <c r="CA434" s="97" t="n">
        <v>4.1814</v>
      </c>
      <c r="CB434" s="98"/>
      <c r="CC434" s="97" t="n">
        <v>5.4048</v>
      </c>
      <c r="CD434" s="97" t="n">
        <v>5.243</v>
      </c>
      <c r="CE434" s="97" t="n">
        <v>72.72</v>
      </c>
      <c r="CF434" s="97" t="n">
        <v>34.1683</v>
      </c>
      <c r="CG434" s="97" t="n">
        <v>0.4723</v>
      </c>
      <c r="CH434" s="63" t="n">
        <v>16660.2458305154</v>
      </c>
      <c r="CI434" s="63" t="n">
        <v>4950.48428544771</v>
      </c>
      <c r="CJ434" s="64" t="n">
        <v>378056.471558625</v>
      </c>
      <c r="CK434" s="65" t="n">
        <v>1.30945630028186</v>
      </c>
    </row>
    <row r="435" s="1" customFormat="true" ht="15" hidden="false" customHeight="false" outlineLevel="0" collapsed="false">
      <c r="A435" s="7" t="s">
        <v>488</v>
      </c>
      <c r="B435" s="66" t="n">
        <v>425</v>
      </c>
      <c r="C435" s="8" t="s">
        <v>516</v>
      </c>
      <c r="D435" s="67" t="n">
        <v>41648</v>
      </c>
      <c r="E435" s="4" t="s">
        <v>490</v>
      </c>
      <c r="F435" s="7" t="n">
        <v>459</v>
      </c>
      <c r="G435" s="68" t="n">
        <v>1</v>
      </c>
      <c r="H435" s="68" t="n">
        <v>142</v>
      </c>
      <c r="I435" s="7" t="n">
        <v>1</v>
      </c>
      <c r="J435" s="8" t="n">
        <v>729</v>
      </c>
      <c r="K435" s="32"/>
      <c r="L435" s="31" t="n">
        <v>931.863</v>
      </c>
      <c r="M435" s="31" t="n">
        <v>153.830460063246</v>
      </c>
      <c r="N435" s="31" t="n">
        <v>291.237376313373</v>
      </c>
      <c r="O435" s="95"/>
      <c r="P435" s="33" t="n">
        <v>43.0480465163725</v>
      </c>
      <c r="Q435" s="33" t="n">
        <v>7.9</v>
      </c>
      <c r="R435" s="31" t="n">
        <v>281.444455778843</v>
      </c>
      <c r="S435" s="34" t="s">
        <v>76</v>
      </c>
      <c r="T435" s="35"/>
      <c r="U435" s="35"/>
      <c r="V435" s="35" t="n">
        <v>21.038216648163</v>
      </c>
      <c r="W435" s="35" t="n">
        <v>19.6047356804071</v>
      </c>
      <c r="X435" s="35" t="n">
        <v>3.23631854589715</v>
      </c>
      <c r="Y435" s="35" t="n">
        <v>6.12711501892332</v>
      </c>
      <c r="Z435" s="35"/>
      <c r="AA435" s="35" t="n">
        <v>0.905654128891642</v>
      </c>
      <c r="AB435" s="35" t="n">
        <v>0.166201911520488</v>
      </c>
      <c r="AC435" s="71" t="n">
        <v>5.92108943509963</v>
      </c>
      <c r="AD435" s="72"/>
      <c r="AE435" s="72"/>
      <c r="AF435" s="72"/>
      <c r="AG435" s="72"/>
      <c r="AH435" s="72"/>
      <c r="AI435" s="73" t="n">
        <v>24</v>
      </c>
      <c r="AJ435" s="42" t="s">
        <v>16</v>
      </c>
      <c r="AK435" s="43" t="n">
        <v>670.833333333333</v>
      </c>
      <c r="AL435" s="74"/>
      <c r="AM435" s="74"/>
      <c r="AN435" s="74"/>
      <c r="AO435" s="78" t="n">
        <v>27.5</v>
      </c>
      <c r="AP435" s="76" t="n">
        <v>1.14924528530273</v>
      </c>
      <c r="AQ435" s="76" t="n">
        <v>1.06206480050078</v>
      </c>
      <c r="AR435" s="76" t="n">
        <v>1.42377308066084</v>
      </c>
      <c r="AS435" s="77" t="n">
        <v>28.238679279541</v>
      </c>
      <c r="AT435" s="78" t="n">
        <v>29.8842418322751</v>
      </c>
      <c r="AU435" s="78" t="n">
        <v>41.7907376473721</v>
      </c>
      <c r="AV435" s="78" t="n">
        <v>38.6205382000284</v>
      </c>
      <c r="AW435" s="78" t="n">
        <v>51.773566569485</v>
      </c>
      <c r="AX435" s="78" t="n">
        <v>31.195</v>
      </c>
      <c r="AY435" s="48" t="n">
        <v>1.42047409873425</v>
      </c>
      <c r="AZ435" s="48" t="n">
        <v>23.8432278761171</v>
      </c>
      <c r="BA435" s="48" t="n">
        <v>-2.80501122795414</v>
      </c>
      <c r="BB435" s="49" t="n">
        <f aca="false">AT435/V435</f>
        <v>1.42047409873425</v>
      </c>
      <c r="BC435" s="49" t="n">
        <f aca="false">AS435/V435</f>
        <v>1.34225632104643</v>
      </c>
      <c r="BD435" s="49" t="n">
        <f aca="false">SUM(AP435:AR435)/V435</f>
        <v>0.172784757722407</v>
      </c>
      <c r="BE435" s="53" t="n">
        <v>6.18</v>
      </c>
      <c r="BF435" s="51" t="n">
        <v>130.61</v>
      </c>
      <c r="BG435" s="51" t="n">
        <v>566.036291248756</v>
      </c>
      <c r="BH435" s="51" t="n">
        <v>312.686624301355</v>
      </c>
      <c r="BI435" s="51" t="n">
        <v>95.6282061097925</v>
      </c>
      <c r="BJ435" s="51" t="n">
        <v>5.35946711584105</v>
      </c>
      <c r="BK435" s="51" t="n">
        <v>10.7954980476227</v>
      </c>
      <c r="BL435" s="51" t="n">
        <v>8.11576448970217</v>
      </c>
      <c r="BM435" s="51" t="n">
        <v>1.37814868693056</v>
      </c>
      <c r="BN435" s="52" t="n">
        <f aca="false">(BG435*0.5-BH435*0.25+BI435*0.5)/SUM(BG435:BI435)*1000</f>
        <v>259.311645450259</v>
      </c>
      <c r="BO435" s="93" t="n">
        <v>6.31428571428572</v>
      </c>
      <c r="BP435" s="94" t="s">
        <v>491</v>
      </c>
      <c r="BQ435" s="55" t="n">
        <v>318.225833333333</v>
      </c>
      <c r="BR435" s="56" t="n">
        <v>15.1260840524294</v>
      </c>
      <c r="BS435" s="56"/>
      <c r="BT435" s="56" t="n">
        <v>10.6486165892838</v>
      </c>
      <c r="BU435" s="55" t="n">
        <v>11583.1791666667</v>
      </c>
      <c r="BV435" s="55" t="n">
        <v>550.577996242761</v>
      </c>
      <c r="BW435" s="55"/>
      <c r="BX435" s="55" t="n">
        <v>387.601573821986</v>
      </c>
      <c r="BY435" s="96" t="n">
        <v>0.07107</v>
      </c>
      <c r="BZ435" s="96" t="n">
        <v>0.5566</v>
      </c>
      <c r="CA435" s="97" t="n">
        <v>4.5652</v>
      </c>
      <c r="CB435" s="98"/>
      <c r="CC435" s="97" t="n">
        <v>5.9808</v>
      </c>
      <c r="CD435" s="97" t="n">
        <v>5.635</v>
      </c>
      <c r="CE435" s="97" t="n">
        <v>90.9</v>
      </c>
      <c r="CF435" s="97" t="n">
        <v>36.9256</v>
      </c>
      <c r="CG435" s="97" t="n">
        <v>0.0706</v>
      </c>
      <c r="CH435" s="63" t="n">
        <v>27325.0421545983</v>
      </c>
      <c r="CI435" s="63" t="n">
        <v>5262.87376633165</v>
      </c>
      <c r="CJ435" s="64" t="n">
        <v>429166.232683901</v>
      </c>
      <c r="CK435" s="65" t="n">
        <v>1.22630192348054</v>
      </c>
    </row>
    <row r="436" s="1" customFormat="true" ht="15" hidden="false" customHeight="false" outlineLevel="0" collapsed="false">
      <c r="A436" s="7" t="s">
        <v>488</v>
      </c>
      <c r="B436" s="66" t="n">
        <v>426</v>
      </c>
      <c r="C436" s="8" t="s">
        <v>517</v>
      </c>
      <c r="D436" s="67" t="n">
        <v>41648</v>
      </c>
      <c r="E436" s="4" t="s">
        <v>490</v>
      </c>
      <c r="F436" s="7" t="n">
        <v>1301</v>
      </c>
      <c r="G436" s="68" t="n">
        <v>1</v>
      </c>
      <c r="H436" s="68" t="n">
        <v>112</v>
      </c>
      <c r="I436" s="7" t="n">
        <v>6</v>
      </c>
      <c r="J436" s="8" t="n">
        <v>792</v>
      </c>
      <c r="K436" s="32"/>
      <c r="L436" s="31" t="n">
        <v>931.863</v>
      </c>
      <c r="M436" s="31" t="n">
        <v>153.830460063246</v>
      </c>
      <c r="N436" s="31" t="n">
        <v>291.237376313373</v>
      </c>
      <c r="O436" s="95"/>
      <c r="P436" s="33" t="n">
        <v>43.0480465163725</v>
      </c>
      <c r="Q436" s="33" t="n">
        <v>7.9</v>
      </c>
      <c r="R436" s="31" t="n">
        <v>281.444455778843</v>
      </c>
      <c r="S436" s="34" t="s">
        <v>76</v>
      </c>
      <c r="T436" s="35"/>
      <c r="U436" s="35"/>
      <c r="V436" s="35" t="n">
        <v>20.8263806054769</v>
      </c>
      <c r="W436" s="35" t="n">
        <v>19.4073335101615</v>
      </c>
      <c r="X436" s="35" t="n">
        <v>3.20373170999277</v>
      </c>
      <c r="Y436" s="35" t="n">
        <v>6.06542044564282</v>
      </c>
      <c r="Z436" s="35"/>
      <c r="AA436" s="35" t="n">
        <v>0.896535001072248</v>
      </c>
      <c r="AB436" s="35" t="n">
        <v>0.164528406783268</v>
      </c>
      <c r="AC436" s="71" t="n">
        <v>5.8614693553515</v>
      </c>
      <c r="AD436" s="72"/>
      <c r="AE436" s="72"/>
      <c r="AF436" s="72"/>
      <c r="AG436" s="72"/>
      <c r="AH436" s="72"/>
      <c r="AI436" s="73" t="n">
        <v>22.7928772154508</v>
      </c>
      <c r="AJ436" s="42" t="s">
        <v>16</v>
      </c>
      <c r="AK436" s="43" t="n">
        <v>653.40049326266</v>
      </c>
      <c r="AL436" s="74"/>
      <c r="AM436" s="74"/>
      <c r="AN436" s="74"/>
      <c r="AO436" s="78" t="n">
        <v>34.64</v>
      </c>
      <c r="AP436" s="76" t="n">
        <v>0.929842609834017</v>
      </c>
      <c r="AQ436" s="76" t="n">
        <v>1.09219670466846</v>
      </c>
      <c r="AR436" s="76" t="n">
        <v>1.67224684159378</v>
      </c>
      <c r="AS436" s="77" t="n">
        <v>27.8036391475103</v>
      </c>
      <c r="AT436" s="78" t="n">
        <v>28.7962238756626</v>
      </c>
      <c r="AU436" s="78" t="n">
        <v>26.843031461721</v>
      </c>
      <c r="AV436" s="78" t="n">
        <v>31.52992796387</v>
      </c>
      <c r="AW436" s="78" t="n">
        <v>48.2750242954325</v>
      </c>
      <c r="AX436" s="78" t="n">
        <v>26.6</v>
      </c>
      <c r="AY436" s="48" t="n">
        <v>1.38268018918706</v>
      </c>
      <c r="AZ436" s="48" t="n">
        <v>24.226878421499</v>
      </c>
      <c r="BA436" s="48" t="n">
        <v>-3.40049781602208</v>
      </c>
      <c r="BB436" s="49" t="n">
        <f aca="false">AT436/V436</f>
        <v>1.38268018918706</v>
      </c>
      <c r="BC436" s="49" t="n">
        <f aca="false">AS436/V436</f>
        <v>1.33502021662845</v>
      </c>
      <c r="BD436" s="49" t="n">
        <f aca="false">SUM(AP436:AR436)/V436</f>
        <v>0.177384934332984</v>
      </c>
      <c r="BE436" s="53" t="n">
        <v>6.24</v>
      </c>
      <c r="BF436" s="51" t="n">
        <v>114.94</v>
      </c>
      <c r="BG436" s="51" t="n">
        <v>563.163389594571</v>
      </c>
      <c r="BH436" s="51" t="n">
        <v>300.417609187402</v>
      </c>
      <c r="BI436" s="51" t="n">
        <v>95.4410997041935</v>
      </c>
      <c r="BJ436" s="51" t="n">
        <v>6.17713589698973</v>
      </c>
      <c r="BK436" s="51" t="n">
        <v>20.793457456064</v>
      </c>
      <c r="BL436" s="51" t="n">
        <v>10.1792239429267</v>
      </c>
      <c r="BM436" s="51" t="n">
        <v>3.82808421785279</v>
      </c>
      <c r="BN436" s="52" t="n">
        <f aca="false">(BG436*0.5-BH436*0.25+BI436*0.5)/SUM(BG436:BI436)*1000</f>
        <v>265.059421210197</v>
      </c>
      <c r="BO436" s="93" t="n">
        <v>6.81214285714286</v>
      </c>
      <c r="BP436" s="94" t="s">
        <v>491</v>
      </c>
      <c r="BQ436" s="55" t="n">
        <v>234.679487179487</v>
      </c>
      <c r="BR436" s="56" t="n">
        <v>11.2683759902943</v>
      </c>
      <c r="BS436" s="56"/>
      <c r="BT436" s="56" t="n">
        <v>8.1496618512481</v>
      </c>
      <c r="BU436" s="55" t="n">
        <v>12576.3461538462</v>
      </c>
      <c r="BV436" s="55" t="n">
        <v>603.866144198807</v>
      </c>
      <c r="BW436" s="55"/>
      <c r="BX436" s="55" t="n">
        <v>436.735948718442</v>
      </c>
      <c r="BY436" s="96" t="n">
        <v>0.08034</v>
      </c>
      <c r="BZ436" s="96" t="n">
        <v>0.5016</v>
      </c>
      <c r="CA436" s="97" t="n">
        <v>4.4642</v>
      </c>
      <c r="CB436" s="98"/>
      <c r="CC436" s="97" t="n">
        <v>5.3472</v>
      </c>
      <c r="CD436" s="97" t="n">
        <v>4.2238</v>
      </c>
      <c r="CE436" s="97" t="n">
        <v>79.79</v>
      </c>
      <c r="CF436" s="97" t="n">
        <v>31.0676</v>
      </c>
      <c r="CG436" s="97" t="n">
        <v>0.565</v>
      </c>
      <c r="CH436" s="63" t="n">
        <v>5663.15273953752</v>
      </c>
      <c r="CI436" s="63" t="n">
        <v>1960.53748382198</v>
      </c>
      <c r="CJ436" s="64" t="n">
        <v>550001.496701119</v>
      </c>
      <c r="CK436" s="65" t="n">
        <v>0.356460390668241</v>
      </c>
    </row>
    <row r="437" s="1" customFormat="true" ht="15" hidden="false" customHeight="false" outlineLevel="0" collapsed="false">
      <c r="A437" s="7" t="s">
        <v>488</v>
      </c>
      <c r="B437" s="66" t="n">
        <v>427</v>
      </c>
      <c r="C437" s="8" t="s">
        <v>518</v>
      </c>
      <c r="D437" s="67" t="n">
        <v>41683</v>
      </c>
      <c r="E437" s="4" t="s">
        <v>490</v>
      </c>
      <c r="F437" s="7" t="n">
        <v>57</v>
      </c>
      <c r="G437" s="68" t="n">
        <v>1</v>
      </c>
      <c r="H437" s="68" t="n">
        <v>166</v>
      </c>
      <c r="I437" s="7" t="n">
        <v>4</v>
      </c>
      <c r="J437" s="8" t="n">
        <v>792</v>
      </c>
      <c r="K437" s="32"/>
      <c r="L437" s="31" t="n">
        <v>934.286</v>
      </c>
      <c r="M437" s="31" t="n">
        <v>151.790268285219</v>
      </c>
      <c r="N437" s="31" t="n">
        <v>296.847903702948</v>
      </c>
      <c r="O437" s="95"/>
      <c r="P437" s="33" t="n">
        <v>43.0480465163725</v>
      </c>
      <c r="Q437" s="33" t="n">
        <v>9</v>
      </c>
      <c r="R437" s="31" t="n">
        <v>291.441395491176</v>
      </c>
      <c r="S437" s="34" t="s">
        <v>76</v>
      </c>
      <c r="T437" s="35"/>
      <c r="U437" s="35"/>
      <c r="V437" s="35" t="n">
        <v>28.9984175700666</v>
      </c>
      <c r="W437" s="35" t="n">
        <v>27.0928155578673</v>
      </c>
      <c r="X437" s="35" t="n">
        <v>4.40167758280722</v>
      </c>
      <c r="Y437" s="35" t="n">
        <v>8.60811946637702</v>
      </c>
      <c r="Z437" s="35"/>
      <c r="AA437" s="35" t="n">
        <v>1.24832522845742</v>
      </c>
      <c r="AB437" s="35" t="n">
        <v>0.2609857581306</v>
      </c>
      <c r="AC437" s="71" t="n">
        <v>8.45133928365607</v>
      </c>
      <c r="AD437" s="72"/>
      <c r="AE437" s="72"/>
      <c r="AF437" s="72"/>
      <c r="AG437" s="72"/>
      <c r="AH437" s="72"/>
      <c r="AI437" s="73" t="n">
        <v>22.9162091099625</v>
      </c>
      <c r="AJ437" s="42" t="s">
        <v>16</v>
      </c>
      <c r="AK437" s="43" t="n">
        <v>607.264885879953</v>
      </c>
      <c r="AL437" s="74"/>
      <c r="AM437" s="74"/>
      <c r="AN437" s="74"/>
      <c r="AO437" s="78" t="n">
        <v>38.8</v>
      </c>
      <c r="AP437" s="76" t="n">
        <v>1.47625801926395</v>
      </c>
      <c r="AQ437" s="76" t="n">
        <v>1.31501457725948</v>
      </c>
      <c r="AR437" s="76" t="n">
        <v>1.92586005830904</v>
      </c>
      <c r="AS437" s="77" t="n">
        <v>37.6638702889592</v>
      </c>
      <c r="AT437" s="78" t="n">
        <v>38.5416943541146</v>
      </c>
      <c r="AU437" s="78" t="n">
        <v>38.0478870944316</v>
      </c>
      <c r="AV437" s="78" t="n">
        <v>33.8921282798834</v>
      </c>
      <c r="AW437" s="78" t="n">
        <v>49.6355685131195</v>
      </c>
      <c r="AX437" s="78" t="n">
        <v>25.54</v>
      </c>
      <c r="AY437" s="48" t="n">
        <v>1.32909646745342</v>
      </c>
      <c r="AZ437" s="48" t="n">
        <v>28.3144694672049</v>
      </c>
      <c r="BA437" s="48" t="n">
        <v>0.683948102861738</v>
      </c>
      <c r="BB437" s="49" t="n">
        <f aca="false">AT437/V437</f>
        <v>1.32909646745342</v>
      </c>
      <c r="BC437" s="49" t="n">
        <f aca="false">AS437/V437</f>
        <v>1.29882502029481</v>
      </c>
      <c r="BD437" s="49" t="n">
        <f aca="false">SUM(AP437:AR437)/V437</f>
        <v>0.162668622983817</v>
      </c>
      <c r="BE437" s="53" t="n">
        <v>6.15</v>
      </c>
      <c r="BF437" s="51" t="n">
        <v>106.55</v>
      </c>
      <c r="BG437" s="51" t="n">
        <v>611.356170811825</v>
      </c>
      <c r="BH437" s="51" t="n">
        <v>254.059127170343</v>
      </c>
      <c r="BI437" s="51" t="n">
        <v>102.674800563116</v>
      </c>
      <c r="BJ437" s="51" t="n">
        <v>7.50821210699202</v>
      </c>
      <c r="BK437" s="51" t="n">
        <v>10.6053496011262</v>
      </c>
      <c r="BL437" s="51" t="n">
        <v>10.793054903801</v>
      </c>
      <c r="BM437" s="51" t="n">
        <v>3.00328484279681</v>
      </c>
      <c r="BN437" s="52" t="n">
        <f aca="false">(BG437*0.5-BH437*0.25+BI437*0.5)/SUM(BG437:BI437)*1000</f>
        <v>303.174987881726</v>
      </c>
      <c r="BO437" s="93" t="n">
        <v>1.78878857142857</v>
      </c>
      <c r="BP437" s="94" t="s">
        <v>491</v>
      </c>
      <c r="BQ437" s="55" t="n">
        <v>387.588541666667</v>
      </c>
      <c r="BR437" s="56" t="n">
        <v>13.3658514548308</v>
      </c>
      <c r="BS437" s="56"/>
      <c r="BT437" s="56" t="n">
        <v>10.0563441271047</v>
      </c>
      <c r="BU437" s="55" t="n">
        <v>13902.296875</v>
      </c>
      <c r="BV437" s="55" t="n">
        <v>479.415707474691</v>
      </c>
      <c r="BW437" s="55"/>
      <c r="BX437" s="55" t="n">
        <v>360.707984118914</v>
      </c>
      <c r="BY437" s="96" t="n">
        <v>0.1133</v>
      </c>
      <c r="BZ437" s="96" t="n">
        <v>0.5027</v>
      </c>
      <c r="CA437" s="97" t="n">
        <v>4.141</v>
      </c>
      <c r="CB437" s="97"/>
      <c r="CC437" s="97" t="n">
        <v>6.8544</v>
      </c>
      <c r="CD437" s="97" t="n">
        <v>6.6444</v>
      </c>
      <c r="CE437" s="97" t="n">
        <v>91.91</v>
      </c>
      <c r="CF437" s="97" t="n">
        <v>39.7031</v>
      </c>
      <c r="CG437" s="97" t="n">
        <v>0.05</v>
      </c>
      <c r="CH437" s="63" t="n">
        <v>24028.1635981613</v>
      </c>
      <c r="CI437" s="63" t="n">
        <v>4981.5837685218</v>
      </c>
      <c r="CJ437" s="64" t="n">
        <v>587545.082574744</v>
      </c>
      <c r="CK437" s="65" t="n">
        <v>0.847864090137811</v>
      </c>
    </row>
    <row r="438" s="1" customFormat="true" ht="15" hidden="false" customHeight="false" outlineLevel="0" collapsed="false">
      <c r="A438" s="7" t="s">
        <v>488</v>
      </c>
      <c r="B438" s="66" t="n">
        <v>428</v>
      </c>
      <c r="C438" s="8" t="s">
        <v>519</v>
      </c>
      <c r="D438" s="67" t="n">
        <v>41683</v>
      </c>
      <c r="E438" s="4" t="s">
        <v>490</v>
      </c>
      <c r="F438" s="7" t="n">
        <v>71</v>
      </c>
      <c r="G438" s="68" t="n">
        <v>1</v>
      </c>
      <c r="H438" s="68" t="n">
        <v>141</v>
      </c>
      <c r="I438" s="7" t="n">
        <v>4</v>
      </c>
      <c r="J438" s="8" t="n">
        <v>813</v>
      </c>
      <c r="K438" s="32"/>
      <c r="L438" s="31" t="n">
        <v>934.286</v>
      </c>
      <c r="M438" s="31" t="n">
        <v>151.790268285219</v>
      </c>
      <c r="N438" s="31" t="n">
        <v>296.847903702948</v>
      </c>
      <c r="O438" s="95"/>
      <c r="P438" s="33" t="n">
        <v>43.0480465163725</v>
      </c>
      <c r="Q438" s="33" t="n">
        <v>9</v>
      </c>
      <c r="R438" s="31" t="n">
        <v>291.441395491176</v>
      </c>
      <c r="S438" s="34" t="s">
        <v>76</v>
      </c>
      <c r="T438" s="35"/>
      <c r="U438" s="35"/>
      <c r="V438" s="35" t="n">
        <v>23.9030029799085</v>
      </c>
      <c r="W438" s="35" t="n">
        <v>22.3322410420868</v>
      </c>
      <c r="X438" s="35" t="n">
        <v>3.6282432351427</v>
      </c>
      <c r="Y438" s="35" t="n">
        <v>7.09555632679117</v>
      </c>
      <c r="Z438" s="35"/>
      <c r="AA438" s="35" t="n">
        <v>1.02897758416009</v>
      </c>
      <c r="AB438" s="35" t="n">
        <v>0.215127026819177</v>
      </c>
      <c r="AC438" s="71" t="n">
        <v>6.96632454489429</v>
      </c>
      <c r="AD438" s="72"/>
      <c r="AE438" s="72"/>
      <c r="AF438" s="72"/>
      <c r="AG438" s="72"/>
      <c r="AH438" s="72"/>
      <c r="AI438" s="73" t="n">
        <v>25.0348066456401</v>
      </c>
      <c r="AJ438" s="42" t="s">
        <v>16</v>
      </c>
      <c r="AK438" s="43" t="n">
        <v>640.500518841939</v>
      </c>
      <c r="AL438" s="74"/>
      <c r="AM438" s="74"/>
      <c r="AN438" s="74"/>
      <c r="AO438" s="78" t="n">
        <v>42.82</v>
      </c>
      <c r="AP438" s="76" t="n">
        <v>1.02632879437489</v>
      </c>
      <c r="AQ438" s="76" t="n">
        <v>1.33474392614189</v>
      </c>
      <c r="AR438" s="76" t="n">
        <v>2.09210447035957</v>
      </c>
      <c r="AS438" s="77" t="n">
        <v>32.5229319156234</v>
      </c>
      <c r="AT438" s="78" t="n">
        <v>34.1079547060316</v>
      </c>
      <c r="AU438" s="78" t="n">
        <v>23.9684445206654</v>
      </c>
      <c r="AV438" s="78" t="n">
        <v>31.1710398445092</v>
      </c>
      <c r="AW438" s="78" t="n">
        <v>48.8581146744412</v>
      </c>
      <c r="AX438" s="78" t="n">
        <v>28.22</v>
      </c>
      <c r="AY438" s="48" t="n">
        <v>1.4269317848766</v>
      </c>
      <c r="AZ438" s="48" t="n">
        <v>26.5592917088551</v>
      </c>
      <c r="BA438" s="48" t="n">
        <v>-2.65628872894655</v>
      </c>
      <c r="BB438" s="49" t="n">
        <f aca="false">AT438/V438</f>
        <v>1.4269317848766</v>
      </c>
      <c r="BC438" s="49" t="n">
        <f aca="false">AS438/V438</f>
        <v>1.36062117144696</v>
      </c>
      <c r="BD438" s="49" t="n">
        <f aca="false">SUM(AP438:AR438)/V438</f>
        <v>0.186301997059509</v>
      </c>
      <c r="BE438" s="53" t="n">
        <v>5.76</v>
      </c>
      <c r="BF438" s="51" t="n">
        <v>120.79</v>
      </c>
      <c r="BG438" s="51" t="n">
        <v>552.611971189668</v>
      </c>
      <c r="BH438" s="51" t="n">
        <v>338.686977398791</v>
      </c>
      <c r="BI438" s="51" t="n">
        <v>77.57264674228</v>
      </c>
      <c r="BJ438" s="51" t="n">
        <v>3.55989734249524</v>
      </c>
      <c r="BK438" s="51" t="n">
        <v>18.4617931948009</v>
      </c>
      <c r="BL438" s="51" t="n">
        <v>6.3746998923752</v>
      </c>
      <c r="BM438" s="51" t="n">
        <v>2.73201423958937</v>
      </c>
      <c r="BN438" s="52" t="n">
        <f aca="false">(BG438*0.5-BH438*0.25+BI438*0.5)/SUM(BG438:BI438)*1000</f>
        <v>237.823634965394</v>
      </c>
      <c r="BO438" s="93" t="n">
        <v>3.83724</v>
      </c>
      <c r="BP438" s="94" t="s">
        <v>491</v>
      </c>
      <c r="BQ438" s="55" t="n">
        <v>261.26875</v>
      </c>
      <c r="BR438" s="56" t="n">
        <v>10.9303734856916</v>
      </c>
      <c r="BS438" s="56"/>
      <c r="BT438" s="56" t="n">
        <v>7.66005327061717</v>
      </c>
      <c r="BU438" s="55" t="n">
        <v>12672.55625</v>
      </c>
      <c r="BV438" s="55" t="n">
        <v>530.165864960641</v>
      </c>
      <c r="BW438" s="55"/>
      <c r="BX438" s="55" t="n">
        <v>371.542543644782</v>
      </c>
      <c r="BY438" s="96" t="n">
        <v>0.09064</v>
      </c>
      <c r="BZ438" s="96" t="n">
        <v>0.5632</v>
      </c>
      <c r="CA438" s="97" t="n">
        <v>4.1107</v>
      </c>
      <c r="CB438" s="97"/>
      <c r="CC438" s="97" t="n">
        <v>5.4816</v>
      </c>
      <c r="CD438" s="97" t="n">
        <v>6.3798</v>
      </c>
      <c r="CE438" s="97" t="n">
        <v>93.93</v>
      </c>
      <c r="CF438" s="97" t="n">
        <v>38.2891</v>
      </c>
      <c r="CG438" s="97" t="n">
        <v>0.0397</v>
      </c>
      <c r="CH438" s="63" t="n">
        <v>1340.64975673222</v>
      </c>
      <c r="CI438" s="63" t="n">
        <v>2530.32788512966</v>
      </c>
      <c r="CJ438" s="64" t="n">
        <v>656283.796755242</v>
      </c>
      <c r="CK438" s="65" t="n">
        <v>0.385553917015772</v>
      </c>
    </row>
    <row r="439" s="1" customFormat="true" ht="15" hidden="false" customHeight="false" outlineLevel="0" collapsed="false">
      <c r="A439" s="7" t="s">
        <v>488</v>
      </c>
      <c r="B439" s="66" t="n">
        <v>429</v>
      </c>
      <c r="C439" s="8" t="s">
        <v>520</v>
      </c>
      <c r="D439" s="67" t="n">
        <v>41683</v>
      </c>
      <c r="E439" s="4" t="s">
        <v>490</v>
      </c>
      <c r="F439" s="7" t="n">
        <v>88</v>
      </c>
      <c r="G439" s="68" t="n">
        <v>1</v>
      </c>
      <c r="H439" s="68" t="n">
        <v>117</v>
      </c>
      <c r="I439" s="7" t="n">
        <v>4</v>
      </c>
      <c r="J439" s="8" t="n">
        <v>787</v>
      </c>
      <c r="K439" s="32"/>
      <c r="L439" s="31" t="n">
        <v>934.286</v>
      </c>
      <c r="M439" s="31" t="n">
        <v>151.790268285219</v>
      </c>
      <c r="N439" s="31" t="n">
        <v>296.847903702948</v>
      </c>
      <c r="O439" s="95"/>
      <c r="P439" s="33" t="n">
        <v>43.0480465163725</v>
      </c>
      <c r="Q439" s="33" t="n">
        <v>9</v>
      </c>
      <c r="R439" s="31" t="n">
        <v>291.441395491176</v>
      </c>
      <c r="S439" s="34" t="s">
        <v>76</v>
      </c>
      <c r="T439" s="35"/>
      <c r="U439" s="35"/>
      <c r="V439" s="35" t="n">
        <v>29.0852588367588</v>
      </c>
      <c r="W439" s="35" t="n">
        <v>27.1739501375601</v>
      </c>
      <c r="X439" s="35" t="n">
        <v>4.41485924197666</v>
      </c>
      <c r="Y439" s="35" t="n">
        <v>8.63389811434951</v>
      </c>
      <c r="Z439" s="35"/>
      <c r="AA439" s="35" t="n">
        <v>1.25206357534553</v>
      </c>
      <c r="AB439" s="35" t="n">
        <v>0.261767329530829</v>
      </c>
      <c r="AC439" s="71" t="n">
        <v>8.47664842360706</v>
      </c>
      <c r="AD439" s="72"/>
      <c r="AE439" s="72"/>
      <c r="AF439" s="72"/>
      <c r="AG439" s="72"/>
      <c r="AH439" s="72"/>
      <c r="AI439" s="73" t="n">
        <v>24.6411884870191</v>
      </c>
      <c r="AJ439" s="42" t="s">
        <v>16</v>
      </c>
      <c r="AK439" s="43" t="n">
        <v>634.757876847491</v>
      </c>
      <c r="AL439" s="74"/>
      <c r="AM439" s="74"/>
      <c r="AN439" s="74"/>
      <c r="AO439" s="78" t="n">
        <v>39.76</v>
      </c>
      <c r="AP439" s="76" t="n">
        <v>1.4423110387012</v>
      </c>
      <c r="AQ439" s="76" t="n">
        <v>1.33789115646259</v>
      </c>
      <c r="AR439" s="76" t="n">
        <v>2.03243537414966</v>
      </c>
      <c r="AS439" s="77" t="n">
        <v>37.5386655805179</v>
      </c>
      <c r="AT439" s="78" t="n">
        <v>38.8716534576706</v>
      </c>
      <c r="AU439" s="78" t="n">
        <v>36.2754285387624</v>
      </c>
      <c r="AV439" s="78" t="n">
        <v>33.6491739552964</v>
      </c>
      <c r="AW439" s="78" t="n">
        <v>51.1175898931001</v>
      </c>
      <c r="AX439" s="78" t="n">
        <v>18.8925</v>
      </c>
      <c r="AY439" s="48" t="n">
        <v>1.33647266733427</v>
      </c>
      <c r="AZ439" s="48" t="n">
        <v>27.7816575926646</v>
      </c>
      <c r="BA439" s="48" t="n">
        <v>1.30360124409424</v>
      </c>
      <c r="BB439" s="49" t="n">
        <f aca="false">AT439/V439</f>
        <v>1.33647266733427</v>
      </c>
      <c r="BC439" s="49" t="n">
        <f aca="false">AS439/V439</f>
        <v>1.29064230754156</v>
      </c>
      <c r="BD439" s="49" t="n">
        <f aca="false">SUM(AP439:AR439)/V439</f>
        <v>0.165466554598135</v>
      </c>
      <c r="BE439" s="53" t="n">
        <v>6.79</v>
      </c>
      <c r="BF439" s="51" t="n">
        <v>78.91</v>
      </c>
      <c r="BG439" s="51" t="n">
        <v>606.640476492206</v>
      </c>
      <c r="BH439" s="51" t="n">
        <v>235.838296793816</v>
      </c>
      <c r="BI439" s="51" t="n">
        <v>121.277404638195</v>
      </c>
      <c r="BJ439" s="51" t="n">
        <v>7.09669243441896</v>
      </c>
      <c r="BK439" s="51" t="n">
        <v>14.0666582182233</v>
      </c>
      <c r="BL439" s="51" t="n">
        <v>7.85705233810671</v>
      </c>
      <c r="BM439" s="51" t="n">
        <v>7.22341908503358</v>
      </c>
      <c r="BN439" s="52" t="n">
        <f aca="false">(BG439*0.5-BH439*0.25+BI439*0.5)/SUM(BG439:BI439)*1000</f>
        <v>316.46942800789</v>
      </c>
      <c r="BO439" s="93" t="n">
        <v>0.259662857142857</v>
      </c>
      <c r="BP439" s="94" t="s">
        <v>491</v>
      </c>
      <c r="BQ439" s="55" t="n">
        <v>301.737254901961</v>
      </c>
      <c r="BR439" s="56" t="n">
        <v>10.3742330984731</v>
      </c>
      <c r="BS439" s="56"/>
      <c r="BT439" s="56" t="n">
        <v>7.76239825328085</v>
      </c>
      <c r="BU439" s="55" t="n">
        <v>12455.5166666667</v>
      </c>
      <c r="BV439" s="55" t="n">
        <v>428.241561698774</v>
      </c>
      <c r="BW439" s="55"/>
      <c r="BX439" s="55" t="n">
        <v>320.426726386366</v>
      </c>
      <c r="BY439" s="96" t="n">
        <v>0.13287</v>
      </c>
      <c r="BZ439" s="96" t="n">
        <v>0.4422</v>
      </c>
      <c r="CA439" s="97" t="n">
        <v>4.8177</v>
      </c>
      <c r="CB439" s="97"/>
      <c r="CC439" s="97" t="n">
        <v>3.2736</v>
      </c>
      <c r="CD439" s="97" t="n">
        <v>8.0066</v>
      </c>
      <c r="CE439" s="97" t="n">
        <v>78.78</v>
      </c>
      <c r="CF439" s="97" t="n">
        <v>34.9763</v>
      </c>
      <c r="CG439" s="97" t="n">
        <v>0.5032</v>
      </c>
      <c r="CH439" s="63" t="n">
        <v>27910.7667252595</v>
      </c>
      <c r="CI439" s="63" t="n">
        <v>5500.91522434822</v>
      </c>
      <c r="CJ439" s="64" t="n">
        <v>482158.854792041</v>
      </c>
      <c r="CK439" s="65" t="n">
        <v>1.14089270987687</v>
      </c>
    </row>
    <row r="440" s="1" customFormat="true" ht="15" hidden="false" customHeight="false" outlineLevel="0" collapsed="false">
      <c r="A440" s="7" t="s">
        <v>488</v>
      </c>
      <c r="B440" s="66" t="n">
        <v>430</v>
      </c>
      <c r="C440" s="8" t="s">
        <v>521</v>
      </c>
      <c r="D440" s="67" t="n">
        <v>41683</v>
      </c>
      <c r="E440" s="4" t="s">
        <v>490</v>
      </c>
      <c r="F440" s="7" t="n">
        <v>121</v>
      </c>
      <c r="G440" s="68" t="n">
        <v>1</v>
      </c>
      <c r="H440" s="68" t="n">
        <v>127</v>
      </c>
      <c r="I440" s="7" t="n">
        <v>4</v>
      </c>
      <c r="J440" s="8" t="n">
        <v>719</v>
      </c>
      <c r="K440" s="32"/>
      <c r="L440" s="31" t="n">
        <v>934.286</v>
      </c>
      <c r="M440" s="31" t="n">
        <v>151.790268285219</v>
      </c>
      <c r="N440" s="31" t="n">
        <v>296.847903702948</v>
      </c>
      <c r="O440" s="95"/>
      <c r="P440" s="33" t="n">
        <v>43.0480465163725</v>
      </c>
      <c r="Q440" s="33" t="n">
        <v>9</v>
      </c>
      <c r="R440" s="31" t="n">
        <v>291.441395491176</v>
      </c>
      <c r="S440" s="34" t="s">
        <v>76</v>
      </c>
      <c r="T440" s="35"/>
      <c r="U440" s="35"/>
      <c r="V440" s="35" t="n">
        <v>23.0708570897075</v>
      </c>
      <c r="W440" s="35" t="n">
        <v>21.5547787869145</v>
      </c>
      <c r="X440" s="35" t="n">
        <v>3.50193158721665</v>
      </c>
      <c r="Y440" s="35" t="n">
        <v>6.84853556370998</v>
      </c>
      <c r="Z440" s="35"/>
      <c r="AA440" s="35" t="n">
        <v>0.993155329170313</v>
      </c>
      <c r="AB440" s="35" t="n">
        <v>0.207637713807368</v>
      </c>
      <c r="AC440" s="71" t="n">
        <v>6.72380278540186</v>
      </c>
      <c r="AD440" s="72"/>
      <c r="AE440" s="72"/>
      <c r="AF440" s="72"/>
      <c r="AG440" s="72"/>
      <c r="AH440" s="72"/>
      <c r="AI440" s="73" t="n">
        <v>21.4401671380805</v>
      </c>
      <c r="AJ440" s="42" t="s">
        <v>16</v>
      </c>
      <c r="AK440" s="43" t="n">
        <v>580.227152986376</v>
      </c>
      <c r="AL440" s="74"/>
      <c r="AM440" s="74"/>
      <c r="AN440" s="74"/>
      <c r="AO440" s="78" t="n">
        <v>43.86</v>
      </c>
      <c r="AP440" s="76" t="n">
        <v>1.30456004223962</v>
      </c>
      <c r="AQ440" s="76" t="n">
        <v>1.43962244897959</v>
      </c>
      <c r="AR440" s="76" t="n">
        <v>2.11840816326531</v>
      </c>
      <c r="AS440" s="77" t="n">
        <v>37.1124006335943</v>
      </c>
      <c r="AT440" s="78" t="n">
        <v>38.4553776762712</v>
      </c>
      <c r="AU440" s="78" t="n">
        <v>29.7437310132152</v>
      </c>
      <c r="AV440" s="78" t="n">
        <v>32.8231292517007</v>
      </c>
      <c r="AW440" s="78" t="n">
        <v>48.2993197278912</v>
      </c>
      <c r="AX440" s="78" t="n">
        <v>26.055</v>
      </c>
      <c r="AY440" s="48" t="n">
        <v>1.66683784337718</v>
      </c>
      <c r="AZ440" s="48" t="n">
        <v>26.8330359383009</v>
      </c>
      <c r="BA440" s="48" t="n">
        <v>-3.76217884859333</v>
      </c>
      <c r="BB440" s="49" t="n">
        <f aca="false">AT440/V440</f>
        <v>1.66683784337718</v>
      </c>
      <c r="BC440" s="49" t="n">
        <f aca="false">AS440/V440</f>
        <v>1.60862687022369</v>
      </c>
      <c r="BD440" s="49" t="n">
        <f aca="false">SUM(AP440:AR440)/V440</f>
        <v>0.210767663965715</v>
      </c>
      <c r="BE440" s="53" t="n">
        <v>5.82</v>
      </c>
      <c r="BF440" s="51" t="n">
        <v>120.79</v>
      </c>
      <c r="BG440" s="51" t="n">
        <v>550.04553357066</v>
      </c>
      <c r="BH440" s="51" t="n">
        <v>322.046527030383</v>
      </c>
      <c r="BI440" s="51" t="n">
        <v>90.7359880784833</v>
      </c>
      <c r="BJ440" s="51" t="n">
        <v>5.0500869277258</v>
      </c>
      <c r="BK440" s="51" t="n">
        <v>19.5380412285785</v>
      </c>
      <c r="BL440" s="51" t="n">
        <v>9.27229075254574</v>
      </c>
      <c r="BM440" s="51" t="n">
        <v>3.31153241162348</v>
      </c>
      <c r="BN440" s="52" t="n">
        <f aca="false">(BG440*0.5-BH440*0.25+BI440*0.5)/SUM(BG440:BI440)*1000</f>
        <v>249.140154772141</v>
      </c>
      <c r="BO440" s="93" t="n">
        <v>6.95319428571429</v>
      </c>
      <c r="BP440" s="94" t="s">
        <v>491</v>
      </c>
      <c r="BQ440" s="55" t="n">
        <v>268.769791666667</v>
      </c>
      <c r="BR440" s="56" t="n">
        <v>11.6497532198997</v>
      </c>
      <c r="BS440" s="56"/>
      <c r="BT440" s="56" t="n">
        <v>6.9891341057485</v>
      </c>
      <c r="BU440" s="55" t="n">
        <v>10893.390625</v>
      </c>
      <c r="BV440" s="55" t="n">
        <v>472.171041701775</v>
      </c>
      <c r="BW440" s="55"/>
      <c r="BX440" s="55" t="n">
        <v>283.273531122326</v>
      </c>
      <c r="BY440" s="96" t="n">
        <v>0.13184</v>
      </c>
      <c r="BZ440" s="96" t="n">
        <v>0.6622</v>
      </c>
      <c r="CA440" s="97" t="n">
        <v>3.8481</v>
      </c>
      <c r="CB440" s="97"/>
      <c r="CC440" s="97" t="n">
        <v>7.0272</v>
      </c>
      <c r="CD440" s="97" t="n">
        <v>6.1838</v>
      </c>
      <c r="CE440" s="97" t="n">
        <v>82.82</v>
      </c>
      <c r="CF440" s="97" t="n">
        <v>39.188</v>
      </c>
      <c r="CG440" s="97" t="n">
        <v>0.1221</v>
      </c>
      <c r="CH440" s="63" t="n">
        <v>8233.12185466932</v>
      </c>
      <c r="CI440" s="63" t="n">
        <v>5809.01088991829</v>
      </c>
      <c r="CJ440" s="64" t="n">
        <v>680989.530402181</v>
      </c>
      <c r="CK440" s="65" t="n">
        <v>0.853024992394169</v>
      </c>
    </row>
    <row r="441" s="1" customFormat="true" ht="15" hidden="false" customHeight="false" outlineLevel="0" collapsed="false">
      <c r="A441" s="7" t="s">
        <v>488</v>
      </c>
      <c r="B441" s="66" t="n">
        <v>431</v>
      </c>
      <c r="C441" s="8" t="s">
        <v>522</v>
      </c>
      <c r="D441" s="67" t="n">
        <v>41683</v>
      </c>
      <c r="E441" s="4" t="s">
        <v>490</v>
      </c>
      <c r="F441" s="7" t="n">
        <v>122</v>
      </c>
      <c r="G441" s="68" t="n">
        <v>1</v>
      </c>
      <c r="H441" s="68" t="n">
        <v>197</v>
      </c>
      <c r="I441" s="7" t="n">
        <v>4</v>
      </c>
      <c r="J441" s="8" t="n">
        <v>740</v>
      </c>
      <c r="K441" s="32"/>
      <c r="L441" s="31" t="n">
        <v>934.286</v>
      </c>
      <c r="M441" s="31" t="n">
        <v>151.790268285219</v>
      </c>
      <c r="N441" s="31" t="n">
        <v>296.847903702948</v>
      </c>
      <c r="O441" s="95"/>
      <c r="P441" s="33" t="n">
        <v>43.0480465163725</v>
      </c>
      <c r="Q441" s="33" t="n">
        <v>9</v>
      </c>
      <c r="R441" s="31" t="n">
        <v>291.441395491176</v>
      </c>
      <c r="S441" s="34" t="s">
        <v>76</v>
      </c>
      <c r="T441" s="35"/>
      <c r="U441" s="35"/>
      <c r="V441" s="35" t="n">
        <v>22.5182678386579</v>
      </c>
      <c r="W441" s="35" t="n">
        <v>21.0385023859083</v>
      </c>
      <c r="X441" s="35" t="n">
        <v>3.4180539165483</v>
      </c>
      <c r="Y441" s="35" t="n">
        <v>6.68450060292712</v>
      </c>
      <c r="Z441" s="35"/>
      <c r="AA441" s="35" t="n">
        <v>0.969367441386682</v>
      </c>
      <c r="AB441" s="35" t="n">
        <v>0.202664410547921</v>
      </c>
      <c r="AC441" s="71" t="n">
        <v>6.56275540294253</v>
      </c>
      <c r="AD441" s="72"/>
      <c r="AE441" s="72"/>
      <c r="AF441" s="72"/>
      <c r="AG441" s="72"/>
      <c r="AH441" s="72"/>
      <c r="AI441" s="73" t="n">
        <v>19.5648487898956</v>
      </c>
      <c r="AJ441" s="42" t="s">
        <v>16</v>
      </c>
      <c r="AK441" s="43" t="n">
        <v>539.991333608051</v>
      </c>
      <c r="AL441" s="74"/>
      <c r="AM441" s="74"/>
      <c r="AN441" s="74"/>
      <c r="AO441" s="78" t="n">
        <v>27.2</v>
      </c>
      <c r="AP441" s="76" t="n">
        <v>0.896643581489951</v>
      </c>
      <c r="AQ441" s="76" t="n">
        <v>0.922526724975705</v>
      </c>
      <c r="AR441" s="76" t="n">
        <v>1.27673469387755</v>
      </c>
      <c r="AS441" s="77" t="n">
        <v>24.3296537223493</v>
      </c>
      <c r="AT441" s="78" t="n">
        <v>24.9512190293668</v>
      </c>
      <c r="AU441" s="78" t="n">
        <v>32.9648375547776</v>
      </c>
      <c r="AV441" s="78" t="n">
        <v>33.9164237123421</v>
      </c>
      <c r="AW441" s="78" t="n">
        <v>46.9387755102041</v>
      </c>
      <c r="AX441" s="78" t="n">
        <v>22.52</v>
      </c>
      <c r="AY441" s="48" t="n">
        <v>1.1080434431343</v>
      </c>
      <c r="AZ441" s="48" t="n">
        <v>22.7340053293862</v>
      </c>
      <c r="BA441" s="48" t="n">
        <v>-0.215737490728333</v>
      </c>
      <c r="BB441" s="49" t="n">
        <f aca="false">AT441/V441</f>
        <v>1.1080434431343</v>
      </c>
      <c r="BC441" s="49" t="n">
        <f aca="false">AS441/V441</f>
        <v>1.08044072913023</v>
      </c>
      <c r="BD441" s="49" t="n">
        <f aca="false">SUM(AP441:AR441)/V441</f>
        <v>0.137484153866771</v>
      </c>
      <c r="BE441" s="53" t="n">
        <v>6.13</v>
      </c>
      <c r="BF441" s="51" t="n">
        <v>116.42</v>
      </c>
      <c r="BG441" s="51" t="n">
        <v>551.623432399931</v>
      </c>
      <c r="BH441" s="51" t="n">
        <v>328.723587012541</v>
      </c>
      <c r="BI441" s="51" t="n">
        <v>90.7060642501288</v>
      </c>
      <c r="BJ441" s="51" t="n">
        <v>4.98196186222298</v>
      </c>
      <c r="BK441" s="51" t="n">
        <v>13.5715512798488</v>
      </c>
      <c r="BL441" s="51" t="n">
        <v>8.41779762927332</v>
      </c>
      <c r="BM441" s="51" t="n">
        <v>1.97560556605394</v>
      </c>
      <c r="BN441" s="52" t="n">
        <f aca="false">(BG441*0.5-BH441*0.25+BI441*0.5)/SUM(BG441:BI441)*1000</f>
        <v>246.107916850951</v>
      </c>
      <c r="BO441" s="93" t="n">
        <v>5.53947428571429</v>
      </c>
      <c r="BP441" s="94" t="s">
        <v>491</v>
      </c>
      <c r="BQ441" s="55" t="n">
        <v>254.125</v>
      </c>
      <c r="BR441" s="56" t="n">
        <v>11.2852818796184</v>
      </c>
      <c r="BS441" s="56"/>
      <c r="BT441" s="56" t="n">
        <v>10.1848731198625</v>
      </c>
      <c r="BU441" s="55" t="n">
        <v>11057.3645833333</v>
      </c>
      <c r="BV441" s="55" t="n">
        <v>491.03974881899</v>
      </c>
      <c r="BW441" s="55"/>
      <c r="BX441" s="55" t="n">
        <v>443.159292951545</v>
      </c>
      <c r="BY441" s="96" t="n">
        <v>0.07828</v>
      </c>
      <c r="BZ441" s="96" t="n">
        <v>0.6303</v>
      </c>
      <c r="CA441" s="97" t="n">
        <v>4.4238</v>
      </c>
      <c r="CB441" s="97"/>
      <c r="CC441" s="97" t="n">
        <v>4.4544</v>
      </c>
      <c r="CD441" s="97" t="n">
        <v>3.7534</v>
      </c>
      <c r="CE441" s="97" t="n">
        <v>80.8</v>
      </c>
      <c r="CF441" s="97" t="n">
        <v>37.5013</v>
      </c>
      <c r="CG441" s="97" t="n">
        <v>0.1015</v>
      </c>
      <c r="CH441" s="63" t="n">
        <v>14375.0734039436</v>
      </c>
      <c r="CI441" s="63" t="n">
        <v>4475.33445988856</v>
      </c>
      <c r="CJ441" s="64" t="n">
        <v>777574.118710004</v>
      </c>
      <c r="CK441" s="65" t="n">
        <v>0.575550851321176</v>
      </c>
    </row>
    <row r="442" s="1" customFormat="true" ht="15" hidden="false" customHeight="false" outlineLevel="0" collapsed="false">
      <c r="A442" s="7" t="s">
        <v>488</v>
      </c>
      <c r="B442" s="66" t="n">
        <v>432</v>
      </c>
      <c r="C442" s="8" t="s">
        <v>523</v>
      </c>
      <c r="D442" s="67" t="n">
        <v>41683</v>
      </c>
      <c r="E442" s="4" t="s">
        <v>490</v>
      </c>
      <c r="F442" s="7" t="n">
        <v>124</v>
      </c>
      <c r="G442" s="68" t="n">
        <v>1</v>
      </c>
      <c r="H442" s="68" t="n">
        <v>117</v>
      </c>
      <c r="I442" s="7" t="n">
        <v>4</v>
      </c>
      <c r="J442" s="8" t="n">
        <v>740</v>
      </c>
      <c r="K442" s="32"/>
      <c r="L442" s="31" t="n">
        <v>934.286</v>
      </c>
      <c r="M442" s="31" t="n">
        <v>151.790268285219</v>
      </c>
      <c r="N442" s="31" t="n">
        <v>296.847903702948</v>
      </c>
      <c r="O442" s="95"/>
      <c r="P442" s="33" t="n">
        <v>43.0480465163725</v>
      </c>
      <c r="Q442" s="33" t="n">
        <v>9</v>
      </c>
      <c r="R442" s="31" t="n">
        <v>291.441395491176</v>
      </c>
      <c r="S442" s="34" t="s">
        <v>76</v>
      </c>
      <c r="T442" s="35"/>
      <c r="U442" s="35"/>
      <c r="V442" s="35" t="n">
        <v>23.7450420318289</v>
      </c>
      <c r="W442" s="35" t="n">
        <v>22.1846603397493</v>
      </c>
      <c r="X442" s="35" t="n">
        <v>3.60426630045511</v>
      </c>
      <c r="Y442" s="35" t="n">
        <v>7.04866595048681</v>
      </c>
      <c r="Z442" s="35"/>
      <c r="AA442" s="35" t="n">
        <v>1.02217767391939</v>
      </c>
      <c r="AB442" s="35" t="n">
        <v>0.21370537828646</v>
      </c>
      <c r="AC442" s="71" t="n">
        <v>6.92028818575285</v>
      </c>
      <c r="AD442" s="72"/>
      <c r="AE442" s="72"/>
      <c r="AF442" s="72"/>
      <c r="AG442" s="72"/>
      <c r="AH442" s="72"/>
      <c r="AI442" s="73" t="n">
        <v>24.06393613271</v>
      </c>
      <c r="AJ442" s="42" t="s">
        <v>16</v>
      </c>
      <c r="AK442" s="43" t="n">
        <v>625.996347797552</v>
      </c>
      <c r="AL442" s="74"/>
      <c r="AM442" s="74"/>
      <c r="AN442" s="74"/>
      <c r="AO442" s="78" t="n">
        <v>38.32</v>
      </c>
      <c r="AP442" s="76" t="n">
        <v>1.31069440326753</v>
      </c>
      <c r="AQ442" s="76" t="n">
        <v>1.19168124392614</v>
      </c>
      <c r="AR442" s="76" t="n">
        <v>1.99792808551992</v>
      </c>
      <c r="AS442" s="77" t="n">
        <v>34.988416049013</v>
      </c>
      <c r="AT442" s="78" t="n">
        <v>35.9481644212288</v>
      </c>
      <c r="AU442" s="78" t="n">
        <v>34.2039249286934</v>
      </c>
      <c r="AV442" s="78" t="n">
        <v>31.0981535471331</v>
      </c>
      <c r="AW442" s="78" t="n">
        <v>52.1379980563654</v>
      </c>
      <c r="AX442" s="78" t="n">
        <v>23.3825</v>
      </c>
      <c r="AY442" s="48" t="n">
        <v>1.51392296434103</v>
      </c>
      <c r="AZ442" s="48" t="n">
        <v>26.2157028461846</v>
      </c>
      <c r="BA442" s="48" t="n">
        <v>-2.47066081435571</v>
      </c>
      <c r="BB442" s="49" t="n">
        <f aca="false">AT442/V442</f>
        <v>1.51392296434103</v>
      </c>
      <c r="BC442" s="49" t="n">
        <f aca="false">AS442/V442</f>
        <v>1.47350406885416</v>
      </c>
      <c r="BD442" s="49" t="n">
        <f aca="false">SUM(AP442:AR442)/V442</f>
        <v>0.189526037759006</v>
      </c>
      <c r="BE442" s="53" t="n">
        <v>6.39</v>
      </c>
      <c r="BF442" s="51" t="n">
        <v>102.1</v>
      </c>
      <c r="BG442" s="51" t="n">
        <v>551.518119490696</v>
      </c>
      <c r="BH442" s="51" t="n">
        <v>333.986287952987</v>
      </c>
      <c r="BI442" s="51" t="n">
        <v>81.2928501469148</v>
      </c>
      <c r="BJ442" s="51" t="n">
        <v>5.09304603330069</v>
      </c>
      <c r="BK442" s="51" t="n">
        <v>15.9647404505387</v>
      </c>
      <c r="BL442" s="51" t="n">
        <v>9.01077375122429</v>
      </c>
      <c r="BM442" s="51" t="n">
        <v>3.13418217433888</v>
      </c>
      <c r="BN442" s="52" t="n">
        <f aca="false">(BG442*0.5-BH442*0.25+BI442*0.5)/SUM(BG442:BI442)*1000</f>
        <v>240.90770945193</v>
      </c>
      <c r="BO442" s="93" t="n">
        <v>3.31791428571429</v>
      </c>
      <c r="BP442" s="94" t="s">
        <v>491</v>
      </c>
      <c r="BQ442" s="55" t="n">
        <v>292.956862745098</v>
      </c>
      <c r="BR442" s="56" t="n">
        <v>12.3376013549441</v>
      </c>
      <c r="BS442" s="56"/>
      <c r="BT442" s="56" t="n">
        <v>8.14942480267769</v>
      </c>
      <c r="BU442" s="55" t="n">
        <v>11898.8382352941</v>
      </c>
      <c r="BV442" s="55" t="n">
        <v>501.108324817635</v>
      </c>
      <c r="BW442" s="55"/>
      <c r="BX442" s="55" t="n">
        <v>330.99988349523</v>
      </c>
      <c r="BY442" s="96" t="n">
        <v>0.12772</v>
      </c>
      <c r="BZ442" s="96" t="n">
        <v>0.5379</v>
      </c>
      <c r="CA442" s="97" t="n">
        <v>4.3531</v>
      </c>
      <c r="CB442" s="97"/>
      <c r="CC442" s="97" t="n">
        <v>3.6864</v>
      </c>
      <c r="CD442" s="97" t="n">
        <v>5.9486</v>
      </c>
      <c r="CE442" s="97" t="n">
        <v>80.8</v>
      </c>
      <c r="CF442" s="97" t="n">
        <v>35.9358</v>
      </c>
      <c r="CG442" s="97" t="n">
        <v>0.1221</v>
      </c>
      <c r="CH442" s="63" t="n">
        <v>10759.8547513158</v>
      </c>
      <c r="CI442" s="63" t="n">
        <v>1171.72192346142</v>
      </c>
      <c r="CJ442" s="64" t="n">
        <v>785678.589216379</v>
      </c>
      <c r="CK442" s="65" t="n">
        <v>0.149135020292468</v>
      </c>
    </row>
    <row r="443" s="1" customFormat="true" ht="15" hidden="false" customHeight="false" outlineLevel="0" collapsed="false">
      <c r="A443" s="7" t="s">
        <v>488</v>
      </c>
      <c r="B443" s="66" t="n">
        <v>433</v>
      </c>
      <c r="C443" s="8" t="s">
        <v>524</v>
      </c>
      <c r="D443" s="67" t="n">
        <v>41683</v>
      </c>
      <c r="E443" s="4" t="s">
        <v>490</v>
      </c>
      <c r="F443" s="7" t="n">
        <v>132</v>
      </c>
      <c r="G443" s="68" t="n">
        <v>1</v>
      </c>
      <c r="H443" s="68" t="n">
        <v>147</v>
      </c>
      <c r="I443" s="7" t="n">
        <v>4</v>
      </c>
      <c r="J443" s="8" t="n">
        <v>781</v>
      </c>
      <c r="K443" s="32"/>
      <c r="L443" s="31" t="n">
        <v>934.286</v>
      </c>
      <c r="M443" s="31" t="n">
        <v>151.790268285219</v>
      </c>
      <c r="N443" s="31" t="n">
        <v>296.847903702948</v>
      </c>
      <c r="O443" s="95"/>
      <c r="P443" s="33" t="n">
        <v>43.0480465163725</v>
      </c>
      <c r="Q443" s="33" t="n">
        <v>9</v>
      </c>
      <c r="R443" s="31" t="n">
        <v>291.441395491176</v>
      </c>
      <c r="S443" s="34" t="s">
        <v>76</v>
      </c>
      <c r="T443" s="35"/>
      <c r="U443" s="35"/>
      <c r="V443" s="35" t="n">
        <v>21.5262721425087</v>
      </c>
      <c r="W443" s="35" t="n">
        <v>20.1116946949359</v>
      </c>
      <c r="X443" s="35" t="n">
        <v>3.26747862369203</v>
      </c>
      <c r="Y443" s="35" t="n">
        <v>6.39002876004288</v>
      </c>
      <c r="Z443" s="35"/>
      <c r="AA443" s="35" t="n">
        <v>0.92666396451481</v>
      </c>
      <c r="AB443" s="35" t="n">
        <v>0.193736449282578</v>
      </c>
      <c r="AC443" s="71" t="n">
        <v>6.27364679293557</v>
      </c>
      <c r="AD443" s="72"/>
      <c r="AE443" s="72"/>
      <c r="AF443" s="72"/>
      <c r="AG443" s="72"/>
      <c r="AH443" s="72"/>
      <c r="AI443" s="73" t="n">
        <v>23.6209102813284</v>
      </c>
      <c r="AJ443" s="42" t="s">
        <v>16</v>
      </c>
      <c r="AK443" s="43" t="n">
        <v>618.981661044866</v>
      </c>
      <c r="AL443" s="74"/>
      <c r="AM443" s="74"/>
      <c r="AN443" s="74"/>
      <c r="AO443" s="78" t="n">
        <v>32.76</v>
      </c>
      <c r="AP443" s="76" t="n">
        <v>0.764742126104173</v>
      </c>
      <c r="AQ443" s="76" t="n">
        <v>0.948734693877551</v>
      </c>
      <c r="AR443" s="76" t="n">
        <v>1.66665306122449</v>
      </c>
      <c r="AS443" s="77" t="n">
        <v>24.5751318915626</v>
      </c>
      <c r="AT443" s="78" t="n">
        <v>25.6348970236559</v>
      </c>
      <c r="AU443" s="78" t="n">
        <v>23.3437767431066</v>
      </c>
      <c r="AV443" s="78" t="n">
        <v>28.9601554907677</v>
      </c>
      <c r="AW443" s="78" t="n">
        <v>50.8746355685131</v>
      </c>
      <c r="AX443" s="78" t="n">
        <v>24.77</v>
      </c>
      <c r="AY443" s="48" t="n">
        <v>1.19086560152855</v>
      </c>
      <c r="AZ443" s="48" t="n">
        <v>23.2373093978751</v>
      </c>
      <c r="BA443" s="48" t="n">
        <v>-1.71103725536637</v>
      </c>
      <c r="BB443" s="49" t="n">
        <f aca="false">AT443/V443</f>
        <v>1.19086560152855</v>
      </c>
      <c r="BC443" s="49" t="n">
        <f aca="false">AS443/V443</f>
        <v>1.14163435865113</v>
      </c>
      <c r="BD443" s="49" t="n">
        <f aca="false">SUM(AP443:AR443)/V443</f>
        <v>0.157023466897984</v>
      </c>
      <c r="BE443" s="53" t="n">
        <v>6.1</v>
      </c>
      <c r="BF443" s="51" t="n">
        <v>104.99</v>
      </c>
      <c r="BG443" s="51" t="n">
        <v>574.435660539099</v>
      </c>
      <c r="BH443" s="51" t="n">
        <v>278.121725878655</v>
      </c>
      <c r="BI443" s="51" t="n">
        <v>94.9614248976093</v>
      </c>
      <c r="BJ443" s="51" t="n">
        <v>7.61977331174398</v>
      </c>
      <c r="BK443" s="51" t="n">
        <v>25.3357462615487</v>
      </c>
      <c r="BL443" s="51" t="n">
        <v>14.0013334603296</v>
      </c>
      <c r="BM443" s="51" t="n">
        <v>5.52433565101438</v>
      </c>
      <c r="BN443" s="52" t="n">
        <f aca="false">(BG443*0.5-BH443*0.25+BI443*0.5)/SUM(BG443:BI443)*1000</f>
        <v>279.855247285887</v>
      </c>
      <c r="BO443" s="93" t="n">
        <v>5.45292</v>
      </c>
      <c r="BP443" s="94" t="s">
        <v>491</v>
      </c>
      <c r="BQ443" s="55" t="n">
        <v>235.222549019608</v>
      </c>
      <c r="BR443" s="56" t="n">
        <v>10.9272310348203</v>
      </c>
      <c r="BS443" s="56"/>
      <c r="BT443" s="56" t="n">
        <v>9.17587259283874</v>
      </c>
      <c r="BU443" s="55" t="n">
        <v>11618.881372549</v>
      </c>
      <c r="BV443" s="55" t="n">
        <v>539.753529809037</v>
      </c>
      <c r="BW443" s="55"/>
      <c r="BX443" s="55" t="n">
        <v>453.244706301223</v>
      </c>
      <c r="BY443" s="96" t="n">
        <v>0.14317</v>
      </c>
      <c r="BZ443" s="96" t="n">
        <v>0.6061</v>
      </c>
      <c r="CA443" s="97" t="n">
        <v>4.1814</v>
      </c>
      <c r="CB443" s="97"/>
      <c r="CC443" s="97" t="n">
        <v>6.7104</v>
      </c>
      <c r="CD443" s="97" t="n">
        <v>7.448</v>
      </c>
      <c r="CE443" s="97" t="n">
        <v>90.9</v>
      </c>
      <c r="CF443" s="97" t="n">
        <v>38.5517</v>
      </c>
      <c r="CG443" s="97" t="n">
        <v>0.1427</v>
      </c>
      <c r="CH443" s="63" t="n">
        <v>6892.46023560906</v>
      </c>
      <c r="CI443" s="63" t="n">
        <v>3277.75156083066</v>
      </c>
      <c r="CJ443" s="64" t="n">
        <v>644956.745999089</v>
      </c>
      <c r="CK443" s="65" t="n">
        <v>0.508212617538121</v>
      </c>
    </row>
    <row r="444" s="1" customFormat="true" ht="15" hidden="false" customHeight="false" outlineLevel="0" collapsed="false">
      <c r="A444" s="7" t="s">
        <v>488</v>
      </c>
      <c r="B444" s="66" t="n">
        <v>434</v>
      </c>
      <c r="C444" s="8" t="s">
        <v>525</v>
      </c>
      <c r="D444" s="67" t="n">
        <v>41683</v>
      </c>
      <c r="E444" s="4" t="s">
        <v>490</v>
      </c>
      <c r="F444" s="7" t="n">
        <v>157</v>
      </c>
      <c r="G444" s="68" t="n">
        <v>1</v>
      </c>
      <c r="H444" s="68" t="n">
        <v>133</v>
      </c>
      <c r="I444" s="7" t="n">
        <v>4</v>
      </c>
      <c r="J444" s="8" t="n">
        <v>771</v>
      </c>
      <c r="K444" s="32"/>
      <c r="L444" s="31" t="n">
        <v>934.286</v>
      </c>
      <c r="M444" s="31" t="n">
        <v>151.790268285219</v>
      </c>
      <c r="N444" s="31" t="n">
        <v>296.847903702948</v>
      </c>
      <c r="O444" s="95"/>
      <c r="P444" s="33" t="n">
        <v>43.0480465163725</v>
      </c>
      <c r="Q444" s="33" t="n">
        <v>9</v>
      </c>
      <c r="R444" s="31" t="n">
        <v>291.441395491176</v>
      </c>
      <c r="S444" s="34" t="s">
        <v>76</v>
      </c>
      <c r="T444" s="35"/>
      <c r="U444" s="35"/>
      <c r="V444" s="35" t="n">
        <v>25.893567871474</v>
      </c>
      <c r="W444" s="35" t="n">
        <v>24.1919979523679</v>
      </c>
      <c r="X444" s="35" t="n">
        <v>3.93039161407256</v>
      </c>
      <c r="Y444" s="35" t="n">
        <v>7.68645134203706</v>
      </c>
      <c r="Z444" s="35"/>
      <c r="AA444" s="35" t="n">
        <v>1.11466751420606</v>
      </c>
      <c r="AB444" s="35" t="n">
        <v>0.233042110843266</v>
      </c>
      <c r="AC444" s="71" t="n">
        <v>7.54645755470786</v>
      </c>
      <c r="AD444" s="72"/>
      <c r="AE444" s="72"/>
      <c r="AF444" s="72"/>
      <c r="AG444" s="72"/>
      <c r="AH444" s="72"/>
      <c r="AI444" s="73" t="n">
        <v>19.6096664589941</v>
      </c>
      <c r="AJ444" s="42" t="s">
        <v>16</v>
      </c>
      <c r="AK444" s="43" t="n">
        <v>541.042678169975</v>
      </c>
      <c r="AL444" s="74"/>
      <c r="AM444" s="74"/>
      <c r="AN444" s="74"/>
      <c r="AO444" s="78" t="n">
        <v>33.66</v>
      </c>
      <c r="AP444" s="76" t="n">
        <v>1.21130489355211</v>
      </c>
      <c r="AQ444" s="76" t="n">
        <v>1.20296064139942</v>
      </c>
      <c r="AR444" s="76" t="n">
        <v>1.71652915451895</v>
      </c>
      <c r="AS444" s="77" t="n">
        <v>31.6335734032816</v>
      </c>
      <c r="AT444" s="78" t="n">
        <v>33.3098022804634</v>
      </c>
      <c r="AU444" s="78" t="n">
        <v>35.9864793093317</v>
      </c>
      <c r="AV444" s="78" t="n">
        <v>35.7385811467444</v>
      </c>
      <c r="AW444" s="78" t="n">
        <v>50.9961127308066</v>
      </c>
      <c r="AX444" s="78" t="n">
        <v>26.13</v>
      </c>
      <c r="AY444" s="48" t="n">
        <v>1.28641222583928</v>
      </c>
      <c r="AZ444" s="48" t="n">
        <v>25.5972395892827</v>
      </c>
      <c r="BA444" s="48" t="n">
        <v>0.296328282191237</v>
      </c>
      <c r="BB444" s="49" t="n">
        <f aca="false">AT444/V444</f>
        <v>1.28641222583928</v>
      </c>
      <c r="BC444" s="49" t="n">
        <f aca="false">AS444/V444</f>
        <v>1.22167688749186</v>
      </c>
      <c r="BD444" s="49" t="n">
        <f aca="false">SUM(AP444:AR444)/V444</f>
        <v>0.159529760826094</v>
      </c>
      <c r="BE444" s="53" t="n">
        <v>6.45</v>
      </c>
      <c r="BF444" s="51" t="n">
        <v>92.91</v>
      </c>
      <c r="BG444" s="51" t="n">
        <v>569.475836831342</v>
      </c>
      <c r="BH444" s="51" t="n">
        <v>311.26896997094</v>
      </c>
      <c r="BI444" s="51" t="n">
        <v>93.3161123668066</v>
      </c>
      <c r="BJ444" s="51" t="n">
        <v>4.30524163168658</v>
      </c>
      <c r="BK444" s="51" t="n">
        <v>12.3775696910989</v>
      </c>
      <c r="BL444" s="51" t="n">
        <v>6.78075556990636</v>
      </c>
      <c r="BM444" s="51" t="n">
        <v>2.47551393821978</v>
      </c>
      <c r="BN444" s="52" t="n">
        <f aca="false">(BG444*0.5-BH444*0.25+BI444*0.5)/SUM(BG444:BI444)*1000</f>
        <v>260.331491712707</v>
      </c>
      <c r="BO444" s="93" t="n">
        <v>3.31791428571429</v>
      </c>
      <c r="BP444" s="94" t="s">
        <v>491</v>
      </c>
      <c r="BQ444" s="55" t="n">
        <v>320.666666666667</v>
      </c>
      <c r="BR444" s="56" t="n">
        <v>12.3840278890239</v>
      </c>
      <c r="BS444" s="56"/>
      <c r="BT444" s="56" t="n">
        <v>9.62679585926999</v>
      </c>
      <c r="BU444" s="55" t="n">
        <v>12065.0416666667</v>
      </c>
      <c r="BV444" s="55" t="n">
        <v>465.947440173291</v>
      </c>
      <c r="BW444" s="55"/>
      <c r="BX444" s="55" t="n">
        <v>362.206943321995</v>
      </c>
      <c r="BY444" s="96" t="n">
        <v>0.09167</v>
      </c>
      <c r="BZ444" s="96" t="n">
        <v>0.4994</v>
      </c>
      <c r="CA444" s="97" t="n">
        <v>4.4036</v>
      </c>
      <c r="CB444" s="97"/>
      <c r="CC444" s="97" t="n">
        <v>4.3584</v>
      </c>
      <c r="CD444" s="97" t="n">
        <v>4.7432</v>
      </c>
      <c r="CE444" s="97" t="n">
        <v>80.8</v>
      </c>
      <c r="CF444" s="97" t="n">
        <v>35.1985</v>
      </c>
      <c r="CG444" s="97" t="n">
        <v>0.0706</v>
      </c>
      <c r="CH444" s="63" t="n">
        <v>23512.9367712037</v>
      </c>
      <c r="CI444" s="63" t="n">
        <v>3782.88760624937</v>
      </c>
      <c r="CJ444" s="64" t="n">
        <v>564316.286653682</v>
      </c>
      <c r="CK444" s="65" t="n">
        <v>0.670348826662681</v>
      </c>
    </row>
    <row r="445" s="1" customFormat="true" ht="15" hidden="false" customHeight="false" outlineLevel="0" collapsed="false">
      <c r="A445" s="7" t="s">
        <v>488</v>
      </c>
      <c r="B445" s="66" t="n">
        <v>435</v>
      </c>
      <c r="C445" s="8" t="s">
        <v>526</v>
      </c>
      <c r="D445" s="67" t="n">
        <v>41683</v>
      </c>
      <c r="E445" s="4" t="s">
        <v>490</v>
      </c>
      <c r="F445" s="7" t="n">
        <v>189</v>
      </c>
      <c r="G445" s="68" t="n">
        <v>1</v>
      </c>
      <c r="H445" s="68" t="n">
        <v>146</v>
      </c>
      <c r="I445" s="7" t="n">
        <v>3</v>
      </c>
      <c r="J445" s="8" t="n">
        <v>823</v>
      </c>
      <c r="K445" s="32"/>
      <c r="L445" s="31" t="n">
        <v>934.286</v>
      </c>
      <c r="M445" s="31" t="n">
        <v>151.790268285219</v>
      </c>
      <c r="N445" s="31" t="n">
        <v>296.847903702948</v>
      </c>
      <c r="O445" s="95"/>
      <c r="P445" s="33" t="n">
        <v>43.0480465163725</v>
      </c>
      <c r="Q445" s="33" t="n">
        <v>9</v>
      </c>
      <c r="R445" s="31" t="n">
        <v>291.441395491176</v>
      </c>
      <c r="S445" s="34" t="s">
        <v>76</v>
      </c>
      <c r="T445" s="35"/>
      <c r="U445" s="35"/>
      <c r="V445" s="35" t="n">
        <v>22.5164762876021</v>
      </c>
      <c r="W445" s="35" t="n">
        <v>21.0368285648386</v>
      </c>
      <c r="X445" s="35" t="n">
        <v>3.41778197653289</v>
      </c>
      <c r="Y445" s="35" t="n">
        <v>6.68396878475182</v>
      </c>
      <c r="Z445" s="35"/>
      <c r="AA445" s="35" t="n">
        <v>0.969290318613493</v>
      </c>
      <c r="AB445" s="35" t="n">
        <v>0.202648286588419</v>
      </c>
      <c r="AC445" s="71" t="n">
        <v>6.56223327080273</v>
      </c>
      <c r="AD445" s="72"/>
      <c r="AE445" s="72"/>
      <c r="AF445" s="72"/>
      <c r="AG445" s="72"/>
      <c r="AH445" s="72"/>
      <c r="AI445" s="73" t="n">
        <v>19.6502859207785</v>
      </c>
      <c r="AJ445" s="42" t="s">
        <v>16</v>
      </c>
      <c r="AK445" s="43" t="n">
        <v>541.991397159098</v>
      </c>
      <c r="AL445" s="74"/>
      <c r="AM445" s="74"/>
      <c r="AN445" s="74"/>
      <c r="AO445" s="78" t="n">
        <v>43.825</v>
      </c>
      <c r="AP445" s="76" t="n">
        <v>1.10170807275184</v>
      </c>
      <c r="AQ445" s="76" t="n">
        <v>1.46722181729835</v>
      </c>
      <c r="AR445" s="76" t="n">
        <v>2.24768160835763</v>
      </c>
      <c r="AS445" s="77" t="n">
        <v>34.0556210912776</v>
      </c>
      <c r="AT445" s="78" t="n">
        <v>36.8745281742836</v>
      </c>
      <c r="AU445" s="78" t="n">
        <v>25.1388037136757</v>
      </c>
      <c r="AV445" s="78" t="n">
        <v>33.4791059280855</v>
      </c>
      <c r="AW445" s="78" t="n">
        <v>51.287657920311</v>
      </c>
      <c r="AX445" s="78" t="n">
        <v>15.925</v>
      </c>
      <c r="AY445" s="48" t="n">
        <v>1.63766868773278</v>
      </c>
      <c r="AZ445" s="48" t="n">
        <v>27.2943932598438</v>
      </c>
      <c r="BA445" s="48" t="n">
        <v>-4.77791697224175</v>
      </c>
      <c r="BB445" s="49" t="n">
        <f aca="false">AT445/V445</f>
        <v>1.63766868773278</v>
      </c>
      <c r="BC445" s="49" t="n">
        <f aca="false">AS445/V445</f>
        <v>1.51247560480985</v>
      </c>
      <c r="BD445" s="49" t="n">
        <f aca="false">SUM(AP445:AR445)/V445</f>
        <v>0.213914976610258</v>
      </c>
      <c r="BE445" s="53" t="n">
        <v>6.05</v>
      </c>
      <c r="BF445" s="51" t="n">
        <v>122.49</v>
      </c>
      <c r="BG445" s="51" t="n">
        <v>510.653930933137</v>
      </c>
      <c r="BH445" s="51" t="n">
        <v>356.600538819495</v>
      </c>
      <c r="BI445" s="51" t="n">
        <v>92.9871826271532</v>
      </c>
      <c r="BJ445" s="51" t="n">
        <v>4.81671973222304</v>
      </c>
      <c r="BK445" s="51" t="n">
        <v>22.3691729937138</v>
      </c>
      <c r="BL445" s="51" t="n">
        <v>9.38852151196016</v>
      </c>
      <c r="BM445" s="51" t="n">
        <v>3.18393338231692</v>
      </c>
      <c r="BN445" s="52" t="n">
        <f aca="false">(BG445*0.5-BH445*0.25+BI445*0.5)/SUM(BG445:BI445)*1000</f>
        <v>221.475939466077</v>
      </c>
      <c r="BO445" s="93" t="n">
        <v>1.84649142857143</v>
      </c>
      <c r="BP445" s="94" t="s">
        <v>491</v>
      </c>
      <c r="BQ445" s="55" t="n">
        <v>217.478011204482</v>
      </c>
      <c r="BR445" s="56" t="n">
        <v>9.65861658043841</v>
      </c>
      <c r="BS445" s="56"/>
      <c r="BT445" s="56" t="n">
        <v>5.89778424219002</v>
      </c>
      <c r="BU445" s="55" t="n">
        <v>10791.6275910364</v>
      </c>
      <c r="BV445" s="55" t="n">
        <v>479.276928289994</v>
      </c>
      <c r="BW445" s="55"/>
      <c r="BX445" s="55" t="n">
        <v>292.658052193398</v>
      </c>
      <c r="BY445" s="96" t="n">
        <v>0.09476</v>
      </c>
      <c r="BZ445" s="96" t="n">
        <v>0.4741</v>
      </c>
      <c r="CA445" s="97" t="n">
        <v>4.4137</v>
      </c>
      <c r="CB445" s="97"/>
      <c r="CC445" s="97" t="n">
        <v>3.456</v>
      </c>
      <c r="CD445" s="97" t="n">
        <v>5.5958</v>
      </c>
      <c r="CE445" s="97" t="n">
        <v>80.8</v>
      </c>
      <c r="CF445" s="97" t="n">
        <v>35.6631</v>
      </c>
      <c r="CG445" s="97" t="n">
        <v>0.1633</v>
      </c>
      <c r="CH445" s="63" t="n">
        <v>3892.03219660539</v>
      </c>
      <c r="CI445" s="63" t="n">
        <v>742.354648519685</v>
      </c>
      <c r="CJ445" s="64" t="n">
        <v>396591.594901091</v>
      </c>
      <c r="CK445" s="65" t="n">
        <v>0.187183656452635</v>
      </c>
    </row>
    <row r="446" s="1" customFormat="true" ht="15" hidden="false" customHeight="false" outlineLevel="0" collapsed="false">
      <c r="A446" s="7" t="s">
        <v>488</v>
      </c>
      <c r="B446" s="66" t="n">
        <v>436</v>
      </c>
      <c r="C446" s="8" t="s">
        <v>527</v>
      </c>
      <c r="D446" s="67" t="n">
        <v>41683</v>
      </c>
      <c r="E446" s="4" t="s">
        <v>490</v>
      </c>
      <c r="F446" s="7" t="n">
        <v>197</v>
      </c>
      <c r="G446" s="68" t="n">
        <v>1</v>
      </c>
      <c r="H446" s="68" t="n">
        <v>185</v>
      </c>
      <c r="I446" s="7" t="n">
        <v>3</v>
      </c>
      <c r="J446" s="8" t="n">
        <v>646</v>
      </c>
      <c r="K446" s="32"/>
      <c r="L446" s="31" t="n">
        <v>934.286</v>
      </c>
      <c r="M446" s="31" t="n">
        <v>151.790268285219</v>
      </c>
      <c r="N446" s="31" t="n">
        <v>296.847903702948</v>
      </c>
      <c r="O446" s="95"/>
      <c r="P446" s="33" t="n">
        <v>43.0480465163725</v>
      </c>
      <c r="Q446" s="33" t="n">
        <v>9</v>
      </c>
      <c r="R446" s="31" t="n">
        <v>291.441395491176</v>
      </c>
      <c r="S446" s="34" t="s">
        <v>76</v>
      </c>
      <c r="T446" s="35"/>
      <c r="U446" s="35"/>
      <c r="V446" s="35" t="n">
        <v>23.5540524007281</v>
      </c>
      <c r="W446" s="35" t="n">
        <v>22.0062214012666</v>
      </c>
      <c r="X446" s="35" t="n">
        <v>3.57527593311062</v>
      </c>
      <c r="Y446" s="35" t="n">
        <v>6.99197107886553</v>
      </c>
      <c r="Z446" s="35"/>
      <c r="AA446" s="35" t="n">
        <v>1.01395594339562</v>
      </c>
      <c r="AB446" s="35" t="n">
        <v>0.211986471606553</v>
      </c>
      <c r="AC446" s="71" t="n">
        <v>6.86462590114048</v>
      </c>
      <c r="AD446" s="72"/>
      <c r="AE446" s="72"/>
      <c r="AF446" s="72"/>
      <c r="AG446" s="72"/>
      <c r="AH446" s="72"/>
      <c r="AI446" s="73" t="n">
        <v>22.6000718759596</v>
      </c>
      <c r="AJ446" s="42" t="s">
        <v>16</v>
      </c>
      <c r="AK446" s="43" t="n">
        <v>601.771178012333</v>
      </c>
      <c r="AL446" s="74"/>
      <c r="AM446" s="74"/>
      <c r="AN446" s="74"/>
      <c r="AO446" s="78" t="n">
        <v>26.06</v>
      </c>
      <c r="AP446" s="76" t="n">
        <v>0.899019109962044</v>
      </c>
      <c r="AQ446" s="76" t="n">
        <v>0.967436345966958</v>
      </c>
      <c r="AR446" s="76" t="n">
        <v>1.24031924198251</v>
      </c>
      <c r="AS446" s="77" t="n">
        <v>23.9092866494307</v>
      </c>
      <c r="AT446" s="78" t="n">
        <v>25.1269789001074</v>
      </c>
      <c r="AU446" s="78" t="n">
        <v>34.4980471973156</v>
      </c>
      <c r="AV446" s="78" t="n">
        <v>37.1234207968902</v>
      </c>
      <c r="AW446" s="78" t="n">
        <v>47.5947521865889</v>
      </c>
      <c r="AX446" s="78" t="n">
        <v>23.495</v>
      </c>
      <c r="AY446" s="48" t="n">
        <v>1.06677944298582</v>
      </c>
      <c r="AZ446" s="48" t="n">
        <v>21.2320576717163</v>
      </c>
      <c r="BA446" s="48" t="n">
        <v>2.32199472901179</v>
      </c>
      <c r="BB446" s="49" t="n">
        <f aca="false">AT446/V446</f>
        <v>1.06677944298582</v>
      </c>
      <c r="BC446" s="49" t="n">
        <f aca="false">AS446/V446</f>
        <v>1.01508166164611</v>
      </c>
      <c r="BD446" s="49" t="n">
        <f aca="false">SUM(AP446:AR446)/V446</f>
        <v>0.13189979562988</v>
      </c>
      <c r="BE446" s="53" t="n">
        <v>6.06</v>
      </c>
      <c r="BF446" s="51" t="n">
        <v>67.36</v>
      </c>
      <c r="BG446" s="51" t="n">
        <v>626.633016627078</v>
      </c>
      <c r="BH446" s="51" t="n">
        <v>231.442992874109</v>
      </c>
      <c r="BI446" s="51" t="n">
        <v>100.356294536817</v>
      </c>
      <c r="BJ446" s="51" t="n">
        <v>9.64964370546318</v>
      </c>
      <c r="BK446" s="51" t="n">
        <v>16.1817102137767</v>
      </c>
      <c r="BL446" s="51" t="n">
        <v>12.7672209026128</v>
      </c>
      <c r="BM446" s="51" t="n">
        <v>2.96912114014252</v>
      </c>
      <c r="BN446" s="52" t="n">
        <f aca="false">(BG446*0.5-BH446*0.25+BI446*0.5)/SUM(BG446:BI446)*1000</f>
        <v>318.889405204461</v>
      </c>
      <c r="BO446" s="93" t="n">
        <v>4.64508</v>
      </c>
      <c r="BP446" s="94" t="s">
        <v>491</v>
      </c>
      <c r="BQ446" s="55" t="n">
        <v>282.036666666667</v>
      </c>
      <c r="BR446" s="56" t="n">
        <v>11.974018817159</v>
      </c>
      <c r="BS446" s="56"/>
      <c r="BT446" s="56" t="n">
        <v>11.2244559040666</v>
      </c>
      <c r="BU446" s="55" t="n">
        <v>12782.5044444444</v>
      </c>
      <c r="BV446" s="55" t="n">
        <v>542.688121218976</v>
      </c>
      <c r="BW446" s="55"/>
      <c r="BX446" s="55" t="n">
        <v>508.716328184993</v>
      </c>
      <c r="BY446" s="96" t="n">
        <v>0.10712</v>
      </c>
      <c r="BZ446" s="96" t="n">
        <v>0.2871</v>
      </c>
      <c r="CA446" s="97" t="n">
        <v>4.4238</v>
      </c>
      <c r="CB446" s="97"/>
      <c r="CC446" s="97" t="n">
        <v>7.008</v>
      </c>
      <c r="CD446" s="97" t="n">
        <v>6.1446</v>
      </c>
      <c r="CE446" s="97" t="n">
        <v>74.74</v>
      </c>
      <c r="CF446" s="97" t="n">
        <v>35.7944</v>
      </c>
      <c r="CG446" s="97" t="n">
        <v>0.1633</v>
      </c>
      <c r="CH446" s="63" t="n">
        <v>11562.5311042827</v>
      </c>
      <c r="CI446" s="63" t="n">
        <v>1214.9409225634</v>
      </c>
      <c r="CJ446" s="64" t="n">
        <v>531939.045973953</v>
      </c>
      <c r="CK446" s="65" t="n">
        <v>0.228398522680151</v>
      </c>
    </row>
    <row r="447" s="1" customFormat="true" ht="15" hidden="false" customHeight="false" outlineLevel="0" collapsed="false">
      <c r="A447" s="7" t="s">
        <v>488</v>
      </c>
      <c r="B447" s="66" t="n">
        <v>437</v>
      </c>
      <c r="C447" s="8" t="s">
        <v>528</v>
      </c>
      <c r="D447" s="67" t="n">
        <v>41683</v>
      </c>
      <c r="E447" s="4" t="s">
        <v>490</v>
      </c>
      <c r="F447" s="7" t="n">
        <v>205</v>
      </c>
      <c r="G447" s="68" t="n">
        <v>1</v>
      </c>
      <c r="H447" s="68" t="n">
        <v>205</v>
      </c>
      <c r="I447" s="7" t="n">
        <v>3</v>
      </c>
      <c r="J447" s="8" t="n">
        <v>729</v>
      </c>
      <c r="K447" s="32"/>
      <c r="L447" s="31" t="n">
        <v>934.286</v>
      </c>
      <c r="M447" s="31" t="n">
        <v>151.790268285219</v>
      </c>
      <c r="N447" s="31" t="n">
        <v>296.847903702948</v>
      </c>
      <c r="O447" s="95"/>
      <c r="P447" s="33" t="n">
        <v>43.0480465163725</v>
      </c>
      <c r="Q447" s="33" t="n">
        <v>9</v>
      </c>
      <c r="R447" s="31" t="n">
        <v>291.441395491176</v>
      </c>
      <c r="S447" s="34" t="s">
        <v>76</v>
      </c>
      <c r="T447" s="35"/>
      <c r="U447" s="35"/>
      <c r="V447" s="35" t="n">
        <v>20.6858053120107</v>
      </c>
      <c r="W447" s="35" t="n">
        <v>19.3264583017373</v>
      </c>
      <c r="X447" s="35" t="n">
        <v>3.13990393800591</v>
      </c>
      <c r="Y447" s="35" t="n">
        <v>6.14053794327769</v>
      </c>
      <c r="Z447" s="35"/>
      <c r="AA447" s="35" t="n">
        <v>0.890483509300064</v>
      </c>
      <c r="AB447" s="35" t="n">
        <v>0.186172247808096</v>
      </c>
      <c r="AC447" s="71" t="n">
        <v>6.02869996699119</v>
      </c>
      <c r="AD447" s="72"/>
      <c r="AE447" s="72"/>
      <c r="AF447" s="72"/>
      <c r="AG447" s="72"/>
      <c r="AH447" s="72"/>
      <c r="AI447" s="73" t="n">
        <v>24.2909002106403</v>
      </c>
      <c r="AJ447" s="42" t="s">
        <v>16</v>
      </c>
      <c r="AK447" s="43" t="n">
        <v>629.490882513375</v>
      </c>
      <c r="AL447" s="74"/>
      <c r="AM447" s="74"/>
      <c r="AN447" s="74"/>
      <c r="AO447" s="78" t="n">
        <v>30.02</v>
      </c>
      <c r="AP447" s="76" t="n">
        <v>1.16955145232696</v>
      </c>
      <c r="AQ447" s="76" t="n">
        <v>1.02035908649174</v>
      </c>
      <c r="AR447" s="76" t="n">
        <v>1.47474344023324</v>
      </c>
      <c r="AS447" s="77" t="n">
        <v>29.5512717849044</v>
      </c>
      <c r="AT447" s="78" t="n">
        <v>30.0955990505352</v>
      </c>
      <c r="AU447" s="78" t="n">
        <v>38.9590756937696</v>
      </c>
      <c r="AV447" s="78" t="n">
        <v>33.9893100097182</v>
      </c>
      <c r="AW447" s="78" t="n">
        <v>49.1253644314869</v>
      </c>
      <c r="AX447" s="78" t="n">
        <v>24.51</v>
      </c>
      <c r="AY447" s="48" t="n">
        <v>1.45489134199</v>
      </c>
      <c r="AZ447" s="48" t="n">
        <v>24.529836106202</v>
      </c>
      <c r="BA447" s="48" t="n">
        <v>-3.84403079419126</v>
      </c>
      <c r="BB447" s="49" t="n">
        <f aca="false">AT447/V447</f>
        <v>1.45489134199</v>
      </c>
      <c r="BC447" s="49" t="n">
        <f aca="false">AS447/V447</f>
        <v>1.4285772943897</v>
      </c>
      <c r="BD447" s="49" t="n">
        <f aca="false">SUM(AP447:AR447)/V447</f>
        <v>0.177157907259436</v>
      </c>
      <c r="BE447" s="53" t="n">
        <v>6.23</v>
      </c>
      <c r="BF447" s="51" t="n">
        <v>110.54</v>
      </c>
      <c r="BG447" s="51" t="n">
        <v>556.72154876063</v>
      </c>
      <c r="BH447" s="51" t="n">
        <v>333.001628369821</v>
      </c>
      <c r="BI447" s="51" t="n">
        <v>86.6654604667994</v>
      </c>
      <c r="BJ447" s="51" t="n">
        <v>4.251854532296</v>
      </c>
      <c r="BK447" s="51" t="n">
        <v>10.7653338158133</v>
      </c>
      <c r="BL447" s="51" t="n">
        <v>6.78487425366383</v>
      </c>
      <c r="BM447" s="51" t="n">
        <v>1.80929980097702</v>
      </c>
      <c r="BN447" s="52" t="n">
        <f aca="false">(BG447*0.5-BH447*0.25+BI447*0.5)/SUM(BG447:BI447)*1000</f>
        <v>244.209209672936</v>
      </c>
      <c r="BO447" s="93" t="n">
        <v>3.20250857142857</v>
      </c>
      <c r="BP447" s="94" t="s">
        <v>491</v>
      </c>
      <c r="BQ447" s="55" t="n">
        <v>235.566666666667</v>
      </c>
      <c r="BR447" s="56" t="n">
        <v>11.3878412328424</v>
      </c>
      <c r="BS447" s="56"/>
      <c r="BT447" s="56" t="n">
        <v>7.82727953914835</v>
      </c>
      <c r="BU447" s="55" t="n">
        <v>10442.8</v>
      </c>
      <c r="BV447" s="55" t="n">
        <v>504.829270240527</v>
      </c>
      <c r="BW447" s="55"/>
      <c r="BX447" s="55" t="n">
        <v>346.987610463075</v>
      </c>
      <c r="BY447" s="96" t="n">
        <v>0.08343</v>
      </c>
      <c r="BZ447" s="96" t="n">
        <v>0.6237</v>
      </c>
      <c r="CA447" s="97" t="n">
        <v>4.0602</v>
      </c>
      <c r="CB447" s="97"/>
      <c r="CC447" s="97" t="n">
        <v>6.1728</v>
      </c>
      <c r="CD447" s="97" t="n">
        <v>6.1642</v>
      </c>
      <c r="CE447" s="97" t="n">
        <v>81.81</v>
      </c>
      <c r="CF447" s="97" t="n">
        <v>36.7741</v>
      </c>
      <c r="CG447" s="97" t="n">
        <v>0.1118</v>
      </c>
      <c r="CH447" s="63" t="n">
        <v>8643.1323403252</v>
      </c>
      <c r="CI447" s="63" t="n">
        <v>2764.49565803684</v>
      </c>
      <c r="CJ447" s="64" t="n">
        <v>468091.491624788</v>
      </c>
      <c r="CK447" s="65" t="n">
        <v>0.590588743333279</v>
      </c>
    </row>
    <row r="448" s="1" customFormat="true" ht="15" hidden="false" customHeight="false" outlineLevel="0" collapsed="false">
      <c r="A448" s="7" t="s">
        <v>488</v>
      </c>
      <c r="B448" s="66" t="n">
        <v>438</v>
      </c>
      <c r="C448" s="8" t="s">
        <v>529</v>
      </c>
      <c r="D448" s="67" t="n">
        <v>41683</v>
      </c>
      <c r="E448" s="4" t="s">
        <v>490</v>
      </c>
      <c r="F448" s="7" t="n">
        <v>214</v>
      </c>
      <c r="G448" s="68" t="n">
        <v>1</v>
      </c>
      <c r="H448" s="68" t="n">
        <v>145</v>
      </c>
      <c r="I448" s="7" t="n">
        <v>3</v>
      </c>
      <c r="J448" s="8" t="n">
        <v>750</v>
      </c>
      <c r="K448" s="32"/>
      <c r="L448" s="31" t="n">
        <v>934.286</v>
      </c>
      <c r="M448" s="31" t="n">
        <v>151.790268285219</v>
      </c>
      <c r="N448" s="31" t="n">
        <v>296.847903702948</v>
      </c>
      <c r="O448" s="95"/>
      <c r="P448" s="33" t="n">
        <v>43.0480465163725</v>
      </c>
      <c r="Q448" s="33" t="n">
        <v>9</v>
      </c>
      <c r="R448" s="31" t="n">
        <v>291.441395491176</v>
      </c>
      <c r="S448" s="34" t="s">
        <v>76</v>
      </c>
      <c r="T448" s="35"/>
      <c r="U448" s="35"/>
      <c r="V448" s="35" t="n">
        <v>27.7799645505425</v>
      </c>
      <c r="W448" s="35" t="n">
        <v>25.9544319600682</v>
      </c>
      <c r="X448" s="35" t="n">
        <v>4.21672827208072</v>
      </c>
      <c r="Y448" s="35" t="n">
        <v>8.24642424177076</v>
      </c>
      <c r="Z448" s="35"/>
      <c r="AA448" s="35" t="n">
        <v>1.19587320619493</v>
      </c>
      <c r="AB448" s="35" t="n">
        <v>0.250019680954883</v>
      </c>
      <c r="AC448" s="71" t="n">
        <v>8.09623163530551</v>
      </c>
      <c r="AD448" s="72"/>
      <c r="AE448" s="72"/>
      <c r="AF448" s="72"/>
      <c r="AG448" s="72"/>
      <c r="AH448" s="72"/>
      <c r="AI448" s="73" t="n">
        <v>26.2355007691848</v>
      </c>
      <c r="AJ448" s="42" t="s">
        <v>16</v>
      </c>
      <c r="AK448" s="43" t="n">
        <v>656.953374773351</v>
      </c>
      <c r="AL448" s="74"/>
      <c r="AM448" s="74"/>
      <c r="AN448" s="74"/>
      <c r="AO448" s="78" t="n">
        <v>41.1</v>
      </c>
      <c r="AP448" s="76" t="n">
        <v>1.22759705007971</v>
      </c>
      <c r="AQ448" s="76" t="n">
        <v>1.1872667638484</v>
      </c>
      <c r="AR448" s="76" t="n">
        <v>1.86927113702624</v>
      </c>
      <c r="AS448" s="77" t="n">
        <v>34.8539557511956</v>
      </c>
      <c r="AT448" s="78" t="n">
        <v>34.2411902259866</v>
      </c>
      <c r="AU448" s="78" t="n">
        <v>29.8685413644698</v>
      </c>
      <c r="AV448" s="78" t="n">
        <v>28.8872691933916</v>
      </c>
      <c r="AW448" s="78" t="n">
        <v>45.4810495626822</v>
      </c>
      <c r="AX448" s="78" t="n">
        <v>22.9425</v>
      </c>
      <c r="AY448" s="48" t="n">
        <v>1.23258581427232</v>
      </c>
      <c r="AZ448" s="48" t="n">
        <v>26.5901078053192</v>
      </c>
      <c r="BA448" s="48" t="n">
        <v>1.18985674522331</v>
      </c>
      <c r="BB448" s="49" t="n">
        <f aca="false">AT448/V448</f>
        <v>1.23258581427232</v>
      </c>
      <c r="BC448" s="49" t="n">
        <f aca="false">AS448/V448</f>
        <v>1.25464363670381</v>
      </c>
      <c r="BD448" s="49" t="n">
        <f aca="false">SUM(AP448:AR448)/V448</f>
        <v>0.154216717705303</v>
      </c>
      <c r="BE448" s="53" t="n">
        <v>6.21</v>
      </c>
      <c r="BF448" s="51" t="n">
        <v>108.79</v>
      </c>
      <c r="BG448" s="51" t="n">
        <v>546.006066734075</v>
      </c>
      <c r="BH448" s="51" t="n">
        <v>338.909826270797</v>
      </c>
      <c r="BI448" s="51" t="n">
        <v>84.6585164077581</v>
      </c>
      <c r="BJ448" s="51" t="n">
        <v>4.77985108925453</v>
      </c>
      <c r="BK448" s="51" t="n">
        <v>15.718356466587</v>
      </c>
      <c r="BL448" s="51" t="n">
        <v>7.26169684713669</v>
      </c>
      <c r="BM448" s="51" t="n">
        <v>2.66568618439195</v>
      </c>
      <c r="BN448" s="52" t="n">
        <f aca="false">(BG448*0.5-BH448*0.25+BI448*0.5)/SUM(BG448:BI448)*1000</f>
        <v>237.841296928328</v>
      </c>
      <c r="BO448" s="93" t="n">
        <v>3.80838857142857</v>
      </c>
      <c r="BP448" s="94" t="s">
        <v>491</v>
      </c>
      <c r="BQ448" s="55" t="n">
        <v>182.66875</v>
      </c>
      <c r="BR448" s="56" t="n">
        <v>6.5755573470101</v>
      </c>
      <c r="BS448" s="56"/>
      <c r="BT448" s="56" t="n">
        <v>5.33476636747771</v>
      </c>
      <c r="BU448" s="55" t="n">
        <v>8935.30416666667</v>
      </c>
      <c r="BV448" s="55" t="n">
        <v>321.645628827563</v>
      </c>
      <c r="BW448" s="55"/>
      <c r="BX448" s="55" t="n">
        <v>260.951915155257</v>
      </c>
      <c r="BY448" s="96" t="n">
        <v>0.08446</v>
      </c>
      <c r="BZ448" s="96" t="n">
        <v>0.4884</v>
      </c>
      <c r="CA448" s="97" t="n">
        <v>3.9794</v>
      </c>
      <c r="CB448" s="97"/>
      <c r="CC448" s="97" t="n">
        <v>4.9728</v>
      </c>
      <c r="CD448" s="97" t="n">
        <v>4.5766</v>
      </c>
      <c r="CE448" s="97" t="n">
        <v>81.81</v>
      </c>
      <c r="CF448" s="97" t="n">
        <v>36.562</v>
      </c>
      <c r="CG448" s="97" t="n">
        <v>0.153</v>
      </c>
      <c r="CH448" s="63" t="n">
        <v>11022.2667501506</v>
      </c>
      <c r="CI448" s="63" t="n">
        <v>4266.85615911076</v>
      </c>
      <c r="CJ448" s="64" t="n">
        <v>594095.237415894</v>
      </c>
      <c r="CK448" s="65" t="n">
        <v>0.718210800286851</v>
      </c>
    </row>
    <row r="449" s="1" customFormat="true" ht="15" hidden="false" customHeight="false" outlineLevel="0" collapsed="false">
      <c r="A449" s="7" t="s">
        <v>488</v>
      </c>
      <c r="B449" s="66" t="n">
        <v>439</v>
      </c>
      <c r="C449" s="8" t="s">
        <v>530</v>
      </c>
      <c r="D449" s="67" t="n">
        <v>41683</v>
      </c>
      <c r="E449" s="4" t="s">
        <v>490</v>
      </c>
      <c r="F449" s="7" t="n">
        <v>218</v>
      </c>
      <c r="G449" s="68" t="n">
        <v>1</v>
      </c>
      <c r="H449" s="68" t="n">
        <v>190</v>
      </c>
      <c r="I449" s="7" t="n">
        <v>3</v>
      </c>
      <c r="J449" s="8" t="n">
        <v>687</v>
      </c>
      <c r="K449" s="32"/>
      <c r="L449" s="31" t="n">
        <v>934.286</v>
      </c>
      <c r="M449" s="31" t="n">
        <v>151.790268285219</v>
      </c>
      <c r="N449" s="31" t="n">
        <v>296.847903702948</v>
      </c>
      <c r="O449" s="95"/>
      <c r="P449" s="33" t="n">
        <v>43.0480465163725</v>
      </c>
      <c r="Q449" s="33" t="n">
        <v>9</v>
      </c>
      <c r="R449" s="31" t="n">
        <v>291.441395491176</v>
      </c>
      <c r="S449" s="34" t="s">
        <v>76</v>
      </c>
      <c r="T449" s="35"/>
      <c r="U449" s="35"/>
      <c r="V449" s="35" t="n">
        <v>23.415953298365</v>
      </c>
      <c r="W449" s="35" t="n">
        <v>21.8771973433162</v>
      </c>
      <c r="X449" s="35" t="n">
        <v>3.55431383331297</v>
      </c>
      <c r="Y449" s="35" t="n">
        <v>6.95097664982578</v>
      </c>
      <c r="Z449" s="35"/>
      <c r="AA449" s="35" t="n">
        <v>1.00801104681322</v>
      </c>
      <c r="AB449" s="35" t="n">
        <v>0.210743579685285</v>
      </c>
      <c r="AC449" s="71" t="n">
        <v>6.8243781060317</v>
      </c>
      <c r="AD449" s="72"/>
      <c r="AE449" s="72"/>
      <c r="AF449" s="72"/>
      <c r="AG449" s="72"/>
      <c r="AH449" s="72"/>
      <c r="AI449" s="73" t="n">
        <v>23.6179255720712</v>
      </c>
      <c r="AJ449" s="42" t="s">
        <v>16</v>
      </c>
      <c r="AK449" s="43" t="n">
        <v>618.933509950479</v>
      </c>
      <c r="AL449" s="74"/>
      <c r="AM449" s="74"/>
      <c r="AN449" s="74"/>
      <c r="AO449" s="78" t="n">
        <v>35.82</v>
      </c>
      <c r="AP449" s="76" t="n">
        <v>1.08143643468057</v>
      </c>
      <c r="AQ449" s="76" t="n">
        <v>1.120027696793</v>
      </c>
      <c r="AR449" s="76" t="n">
        <v>1.69179008746356</v>
      </c>
      <c r="AS449" s="77" t="n">
        <v>30.5495465202086</v>
      </c>
      <c r="AT449" s="78" t="n">
        <v>30.9704992857655</v>
      </c>
      <c r="AU449" s="78" t="n">
        <v>30.1908552395469</v>
      </c>
      <c r="AV449" s="78" t="n">
        <v>31.268221574344</v>
      </c>
      <c r="AW449" s="78" t="n">
        <v>47.2303206997085</v>
      </c>
      <c r="AX449" s="78" t="n">
        <v>25.5175</v>
      </c>
      <c r="AY449" s="48" t="n">
        <v>1.32262389197403</v>
      </c>
      <c r="AZ449" s="48" t="n">
        <v>24.2882927162223</v>
      </c>
      <c r="BA449" s="48" t="n">
        <v>-0.872339417857305</v>
      </c>
      <c r="BB449" s="49" t="n">
        <f aca="false">AT449/V449</f>
        <v>1.32262389197403</v>
      </c>
      <c r="BC449" s="49" t="n">
        <f aca="false">AS449/V449</f>
        <v>1.3046467137574</v>
      </c>
      <c r="BD449" s="49" t="n">
        <f aca="false">SUM(AP449:AR449)/V449</f>
        <v>0.166265031764006</v>
      </c>
      <c r="BE449" s="53" t="n">
        <v>6.08</v>
      </c>
      <c r="BF449" s="51" t="n">
        <v>125.65</v>
      </c>
      <c r="BG449" s="51" t="n">
        <v>547.313967369678</v>
      </c>
      <c r="BH449" s="51" t="n">
        <v>337.206526064465</v>
      </c>
      <c r="BI449" s="51" t="n">
        <v>87.3060087544767</v>
      </c>
      <c r="BJ449" s="51" t="n">
        <v>4.93434142459212</v>
      </c>
      <c r="BK449" s="51" t="n">
        <v>12.4950258654994</v>
      </c>
      <c r="BL449" s="51" t="n">
        <v>8.99323517707919</v>
      </c>
      <c r="BM449" s="51" t="n">
        <v>1.75089534421011</v>
      </c>
      <c r="BN449" s="52" t="n">
        <f aca="false">(BG449*0.5-BH449*0.25+BI449*0.5)/SUM(BG449:BI449)*1000</f>
        <v>239.763328146753</v>
      </c>
      <c r="BO449" s="93" t="n">
        <v>4.93359428571429</v>
      </c>
      <c r="BP449" s="94" t="s">
        <v>491</v>
      </c>
      <c r="BQ449" s="55" t="n">
        <v>299.877777777778</v>
      </c>
      <c r="BR449" s="56" t="n">
        <v>12.8065585866503</v>
      </c>
      <c r="BS449" s="56"/>
      <c r="BT449" s="56" t="n">
        <v>9.68269109938456</v>
      </c>
      <c r="BU449" s="55" t="n">
        <v>11787.9055555556</v>
      </c>
      <c r="BV449" s="55" t="n">
        <v>503.413438067399</v>
      </c>
      <c r="BW449" s="55"/>
      <c r="BX449" s="55" t="n">
        <v>380.61722695486</v>
      </c>
      <c r="BY449" s="96" t="n">
        <v>0.10712</v>
      </c>
      <c r="BZ449" s="96" t="n">
        <v>0.3586</v>
      </c>
      <c r="CA449" s="97" t="n">
        <v>4.3127</v>
      </c>
      <c r="CB449" s="97"/>
      <c r="CC449" s="97" t="n">
        <v>4.5312</v>
      </c>
      <c r="CD449" s="97" t="n">
        <v>8.3398</v>
      </c>
      <c r="CE449" s="97" t="n">
        <v>83.83</v>
      </c>
      <c r="CF449" s="97" t="n">
        <v>37.1781</v>
      </c>
      <c r="CG449" s="97" t="n">
        <v>0.1221</v>
      </c>
      <c r="CH449" s="63" t="n">
        <v>10858.3837718037</v>
      </c>
      <c r="CI449" s="63" t="n">
        <v>2637.60219745617</v>
      </c>
      <c r="CJ449" s="64" t="n">
        <v>418140.605433148</v>
      </c>
      <c r="CK449" s="65" t="n">
        <v>0.630793126327423</v>
      </c>
    </row>
    <row r="450" s="1" customFormat="true" ht="15" hidden="false" customHeight="false" outlineLevel="0" collapsed="false">
      <c r="A450" s="7" t="s">
        <v>488</v>
      </c>
      <c r="B450" s="66" t="n">
        <v>440</v>
      </c>
      <c r="C450" s="8" t="s">
        <v>531</v>
      </c>
      <c r="D450" s="67" t="n">
        <v>41683</v>
      </c>
      <c r="E450" s="4" t="s">
        <v>490</v>
      </c>
      <c r="F450" s="7" t="n">
        <v>221</v>
      </c>
      <c r="G450" s="68" t="n">
        <v>1</v>
      </c>
      <c r="H450" s="68" t="n">
        <v>182</v>
      </c>
      <c r="I450" s="7" t="n">
        <v>3</v>
      </c>
      <c r="J450" s="8" t="n">
        <v>740</v>
      </c>
      <c r="K450" s="32"/>
      <c r="L450" s="31" t="n">
        <v>934.286</v>
      </c>
      <c r="M450" s="31" t="n">
        <v>151.790268285219</v>
      </c>
      <c r="N450" s="31" t="n">
        <v>296.847903702948</v>
      </c>
      <c r="O450" s="95"/>
      <c r="P450" s="33" t="n">
        <v>43.0480465163725</v>
      </c>
      <c r="Q450" s="33" t="n">
        <v>9</v>
      </c>
      <c r="R450" s="31" t="n">
        <v>291.441395491176</v>
      </c>
      <c r="S450" s="34" t="s">
        <v>76</v>
      </c>
      <c r="T450" s="35"/>
      <c r="U450" s="35"/>
      <c r="V450" s="35" t="n">
        <v>21.6185547266361</v>
      </c>
      <c r="W450" s="35" t="n">
        <v>20.1979130213299</v>
      </c>
      <c r="X450" s="35" t="n">
        <v>3.28148622189478</v>
      </c>
      <c r="Y450" s="35" t="n">
        <v>6.41742265168939</v>
      </c>
      <c r="Z450" s="35"/>
      <c r="AA450" s="35" t="n">
        <v>0.930636549488976</v>
      </c>
      <c r="AB450" s="35" t="n">
        <v>0.194566992539725</v>
      </c>
      <c r="AC450" s="71" t="n">
        <v>6.30054175803319</v>
      </c>
      <c r="AD450" s="72"/>
      <c r="AE450" s="72"/>
      <c r="AF450" s="72"/>
      <c r="AG450" s="72"/>
      <c r="AH450" s="72"/>
      <c r="AI450" s="73" t="n">
        <v>22.8762279674355</v>
      </c>
      <c r="AJ450" s="42" t="s">
        <v>16</v>
      </c>
      <c r="AK450" s="43" t="n">
        <v>606.57849655933</v>
      </c>
      <c r="AL450" s="74"/>
      <c r="AM450" s="74"/>
      <c r="AN450" s="74"/>
      <c r="AO450" s="78" t="n">
        <v>37.4</v>
      </c>
      <c r="AP450" s="76" t="n">
        <v>1.06850958333969</v>
      </c>
      <c r="AQ450" s="76" t="n">
        <v>1.2175898931001</v>
      </c>
      <c r="AR450" s="76" t="n">
        <v>1.96449951409135</v>
      </c>
      <c r="AS450" s="77" t="n">
        <v>30.9876437500954</v>
      </c>
      <c r="AT450" s="78" t="n">
        <v>33.0116542732495</v>
      </c>
      <c r="AU450" s="78" t="n">
        <v>28.5697749556068</v>
      </c>
      <c r="AV450" s="78" t="n">
        <v>32.555879494655</v>
      </c>
      <c r="AW450" s="78" t="n">
        <v>52.5267249757046</v>
      </c>
      <c r="AX450" s="78" t="n">
        <v>23.3</v>
      </c>
      <c r="AY450" s="48" t="n">
        <v>1.52700560655778</v>
      </c>
      <c r="AZ450" s="48" t="n">
        <v>25.1766615286162</v>
      </c>
      <c r="BA450" s="48" t="n">
        <v>-3.55810680198014</v>
      </c>
      <c r="BB450" s="49" t="n">
        <f aca="false">AT450/V450</f>
        <v>1.52700560655778</v>
      </c>
      <c r="BC450" s="49" t="n">
        <f aca="false">AS450/V450</f>
        <v>1.43338183990236</v>
      </c>
      <c r="BD450" s="49" t="n">
        <f aca="false">SUM(AP450:AR450)/V450</f>
        <v>0.19661809238774</v>
      </c>
      <c r="BE450" s="53" t="n">
        <v>5.9</v>
      </c>
      <c r="BF450" s="51" t="n">
        <v>119.93</v>
      </c>
      <c r="BG450" s="51" t="n">
        <v>548.319853247728</v>
      </c>
      <c r="BH450" s="51" t="n">
        <v>336.779788209789</v>
      </c>
      <c r="BI450" s="51" t="n">
        <v>83.2985908446594</v>
      </c>
      <c r="BJ450" s="51" t="n">
        <v>4.91953639623113</v>
      </c>
      <c r="BK450" s="51" t="n">
        <v>15.6758108896857</v>
      </c>
      <c r="BL450" s="51" t="n">
        <v>8.83848911865255</v>
      </c>
      <c r="BM450" s="51" t="n">
        <v>2.1679312932544</v>
      </c>
      <c r="BN450" s="52" t="n">
        <f aca="false">(BG450*0.5-BH450*0.25+BI450*0.5)/SUM(BG450:BI450)*1000</f>
        <v>239.172550370243</v>
      </c>
      <c r="BO450" s="93" t="n">
        <v>3.26021142857143</v>
      </c>
      <c r="BP450" s="94" t="s">
        <v>491</v>
      </c>
      <c r="BQ450" s="55" t="n">
        <v>255.778125</v>
      </c>
      <c r="BR450" s="56" t="n">
        <v>11.8314164954264</v>
      </c>
      <c r="BS450" s="56"/>
      <c r="BT450" s="56" t="n">
        <v>7.74811594968343</v>
      </c>
      <c r="BU450" s="55" t="n">
        <v>11717.4416666667</v>
      </c>
      <c r="BV450" s="55" t="n">
        <v>542.008557687239</v>
      </c>
      <c r="BW450" s="55"/>
      <c r="BX450" s="55" t="n">
        <v>354.948636311198</v>
      </c>
      <c r="BY450" s="96" t="n">
        <v>0.12978</v>
      </c>
      <c r="BZ450" s="96" t="n">
        <v>0.4873</v>
      </c>
      <c r="CA450" s="97" t="n">
        <v>4.444</v>
      </c>
      <c r="CB450" s="97"/>
      <c r="CC450" s="97" t="n">
        <v>4.4448</v>
      </c>
      <c r="CD450" s="97" t="n">
        <v>7.007</v>
      </c>
      <c r="CE450" s="97" t="n">
        <v>78.78</v>
      </c>
      <c r="CF450" s="97" t="n">
        <v>35.5823</v>
      </c>
      <c r="CG450" s="97" t="n">
        <v>0.1221</v>
      </c>
      <c r="CH450" s="63" t="n">
        <v>8434.10976772106</v>
      </c>
      <c r="CI450" s="63" t="n">
        <v>3605.6382070759</v>
      </c>
      <c r="CJ450" s="64" t="n">
        <v>556809.009300624</v>
      </c>
      <c r="CK450" s="65" t="n">
        <v>0.647553855424275</v>
      </c>
    </row>
    <row r="451" s="1" customFormat="true" ht="15" hidden="false" customHeight="false" outlineLevel="0" collapsed="false">
      <c r="A451" s="7" t="s">
        <v>488</v>
      </c>
      <c r="B451" s="66" t="n">
        <v>441</v>
      </c>
      <c r="C451" s="8" t="s">
        <v>532</v>
      </c>
      <c r="D451" s="67" t="n">
        <v>41683</v>
      </c>
      <c r="E451" s="4" t="s">
        <v>490</v>
      </c>
      <c r="F451" s="7" t="n">
        <v>225</v>
      </c>
      <c r="G451" s="68" t="n">
        <v>1</v>
      </c>
      <c r="H451" s="68" t="n">
        <v>152</v>
      </c>
      <c r="I451" s="7" t="n">
        <v>3</v>
      </c>
      <c r="J451" s="8" t="n">
        <v>755</v>
      </c>
      <c r="K451" s="32"/>
      <c r="L451" s="31" t="n">
        <v>934.286</v>
      </c>
      <c r="M451" s="31" t="n">
        <v>151.790268285219</v>
      </c>
      <c r="N451" s="31" t="n">
        <v>296.847903702948</v>
      </c>
      <c r="O451" s="95"/>
      <c r="P451" s="33" t="n">
        <v>43.0480465163725</v>
      </c>
      <c r="Q451" s="33" t="n">
        <v>9</v>
      </c>
      <c r="R451" s="31" t="n">
        <v>291.441395491176</v>
      </c>
      <c r="S451" s="34" t="s">
        <v>76</v>
      </c>
      <c r="T451" s="35"/>
      <c r="U451" s="35"/>
      <c r="V451" s="35" t="n">
        <v>23.8815946590422</v>
      </c>
      <c r="W451" s="35" t="n">
        <v>22.3122395476179</v>
      </c>
      <c r="X451" s="35" t="n">
        <v>3.62499366037486</v>
      </c>
      <c r="Y451" s="35" t="n">
        <v>7.0892013116202</v>
      </c>
      <c r="Z451" s="35"/>
      <c r="AA451" s="35" t="n">
        <v>1.0280559977676</v>
      </c>
      <c r="AB451" s="35" t="n">
        <v>0.21493435193138</v>
      </c>
      <c r="AC451" s="71" t="n">
        <v>6.96008527398587</v>
      </c>
      <c r="AD451" s="72"/>
      <c r="AE451" s="72"/>
      <c r="AF451" s="72"/>
      <c r="AG451" s="72"/>
      <c r="AH451" s="72"/>
      <c r="AI451" s="73" t="n">
        <v>24.3673679275431</v>
      </c>
      <c r="AJ451" s="42" t="s">
        <v>16</v>
      </c>
      <c r="AK451" s="43" t="n">
        <v>630.653584467485</v>
      </c>
      <c r="AL451" s="74"/>
      <c r="AM451" s="74"/>
      <c r="AN451" s="74"/>
      <c r="AO451" s="78" t="n">
        <v>38.84</v>
      </c>
      <c r="AP451" s="76" t="n">
        <v>1.33098384682058</v>
      </c>
      <c r="AQ451" s="76" t="n">
        <v>1.29844120505345</v>
      </c>
      <c r="AR451" s="76" t="n">
        <v>1.88160738581147</v>
      </c>
      <c r="AS451" s="77" t="n">
        <v>35.5007577023087</v>
      </c>
      <c r="AT451" s="78" t="n">
        <v>36.4091505276571</v>
      </c>
      <c r="AU451" s="78" t="n">
        <v>34.2683791663384</v>
      </c>
      <c r="AV451" s="78" t="n">
        <v>33.4305150631681</v>
      </c>
      <c r="AW451" s="78" t="n">
        <v>48.4450923226433</v>
      </c>
      <c r="AX451" s="78" t="n">
        <v>30.09</v>
      </c>
      <c r="AY451" s="48" t="n">
        <v>1.52456948740111</v>
      </c>
      <c r="AZ451" s="48" t="n">
        <v>26.9410840029686</v>
      </c>
      <c r="BA451" s="48" t="n">
        <v>-3.05948934392644</v>
      </c>
      <c r="BB451" s="49" t="n">
        <f aca="false">AT451/V451</f>
        <v>1.52456948740111</v>
      </c>
      <c r="BC451" s="49" t="n">
        <f aca="false">AS451/V451</f>
        <v>1.48653212690164</v>
      </c>
      <c r="BD451" s="49" t="n">
        <f aca="false">SUM(AP451:AR451)/V451</f>
        <v>0.188891592127308</v>
      </c>
      <c r="BE451" s="53" t="n">
        <v>5.86</v>
      </c>
      <c r="BF451" s="51" t="n">
        <v>127.84</v>
      </c>
      <c r="BG451" s="51" t="n">
        <v>552.018147684606</v>
      </c>
      <c r="BH451" s="51" t="n">
        <v>335.02816020025</v>
      </c>
      <c r="BI451" s="51" t="n">
        <v>81.4299123904881</v>
      </c>
      <c r="BJ451" s="51" t="n">
        <v>4.84981226533167</v>
      </c>
      <c r="BK451" s="51" t="n">
        <v>15.7227784730914</v>
      </c>
      <c r="BL451" s="51" t="n">
        <v>8.1351689612015</v>
      </c>
      <c r="BM451" s="51" t="n">
        <v>2.81602002503129</v>
      </c>
      <c r="BN451" s="52" t="n">
        <f aca="false">(BG451*0.5-BH451*0.25+BI451*0.5)/SUM(BG451:BI451)*1000</f>
        <v>240.550036346014</v>
      </c>
      <c r="BO451" s="93" t="n">
        <v>4.27001142857143</v>
      </c>
      <c r="BP451" s="94" t="s">
        <v>491</v>
      </c>
      <c r="BQ451" s="55" t="n">
        <v>293.367708333333</v>
      </c>
      <c r="BR451" s="56" t="n">
        <v>12.284259594962</v>
      </c>
      <c r="BS451" s="56"/>
      <c r="BT451" s="56" t="n">
        <v>8.05752686019096</v>
      </c>
      <c r="BU451" s="55" t="n">
        <v>12509.16875</v>
      </c>
      <c r="BV451" s="55" t="n">
        <v>523.799558973911</v>
      </c>
      <c r="BW451" s="55"/>
      <c r="BX451" s="55" t="n">
        <v>343.572112194647</v>
      </c>
      <c r="BY451" s="96" t="n">
        <v>0.10197</v>
      </c>
      <c r="BZ451" s="96" t="n">
        <v>0.5676</v>
      </c>
      <c r="CA451" s="97" t="n">
        <v>4.1511</v>
      </c>
      <c r="CB451" s="97"/>
      <c r="CC451" s="97" t="n">
        <v>6.8928</v>
      </c>
      <c r="CD451" s="97" t="n">
        <v>5.145</v>
      </c>
      <c r="CE451" s="97" t="n">
        <v>97.97</v>
      </c>
      <c r="CF451" s="97" t="n">
        <v>38.6123</v>
      </c>
      <c r="CG451" s="97" t="n">
        <v>0.094</v>
      </c>
      <c r="CH451" s="63" t="n">
        <v>3789.8510270475</v>
      </c>
      <c r="CI451" s="63" t="n">
        <v>4175.29884688136</v>
      </c>
      <c r="CJ451" s="64" t="n">
        <v>696454.030903773</v>
      </c>
      <c r="CK451" s="65" t="n">
        <v>0.59950817449691</v>
      </c>
    </row>
    <row r="452" s="1" customFormat="true" ht="15" hidden="false" customHeight="false" outlineLevel="0" collapsed="false">
      <c r="A452" s="7" t="s">
        <v>488</v>
      </c>
      <c r="B452" s="66" t="n">
        <v>442</v>
      </c>
      <c r="C452" s="8" t="s">
        <v>533</v>
      </c>
      <c r="D452" s="67" t="n">
        <v>41683</v>
      </c>
      <c r="E452" s="4" t="s">
        <v>490</v>
      </c>
      <c r="F452" s="7" t="n">
        <v>237</v>
      </c>
      <c r="G452" s="68" t="n">
        <v>1</v>
      </c>
      <c r="H452" s="68" t="n">
        <v>193</v>
      </c>
      <c r="I452" s="7" t="n">
        <v>3</v>
      </c>
      <c r="J452" s="8" t="n">
        <v>771</v>
      </c>
      <c r="K452" s="32"/>
      <c r="L452" s="31" t="n">
        <v>934.286</v>
      </c>
      <c r="M452" s="31" t="n">
        <v>151.790268285219</v>
      </c>
      <c r="N452" s="31" t="n">
        <v>296.847903702948</v>
      </c>
      <c r="O452" s="95"/>
      <c r="P452" s="33" t="n">
        <v>43.0480465163725</v>
      </c>
      <c r="Q452" s="33" t="n">
        <v>9</v>
      </c>
      <c r="R452" s="31" t="n">
        <v>291.441395491176</v>
      </c>
      <c r="S452" s="34" t="s">
        <v>76</v>
      </c>
      <c r="T452" s="35"/>
      <c r="U452" s="35"/>
      <c r="V452" s="35" t="n">
        <v>21.5006894248757</v>
      </c>
      <c r="W452" s="35" t="n">
        <v>20.0877931200094</v>
      </c>
      <c r="X452" s="35" t="n">
        <v>3.26359541611905</v>
      </c>
      <c r="Y452" s="35" t="n">
        <v>6.38243458394251</v>
      </c>
      <c r="Z452" s="35"/>
      <c r="AA452" s="35" t="n">
        <v>0.92556267849613</v>
      </c>
      <c r="AB452" s="35" t="n">
        <v>0.193506204823882</v>
      </c>
      <c r="AC452" s="71" t="n">
        <v>6.26619093000816</v>
      </c>
      <c r="AD452" s="72"/>
      <c r="AE452" s="72"/>
      <c r="AF452" s="72"/>
      <c r="AG452" s="72"/>
      <c r="AH452" s="72"/>
      <c r="AI452" s="73" t="n">
        <v>22.0634756508593</v>
      </c>
      <c r="AJ452" s="42" t="s">
        <v>16</v>
      </c>
      <c r="AK452" s="43" t="n">
        <v>592.086027495423</v>
      </c>
      <c r="AL452" s="74"/>
      <c r="AM452" s="74"/>
      <c r="AN452" s="74"/>
      <c r="AO452" s="78" t="n">
        <v>31.96</v>
      </c>
      <c r="AP452" s="76" t="n">
        <v>0.993564877586147</v>
      </c>
      <c r="AQ452" s="76" t="n">
        <v>1.13211078717201</v>
      </c>
      <c r="AR452" s="76" t="n">
        <v>1.57703498542274</v>
      </c>
      <c r="AS452" s="77" t="n">
        <v>27.6874731637922</v>
      </c>
      <c r="AT452" s="78" t="n">
        <v>29.3618937961797</v>
      </c>
      <c r="AU452" s="78" t="n">
        <v>31.0877621272261</v>
      </c>
      <c r="AV452" s="78" t="n">
        <v>35.4227405247813</v>
      </c>
      <c r="AW452" s="78" t="n">
        <v>49.3440233236152</v>
      </c>
      <c r="AX452" s="78" t="n">
        <v>24.02</v>
      </c>
      <c r="AY452" s="48" t="n">
        <v>1.36562568836554</v>
      </c>
      <c r="AZ452" s="48" t="n">
        <v>24.4023571954522</v>
      </c>
      <c r="BA452" s="48" t="n">
        <v>-2.90166777057651</v>
      </c>
      <c r="BB452" s="49" t="n">
        <f aca="false">AT452/V452</f>
        <v>1.36562568836554</v>
      </c>
      <c r="BC452" s="49" t="n">
        <f aca="false">AS452/V452</f>
        <v>1.2877481561944</v>
      </c>
      <c r="BD452" s="49" t="n">
        <f aca="false">SUM(AP452:AR452)/V452</f>
        <v>0.172213577760765</v>
      </c>
      <c r="BE452" s="53" t="n">
        <v>5.98</v>
      </c>
      <c r="BF452" s="51" t="n">
        <v>122.44</v>
      </c>
      <c r="BG452" s="51" t="n">
        <v>555.700751388435</v>
      </c>
      <c r="BH452" s="51" t="n">
        <v>318.44168572362</v>
      </c>
      <c r="BI452" s="51" t="n">
        <v>96.1287161058478</v>
      </c>
      <c r="BJ452" s="51" t="n">
        <v>4.57366873570729</v>
      </c>
      <c r="BK452" s="51" t="n">
        <v>15.1911140150278</v>
      </c>
      <c r="BL452" s="51" t="n">
        <v>7.92224763149298</v>
      </c>
      <c r="BM452" s="51" t="n">
        <v>2.04181639986932</v>
      </c>
      <c r="BN452" s="52" t="n">
        <f aca="false">(BG452*0.5-BH452*0.25+BI452*0.5)/SUM(BG452:BI452)*1000</f>
        <v>253.85101010101</v>
      </c>
      <c r="BO452" s="93" t="n">
        <v>5.65488</v>
      </c>
      <c r="BP452" s="94" t="s">
        <v>491</v>
      </c>
      <c r="BQ452" s="55" t="n">
        <v>268.119047619048</v>
      </c>
      <c r="BR452" s="56" t="n">
        <v>12.4702535030733</v>
      </c>
      <c r="BS452" s="56"/>
      <c r="BT452" s="56" t="n">
        <v>9.13153114306043</v>
      </c>
      <c r="BU452" s="55" t="n">
        <v>12366.8928571429</v>
      </c>
      <c r="BV452" s="55" t="n">
        <v>575.185874869421</v>
      </c>
      <c r="BW452" s="55"/>
      <c r="BX452" s="55" t="n">
        <v>421.188529016202</v>
      </c>
      <c r="BY452" s="96" t="n">
        <v>0.07828</v>
      </c>
      <c r="BZ452" s="96" t="n">
        <v>0.8217</v>
      </c>
      <c r="CA452" s="97" t="n">
        <v>4.545</v>
      </c>
      <c r="CB452" s="97"/>
      <c r="CC452" s="97" t="n">
        <v>5.52</v>
      </c>
      <c r="CD452" s="97" t="n">
        <v>6.8894</v>
      </c>
      <c r="CE452" s="97" t="n">
        <v>88.88</v>
      </c>
      <c r="CF452" s="97" t="n">
        <v>36.4408</v>
      </c>
      <c r="CG452" s="97" t="n">
        <v>0.05</v>
      </c>
      <c r="CH452" s="63" t="n">
        <v>3490.88044900029</v>
      </c>
      <c r="CI452" s="63" t="n">
        <v>2764.88050861766</v>
      </c>
      <c r="CJ452" s="64" t="n">
        <v>713580.932610639</v>
      </c>
      <c r="CK452" s="65" t="n">
        <v>0.387465581304469</v>
      </c>
    </row>
    <row r="453" s="1" customFormat="true" ht="15" hidden="false" customHeight="false" outlineLevel="0" collapsed="false">
      <c r="A453" s="7" t="s">
        <v>488</v>
      </c>
      <c r="B453" s="66" t="n">
        <v>443</v>
      </c>
      <c r="C453" s="8" t="s">
        <v>534</v>
      </c>
      <c r="D453" s="67" t="n">
        <v>41683</v>
      </c>
      <c r="E453" s="4" t="s">
        <v>490</v>
      </c>
      <c r="F453" s="7" t="n">
        <v>240</v>
      </c>
      <c r="G453" s="68" t="n">
        <v>1</v>
      </c>
      <c r="H453" s="68" t="n">
        <v>136</v>
      </c>
      <c r="I453" s="7" t="n">
        <v>3</v>
      </c>
      <c r="J453" s="8" t="n">
        <v>646</v>
      </c>
      <c r="K453" s="32"/>
      <c r="L453" s="31" t="n">
        <v>934.286</v>
      </c>
      <c r="M453" s="31" t="n">
        <v>151.790268285219</v>
      </c>
      <c r="N453" s="31" t="n">
        <v>296.847903702948</v>
      </c>
      <c r="O453" s="95"/>
      <c r="P453" s="33" t="n">
        <v>43.0480465163725</v>
      </c>
      <c r="Q453" s="33" t="n">
        <v>9</v>
      </c>
      <c r="R453" s="31" t="n">
        <v>291.441395491176</v>
      </c>
      <c r="S453" s="34" t="s">
        <v>76</v>
      </c>
      <c r="T453" s="35"/>
      <c r="U453" s="35"/>
      <c r="V453" s="35" t="n">
        <v>21.5077084162201</v>
      </c>
      <c r="W453" s="35" t="n">
        <v>20.0943508653566</v>
      </c>
      <c r="X453" s="35" t="n">
        <v>3.26466083069831</v>
      </c>
      <c r="Y453" s="35" t="n">
        <v>6.3845181568092</v>
      </c>
      <c r="Z453" s="35"/>
      <c r="AA453" s="35" t="n">
        <v>0.925864832362021</v>
      </c>
      <c r="AB453" s="35" t="n">
        <v>0.193569375745981</v>
      </c>
      <c r="AC453" s="71" t="n">
        <v>6.26823655464051</v>
      </c>
      <c r="AD453" s="72"/>
      <c r="AE453" s="72"/>
      <c r="AF453" s="72"/>
      <c r="AG453" s="72"/>
      <c r="AH453" s="72"/>
      <c r="AI453" s="73" t="n">
        <v>21.5479147935902</v>
      </c>
      <c r="AJ453" s="42" t="s">
        <v>16</v>
      </c>
      <c r="AK453" s="43" t="n">
        <v>582.326174657178</v>
      </c>
      <c r="AL453" s="74"/>
      <c r="AM453" s="74"/>
      <c r="AN453" s="74"/>
      <c r="AO453" s="78" t="n">
        <v>47.2</v>
      </c>
      <c r="AP453" s="76" t="n">
        <v>1.2176416402947</v>
      </c>
      <c r="AQ453" s="76" t="n">
        <v>1.34283770651118</v>
      </c>
      <c r="AR453" s="76" t="n">
        <v>2.36344023323615</v>
      </c>
      <c r="AS453" s="77" t="n">
        <v>37.1446246044205</v>
      </c>
      <c r="AT453" s="78" t="n">
        <v>37.9620027957272</v>
      </c>
      <c r="AU453" s="78" t="n">
        <v>25.797492379125</v>
      </c>
      <c r="AV453" s="78" t="n">
        <v>28.4499514091351</v>
      </c>
      <c r="AW453" s="78" t="n">
        <v>50.0728862973761</v>
      </c>
      <c r="AX453" s="78" t="n">
        <v>31.5125</v>
      </c>
      <c r="AY453" s="48" t="n">
        <v>1.76504172648621</v>
      </c>
      <c r="AZ453" s="48" t="n">
        <v>25.9105770890801</v>
      </c>
      <c r="BA453" s="48" t="n">
        <v>-4.40286867285997</v>
      </c>
      <c r="BB453" s="49" t="n">
        <f aca="false">AT453/V453</f>
        <v>1.76504172648621</v>
      </c>
      <c r="BC453" s="49" t="n">
        <f aca="false">AS453/V453</f>
        <v>1.72703776179185</v>
      </c>
      <c r="BD453" s="49" t="n">
        <f aca="false">SUM(AP453:AR453)/V453</f>
        <v>0.228937434186556</v>
      </c>
      <c r="BE453" s="53" t="n">
        <v>5.62</v>
      </c>
      <c r="BF453" s="51" t="n">
        <v>124.96</v>
      </c>
      <c r="BG453" s="51" t="n">
        <v>534.811139564661</v>
      </c>
      <c r="BH453" s="51" t="n">
        <v>326.504481434059</v>
      </c>
      <c r="BI453" s="51" t="n">
        <v>101.63252240717</v>
      </c>
      <c r="BJ453" s="51" t="n">
        <v>4.08130601792574</v>
      </c>
      <c r="BK453" s="51" t="n">
        <v>21.7669654289373</v>
      </c>
      <c r="BL453" s="51" t="n">
        <v>6.96222791293214</v>
      </c>
      <c r="BM453" s="51" t="n">
        <v>4.24135723431498</v>
      </c>
      <c r="BN453" s="52" t="n">
        <f aca="false">(BG453*0.5-BH453*0.25+BI453*0.5)/SUM(BG453:BI453)*1000</f>
        <v>245.699326851159</v>
      </c>
      <c r="BO453" s="93" t="n">
        <v>7.29941142857143</v>
      </c>
      <c r="BP453" s="94" t="s">
        <v>491</v>
      </c>
      <c r="BQ453" s="55" t="n">
        <v>246.935714285714</v>
      </c>
      <c r="BR453" s="56" t="n">
        <v>11.4812656702881</v>
      </c>
      <c r="BS453" s="56"/>
      <c r="BT453" s="56" t="n">
        <v>6.50481260471083</v>
      </c>
      <c r="BU453" s="55" t="n">
        <v>11956.4361344538</v>
      </c>
      <c r="BV453" s="55" t="n">
        <v>555.913996185516</v>
      </c>
      <c r="BW453" s="55"/>
      <c r="BX453" s="55" t="n">
        <v>314.957990988809</v>
      </c>
      <c r="BY453" s="96" t="n">
        <v>0.11124</v>
      </c>
      <c r="BZ453" s="96" t="n">
        <v>0.8514</v>
      </c>
      <c r="CA453" s="97" t="n">
        <v>3.8986</v>
      </c>
      <c r="CB453" s="97"/>
      <c r="CC453" s="97" t="n">
        <v>7.2</v>
      </c>
      <c r="CD453" s="97" t="n">
        <v>9.0552</v>
      </c>
      <c r="CE453" s="97" t="n">
        <v>94.94</v>
      </c>
      <c r="CF453" s="97" t="n">
        <v>38.9052</v>
      </c>
      <c r="CG453" s="97" t="n">
        <v>0.094</v>
      </c>
      <c r="CH453" s="63" t="n">
        <v>3834.07963046746</v>
      </c>
      <c r="CI453" s="87" t="n">
        <v>1302.29585895432</v>
      </c>
      <c r="CJ453" s="63" t="n">
        <v>418114.335946243</v>
      </c>
      <c r="CK453" s="85" t="n">
        <v>0.311468836869002</v>
      </c>
    </row>
    <row r="454" s="1" customFormat="true" ht="15" hidden="false" customHeight="false" outlineLevel="0" collapsed="false">
      <c r="A454" s="7" t="s">
        <v>488</v>
      </c>
      <c r="B454" s="66" t="n">
        <v>444</v>
      </c>
      <c r="C454" s="8" t="s">
        <v>535</v>
      </c>
      <c r="D454" s="67" t="n">
        <v>41683</v>
      </c>
      <c r="E454" s="4" t="s">
        <v>490</v>
      </c>
      <c r="F454" s="7" t="n">
        <v>245</v>
      </c>
      <c r="G454" s="68" t="n">
        <v>1</v>
      </c>
      <c r="H454" s="68" t="n">
        <v>217</v>
      </c>
      <c r="I454" s="7" t="n">
        <v>3</v>
      </c>
      <c r="J454" s="8" t="n">
        <v>844</v>
      </c>
      <c r="K454" s="32"/>
      <c r="L454" s="31" t="n">
        <v>934.286</v>
      </c>
      <c r="M454" s="31" t="n">
        <v>151.790268285219</v>
      </c>
      <c r="N454" s="31" t="n">
        <v>296.847903702948</v>
      </c>
      <c r="O454" s="95"/>
      <c r="P454" s="33" t="n">
        <v>43.0480465163725</v>
      </c>
      <c r="Q454" s="33" t="n">
        <v>9</v>
      </c>
      <c r="R454" s="31" t="n">
        <v>291.441395491176</v>
      </c>
      <c r="S454" s="34" t="s">
        <v>76</v>
      </c>
      <c r="T454" s="35"/>
      <c r="U454" s="35"/>
      <c r="V454" s="35" t="n">
        <v>22.0800860611169</v>
      </c>
      <c r="W454" s="35" t="n">
        <v>20.6291152856966</v>
      </c>
      <c r="X454" s="35" t="n">
        <v>3.35154218697765</v>
      </c>
      <c r="Y454" s="35" t="n">
        <v>6.55442726082323</v>
      </c>
      <c r="Z454" s="35"/>
      <c r="AA454" s="35" t="n">
        <v>0.950504571844467</v>
      </c>
      <c r="AB454" s="35" t="n">
        <v>0.198720774550052</v>
      </c>
      <c r="AC454" s="71" t="n">
        <v>6.43505109421717</v>
      </c>
      <c r="AD454" s="72"/>
      <c r="AE454" s="72"/>
      <c r="AF454" s="72"/>
      <c r="AG454" s="72"/>
      <c r="AH454" s="72"/>
      <c r="AI454" s="73" t="n">
        <v>22.073771698488</v>
      </c>
      <c r="AJ454" s="42" t="s">
        <v>16</v>
      </c>
      <c r="AK454" s="43" t="n">
        <v>592.276294104442</v>
      </c>
      <c r="AL454" s="74"/>
      <c r="AM454" s="74"/>
      <c r="AN454" s="74"/>
      <c r="AO454" s="78" t="n">
        <v>33.74</v>
      </c>
      <c r="AP454" s="76" t="n">
        <v>1.07650982329392</v>
      </c>
      <c r="AQ454" s="76" t="n">
        <v>1.17794897959184</v>
      </c>
      <c r="AR454" s="76" t="n">
        <v>1.69847619047619</v>
      </c>
      <c r="AS454" s="77" t="n">
        <v>29.6436473494087</v>
      </c>
      <c r="AT454" s="78" t="n">
        <v>31.3783139263553</v>
      </c>
      <c r="AU454" s="78" t="n">
        <v>31.9060409986342</v>
      </c>
      <c r="AV454" s="78" t="n">
        <v>34.9125364431487</v>
      </c>
      <c r="AW454" s="78" t="n">
        <v>50.3401360544218</v>
      </c>
      <c r="AX454" s="78" t="n">
        <v>26.56</v>
      </c>
      <c r="AY454" s="48" t="n">
        <v>1.42111375107422</v>
      </c>
      <c r="AZ454" s="48" t="n">
        <v>26.1514380474504</v>
      </c>
      <c r="BA454" s="48" t="n">
        <v>-4.0713519863335</v>
      </c>
      <c r="BB454" s="49" t="n">
        <f aca="false">AT454/V454</f>
        <v>1.42111375107422</v>
      </c>
      <c r="BC454" s="49" t="n">
        <f aca="false">AS454/V454</f>
        <v>1.34255125941793</v>
      </c>
      <c r="BD454" s="49" t="n">
        <f aca="false">SUM(AP454:AR454)/V454</f>
        <v>0.179027155166894</v>
      </c>
      <c r="BE454" s="53" t="n">
        <v>6.63</v>
      </c>
      <c r="BF454" s="51" t="n">
        <v>84.99</v>
      </c>
      <c r="BG454" s="51" t="n">
        <v>584.774679374044</v>
      </c>
      <c r="BH454" s="51" t="n">
        <v>296.387810330627</v>
      </c>
      <c r="BI454" s="51" t="n">
        <v>88.8339804682904</v>
      </c>
      <c r="BJ454" s="51" t="n">
        <v>6.47134957053771</v>
      </c>
      <c r="BK454" s="51" t="n">
        <v>10.5894811154253</v>
      </c>
      <c r="BL454" s="51" t="n">
        <v>11.6484292269679</v>
      </c>
      <c r="BM454" s="51" t="n">
        <v>1.29426991410754</v>
      </c>
      <c r="BN454" s="52" t="n">
        <f aca="false">(BG454*0.5-BH454*0.25+BI454*0.5)/SUM(BG454:BI454)*1000</f>
        <v>270.833333333333</v>
      </c>
      <c r="BO454" s="93" t="n">
        <v>4.81818857142857</v>
      </c>
      <c r="BP454" s="94" t="s">
        <v>491</v>
      </c>
      <c r="BQ454" s="55" t="n">
        <v>355.532222222222</v>
      </c>
      <c r="BR454" s="56" t="n">
        <v>16.101940057576</v>
      </c>
      <c r="BS454" s="56"/>
      <c r="BT454" s="56" t="n">
        <v>11.3305075300303</v>
      </c>
      <c r="BU454" s="55" t="n">
        <v>13751.2855555556</v>
      </c>
      <c r="BV454" s="55" t="n">
        <v>622.791302420312</v>
      </c>
      <c r="BW454" s="55"/>
      <c r="BX454" s="55" t="n">
        <v>438.241697365567</v>
      </c>
      <c r="BY454" s="96" t="n">
        <v>0.07519</v>
      </c>
      <c r="BZ454" s="96" t="n">
        <v>0.4026</v>
      </c>
      <c r="CA454" s="97" t="n">
        <v>4.5551</v>
      </c>
      <c r="CB454" s="97"/>
      <c r="CC454" s="97" t="n">
        <v>5.2128</v>
      </c>
      <c r="CD454" s="97" t="n">
        <v>3.2046</v>
      </c>
      <c r="CE454" s="97" t="n">
        <v>84.84</v>
      </c>
      <c r="CF454" s="97" t="n">
        <v>36.9155</v>
      </c>
      <c r="CG454" s="97" t="n">
        <v>0.072</v>
      </c>
      <c r="CH454" s="63" t="n">
        <v>16274.0538494621</v>
      </c>
      <c r="CI454" s="63" t="n">
        <v>4783.71151957873</v>
      </c>
      <c r="CJ454" s="64" t="n">
        <v>389614.497640296</v>
      </c>
      <c r="CK454" s="65" t="n">
        <v>1.22780634410458</v>
      </c>
    </row>
    <row r="455" s="1" customFormat="true" ht="15" hidden="false" customHeight="false" outlineLevel="0" collapsed="false">
      <c r="A455" s="7" t="s">
        <v>488</v>
      </c>
      <c r="B455" s="66" t="n">
        <v>445</v>
      </c>
      <c r="C455" s="8" t="s">
        <v>536</v>
      </c>
      <c r="D455" s="67" t="n">
        <v>41683</v>
      </c>
      <c r="E455" s="4" t="s">
        <v>490</v>
      </c>
      <c r="F455" s="7" t="n">
        <v>251</v>
      </c>
      <c r="G455" s="68" t="n">
        <v>1</v>
      </c>
      <c r="H455" s="68" t="n">
        <v>118</v>
      </c>
      <c r="I455" s="7" t="n">
        <v>3</v>
      </c>
      <c r="J455" s="8" t="n">
        <v>656</v>
      </c>
      <c r="K455" s="32"/>
      <c r="L455" s="31" t="n">
        <v>934.286</v>
      </c>
      <c r="M455" s="31" t="n">
        <v>151.790268285219</v>
      </c>
      <c r="N455" s="31" t="n">
        <v>296.847903702948</v>
      </c>
      <c r="O455" s="95"/>
      <c r="P455" s="33" t="n">
        <v>43.0480465163725</v>
      </c>
      <c r="Q455" s="33" t="n">
        <v>9</v>
      </c>
      <c r="R455" s="31" t="n">
        <v>291.441395491176</v>
      </c>
      <c r="S455" s="34" t="s">
        <v>76</v>
      </c>
      <c r="T455" s="35"/>
      <c r="U455" s="35"/>
      <c r="V455" s="35" t="n">
        <v>24.9484971323607</v>
      </c>
      <c r="W455" s="35" t="n">
        <v>23.3090315918048</v>
      </c>
      <c r="X455" s="35" t="n">
        <v>3.78693907303405</v>
      </c>
      <c r="Y455" s="35" t="n">
        <v>7.4059090742803</v>
      </c>
      <c r="Z455" s="35"/>
      <c r="AA455" s="35" t="n">
        <v>1.07398406506745</v>
      </c>
      <c r="AB455" s="35" t="n">
        <v>0.224536474191247</v>
      </c>
      <c r="AC455" s="71" t="n">
        <v>7.27102481966282</v>
      </c>
      <c r="AD455" s="72"/>
      <c r="AE455" s="72"/>
      <c r="AF455" s="72"/>
      <c r="AG455" s="72"/>
      <c r="AH455" s="72"/>
      <c r="AI455" s="73" t="n">
        <v>22.0791818971877</v>
      </c>
      <c r="AJ455" s="42" t="s">
        <v>16</v>
      </c>
      <c r="AK455" s="43" t="n">
        <v>592.376201169558</v>
      </c>
      <c r="AL455" s="74"/>
      <c r="AM455" s="74"/>
      <c r="AN455" s="74"/>
      <c r="AO455" s="78" t="n">
        <v>38.26</v>
      </c>
      <c r="AP455" s="76" t="n">
        <v>1.24094509995472</v>
      </c>
      <c r="AQ455" s="76" t="n">
        <v>1.2242084548105</v>
      </c>
      <c r="AR455" s="76" t="n">
        <v>1.88046598639456</v>
      </c>
      <c r="AS455" s="77" t="n">
        <v>33.9181764993207</v>
      </c>
      <c r="AT455" s="78" t="n">
        <v>34.7289590285496</v>
      </c>
      <c r="AU455" s="78" t="n">
        <v>32.4345295335786</v>
      </c>
      <c r="AV455" s="78" t="n">
        <v>31.997084548105</v>
      </c>
      <c r="AW455" s="78" t="n">
        <v>49.1496598639456</v>
      </c>
      <c r="AX455" s="78" t="n">
        <v>27.2325</v>
      </c>
      <c r="AY455" s="48" t="n">
        <v>1.39202609456994</v>
      </c>
      <c r="AZ455" s="48" t="n">
        <v>24.676126266475</v>
      </c>
      <c r="BA455" s="48" t="n">
        <v>0.272370865885769</v>
      </c>
      <c r="BB455" s="49" t="n">
        <f aca="false">AT455/V455</f>
        <v>1.39202609456994</v>
      </c>
      <c r="BC455" s="49" t="n">
        <f aca="false">AS455/V455</f>
        <v>1.35952784327539</v>
      </c>
      <c r="BD455" s="49" t="n">
        <f aca="false">SUM(AP455:AR455)/V455</f>
        <v>0.174183619883182</v>
      </c>
      <c r="BE455" s="53" t="n">
        <v>6.17</v>
      </c>
      <c r="BF455" s="51" t="n">
        <v>101.91</v>
      </c>
      <c r="BG455" s="51" t="n">
        <v>573.250907663625</v>
      </c>
      <c r="BH455" s="51" t="n">
        <v>325.090766362477</v>
      </c>
      <c r="BI455" s="51" t="n">
        <v>73.2018447649887</v>
      </c>
      <c r="BJ455" s="51" t="n">
        <v>4.80816406633304</v>
      </c>
      <c r="BK455" s="51" t="n">
        <v>11.0882150917476</v>
      </c>
      <c r="BL455" s="51" t="n">
        <v>10.9900892944755</v>
      </c>
      <c r="BM455" s="51" t="n">
        <v>1.57001275635365</v>
      </c>
      <c r="BN455" s="52" t="n">
        <f aca="false">(BG455*0.5-BH455*0.25+BI455*0.5)/SUM(BG455:BI455)*1000</f>
        <v>249.040500959499</v>
      </c>
      <c r="BO455" s="93" t="n">
        <v>5.36636571428571</v>
      </c>
      <c r="BP455" s="94" t="s">
        <v>491</v>
      </c>
      <c r="BQ455" s="55" t="n">
        <v>245.372619047619</v>
      </c>
      <c r="BR455" s="56" t="n">
        <v>9.83516633269848</v>
      </c>
      <c r="BS455" s="56"/>
      <c r="BT455" s="56" t="n">
        <v>7.06536060714938</v>
      </c>
      <c r="BU455" s="55" t="n">
        <v>10673.7333333333</v>
      </c>
      <c r="BV455" s="55" t="n">
        <v>427.830713678076</v>
      </c>
      <c r="BW455" s="55"/>
      <c r="BX455" s="55" t="n">
        <v>307.343889131799</v>
      </c>
      <c r="BY455" s="96" t="n">
        <v>0.0927</v>
      </c>
      <c r="BZ455" s="96" t="n">
        <v>0.4367</v>
      </c>
      <c r="CA455" s="97" t="n">
        <v>4.3632</v>
      </c>
      <c r="CB455" s="97"/>
      <c r="CC455" s="97" t="n">
        <v>5.28</v>
      </c>
      <c r="CD455" s="97" t="n">
        <v>5.684</v>
      </c>
      <c r="CE455" s="97" t="n">
        <v>82.82</v>
      </c>
      <c r="CF455" s="97" t="n">
        <v>34.6228</v>
      </c>
      <c r="CG455" s="97" t="n">
        <v>0.105</v>
      </c>
      <c r="CH455" s="63" t="n">
        <v>2611.24337861554</v>
      </c>
      <c r="CI455" s="63" t="n">
        <v>4249.10667124295</v>
      </c>
      <c r="CJ455" s="64" t="n">
        <v>448223.986120762</v>
      </c>
      <c r="CK455" s="65" t="n">
        <v>0.947987346241248</v>
      </c>
    </row>
    <row r="456" s="1" customFormat="true" ht="15" hidden="false" customHeight="false" outlineLevel="0" collapsed="false">
      <c r="A456" s="7" t="s">
        <v>488</v>
      </c>
      <c r="B456" s="66" t="n">
        <v>446</v>
      </c>
      <c r="C456" s="8" t="s">
        <v>537</v>
      </c>
      <c r="D456" s="67" t="n">
        <v>41683</v>
      </c>
      <c r="E456" s="4" t="s">
        <v>490</v>
      </c>
      <c r="F456" s="7" t="n">
        <v>253</v>
      </c>
      <c r="G456" s="68" t="n">
        <v>1</v>
      </c>
      <c r="H456" s="68" t="n">
        <v>107</v>
      </c>
      <c r="I456" s="7" t="n">
        <v>3</v>
      </c>
      <c r="J456" s="8" t="n">
        <v>750</v>
      </c>
      <c r="K456" s="32"/>
      <c r="L456" s="31" t="n">
        <v>934.286</v>
      </c>
      <c r="M456" s="31" t="n">
        <v>151.790268285219</v>
      </c>
      <c r="N456" s="31" t="n">
        <v>296.847903702948</v>
      </c>
      <c r="O456" s="95"/>
      <c r="P456" s="33" t="n">
        <v>43.0480465163725</v>
      </c>
      <c r="Q456" s="33" t="n">
        <v>9</v>
      </c>
      <c r="R456" s="31" t="n">
        <v>291.441395491176</v>
      </c>
      <c r="S456" s="34" t="s">
        <v>76</v>
      </c>
      <c r="T456" s="35"/>
      <c r="U456" s="35"/>
      <c r="V456" s="35" t="n">
        <v>22.8822501088183</v>
      </c>
      <c r="W456" s="35" t="n">
        <v>21.3785659251675</v>
      </c>
      <c r="X456" s="35" t="n">
        <v>3.47330288298701</v>
      </c>
      <c r="Y456" s="35" t="n">
        <v>6.79254797680928</v>
      </c>
      <c r="Z456" s="35"/>
      <c r="AA456" s="35" t="n">
        <v>0.985036167083683</v>
      </c>
      <c r="AB456" s="35" t="n">
        <v>0.205940250979365</v>
      </c>
      <c r="AC456" s="71" t="n">
        <v>6.66883490369214</v>
      </c>
      <c r="AD456" s="72"/>
      <c r="AE456" s="72"/>
      <c r="AF456" s="72"/>
      <c r="AG456" s="72"/>
      <c r="AH456" s="72"/>
      <c r="AI456" s="73" t="n">
        <v>23.5143375070329</v>
      </c>
      <c r="AJ456" s="42" t="s">
        <v>16</v>
      </c>
      <c r="AK456" s="43" t="n">
        <v>617.254792004741</v>
      </c>
      <c r="AL456" s="74"/>
      <c r="AM456" s="74"/>
      <c r="AN456" s="74"/>
      <c r="AO456" s="78" t="n">
        <v>41.68</v>
      </c>
      <c r="AP456" s="76" t="n">
        <v>1.60909411819149</v>
      </c>
      <c r="AQ456" s="76" t="n">
        <v>1.44199028182702</v>
      </c>
      <c r="AR456" s="76" t="n">
        <v>2.02222934888241</v>
      </c>
      <c r="AS456" s="77" t="n">
        <v>40.8084117728724</v>
      </c>
      <c r="AT456" s="78" t="n">
        <v>41.6671716488736</v>
      </c>
      <c r="AU456" s="78" t="n">
        <v>38.6059049470128</v>
      </c>
      <c r="AV456" s="78" t="n">
        <v>34.5966958211856</v>
      </c>
      <c r="AW456" s="78" t="n">
        <v>48.5179786200194</v>
      </c>
      <c r="AX456" s="78" t="n">
        <v>24.5075</v>
      </c>
      <c r="AY456" s="48" t="n">
        <v>1.82093856376545</v>
      </c>
      <c r="AZ456" s="48" t="n">
        <v>28.2906456197844</v>
      </c>
      <c r="BA456" s="48" t="n">
        <v>-5.4083955109661</v>
      </c>
      <c r="BB456" s="49" t="n">
        <f aca="false">AT456/V456</f>
        <v>1.82093856376545</v>
      </c>
      <c r="BC456" s="49" t="n">
        <f aca="false">AS456/V456</f>
        <v>1.78340904320182</v>
      </c>
      <c r="BD456" s="49" t="n">
        <f aca="false">SUM(AP456:AR456)/V456</f>
        <v>0.221713936556693</v>
      </c>
      <c r="BE456" s="53" t="n">
        <v>6.45</v>
      </c>
      <c r="BF456" s="51" t="n">
        <v>96.3</v>
      </c>
      <c r="BG456" s="51" t="n">
        <v>560.643821391485</v>
      </c>
      <c r="BH456" s="51" t="n">
        <v>320.664589823468</v>
      </c>
      <c r="BI456" s="51" t="n">
        <v>84.527518172378</v>
      </c>
      <c r="BJ456" s="51" t="n">
        <v>6.95742471443406</v>
      </c>
      <c r="BK456" s="51" t="n">
        <v>13.8110072689512</v>
      </c>
      <c r="BL456" s="51" t="n">
        <v>11.1111111111111</v>
      </c>
      <c r="BM456" s="51" t="n">
        <v>2.28452751817238</v>
      </c>
      <c r="BN456" s="52" t="n">
        <f aca="false">(BG456*0.5-BH456*0.25+BI456*0.5)/SUM(BG456:BI456)*1000</f>
        <v>250.994516718632</v>
      </c>
      <c r="BO456" s="93" t="n">
        <v>1.52912571428571</v>
      </c>
      <c r="BP456" s="94" t="s">
        <v>491</v>
      </c>
      <c r="BQ456" s="55" t="n">
        <v>210.735267857143</v>
      </c>
      <c r="BR456" s="56" t="n">
        <v>9.20955180784122</v>
      </c>
      <c r="BS456" s="56"/>
      <c r="BT456" s="56" t="n">
        <v>5.05758513279938</v>
      </c>
      <c r="BU456" s="55" t="n">
        <v>9369.26145833333</v>
      </c>
      <c r="BV456" s="55" t="n">
        <v>409.455425658625</v>
      </c>
      <c r="BW456" s="55"/>
      <c r="BX456" s="55" t="n">
        <v>224.859549798279</v>
      </c>
      <c r="BY456" s="96" t="n">
        <v>0.08549</v>
      </c>
      <c r="BZ456" s="96" t="n">
        <v>0.715</v>
      </c>
      <c r="CA456" s="97" t="n">
        <v>4.0299</v>
      </c>
      <c r="CB456" s="97"/>
      <c r="CC456" s="97" t="n">
        <v>5.3184</v>
      </c>
      <c r="CD456" s="97" t="n">
        <v>4.851</v>
      </c>
      <c r="CE456" s="97" t="n">
        <v>89.89</v>
      </c>
      <c r="CF456" s="97" t="n">
        <v>38.0265</v>
      </c>
      <c r="CG456" s="97" t="n">
        <v>0.083</v>
      </c>
      <c r="CH456" s="63" t="n">
        <v>29271.9953530039</v>
      </c>
      <c r="CI456" s="63" t="n">
        <v>2755.33554366546</v>
      </c>
      <c r="CJ456" s="64" t="n">
        <v>438710.918362706</v>
      </c>
      <c r="CK456" s="65" t="n">
        <v>0.6280526488715</v>
      </c>
    </row>
    <row r="457" s="1" customFormat="true" ht="15" hidden="false" customHeight="false" outlineLevel="0" collapsed="false">
      <c r="A457" s="7" t="s">
        <v>488</v>
      </c>
      <c r="B457" s="66" t="n">
        <v>447</v>
      </c>
      <c r="C457" s="8" t="s">
        <v>538</v>
      </c>
      <c r="D457" s="67" t="n">
        <v>41683</v>
      </c>
      <c r="E457" s="4" t="s">
        <v>490</v>
      </c>
      <c r="F457" s="7" t="n">
        <v>268</v>
      </c>
      <c r="G457" s="68" t="n">
        <v>1</v>
      </c>
      <c r="H457" s="68" t="n">
        <v>148</v>
      </c>
      <c r="I457" s="7" t="n">
        <v>3</v>
      </c>
      <c r="J457" s="8" t="n">
        <v>760</v>
      </c>
      <c r="K457" s="32"/>
      <c r="L457" s="31" t="n">
        <v>934.286</v>
      </c>
      <c r="M457" s="31" t="n">
        <v>151.790268285219</v>
      </c>
      <c r="N457" s="31" t="n">
        <v>296.847903702948</v>
      </c>
      <c r="O457" s="95"/>
      <c r="P457" s="33" t="n">
        <v>43.0480465163725</v>
      </c>
      <c r="Q457" s="33" t="n">
        <v>9</v>
      </c>
      <c r="R457" s="31" t="n">
        <v>291.441395491176</v>
      </c>
      <c r="S457" s="34" t="s">
        <v>76</v>
      </c>
      <c r="T457" s="35"/>
      <c r="U457" s="35"/>
      <c r="V457" s="35" t="n">
        <v>28.0731154191252</v>
      </c>
      <c r="W457" s="35" t="n">
        <v>26.2283187124728</v>
      </c>
      <c r="X457" s="35" t="n">
        <v>4.26122572107093</v>
      </c>
      <c r="Y457" s="35" t="n">
        <v>8.33344546257824</v>
      </c>
      <c r="Z457" s="35"/>
      <c r="AA457" s="35" t="n">
        <v>1.208492778422</v>
      </c>
      <c r="AB457" s="35" t="n">
        <v>0.252658038772127</v>
      </c>
      <c r="AC457" s="71" t="n">
        <v>8.18166793353472</v>
      </c>
      <c r="AD457" s="72"/>
      <c r="AE457" s="72"/>
      <c r="AF457" s="72"/>
      <c r="AG457" s="72"/>
      <c r="AH457" s="72"/>
      <c r="AI457" s="73" t="n">
        <v>20.94119246263</v>
      </c>
      <c r="AJ457" s="42" t="s">
        <v>16</v>
      </c>
      <c r="AK457" s="43" t="n">
        <v>570.225047305176</v>
      </c>
      <c r="AL457" s="74"/>
      <c r="AM457" s="74"/>
      <c r="AN457" s="74"/>
      <c r="AO457" s="78" t="n">
        <v>32.7</v>
      </c>
      <c r="AP457" s="76" t="n">
        <v>1.36903902220229</v>
      </c>
      <c r="AQ457" s="76" t="n">
        <v>1.15037900874636</v>
      </c>
      <c r="AR457" s="76" t="n">
        <v>1.55952623906706</v>
      </c>
      <c r="AS457" s="77" t="n">
        <v>33.6155853330343</v>
      </c>
      <c r="AT457" s="78" t="n">
        <v>33.9951657822225</v>
      </c>
      <c r="AU457" s="78" t="n">
        <v>41.866636764596</v>
      </c>
      <c r="AV457" s="78" t="n">
        <v>35.1797862001944</v>
      </c>
      <c r="AW457" s="78" t="n">
        <v>47.6919339164237</v>
      </c>
      <c r="AX457" s="78" t="n">
        <v>28.4</v>
      </c>
      <c r="AY457" s="48" t="n">
        <v>1.21095094985656</v>
      </c>
      <c r="AZ457" s="48" t="n">
        <v>26.2903194395278</v>
      </c>
      <c r="BA457" s="48" t="n">
        <v>1.78279597959741</v>
      </c>
      <c r="BB457" s="49" t="n">
        <f aca="false">AT457/V457</f>
        <v>1.21095094985656</v>
      </c>
      <c r="BC457" s="49" t="n">
        <f aca="false">AS457/V457</f>
        <v>1.19742981251497</v>
      </c>
      <c r="BD457" s="49" t="n">
        <f aca="false">SUM(AP457:AR457)/V457</f>
        <v>0.14529717165758</v>
      </c>
      <c r="BE457" s="53" t="n">
        <v>6.35</v>
      </c>
      <c r="BF457" s="51" t="n">
        <v>106.95</v>
      </c>
      <c r="BG457" s="51" t="n">
        <v>582.047685834502</v>
      </c>
      <c r="BH457" s="51" t="n">
        <v>203.272557269752</v>
      </c>
      <c r="BI457" s="51" t="n">
        <v>176.250584385227</v>
      </c>
      <c r="BJ457" s="51" t="n">
        <v>6.54511453950444</v>
      </c>
      <c r="BK457" s="51" t="n">
        <v>14.586255259467</v>
      </c>
      <c r="BL457" s="51" t="n">
        <v>8.22814399251987</v>
      </c>
      <c r="BM457" s="51" t="n">
        <v>9.06965871902758</v>
      </c>
      <c r="BN457" s="52" t="n">
        <f aca="false">(BG457*0.5-BH457*0.25+BI457*0.5)/SUM(BG457:BI457)*1000</f>
        <v>341.452742123687</v>
      </c>
      <c r="BO457" s="93" t="n">
        <v>2.88514285714286</v>
      </c>
      <c r="BP457" s="94" t="s">
        <v>491</v>
      </c>
      <c r="BQ457" s="55" t="n">
        <v>285.482352941176</v>
      </c>
      <c r="BR457" s="56" t="n">
        <v>10.1692437294183</v>
      </c>
      <c r="BS457" s="56"/>
      <c r="BT457" s="56" t="n">
        <v>8.39773380633041</v>
      </c>
      <c r="BU457" s="55" t="n">
        <v>10584.418627451</v>
      </c>
      <c r="BV457" s="55" t="n">
        <v>377.030424640373</v>
      </c>
      <c r="BW457" s="55"/>
      <c r="BX457" s="55" t="n">
        <v>311.35069895691</v>
      </c>
      <c r="BY457" s="96" t="n">
        <v>0.06901</v>
      </c>
      <c r="BZ457" s="96" t="n">
        <v>0.8184</v>
      </c>
      <c r="CA457" s="97" t="n">
        <v>4.1814</v>
      </c>
      <c r="CB457" s="97"/>
      <c r="CC457" s="97" t="n">
        <v>5.9808</v>
      </c>
      <c r="CD457" s="97" t="n">
        <v>7.1246</v>
      </c>
      <c r="CE457" s="97" t="n">
        <v>88.88</v>
      </c>
      <c r="CF457" s="97" t="n">
        <v>36.1479</v>
      </c>
      <c r="CG457" s="97" t="n">
        <v>0.127</v>
      </c>
      <c r="CH457" s="63" t="n">
        <v>35190.7751441434</v>
      </c>
      <c r="CI457" s="63" t="n">
        <v>2802.54680238593</v>
      </c>
      <c r="CJ457" s="64" t="n">
        <v>352404.905599428</v>
      </c>
      <c r="CK457" s="65" t="n">
        <v>0.795263277512809</v>
      </c>
    </row>
    <row r="458" s="1" customFormat="true" ht="15" hidden="false" customHeight="false" outlineLevel="0" collapsed="false">
      <c r="A458" s="7" t="s">
        <v>488</v>
      </c>
      <c r="B458" s="66" t="n">
        <v>448</v>
      </c>
      <c r="C458" s="8" t="s">
        <v>539</v>
      </c>
      <c r="D458" s="67" t="n">
        <v>41683</v>
      </c>
      <c r="E458" s="4" t="s">
        <v>490</v>
      </c>
      <c r="F458" s="7" t="n">
        <v>279</v>
      </c>
      <c r="G458" s="68" t="n">
        <v>1</v>
      </c>
      <c r="H458" s="68" t="n">
        <v>133</v>
      </c>
      <c r="I458" s="7" t="n">
        <v>3</v>
      </c>
      <c r="J458" s="8" t="n">
        <v>745</v>
      </c>
      <c r="K458" s="32"/>
      <c r="L458" s="31" t="n">
        <v>934.286</v>
      </c>
      <c r="M458" s="31" t="n">
        <v>151.790268285219</v>
      </c>
      <c r="N458" s="31" t="n">
        <v>296.847903702948</v>
      </c>
      <c r="O458" s="95"/>
      <c r="P458" s="33" t="n">
        <v>43.0480465163725</v>
      </c>
      <c r="Q458" s="33" t="n">
        <v>9</v>
      </c>
      <c r="R458" s="31" t="n">
        <v>291.441395491176</v>
      </c>
      <c r="S458" s="34" t="s">
        <v>76</v>
      </c>
      <c r="T458" s="35"/>
      <c r="U458" s="35"/>
      <c r="V458" s="35" t="n">
        <v>22.4558682098425</v>
      </c>
      <c r="W458" s="35" t="n">
        <v>20.9802032863009</v>
      </c>
      <c r="X458" s="35" t="n">
        <v>3.4085822601495</v>
      </c>
      <c r="Y458" s="35" t="n">
        <v>6.66597740392141</v>
      </c>
      <c r="Z458" s="35"/>
      <c r="AA458" s="35" t="n">
        <v>0.966681259262829</v>
      </c>
      <c r="AB458" s="35" t="n">
        <v>0.202102813888582</v>
      </c>
      <c r="AC458" s="71" t="n">
        <v>6.54456956804243</v>
      </c>
      <c r="AD458" s="72"/>
      <c r="AE458" s="72"/>
      <c r="AF458" s="72"/>
      <c r="AG458" s="72"/>
      <c r="AH458" s="72"/>
      <c r="AI458" s="73" t="n">
        <v>19.3618356471927</v>
      </c>
      <c r="AJ458" s="42" t="s">
        <v>16</v>
      </c>
      <c r="AK458" s="43" t="n">
        <v>535.168040675682</v>
      </c>
      <c r="AL458" s="74"/>
      <c r="AM458" s="74"/>
      <c r="AN458" s="74"/>
      <c r="AO458" s="78" t="n">
        <v>42.54</v>
      </c>
      <c r="AP458" s="76" t="n">
        <v>1.30799077632062</v>
      </c>
      <c r="AQ458" s="76" t="n">
        <v>1.22886443148688</v>
      </c>
      <c r="AR458" s="76" t="n">
        <v>2.14560349854227</v>
      </c>
      <c r="AS458" s="77" t="n">
        <v>36.6358616448094</v>
      </c>
      <c r="AT458" s="78" t="n">
        <v>37.0074604589018</v>
      </c>
      <c r="AU458" s="78" t="n">
        <v>30.7473149111571</v>
      </c>
      <c r="AV458" s="78" t="n">
        <v>28.8872691933916</v>
      </c>
      <c r="AW458" s="78" t="n">
        <v>50.4373177842566</v>
      </c>
      <c r="AX458" s="78" t="n">
        <v>29.575</v>
      </c>
      <c r="AY458" s="48" t="n">
        <v>1.64800844541301</v>
      </c>
      <c r="AZ458" s="48" t="n">
        <v>27.0790186753719</v>
      </c>
      <c r="BA458" s="48" t="n">
        <v>-4.62315046552944</v>
      </c>
      <c r="BB458" s="49" t="n">
        <f aca="false">AT458/V458</f>
        <v>1.64800844541301</v>
      </c>
      <c r="BC458" s="49" t="n">
        <f aca="false">AS458/V458</f>
        <v>1.63146048518186</v>
      </c>
      <c r="BD458" s="49" t="n">
        <f aca="false">SUM(AP458:AR458)/V458</f>
        <v>0.208518266254228</v>
      </c>
      <c r="BE458" s="53" t="n">
        <v>6.06</v>
      </c>
      <c r="BF458" s="51" t="n">
        <v>125.35</v>
      </c>
      <c r="BG458" s="51" t="n">
        <v>536.338252891903</v>
      </c>
      <c r="BH458" s="51" t="n">
        <v>343.199042680495</v>
      </c>
      <c r="BI458" s="51" t="n">
        <v>84.8025528520144</v>
      </c>
      <c r="BJ458" s="51" t="n">
        <v>4.62704427602712</v>
      </c>
      <c r="BK458" s="51" t="n">
        <v>19.8643797367371</v>
      </c>
      <c r="BL458" s="51" t="n">
        <v>7.57877941763063</v>
      </c>
      <c r="BM458" s="51" t="n">
        <v>3.58994814519346</v>
      </c>
      <c r="BN458" s="52" t="n">
        <f aca="false">(BG458*0.5-BH458*0.25+BI458*0.5)/SUM(BG458:BI458)*1000</f>
        <v>233.082395764394</v>
      </c>
      <c r="BO458" s="93" t="n">
        <v>4.55852571428571</v>
      </c>
      <c r="BP458" s="94" t="s">
        <v>491</v>
      </c>
      <c r="BQ458" s="55" t="n">
        <v>227.505555555556</v>
      </c>
      <c r="BR458" s="56" t="n">
        <v>10.13122954898</v>
      </c>
      <c r="BS458" s="56"/>
      <c r="BT458" s="56" t="n">
        <v>6.14755924168883</v>
      </c>
      <c r="BU458" s="55" t="n">
        <v>10606.5822222222</v>
      </c>
      <c r="BV458" s="55" t="n">
        <v>472.330088647979</v>
      </c>
      <c r="BW458" s="55"/>
      <c r="BX458" s="55" t="n">
        <v>286.606594743274</v>
      </c>
      <c r="BY458" s="96" t="n">
        <v>0.11124</v>
      </c>
      <c r="BZ458" s="96" t="n">
        <v>0.6567</v>
      </c>
      <c r="CA458" s="97" t="n">
        <v>4.141</v>
      </c>
      <c r="CB458" s="97"/>
      <c r="CC458" s="97" t="n">
        <v>5.7984</v>
      </c>
      <c r="CD458" s="97" t="n">
        <v>7.6244</v>
      </c>
      <c r="CE458" s="97" t="n">
        <v>86.86</v>
      </c>
      <c r="CF458" s="97" t="n">
        <v>38.4406</v>
      </c>
      <c r="CG458" s="97" t="n">
        <v>0.083</v>
      </c>
      <c r="CH458" s="63" t="n">
        <v>16900.6353316189</v>
      </c>
      <c r="CI458" s="63" t="n">
        <v>2279.25232763184</v>
      </c>
      <c r="CJ458" s="64" t="n">
        <v>1038317.26607552</v>
      </c>
      <c r="CK458" s="65" t="n">
        <v>0.21951405433588</v>
      </c>
    </row>
    <row r="459" s="1" customFormat="true" ht="15" hidden="false" customHeight="false" outlineLevel="0" collapsed="false">
      <c r="A459" s="7" t="s">
        <v>488</v>
      </c>
      <c r="B459" s="66" t="n">
        <v>449</v>
      </c>
      <c r="C459" s="8" t="s">
        <v>540</v>
      </c>
      <c r="D459" s="67" t="n">
        <v>41683</v>
      </c>
      <c r="E459" s="4" t="s">
        <v>490</v>
      </c>
      <c r="F459" s="7" t="n">
        <v>295</v>
      </c>
      <c r="G459" s="68" t="n">
        <v>1</v>
      </c>
      <c r="H459" s="68" t="n">
        <v>190</v>
      </c>
      <c r="I459" s="7" t="n">
        <v>2</v>
      </c>
      <c r="J459" s="8" t="n">
        <v>792</v>
      </c>
      <c r="K459" s="32"/>
      <c r="L459" s="31" t="n">
        <v>934.286</v>
      </c>
      <c r="M459" s="31" t="n">
        <v>151.790268285219</v>
      </c>
      <c r="N459" s="31" t="n">
        <v>296.847903702948</v>
      </c>
      <c r="O459" s="95"/>
      <c r="P459" s="33" t="n">
        <v>43.0480465163725</v>
      </c>
      <c r="Q459" s="33" t="n">
        <v>9</v>
      </c>
      <c r="R459" s="31" t="n">
        <v>291.441395491176</v>
      </c>
      <c r="S459" s="34" t="s">
        <v>76</v>
      </c>
      <c r="T459" s="35"/>
      <c r="U459" s="35"/>
      <c r="V459" s="35" t="n">
        <v>27.327004528177</v>
      </c>
      <c r="W459" s="35" t="n">
        <v>25.5312377526123</v>
      </c>
      <c r="X459" s="35" t="n">
        <v>4.14797334876337</v>
      </c>
      <c r="Y459" s="35" t="n">
        <v>8.11196400867031</v>
      </c>
      <c r="Z459" s="35"/>
      <c r="AA459" s="35" t="n">
        <v>1.17637416208209</v>
      </c>
      <c r="AB459" s="35" t="n">
        <v>0.245943040753593</v>
      </c>
      <c r="AC459" s="71" t="n">
        <v>7.96422033428559</v>
      </c>
      <c r="AD459" s="72"/>
      <c r="AE459" s="72"/>
      <c r="AF459" s="72"/>
      <c r="AG459" s="72"/>
      <c r="AH459" s="72"/>
      <c r="AI459" s="73" t="n">
        <v>20.2639090345397</v>
      </c>
      <c r="AJ459" s="42" t="s">
        <v>16</v>
      </c>
      <c r="AK459" s="43" t="n">
        <v>555.860619752113</v>
      </c>
      <c r="AL459" s="74"/>
      <c r="AM459" s="74"/>
      <c r="AN459" s="74"/>
      <c r="AO459" s="78" t="n">
        <v>38.82</v>
      </c>
      <c r="AP459" s="76" t="n">
        <v>1.02521109892701</v>
      </c>
      <c r="AQ459" s="76" t="n">
        <v>1.26664868804665</v>
      </c>
      <c r="AR459" s="76" t="n">
        <v>2.03437172011662</v>
      </c>
      <c r="AS459" s="77" t="n">
        <v>30.9061664839051</v>
      </c>
      <c r="AT459" s="78" t="n">
        <v>33.2390336275039</v>
      </c>
      <c r="AU459" s="78" t="n">
        <v>26.4093533984289</v>
      </c>
      <c r="AV459" s="78" t="n">
        <v>32.6287657920311</v>
      </c>
      <c r="AW459" s="78" t="n">
        <v>52.4052478134111</v>
      </c>
      <c r="AX459" s="78" t="n">
        <v>23.78</v>
      </c>
      <c r="AY459" s="48" t="n">
        <v>1.21634384014651</v>
      </c>
      <c r="AZ459" s="48" t="n">
        <v>25.8788519071086</v>
      </c>
      <c r="BA459" s="48" t="n">
        <v>1.44815262106836</v>
      </c>
      <c r="BB459" s="49" t="n">
        <f aca="false">AT459/V459</f>
        <v>1.21634384014651</v>
      </c>
      <c r="BC459" s="49" t="n">
        <f aca="false">AS459/V459</f>
        <v>1.13097527583156</v>
      </c>
      <c r="BD459" s="49" t="n">
        <f aca="false">SUM(AP459:AR459)/V459</f>
        <v>0.15831341860501</v>
      </c>
      <c r="BE459" s="53" t="n">
        <v>5.88</v>
      </c>
      <c r="BF459" s="51" t="n">
        <v>135.37</v>
      </c>
      <c r="BG459" s="51" t="n">
        <v>519.169683090788</v>
      </c>
      <c r="BH459" s="51" t="n">
        <v>346.753342690404</v>
      </c>
      <c r="BI459" s="51" t="n">
        <v>93.1521016473369</v>
      </c>
      <c r="BJ459" s="51" t="n">
        <v>4.28455344611066</v>
      </c>
      <c r="BK459" s="51" t="n">
        <v>23.1956858979094</v>
      </c>
      <c r="BL459" s="51" t="n">
        <v>9.67718105931891</v>
      </c>
      <c r="BM459" s="51" t="n">
        <v>3.76745216813179</v>
      </c>
      <c r="BN459" s="52" t="n">
        <f aca="false">(BG459*0.5-BH459*0.25+BI459*0.5)/SUM(BG459:BI459)*1000</f>
        <v>228.837710852653</v>
      </c>
      <c r="BO459" s="93" t="n">
        <v>5.16440571428571</v>
      </c>
      <c r="BP459" s="94" t="s">
        <v>491</v>
      </c>
      <c r="BQ459" s="55" t="n">
        <v>275.308333333333</v>
      </c>
      <c r="BR459" s="56" t="n">
        <v>10.074588784492</v>
      </c>
      <c r="BS459" s="56"/>
      <c r="BT459" s="56" t="n">
        <v>8.28268163324482</v>
      </c>
      <c r="BU459" s="55" t="n">
        <v>13012.9708333333</v>
      </c>
      <c r="BV459" s="55" t="n">
        <v>476.19455765507</v>
      </c>
      <c r="BW459" s="55"/>
      <c r="BX459" s="55" t="n">
        <v>391.496665612013</v>
      </c>
      <c r="BY459" s="96" t="n">
        <v>0.13287</v>
      </c>
      <c r="BZ459" s="96" t="n">
        <v>0.5038</v>
      </c>
      <c r="CA459" s="97" t="n">
        <v>4.3531</v>
      </c>
      <c r="CB459" s="97"/>
      <c r="CC459" s="97" t="n">
        <v>5.28</v>
      </c>
      <c r="CD459" s="97" t="n">
        <v>8.232</v>
      </c>
      <c r="CE459" s="97" t="n">
        <v>68.68</v>
      </c>
      <c r="CF459" s="97" t="n">
        <v>36.461</v>
      </c>
      <c r="CG459" s="97" t="n">
        <v>0.116</v>
      </c>
      <c r="CH459" s="63" t="n">
        <v>9774.86084024005</v>
      </c>
      <c r="CI459" s="63" t="n">
        <v>1412.02140654882</v>
      </c>
      <c r="CJ459" s="64" t="n">
        <v>1208116.31189408</v>
      </c>
      <c r="CK459" s="65" t="n">
        <v>0.11687793572914</v>
      </c>
    </row>
    <row r="460" s="1" customFormat="true" ht="15" hidden="false" customHeight="false" outlineLevel="0" collapsed="false">
      <c r="A460" s="7" t="s">
        <v>488</v>
      </c>
      <c r="B460" s="66" t="n">
        <v>450</v>
      </c>
      <c r="C460" s="8" t="s">
        <v>541</v>
      </c>
      <c r="D460" s="67" t="n">
        <v>41683</v>
      </c>
      <c r="E460" s="4" t="s">
        <v>490</v>
      </c>
      <c r="F460" s="7" t="n">
        <v>304</v>
      </c>
      <c r="G460" s="68" t="n">
        <v>1</v>
      </c>
      <c r="H460" s="68" t="n">
        <v>154</v>
      </c>
      <c r="I460" s="7" t="n">
        <v>2</v>
      </c>
      <c r="J460" s="8" t="n">
        <v>781</v>
      </c>
      <c r="K460" s="32"/>
      <c r="L460" s="31" t="n">
        <v>934.286</v>
      </c>
      <c r="M460" s="31" t="n">
        <v>151.790268285219</v>
      </c>
      <c r="N460" s="31" t="n">
        <v>296.847903702948</v>
      </c>
      <c r="O460" s="95"/>
      <c r="P460" s="33" t="n">
        <v>43.0480465163725</v>
      </c>
      <c r="Q460" s="33" t="n">
        <v>9</v>
      </c>
      <c r="R460" s="31" t="n">
        <v>291.441395491176</v>
      </c>
      <c r="S460" s="34" t="s">
        <v>76</v>
      </c>
      <c r="T460" s="35"/>
      <c r="U460" s="35"/>
      <c r="V460" s="35" t="n">
        <v>26.8053669590951</v>
      </c>
      <c r="W460" s="35" t="n">
        <v>25.0438790747451</v>
      </c>
      <c r="X460" s="35" t="n">
        <v>4.06879384220479</v>
      </c>
      <c r="Y460" s="35" t="n">
        <v>7.95711698979566</v>
      </c>
      <c r="Z460" s="35"/>
      <c r="AA460" s="35" t="n">
        <v>1.15391868374356</v>
      </c>
      <c r="AB460" s="35" t="n">
        <v>0.241248302631856</v>
      </c>
      <c r="AC460" s="71" t="n">
        <v>7.81219355321175</v>
      </c>
      <c r="AD460" s="72"/>
      <c r="AE460" s="72"/>
      <c r="AF460" s="72"/>
      <c r="AG460" s="72"/>
      <c r="AH460" s="72"/>
      <c r="AI460" s="73" t="n">
        <v>19.1037213251648</v>
      </c>
      <c r="AJ460" s="42" t="s">
        <v>16</v>
      </c>
      <c r="AK460" s="43" t="n">
        <v>528.887600127177</v>
      </c>
      <c r="AL460" s="74"/>
      <c r="AM460" s="74"/>
      <c r="AN460" s="74"/>
      <c r="AO460" s="78" t="n">
        <v>32.84</v>
      </c>
      <c r="AP460" s="76" t="n">
        <v>1.0033440086436</v>
      </c>
      <c r="AQ460" s="76" t="n">
        <v>1.16408066083576</v>
      </c>
      <c r="AR460" s="76" t="n">
        <v>1.68109523809524</v>
      </c>
      <c r="AS460" s="77" t="n">
        <v>28.1861601296539</v>
      </c>
      <c r="AT460" s="78" t="n">
        <v>30.2815066119014</v>
      </c>
      <c r="AU460" s="78" t="n">
        <v>30.5524972181363</v>
      </c>
      <c r="AV460" s="78" t="n">
        <v>35.44703595724</v>
      </c>
      <c r="AW460" s="78" t="n">
        <v>51.1904761904762</v>
      </c>
      <c r="AX460" s="78" t="n">
        <v>23.82</v>
      </c>
      <c r="AY460" s="48" t="n">
        <v>1.12968073364229</v>
      </c>
      <c r="AZ460" s="48" t="n">
        <v>24.6067991916172</v>
      </c>
      <c r="BA460" s="48" t="n">
        <v>2.19856776747788</v>
      </c>
      <c r="BB460" s="49" t="n">
        <f aca="false">AT460/V460</f>
        <v>1.12968073364229</v>
      </c>
      <c r="BC460" s="49" t="n">
        <f aca="false">AS460/V460</f>
        <v>1.05151181749035</v>
      </c>
      <c r="BD460" s="49" t="n">
        <f aca="false">SUM(AP460:AR460)/V460</f>
        <v>0.143572737259946</v>
      </c>
      <c r="BE460" s="53" t="n">
        <v>6.49</v>
      </c>
      <c r="BF460" s="51" t="n">
        <v>105.23</v>
      </c>
      <c r="BG460" s="51" t="n">
        <v>583.198707592892</v>
      </c>
      <c r="BH460" s="51" t="n">
        <v>276.442079254965</v>
      </c>
      <c r="BI460" s="51" t="n">
        <v>106.718616364155</v>
      </c>
      <c r="BJ460" s="51" t="n">
        <v>6.74712534448351</v>
      </c>
      <c r="BK460" s="51" t="n">
        <v>11.9737717380975</v>
      </c>
      <c r="BL460" s="51" t="n">
        <v>11.7837118692388</v>
      </c>
      <c r="BM460" s="51" t="n">
        <v>3.13598783616839</v>
      </c>
      <c r="BN460" s="52" t="n">
        <f aca="false">(BG460*0.5-BH460*0.25+BI460*0.5)/SUM(BG460:BI460)*1000</f>
        <v>285.450880125873</v>
      </c>
      <c r="BO460" s="93" t="n">
        <v>3.23136</v>
      </c>
      <c r="BP460" s="94" t="s">
        <v>491</v>
      </c>
      <c r="BQ460" s="55" t="n">
        <v>258.116666666667</v>
      </c>
      <c r="BR460" s="56" t="n">
        <v>9.62929054694724</v>
      </c>
      <c r="BS460" s="56"/>
      <c r="BT460" s="56" t="n">
        <v>8.52390437420377</v>
      </c>
      <c r="BU460" s="55" t="n">
        <v>11729.628125</v>
      </c>
      <c r="BV460" s="55" t="n">
        <v>437.585060592506</v>
      </c>
      <c r="BW460" s="55"/>
      <c r="BX460" s="55" t="n">
        <v>387.352857812892</v>
      </c>
      <c r="BY460" s="96" t="n">
        <v>0.08961</v>
      </c>
      <c r="BZ460" s="96" t="n">
        <v>0.6017</v>
      </c>
      <c r="CA460" s="97" t="n">
        <v>4.5248</v>
      </c>
      <c r="CB460" s="97"/>
      <c r="CC460" s="97" t="n">
        <v>5.2128</v>
      </c>
      <c r="CD460" s="97" t="n">
        <v>6.8012</v>
      </c>
      <c r="CE460" s="97" t="n">
        <v>87.87</v>
      </c>
      <c r="CF460" s="97" t="n">
        <v>35.2288</v>
      </c>
      <c r="CG460" s="97" t="n">
        <v>0.193</v>
      </c>
      <c r="CH460" s="63" t="n">
        <v>43211.1673203018</v>
      </c>
      <c r="CI460" s="63" t="n">
        <v>2193.05892185595</v>
      </c>
      <c r="CJ460" s="64" t="n">
        <v>725493.859834905</v>
      </c>
      <c r="CK460" s="65" t="n">
        <v>0.302284973487578</v>
      </c>
    </row>
    <row r="461" s="1" customFormat="true" ht="15" hidden="false" customHeight="false" outlineLevel="0" collapsed="false">
      <c r="A461" s="7" t="s">
        <v>488</v>
      </c>
      <c r="B461" s="66" t="n">
        <v>451</v>
      </c>
      <c r="C461" s="8" t="s">
        <v>542</v>
      </c>
      <c r="D461" s="67" t="n">
        <v>41683</v>
      </c>
      <c r="E461" s="4" t="s">
        <v>490</v>
      </c>
      <c r="F461" s="7" t="n">
        <v>307</v>
      </c>
      <c r="G461" s="68" t="n">
        <v>1</v>
      </c>
      <c r="H461" s="68" t="n">
        <v>113</v>
      </c>
      <c r="I461" s="7" t="n">
        <v>2</v>
      </c>
      <c r="J461" s="8" t="n">
        <v>698</v>
      </c>
      <c r="K461" s="32"/>
      <c r="L461" s="31" t="n">
        <v>934.286</v>
      </c>
      <c r="M461" s="31" t="n">
        <v>151.790268285219</v>
      </c>
      <c r="N461" s="31" t="n">
        <v>296.847903702948</v>
      </c>
      <c r="O461" s="95"/>
      <c r="P461" s="33" t="n">
        <v>43.0480465163725</v>
      </c>
      <c r="Q461" s="33" t="n">
        <v>9</v>
      </c>
      <c r="R461" s="31" t="n">
        <v>291.441395491176</v>
      </c>
      <c r="S461" s="34" t="s">
        <v>76</v>
      </c>
      <c r="T461" s="35"/>
      <c r="U461" s="35"/>
      <c r="V461" s="35" t="n">
        <v>23.7062322586188</v>
      </c>
      <c r="W461" s="35" t="n">
        <v>22.1484009119759</v>
      </c>
      <c r="X461" s="35" t="n">
        <v>3.59837535456745</v>
      </c>
      <c r="Y461" s="35" t="n">
        <v>7.03714535066619</v>
      </c>
      <c r="Z461" s="35"/>
      <c r="AA461" s="35" t="n">
        <v>1.02050698899695</v>
      </c>
      <c r="AB461" s="35" t="n">
        <v>0.213356090327569</v>
      </c>
      <c r="AC461" s="71" t="n">
        <v>6.90897741128979</v>
      </c>
      <c r="AD461" s="72"/>
      <c r="AE461" s="72"/>
      <c r="AF461" s="72"/>
      <c r="AG461" s="72"/>
      <c r="AH461" s="72"/>
      <c r="AI461" s="73" t="n">
        <v>19.0469497145919</v>
      </c>
      <c r="AJ461" s="42" t="s">
        <v>16</v>
      </c>
      <c r="AK461" s="43" t="n">
        <v>527.483395774123</v>
      </c>
      <c r="AL461" s="74"/>
      <c r="AM461" s="74"/>
      <c r="AN461" s="74"/>
      <c r="AO461" s="78" t="n">
        <v>45.46</v>
      </c>
      <c r="AP461" s="76" t="n">
        <v>0.992698925897336</v>
      </c>
      <c r="AQ461" s="76" t="n">
        <v>1.4324980563654</v>
      </c>
      <c r="AR461" s="76" t="n">
        <v>2.18243343051506</v>
      </c>
      <c r="AS461" s="77" t="n">
        <v>33.07448388846</v>
      </c>
      <c r="AT461" s="78" t="n">
        <v>34.9443607537038</v>
      </c>
      <c r="AU461" s="78" t="n">
        <v>21.8367559590263</v>
      </c>
      <c r="AV461" s="78" t="n">
        <v>31.511175898931</v>
      </c>
      <c r="AW461" s="78" t="n">
        <v>48.0077745383868</v>
      </c>
      <c r="AX461" s="78" t="n">
        <v>30.155</v>
      </c>
      <c r="AY461" s="48" t="n">
        <v>1.47405797650528</v>
      </c>
      <c r="AZ461" s="48" t="n">
        <v>24.8818997665478</v>
      </c>
      <c r="BA461" s="48" t="n">
        <v>-1.17566750792907</v>
      </c>
      <c r="BB461" s="49" t="n">
        <f aca="false">AT461/V461</f>
        <v>1.47405797650528</v>
      </c>
      <c r="BC461" s="49" t="n">
        <f aca="false">AS461/V461</f>
        <v>1.39518096033313</v>
      </c>
      <c r="BD461" s="49" t="n">
        <f aca="false">SUM(AP461:AR461)/V461</f>
        <v>0.19436367460302</v>
      </c>
      <c r="BE461" s="53" t="n">
        <v>6.14</v>
      </c>
      <c r="BF461" s="51" t="n">
        <v>121.05</v>
      </c>
      <c r="BG461" s="51" t="n">
        <v>515.902519619992</v>
      </c>
      <c r="BH461" s="51" t="n">
        <v>340.933498554316</v>
      </c>
      <c r="BI461" s="51" t="n">
        <v>92.6889714993804</v>
      </c>
      <c r="BJ461" s="51" t="n">
        <v>4.29574555968608</v>
      </c>
      <c r="BK461" s="51" t="n">
        <v>32.7963651383726</v>
      </c>
      <c r="BL461" s="51" t="n">
        <v>7.35233374638579</v>
      </c>
      <c r="BM461" s="51" t="n">
        <v>6.030565881867</v>
      </c>
      <c r="BN461" s="52" t="n">
        <f aca="false">(BG461*0.5-BH461*0.25+BI461*0.5)/SUM(BG461:BI461)*1000</f>
        <v>230.707325561162</v>
      </c>
      <c r="BO461" s="93" t="n">
        <v>4.27001142857143</v>
      </c>
      <c r="BP461" s="94" t="s">
        <v>491</v>
      </c>
      <c r="BQ461" s="55" t="n">
        <v>225.080392156863</v>
      </c>
      <c r="BR461" s="56" t="n">
        <v>9.49456622635726</v>
      </c>
      <c r="BS461" s="56"/>
      <c r="BT461" s="56" t="n">
        <v>6.44110772960717</v>
      </c>
      <c r="BU461" s="55" t="n">
        <v>10802.5539215686</v>
      </c>
      <c r="BV461" s="55" t="n">
        <v>455.684134185482</v>
      </c>
      <c r="BW461" s="55"/>
      <c r="BX461" s="55" t="n">
        <v>309.135828745233</v>
      </c>
      <c r="BY461" s="96" t="n">
        <v>0.13699</v>
      </c>
      <c r="BZ461" s="96" t="n">
        <v>0.4147</v>
      </c>
      <c r="CA461" s="97" t="n">
        <v>4.03</v>
      </c>
      <c r="CB461" s="97"/>
      <c r="CC461" s="97" t="n">
        <v>6.1642</v>
      </c>
      <c r="CD461" s="97" t="n">
        <v>7.53</v>
      </c>
      <c r="CE461" s="97" t="n">
        <v>105.04</v>
      </c>
      <c r="CF461" s="97" t="n">
        <v>39.49</v>
      </c>
      <c r="CG461" s="97" t="n">
        <v>0.1319</v>
      </c>
      <c r="CH461" s="63" t="n">
        <v>3668.15086494531</v>
      </c>
      <c r="CI461" s="63" t="n">
        <v>1770.92644212838</v>
      </c>
      <c r="CJ461" s="64" t="n">
        <v>1038317.26607552</v>
      </c>
      <c r="CK461" s="65" t="n">
        <v>0.170557352746513</v>
      </c>
    </row>
    <row r="462" s="1" customFormat="true" ht="15" hidden="false" customHeight="false" outlineLevel="0" collapsed="false">
      <c r="A462" s="7" t="s">
        <v>488</v>
      </c>
      <c r="B462" s="66" t="n">
        <v>452</v>
      </c>
      <c r="C462" s="8" t="s">
        <v>543</v>
      </c>
      <c r="D462" s="67" t="n">
        <v>41683</v>
      </c>
      <c r="E462" s="4" t="s">
        <v>490</v>
      </c>
      <c r="F462" s="7" t="n">
        <v>348</v>
      </c>
      <c r="G462" s="68" t="n">
        <v>1</v>
      </c>
      <c r="H462" s="68" t="n">
        <v>155</v>
      </c>
      <c r="I462" s="7" t="n">
        <v>2</v>
      </c>
      <c r="J462" s="8" t="n">
        <v>677</v>
      </c>
      <c r="K462" s="32"/>
      <c r="L462" s="31" t="n">
        <v>934.286</v>
      </c>
      <c r="M462" s="31" t="n">
        <v>151.790268285219</v>
      </c>
      <c r="N462" s="31" t="n">
        <v>296.847903702948</v>
      </c>
      <c r="O462" s="95"/>
      <c r="P462" s="33" t="n">
        <v>43.0480465163725</v>
      </c>
      <c r="Q462" s="33" t="n">
        <v>9</v>
      </c>
      <c r="R462" s="31" t="n">
        <v>291.441395491176</v>
      </c>
      <c r="S462" s="34" t="s">
        <v>76</v>
      </c>
      <c r="T462" s="35"/>
      <c r="U462" s="35"/>
      <c r="V462" s="35" t="n">
        <v>23.241375380103</v>
      </c>
      <c r="W462" s="35" t="n">
        <v>21.7140916383749</v>
      </c>
      <c r="X462" s="35" t="n">
        <v>3.52781460426332</v>
      </c>
      <c r="Y462" s="35" t="n">
        <v>6.8991535607569</v>
      </c>
      <c r="Z462" s="35"/>
      <c r="AA462" s="35" t="n">
        <v>1.00049580846715</v>
      </c>
      <c r="AB462" s="35" t="n">
        <v>0.209172378420927</v>
      </c>
      <c r="AC462" s="71" t="n">
        <v>6.77349887391149</v>
      </c>
      <c r="AD462" s="72"/>
      <c r="AE462" s="72"/>
      <c r="AF462" s="72"/>
      <c r="AG462" s="72"/>
      <c r="AH462" s="72"/>
      <c r="AI462" s="73" t="n">
        <v>26.2707803427823</v>
      </c>
      <c r="AJ462" s="42" t="s">
        <v>16</v>
      </c>
      <c r="AK462" s="43" t="n">
        <v>657.414059172678</v>
      </c>
      <c r="AL462" s="74"/>
      <c r="AM462" s="74"/>
      <c r="AN462" s="74"/>
      <c r="AO462" s="78" t="n">
        <v>33.94</v>
      </c>
      <c r="AP462" s="76" t="n">
        <v>1.32997524648626</v>
      </c>
      <c r="AQ462" s="76" t="n">
        <v>1.0554713313897</v>
      </c>
      <c r="AR462" s="76" t="n">
        <v>1.67885908649174</v>
      </c>
      <c r="AS462" s="77" t="n">
        <v>33.5256286972939</v>
      </c>
      <c r="AT462" s="78" t="n">
        <v>33.423995366442</v>
      </c>
      <c r="AU462" s="78" t="n">
        <v>39.1860709041326</v>
      </c>
      <c r="AV462" s="78" t="n">
        <v>31.0981535471331</v>
      </c>
      <c r="AW462" s="78" t="n">
        <v>49.4655004859087</v>
      </c>
      <c r="AX462" s="78" t="n">
        <v>27.3975</v>
      </c>
      <c r="AY462" s="48" t="n">
        <v>1.43812467290797</v>
      </c>
      <c r="AZ462" s="48" t="n">
        <v>25.1407219575931</v>
      </c>
      <c r="BA462" s="48" t="n">
        <v>-1.89934657749005</v>
      </c>
      <c r="BB462" s="49" t="n">
        <f aca="false">AT462/V462</f>
        <v>1.43812467290797</v>
      </c>
      <c r="BC462" s="49" t="n">
        <f aca="false">AS462/V462</f>
        <v>1.44249762111735</v>
      </c>
      <c r="BD462" s="49" t="n">
        <f aca="false">SUM(AP462:AR462)/V462</f>
        <v>0.174873715427666</v>
      </c>
      <c r="BE462" s="53" t="n">
        <v>5.87</v>
      </c>
      <c r="BF462" s="51" t="n">
        <v>128.39</v>
      </c>
      <c r="BG462" s="51" t="n">
        <v>627.85263649817</v>
      </c>
      <c r="BH462" s="51" t="n">
        <v>205.078277124387</v>
      </c>
      <c r="BI462" s="51" t="n">
        <v>134.51203364748</v>
      </c>
      <c r="BJ462" s="51" t="n">
        <v>6.30890256250487</v>
      </c>
      <c r="BK462" s="51" t="n">
        <v>11.6052652075707</v>
      </c>
      <c r="BL462" s="51" t="n">
        <v>9.19074694290833</v>
      </c>
      <c r="BM462" s="51" t="n">
        <v>5.45213801697952</v>
      </c>
      <c r="BN462" s="52" t="n">
        <f aca="false">(BG462*0.5-BH462*0.25+BI462*0.5)/SUM(BG462:BI462)*1000</f>
        <v>341.01521616617</v>
      </c>
      <c r="BO462" s="93" t="n">
        <v>4.58737714285714</v>
      </c>
      <c r="BP462" s="94" t="s">
        <v>491</v>
      </c>
      <c r="BQ462" s="55" t="n">
        <v>333.535555555556</v>
      </c>
      <c r="BR462" s="56" t="n">
        <v>14.3509387934544</v>
      </c>
      <c r="BS462" s="56"/>
      <c r="BT462" s="56" t="n">
        <v>9.97892537677972</v>
      </c>
      <c r="BU462" s="55" t="n">
        <v>10372.7566666667</v>
      </c>
      <c r="BV462" s="55" t="n">
        <v>446.305629379696</v>
      </c>
      <c r="BW462" s="55"/>
      <c r="BX462" s="55" t="n">
        <v>310.338622087083</v>
      </c>
      <c r="BY462" s="96" t="n">
        <v>0.11124</v>
      </c>
      <c r="BZ462" s="96" t="n">
        <v>1.3882</v>
      </c>
      <c r="CA462" s="97" t="n">
        <v>3.77</v>
      </c>
      <c r="CB462" s="97"/>
      <c r="CC462" s="97" t="n">
        <v>6.9286</v>
      </c>
      <c r="CD462" s="97" t="n">
        <v>6.55</v>
      </c>
      <c r="CE462" s="97" t="n">
        <v>96.96</v>
      </c>
      <c r="CF462" s="97" t="n">
        <v>35.59</v>
      </c>
      <c r="CG462" s="97" t="n">
        <v>0.1137</v>
      </c>
      <c r="CH462" s="63" t="n">
        <v>102223.367214607</v>
      </c>
      <c r="CI462" s="63" t="n">
        <v>1940.87610155561</v>
      </c>
      <c r="CJ462" s="64" t="n">
        <v>469644.06806173</v>
      </c>
      <c r="CK462" s="65" t="n">
        <v>0.413265328691537</v>
      </c>
    </row>
    <row r="463" s="1" customFormat="true" ht="15" hidden="false" customHeight="false" outlineLevel="0" collapsed="false">
      <c r="A463" s="7" t="s">
        <v>488</v>
      </c>
      <c r="B463" s="66" t="n">
        <v>453</v>
      </c>
      <c r="C463" s="8" t="s">
        <v>544</v>
      </c>
      <c r="D463" s="67" t="n">
        <v>41683</v>
      </c>
      <c r="E463" s="4" t="s">
        <v>490</v>
      </c>
      <c r="F463" s="7" t="n">
        <v>379</v>
      </c>
      <c r="G463" s="68" t="n">
        <v>1</v>
      </c>
      <c r="H463" s="68" t="n">
        <v>148</v>
      </c>
      <c r="I463" s="7" t="n">
        <v>2</v>
      </c>
      <c r="J463" s="8" t="n">
        <v>666</v>
      </c>
      <c r="K463" s="32"/>
      <c r="L463" s="31" t="n">
        <v>934.286</v>
      </c>
      <c r="M463" s="31" t="n">
        <v>151.790268285219</v>
      </c>
      <c r="N463" s="31" t="n">
        <v>296.847903702948</v>
      </c>
      <c r="O463" s="95"/>
      <c r="P463" s="33" t="n">
        <v>43.0480465163725</v>
      </c>
      <c r="Q463" s="33" t="n">
        <v>9</v>
      </c>
      <c r="R463" s="31" t="n">
        <v>291.441395491176</v>
      </c>
      <c r="S463" s="34" t="s">
        <v>76</v>
      </c>
      <c r="T463" s="35"/>
      <c r="U463" s="35"/>
      <c r="V463" s="35" t="n">
        <v>18.114309359769</v>
      </c>
      <c r="W463" s="35" t="n">
        <v>16.9239456345011</v>
      </c>
      <c r="X463" s="35" t="n">
        <v>2.74957587752079</v>
      </c>
      <c r="Y463" s="35" t="n">
        <v>5.37719476047412</v>
      </c>
      <c r="Z463" s="35"/>
      <c r="AA463" s="35" t="n">
        <v>0.779785631931298</v>
      </c>
      <c r="AB463" s="35" t="n">
        <v>0.163028784237921</v>
      </c>
      <c r="AC463" s="71" t="n">
        <v>5.27925959816995</v>
      </c>
      <c r="AD463" s="72"/>
      <c r="AE463" s="72"/>
      <c r="AF463" s="72"/>
      <c r="AG463" s="72"/>
      <c r="AH463" s="72"/>
      <c r="AI463" s="73" t="n">
        <v>21.5866716460587</v>
      </c>
      <c r="AJ463" s="42" t="s">
        <v>16</v>
      </c>
      <c r="AK463" s="43" t="n">
        <v>583.07606899449</v>
      </c>
      <c r="AL463" s="74"/>
      <c r="AM463" s="74"/>
      <c r="AN463" s="74"/>
      <c r="AO463" s="78" t="n">
        <v>26.34</v>
      </c>
      <c r="AP463" s="76" t="n">
        <v>0.816843540818879</v>
      </c>
      <c r="AQ463" s="76" t="n">
        <v>0.770489795918367</v>
      </c>
      <c r="AR463" s="76" t="n">
        <v>1.23060787172012</v>
      </c>
      <c r="AS463" s="77" t="n">
        <v>22.7886531122832</v>
      </c>
      <c r="AT463" s="78" t="n">
        <v>22.5574690677829</v>
      </c>
      <c r="AU463" s="78" t="n">
        <v>31.0115239490843</v>
      </c>
      <c r="AV463" s="78" t="n">
        <v>29.2517006802721</v>
      </c>
      <c r="AW463" s="78" t="n">
        <v>46.7201166180758</v>
      </c>
      <c r="AX463" s="78" t="n">
        <v>22.24</v>
      </c>
      <c r="AY463" s="48" t="n">
        <v>1.2452845217429</v>
      </c>
      <c r="AZ463" s="48" t="n">
        <v>20.9873658842167</v>
      </c>
      <c r="BA463" s="48" t="n">
        <v>-2.87305652444765</v>
      </c>
      <c r="BB463" s="49" t="n">
        <f aca="false">AT463/V463</f>
        <v>1.2452845217429</v>
      </c>
      <c r="BC463" s="49" t="n">
        <f aca="false">AS463/V463</f>
        <v>1.25804703119931</v>
      </c>
      <c r="BD463" s="49" t="n">
        <f aca="false">SUM(AP463:AR463)/V463</f>
        <v>0.155564374687995</v>
      </c>
      <c r="BE463" s="53" t="n">
        <v>5.83</v>
      </c>
      <c r="BF463" s="51" t="n">
        <v>109.06</v>
      </c>
      <c r="BG463" s="51" t="n">
        <v>629.378323858427</v>
      </c>
      <c r="BH463" s="51" t="n">
        <v>206.216761415734</v>
      </c>
      <c r="BI463" s="51" t="n">
        <v>127.177700348432</v>
      </c>
      <c r="BJ463" s="51" t="n">
        <v>6.14340729873464</v>
      </c>
      <c r="BK463" s="51" t="n">
        <v>11.5532734274711</v>
      </c>
      <c r="BL463" s="51" t="n">
        <v>15.4960572162113</v>
      </c>
      <c r="BM463" s="51" t="n">
        <v>4.03447643498991</v>
      </c>
      <c r="BN463" s="52" t="n">
        <f aca="false">(BG463*0.5-BH463*0.25+BI463*0.5)/SUM(BG463:BI463)*1000</f>
        <v>339.357142857143</v>
      </c>
      <c r="BO463" s="93" t="n">
        <v>5.19325714285714</v>
      </c>
      <c r="BP463" s="94" t="s">
        <v>491</v>
      </c>
      <c r="BQ463" s="55" t="n">
        <v>275.833333333333</v>
      </c>
      <c r="BR463" s="56" t="n">
        <v>15.2273723416663</v>
      </c>
      <c r="BS463" s="56"/>
      <c r="BT463" s="56" t="n">
        <v>12.2280266684388</v>
      </c>
      <c r="BU463" s="55" t="n">
        <v>10555.9266666667</v>
      </c>
      <c r="BV463" s="55" t="n">
        <v>582.739670445889</v>
      </c>
      <c r="BW463" s="55"/>
      <c r="BX463" s="55" t="n">
        <v>467.957049390035</v>
      </c>
      <c r="BY463" s="96" t="n">
        <v>0.06489</v>
      </c>
      <c r="BZ463" s="96" t="n">
        <v>0.5511</v>
      </c>
      <c r="CA463" s="97" t="n">
        <v>4.81</v>
      </c>
      <c r="CB463" s="97"/>
      <c r="CC463" s="97" t="n">
        <v>3.7142</v>
      </c>
      <c r="CD463" s="97" t="n">
        <v>4.27</v>
      </c>
      <c r="CE463" s="97" t="n">
        <v>82.82</v>
      </c>
      <c r="CF463" s="97" t="n">
        <v>30.46</v>
      </c>
      <c r="CG463" s="97" t="n">
        <v>0.9145</v>
      </c>
      <c r="CH463" s="63" t="n">
        <v>31559.6778168927</v>
      </c>
      <c r="CI463" s="63" t="n">
        <v>1510.22956966586</v>
      </c>
      <c r="CJ463" s="64" t="n">
        <v>370557.387561233</v>
      </c>
      <c r="CK463" s="65" t="n">
        <v>0.407556189772711</v>
      </c>
    </row>
    <row r="464" s="1" customFormat="true" ht="15" hidden="false" customHeight="false" outlineLevel="0" collapsed="false">
      <c r="A464" s="7" t="s">
        <v>488</v>
      </c>
      <c r="B464" s="66" t="n">
        <v>454</v>
      </c>
      <c r="C464" s="8" t="s">
        <v>545</v>
      </c>
      <c r="D464" s="67" t="n">
        <v>41683</v>
      </c>
      <c r="E464" s="4" t="s">
        <v>490</v>
      </c>
      <c r="F464" s="7" t="n">
        <v>392</v>
      </c>
      <c r="G464" s="68" t="n">
        <v>1</v>
      </c>
      <c r="H464" s="68" t="n">
        <v>111</v>
      </c>
      <c r="I464" s="7" t="n">
        <v>2</v>
      </c>
      <c r="J464" s="8" t="n">
        <v>729</v>
      </c>
      <c r="K464" s="32"/>
      <c r="L464" s="31" t="n">
        <v>934.286</v>
      </c>
      <c r="M464" s="31" t="n">
        <v>151.790268285219</v>
      </c>
      <c r="N464" s="31" t="n">
        <v>296.847903702948</v>
      </c>
      <c r="O464" s="95"/>
      <c r="P464" s="33" t="n">
        <v>43.0480465163725</v>
      </c>
      <c r="Q464" s="33" t="n">
        <v>9</v>
      </c>
      <c r="R464" s="31" t="n">
        <v>291.441395491176</v>
      </c>
      <c r="S464" s="34" t="s">
        <v>76</v>
      </c>
      <c r="T464" s="35"/>
      <c r="U464" s="35"/>
      <c r="V464" s="35" t="n">
        <v>21.0110853691906</v>
      </c>
      <c r="W464" s="35" t="n">
        <v>19.6303629052396</v>
      </c>
      <c r="X464" s="35" t="n">
        <v>3.18927828515307</v>
      </c>
      <c r="Y464" s="35" t="n">
        <v>6.2370966463679</v>
      </c>
      <c r="Z464" s="35"/>
      <c r="AA464" s="35" t="n">
        <v>0.90448618033239</v>
      </c>
      <c r="AB464" s="35" t="n">
        <v>0.189099768322715</v>
      </c>
      <c r="AC464" s="71" t="n">
        <v>6.12350004078113</v>
      </c>
      <c r="AD464" s="72"/>
      <c r="AE464" s="72"/>
      <c r="AF464" s="72"/>
      <c r="AG464" s="72"/>
      <c r="AH464" s="72"/>
      <c r="AI464" s="73" t="n">
        <v>24.9800006948591</v>
      </c>
      <c r="AJ464" s="42" t="s">
        <v>16</v>
      </c>
      <c r="AK464" s="43" t="n">
        <v>639.711779437532</v>
      </c>
      <c r="AL464" s="74"/>
      <c r="AM464" s="74"/>
      <c r="AN464" s="74"/>
      <c r="AO464" s="78" t="n">
        <v>40.66</v>
      </c>
      <c r="AP464" s="76" t="n">
        <v>1.11568324653024</v>
      </c>
      <c r="AQ464" s="76" t="n">
        <v>1.23679105928086</v>
      </c>
      <c r="AR464" s="76" t="n">
        <v>2.01225510204082</v>
      </c>
      <c r="AS464" s="77" t="n">
        <v>32.9992486979535</v>
      </c>
      <c r="AT464" s="78" t="n">
        <v>34.0080806893184</v>
      </c>
      <c r="AU464" s="78" t="n">
        <v>27.4393321822488</v>
      </c>
      <c r="AV464" s="78" t="n">
        <v>30.4178814382896</v>
      </c>
      <c r="AW464" s="78" t="n">
        <v>49.4897959183674</v>
      </c>
      <c r="AX464" s="78" t="n">
        <v>30.975</v>
      </c>
      <c r="AY464" s="48" t="n">
        <v>1.6185780073592</v>
      </c>
      <c r="AZ464" s="48" t="n">
        <v>25.2478209017997</v>
      </c>
      <c r="BA464" s="48" t="n">
        <v>-4.23673553260909</v>
      </c>
      <c r="BB464" s="49" t="n">
        <f aca="false">AT464/V464</f>
        <v>1.6185780073592</v>
      </c>
      <c r="BC464" s="49" t="n">
        <f aca="false">AS464/V464</f>
        <v>1.57056373424391</v>
      </c>
      <c r="BD464" s="49" t="n">
        <f aca="false">SUM(AP464:AR464)/V464</f>
        <v>0.207734599672423</v>
      </c>
      <c r="BE464" s="53" t="n">
        <v>5.89</v>
      </c>
      <c r="BF464" s="51" t="n">
        <v>135.87</v>
      </c>
      <c r="BG464" s="51" t="n">
        <v>536.689482593656</v>
      </c>
      <c r="BH464" s="51" t="n">
        <v>343.858099654081</v>
      </c>
      <c r="BI464" s="51" t="n">
        <v>88.3197173769044</v>
      </c>
      <c r="BJ464" s="51" t="n">
        <v>4.12158681092221</v>
      </c>
      <c r="BK464" s="51" t="n">
        <v>17.1487451240156</v>
      </c>
      <c r="BL464" s="51" t="n">
        <v>6.77117833222934</v>
      </c>
      <c r="BM464" s="51" t="n">
        <v>3.09119010819165</v>
      </c>
      <c r="BN464" s="52" t="n">
        <f aca="false">(BG464*0.5-BH464*0.25+BI464*0.5)/SUM(BG464:BI464)*1000</f>
        <v>233.819507748405</v>
      </c>
      <c r="BO464" s="93" t="n">
        <v>6.46272</v>
      </c>
      <c r="BP464" s="94" t="s">
        <v>491</v>
      </c>
      <c r="BQ464" s="55" t="n">
        <v>248.523949579832</v>
      </c>
      <c r="BR464" s="56" t="n">
        <v>11.8282299658947</v>
      </c>
      <c r="BS464" s="56"/>
      <c r="BT464" s="56" t="n">
        <v>7.30779110559717</v>
      </c>
      <c r="BU464" s="55" t="n">
        <v>11635.0266106443</v>
      </c>
      <c r="BV464" s="55" t="n">
        <v>553.756572123837</v>
      </c>
      <c r="BW464" s="55"/>
      <c r="BX464" s="55" t="n">
        <v>342.125352998786</v>
      </c>
      <c r="BY464" s="96" t="n">
        <v>0.10712</v>
      </c>
      <c r="BZ464" s="96" t="n">
        <v>0.4378</v>
      </c>
      <c r="CA464" s="97" t="n">
        <v>4.42</v>
      </c>
      <c r="CB464" s="97"/>
      <c r="CC464" s="97" t="n">
        <v>5.6448</v>
      </c>
      <c r="CD464" s="97" t="n">
        <v>5.93</v>
      </c>
      <c r="CE464" s="97" t="n">
        <v>83.83</v>
      </c>
      <c r="CF464" s="97" t="n">
        <v>36.65</v>
      </c>
      <c r="CG464" s="97" t="n">
        <v>0.1137</v>
      </c>
      <c r="CH464" s="63" t="n">
        <v>33321.0414898166</v>
      </c>
      <c r="CI464" s="63" t="n">
        <v>2156.71529192183</v>
      </c>
      <c r="CJ464" s="64" t="n">
        <v>1091011.01811612</v>
      </c>
      <c r="CK464" s="65" t="n">
        <v>0.197680431829726</v>
      </c>
    </row>
    <row r="465" s="1" customFormat="true" ht="15" hidden="false" customHeight="false" outlineLevel="0" collapsed="false">
      <c r="A465" s="7" t="s">
        <v>488</v>
      </c>
      <c r="B465" s="66" t="n">
        <v>455</v>
      </c>
      <c r="C465" s="8" t="s">
        <v>546</v>
      </c>
      <c r="D465" s="67" t="n">
        <v>41683</v>
      </c>
      <c r="E465" s="4" t="s">
        <v>490</v>
      </c>
      <c r="F465" s="7" t="n">
        <v>435</v>
      </c>
      <c r="G465" s="68" t="n">
        <v>1</v>
      </c>
      <c r="H465" s="68" t="n">
        <v>128</v>
      </c>
      <c r="I465" s="7" t="n">
        <v>1</v>
      </c>
      <c r="J465" s="8" t="n">
        <v>604</v>
      </c>
      <c r="K465" s="32"/>
      <c r="L465" s="31" t="n">
        <v>934.286</v>
      </c>
      <c r="M465" s="31" t="n">
        <v>151.790268285219</v>
      </c>
      <c r="N465" s="31" t="n">
        <v>296.847903702948</v>
      </c>
      <c r="O465" s="95"/>
      <c r="P465" s="33" t="n">
        <v>43.0480465163725</v>
      </c>
      <c r="Q465" s="33" t="n">
        <v>9</v>
      </c>
      <c r="R465" s="31" t="n">
        <v>291.441395491176</v>
      </c>
      <c r="S465" s="34" t="s">
        <v>76</v>
      </c>
      <c r="T465" s="35"/>
      <c r="U465" s="35"/>
      <c r="V465" s="35" t="n">
        <v>20.1926661726075</v>
      </c>
      <c r="W465" s="35" t="n">
        <v>18.8657253077408</v>
      </c>
      <c r="X465" s="35" t="n">
        <v>3.06505021573395</v>
      </c>
      <c r="Y465" s="35" t="n">
        <v>5.99415062351197</v>
      </c>
      <c r="Z465" s="35"/>
      <c r="AA465" s="35" t="n">
        <v>0.869254832687989</v>
      </c>
      <c r="AB465" s="35" t="n">
        <v>0.181733995553467</v>
      </c>
      <c r="AC465" s="71" t="n">
        <v>5.88497880803219</v>
      </c>
      <c r="AD465" s="72"/>
      <c r="AE465" s="72"/>
      <c r="AF465" s="72"/>
      <c r="AG465" s="72"/>
      <c r="AH465" s="72"/>
      <c r="AI465" s="73" t="n">
        <v>18.9655894745466</v>
      </c>
      <c r="AJ465" s="42" t="s">
        <v>16</v>
      </c>
      <c r="AK465" s="43" t="n">
        <v>525.456352828962</v>
      </c>
      <c r="AL465" s="74"/>
      <c r="AM465" s="74"/>
      <c r="AN465" s="74"/>
      <c r="AO465" s="78" t="n">
        <v>26.14</v>
      </c>
      <c r="AP465" s="76" t="n">
        <v>1.00616879330582</v>
      </c>
      <c r="AQ465" s="76" t="n">
        <v>0.735425655976677</v>
      </c>
      <c r="AR465" s="76" t="n">
        <v>1.32033673469388</v>
      </c>
      <c r="AS465" s="77" t="n">
        <v>25.5485318995873</v>
      </c>
      <c r="AT465" s="78" t="n">
        <v>25.0678449841036</v>
      </c>
      <c r="AU465" s="78" t="n">
        <v>38.491537616902</v>
      </c>
      <c r="AV465" s="78" t="n">
        <v>28.134110787172</v>
      </c>
      <c r="AW465" s="78" t="n">
        <v>50.5102040816327</v>
      </c>
      <c r="AX465" s="78" t="n">
        <v>31.7525</v>
      </c>
      <c r="AY465" s="48" t="n">
        <v>1.24143314061763</v>
      </c>
      <c r="AZ465" s="48" t="n">
        <v>20.9833728278754</v>
      </c>
      <c r="BA465" s="48" t="n">
        <v>-0.790706655267876</v>
      </c>
      <c r="BB465" s="49" t="n">
        <f aca="false">AT465/V465</f>
        <v>1.24143314061763</v>
      </c>
      <c r="BC465" s="49" t="n">
        <f aca="false">AS465/V465</f>
        <v>1.26523816524265</v>
      </c>
      <c r="BD465" s="49" t="n">
        <f aca="false">SUM(AP465:AR465)/V465</f>
        <v>0.151635804692798</v>
      </c>
      <c r="BE465" s="53" t="n">
        <v>6.69</v>
      </c>
      <c r="BF465" s="51" t="n">
        <v>80.25</v>
      </c>
      <c r="BG465" s="51" t="n">
        <v>661.931464174455</v>
      </c>
      <c r="BH465" s="51" t="n">
        <v>189.034267912773</v>
      </c>
      <c r="BI465" s="51" t="n">
        <v>108.411214953271</v>
      </c>
      <c r="BJ465" s="51" t="n">
        <v>7.97507788161994</v>
      </c>
      <c r="BK465" s="51" t="n">
        <v>10.3426791277259</v>
      </c>
      <c r="BL465" s="51" t="n">
        <v>17.5700934579439</v>
      </c>
      <c r="BM465" s="51" t="n">
        <v>4.73520249221184</v>
      </c>
      <c r="BN465" s="52" t="n">
        <f aca="false">(BG465*0.5-BH465*0.25+BI465*0.5)/SUM(BG465:BI465)*1000</f>
        <v>352.221067671126</v>
      </c>
      <c r="BO465" s="93" t="n">
        <v>4.29886285714286</v>
      </c>
      <c r="BP465" s="94" t="s">
        <v>491</v>
      </c>
      <c r="BQ465" s="55" t="n">
        <v>272.266666666667</v>
      </c>
      <c r="BR465" s="56" t="n">
        <v>13.483443163935</v>
      </c>
      <c r="BS465" s="56"/>
      <c r="BT465" s="56" t="n">
        <v>10.8611915718851</v>
      </c>
      <c r="BU465" s="55" t="n">
        <v>8140.22222222222</v>
      </c>
      <c r="BV465" s="55" t="n">
        <v>403.127657964499</v>
      </c>
      <c r="BW465" s="55"/>
      <c r="BX465" s="55" t="n">
        <v>324.727643217207</v>
      </c>
      <c r="BY465" s="96" t="n">
        <v>0.10918</v>
      </c>
      <c r="BZ465" s="96" t="n">
        <v>0.5522</v>
      </c>
      <c r="CA465" s="97" t="n">
        <v>4.08</v>
      </c>
      <c r="CB465" s="97"/>
      <c r="CC465" s="97" t="n">
        <v>5.1842</v>
      </c>
      <c r="CD465" s="97" t="n">
        <v>7.04</v>
      </c>
      <c r="CE465" s="97" t="n">
        <v>86.86</v>
      </c>
      <c r="CF465" s="97" t="n">
        <v>35.6</v>
      </c>
      <c r="CG465" s="97" t="n">
        <v>0.3958</v>
      </c>
      <c r="CH465" s="63" t="n">
        <v>41468.8490175994</v>
      </c>
      <c r="CI465" s="63" t="n">
        <v>2969.7298736384</v>
      </c>
      <c r="CJ465" s="64" t="n">
        <v>415442.397790073</v>
      </c>
      <c r="CK465" s="65" t="n">
        <v>0.714835531817585</v>
      </c>
    </row>
    <row r="466" s="1" customFormat="true" ht="15" hidden="false" customHeight="false" outlineLevel="0" collapsed="false">
      <c r="A466" s="7" t="s">
        <v>488</v>
      </c>
      <c r="B466" s="66" t="n">
        <v>456</v>
      </c>
      <c r="C466" s="8" t="s">
        <v>547</v>
      </c>
      <c r="D466" s="67" t="n">
        <v>41683</v>
      </c>
      <c r="E466" s="4" t="s">
        <v>490</v>
      </c>
      <c r="F466" s="7" t="n">
        <v>444</v>
      </c>
      <c r="G466" s="68" t="n">
        <v>1</v>
      </c>
      <c r="H466" s="68" t="n">
        <v>160</v>
      </c>
      <c r="I466" s="7" t="n">
        <v>1</v>
      </c>
      <c r="J466" s="8" t="n">
        <v>813</v>
      </c>
      <c r="K466" s="32"/>
      <c r="L466" s="31" t="n">
        <v>934.286</v>
      </c>
      <c r="M466" s="31" t="n">
        <v>151.790268285219</v>
      </c>
      <c r="N466" s="31" t="n">
        <v>296.847903702948</v>
      </c>
      <c r="O466" s="95"/>
      <c r="P466" s="33" t="n">
        <v>43.0480465163725</v>
      </c>
      <c r="Q466" s="33" t="n">
        <v>9</v>
      </c>
      <c r="R466" s="31" t="n">
        <v>291.441395491176</v>
      </c>
      <c r="S466" s="34" t="s">
        <v>76</v>
      </c>
      <c r="T466" s="35"/>
      <c r="U466" s="35"/>
      <c r="V466" s="35" t="n">
        <v>21.5883777010414</v>
      </c>
      <c r="W466" s="35" t="n">
        <v>20.1697190487952</v>
      </c>
      <c r="X466" s="35" t="n">
        <v>3.27690564308371</v>
      </c>
      <c r="Y466" s="35" t="n">
        <v>6.40846466490161</v>
      </c>
      <c r="Z466" s="35"/>
      <c r="AA466" s="35" t="n">
        <v>0.92933748748745</v>
      </c>
      <c r="AB466" s="35" t="n">
        <v>0.194295399309373</v>
      </c>
      <c r="AC466" s="71" t="n">
        <v>6.2917469235821</v>
      </c>
      <c r="AD466" s="72"/>
      <c r="AE466" s="72"/>
      <c r="AF466" s="72"/>
      <c r="AG466" s="72"/>
      <c r="AH466" s="72"/>
      <c r="AI466" s="73" t="n">
        <v>23.1451312529141</v>
      </c>
      <c r="AJ466" s="42" t="s">
        <v>16</v>
      </c>
      <c r="AK466" s="43" t="n">
        <v>611.149321139976</v>
      </c>
      <c r="AL466" s="74"/>
      <c r="AM466" s="74"/>
      <c r="AN466" s="74"/>
      <c r="AO466" s="78" t="n">
        <v>33.36</v>
      </c>
      <c r="AP466" s="76" t="n">
        <v>1.22914644150796</v>
      </c>
      <c r="AQ466" s="76" t="n">
        <v>1.13307288629738</v>
      </c>
      <c r="AR466" s="76" t="n">
        <v>1.65908454810496</v>
      </c>
      <c r="AS466" s="77" t="n">
        <v>31.7811966226194</v>
      </c>
      <c r="AT466" s="78" t="n">
        <v>32.6842302496201</v>
      </c>
      <c r="AU466" s="78" t="n">
        <v>36.8449173113896</v>
      </c>
      <c r="AV466" s="78" t="n">
        <v>33.9650145772595</v>
      </c>
      <c r="AW466" s="78" t="n">
        <v>49.7327502429543</v>
      </c>
      <c r="AX466" s="78" t="n">
        <v>30.76</v>
      </c>
      <c r="AY466" s="48" t="n">
        <v>1.51397343062251</v>
      </c>
      <c r="AZ466" s="48" t="n">
        <v>26.3977278315714</v>
      </c>
      <c r="BA466" s="48" t="n">
        <v>-4.80935013052998</v>
      </c>
      <c r="BB466" s="49" t="n">
        <f aca="false">AT466/V466</f>
        <v>1.51397343062251</v>
      </c>
      <c r="BC466" s="49" t="n">
        <f aca="false">AS466/V466</f>
        <v>1.4721438110232</v>
      </c>
      <c r="BD466" s="49" t="n">
        <f aca="false">SUM(AP466:AR466)/V466</f>
        <v>0.186271702839269</v>
      </c>
      <c r="BE466" s="53" t="n">
        <v>6.58</v>
      </c>
      <c r="BF466" s="51" t="n">
        <v>85.1</v>
      </c>
      <c r="BG466" s="51" t="n">
        <v>549.471210340776</v>
      </c>
      <c r="BH466" s="51" t="n">
        <v>319.388954171563</v>
      </c>
      <c r="BI466" s="51" t="n">
        <v>101.527614571093</v>
      </c>
      <c r="BJ466" s="51" t="n">
        <v>4.11280846063455</v>
      </c>
      <c r="BK466" s="51" t="n">
        <v>14.6886016451234</v>
      </c>
      <c r="BL466" s="51" t="n">
        <v>7.16803760282021</v>
      </c>
      <c r="BM466" s="51" t="n">
        <v>3.6427732079906</v>
      </c>
      <c r="BN466" s="52" t="n">
        <f aca="false">(BG466*0.5-BH466*0.25+BI466*0.5)/SUM(BG466:BI466)*1000</f>
        <v>253.14846209736</v>
      </c>
      <c r="BO466" s="93" t="n">
        <v>5.39521714285714</v>
      </c>
      <c r="BP466" s="94" t="s">
        <v>491</v>
      </c>
      <c r="BQ466" s="55" t="n">
        <v>313.222222222222</v>
      </c>
      <c r="BR466" s="56" t="n">
        <v>14.5088355669779</v>
      </c>
      <c r="BS466" s="56"/>
      <c r="BT466" s="56" t="n">
        <v>9.58328281957512</v>
      </c>
      <c r="BU466" s="55" t="n">
        <v>13618.5925925926</v>
      </c>
      <c r="BV466" s="55" t="n">
        <v>630.829828029905</v>
      </c>
      <c r="BW466" s="55"/>
      <c r="BX466" s="55" t="n">
        <v>416.671663630532</v>
      </c>
      <c r="BY466" s="96" t="n">
        <v>0.07107</v>
      </c>
      <c r="BZ466" s="96" t="n">
        <v>0.7095</v>
      </c>
      <c r="CA466" s="97" t="n">
        <v>4.11</v>
      </c>
      <c r="CB466" s="97"/>
      <c r="CC466" s="97" t="n">
        <v>7.5166</v>
      </c>
      <c r="CD466" s="97" t="n">
        <v>8.03</v>
      </c>
      <c r="CE466" s="97" t="n">
        <v>92.92</v>
      </c>
      <c r="CF466" s="97" t="n">
        <v>37.11</v>
      </c>
      <c r="CG466" s="97" t="n">
        <v>0.1137</v>
      </c>
      <c r="CH466" s="63" t="n">
        <v>37918.5236043483</v>
      </c>
      <c r="CI466" s="63" t="n">
        <v>2346.12186677871</v>
      </c>
      <c r="CJ466" s="64" t="n">
        <v>1002250.71844825</v>
      </c>
      <c r="CK466" s="65" t="n">
        <v>0.234085326515019</v>
      </c>
    </row>
    <row r="467" s="1" customFormat="true" ht="15" hidden="false" customHeight="false" outlineLevel="0" collapsed="false">
      <c r="A467" s="7" t="s">
        <v>488</v>
      </c>
      <c r="B467" s="66" t="n">
        <v>457</v>
      </c>
      <c r="C467" s="8" t="s">
        <v>548</v>
      </c>
      <c r="D467" s="67" t="n">
        <v>41683</v>
      </c>
      <c r="E467" s="4" t="s">
        <v>490</v>
      </c>
      <c r="F467" s="7" t="n">
        <v>449</v>
      </c>
      <c r="G467" s="68" t="n">
        <v>1</v>
      </c>
      <c r="H467" s="68" t="n">
        <v>167</v>
      </c>
      <c r="I467" s="7" t="n">
        <v>1</v>
      </c>
      <c r="J467" s="8" t="n">
        <v>656</v>
      </c>
      <c r="K467" s="32"/>
      <c r="L467" s="31" t="n">
        <v>934.286</v>
      </c>
      <c r="M467" s="31" t="n">
        <v>151.790268285219</v>
      </c>
      <c r="N467" s="31" t="n">
        <v>296.847903702948</v>
      </c>
      <c r="O467" s="95"/>
      <c r="P467" s="33" t="n">
        <v>43.0480465163725</v>
      </c>
      <c r="Q467" s="33" t="n">
        <v>9</v>
      </c>
      <c r="R467" s="31" t="n">
        <v>291.441395491176</v>
      </c>
      <c r="S467" s="34" t="s">
        <v>76</v>
      </c>
      <c r="T467" s="35"/>
      <c r="U467" s="35"/>
      <c r="V467" s="35" t="n">
        <v>18.8453957381079</v>
      </c>
      <c r="W467" s="35" t="n">
        <v>17.6069894025738</v>
      </c>
      <c r="X467" s="35" t="n">
        <v>2.86054767502851</v>
      </c>
      <c r="Y467" s="35" t="n">
        <v>5.59421621930979</v>
      </c>
      <c r="Z467" s="35"/>
      <c r="AA467" s="35" t="n">
        <v>0.811257472353515</v>
      </c>
      <c r="AB467" s="35" t="n">
        <v>0.169608561642971</v>
      </c>
      <c r="AC467" s="71" t="n">
        <v>5.49232843249762</v>
      </c>
      <c r="AD467" s="72"/>
      <c r="AE467" s="72"/>
      <c r="AF467" s="72"/>
      <c r="AG467" s="72"/>
      <c r="AH467" s="72"/>
      <c r="AI467" s="73" t="n">
        <v>23.3797758916246</v>
      </c>
      <c r="AJ467" s="42" t="s">
        <v>16</v>
      </c>
      <c r="AK467" s="43" t="n">
        <v>615.051913169788</v>
      </c>
      <c r="AL467" s="74"/>
      <c r="AM467" s="74"/>
      <c r="AN467" s="74"/>
      <c r="AO467" s="78" t="n">
        <v>26.36</v>
      </c>
      <c r="AP467" s="76" t="n">
        <v>1.21137564418278</v>
      </c>
      <c r="AQ467" s="76" t="n">
        <v>0.9202944606414</v>
      </c>
      <c r="AR467" s="76" t="n">
        <v>1.31287657920311</v>
      </c>
      <c r="AS467" s="77" t="n">
        <v>28.7146346627417</v>
      </c>
      <c r="AT467" s="78" t="n">
        <v>28.957784630491</v>
      </c>
      <c r="AU467" s="78" t="n">
        <v>45.9550699614104</v>
      </c>
      <c r="AV467" s="78" t="n">
        <v>34.9125364431487</v>
      </c>
      <c r="AW467" s="78" t="n">
        <v>49.8056365403304</v>
      </c>
      <c r="AX467" s="78" t="n">
        <v>22.4275</v>
      </c>
      <c r="AY467" s="48" t="n">
        <v>1.53659732238653</v>
      </c>
      <c r="AZ467" s="48" t="n">
        <v>23.1115510966795</v>
      </c>
      <c r="BA467" s="48" t="n">
        <v>-4.26615535857162</v>
      </c>
      <c r="BB467" s="49" t="n">
        <f aca="false">AT467/V467</f>
        <v>1.53659732238653</v>
      </c>
      <c r="BC467" s="49" t="n">
        <f aca="false">AS467/V467</f>
        <v>1.52369496835118</v>
      </c>
      <c r="BD467" s="49" t="n">
        <f aca="false">SUM(AP467:AR467)/V467</f>
        <v>0.182779217369363</v>
      </c>
      <c r="BE467" s="53" t="n">
        <v>6.18</v>
      </c>
      <c r="BF467" s="51" t="n">
        <v>117.04</v>
      </c>
      <c r="BG467" s="51" t="n">
        <v>604.323308270677</v>
      </c>
      <c r="BH467" s="51" t="n">
        <v>247.522214627478</v>
      </c>
      <c r="BI467" s="51" t="n">
        <v>116.028708133971</v>
      </c>
      <c r="BJ467" s="51" t="n">
        <v>6.15174299384826</v>
      </c>
      <c r="BK467" s="51" t="n">
        <v>12.0471633629528</v>
      </c>
      <c r="BL467" s="51" t="n">
        <v>10.5092276144908</v>
      </c>
      <c r="BM467" s="51" t="n">
        <v>3.41763499658237</v>
      </c>
      <c r="BN467" s="52" t="n">
        <f aca="false">(BG467*0.5-BH467*0.25+BI467*0.5)/SUM(BG467:BI467)*1000</f>
        <v>308.196504237288</v>
      </c>
      <c r="BO467" s="93" t="n">
        <v>5.30866285714286</v>
      </c>
      <c r="BP467" s="94" t="s">
        <v>491</v>
      </c>
      <c r="BQ467" s="55" t="n">
        <v>301.235416666667</v>
      </c>
      <c r="BR467" s="56" t="n">
        <v>15.9845630653184</v>
      </c>
      <c r="BS467" s="56"/>
      <c r="BT467" s="56" t="n">
        <v>10.4025712087617</v>
      </c>
      <c r="BU467" s="55" t="n">
        <v>9905.978125</v>
      </c>
      <c r="BV467" s="55" t="n">
        <v>525.644473730462</v>
      </c>
      <c r="BW467" s="55"/>
      <c r="BX467" s="55" t="n">
        <v>342.08342424681</v>
      </c>
      <c r="BY467" s="96" t="n">
        <v>0.09167</v>
      </c>
      <c r="BZ467" s="96" t="n">
        <v>0.704</v>
      </c>
      <c r="CA467" s="97" t="n">
        <v>4.12</v>
      </c>
      <c r="CB467" s="97"/>
      <c r="CC467" s="97" t="n">
        <v>5.3606</v>
      </c>
      <c r="CD467" s="97" t="n">
        <v>5.06</v>
      </c>
      <c r="CE467" s="97" t="n">
        <v>92.92</v>
      </c>
      <c r="CF467" s="97" t="n">
        <v>38.78</v>
      </c>
      <c r="CG467" s="97" t="n">
        <v>0.1046</v>
      </c>
      <c r="CH467" s="63" t="n">
        <v>90400.6690283297</v>
      </c>
      <c r="CI467" s="63" t="n">
        <v>1951.26048914738</v>
      </c>
      <c r="CJ467" s="64" t="n">
        <v>419267.395829127</v>
      </c>
      <c r="CK467" s="65" t="n">
        <v>0.465397621794234</v>
      </c>
    </row>
    <row r="468" s="1" customFormat="true" ht="15" hidden="false" customHeight="false" outlineLevel="0" collapsed="false">
      <c r="A468" s="7" t="s">
        <v>488</v>
      </c>
      <c r="B468" s="66" t="n">
        <v>458</v>
      </c>
      <c r="C468" s="8" t="s">
        <v>549</v>
      </c>
      <c r="D468" s="67" t="n">
        <v>41683</v>
      </c>
      <c r="E468" s="4" t="s">
        <v>490</v>
      </c>
      <c r="F468" s="7" t="n">
        <v>451</v>
      </c>
      <c r="G468" s="68" t="n">
        <v>1</v>
      </c>
      <c r="H468" s="68" t="n">
        <v>210</v>
      </c>
      <c r="I468" s="7" t="n">
        <v>1</v>
      </c>
      <c r="J468" s="8" t="n">
        <v>563</v>
      </c>
      <c r="K468" s="32"/>
      <c r="L468" s="31" t="n">
        <v>934.286</v>
      </c>
      <c r="M468" s="31" t="n">
        <v>151.790268285219</v>
      </c>
      <c r="N468" s="31" t="n">
        <v>296.847903702948</v>
      </c>
      <c r="O468" s="95"/>
      <c r="P468" s="33" t="n">
        <v>43.0480465163725</v>
      </c>
      <c r="Q468" s="33" t="n">
        <v>9</v>
      </c>
      <c r="R468" s="31" t="n">
        <v>291.441395491176</v>
      </c>
      <c r="S468" s="34" t="s">
        <v>76</v>
      </c>
      <c r="T468" s="35"/>
      <c r="U468" s="35"/>
      <c r="V468" s="35" t="n">
        <v>21.0872562397247</v>
      </c>
      <c r="W468" s="35" t="n">
        <v>19.7015282831874</v>
      </c>
      <c r="X468" s="35" t="n">
        <v>3.20084028202696</v>
      </c>
      <c r="Y468" s="35" t="n">
        <v>6.25970780960918</v>
      </c>
      <c r="Z468" s="35"/>
      <c r="AA468" s="35" t="n">
        <v>0.907765187510335</v>
      </c>
      <c r="AB468" s="35" t="n">
        <v>0.189785306157522</v>
      </c>
      <c r="AC468" s="71" t="n">
        <v>6.14569938558537</v>
      </c>
      <c r="AD468" s="72"/>
      <c r="AE468" s="72"/>
      <c r="AF468" s="72"/>
      <c r="AG468" s="72"/>
      <c r="AH468" s="72"/>
      <c r="AI468" s="73" t="n">
        <v>20.9996901253693</v>
      </c>
      <c r="AJ468" s="42" t="s">
        <v>16</v>
      </c>
      <c r="AK468" s="43" t="n">
        <v>571.4222473632</v>
      </c>
      <c r="AL468" s="74"/>
      <c r="AM468" s="74"/>
      <c r="AN468" s="74"/>
      <c r="AO468" s="78" t="n">
        <v>32.86</v>
      </c>
      <c r="AP468" s="76" t="n">
        <v>0.91803316981198</v>
      </c>
      <c r="AQ468" s="76" t="n">
        <v>0.955622448979592</v>
      </c>
      <c r="AR468" s="76" t="n">
        <v>1.67333722060253</v>
      </c>
      <c r="AS468" s="77" t="n">
        <v>26.9144975471797</v>
      </c>
      <c r="AT468" s="78" t="n">
        <v>27.5936093305321</v>
      </c>
      <c r="AU468" s="78" t="n">
        <v>27.9377105846616</v>
      </c>
      <c r="AV468" s="78" t="n">
        <v>29.0816326530612</v>
      </c>
      <c r="AW468" s="78" t="n">
        <v>50.9232264334305</v>
      </c>
      <c r="AX468" s="78" t="n">
        <v>27.025</v>
      </c>
      <c r="AY468" s="48" t="n">
        <v>1.30854431780227</v>
      </c>
      <c r="AZ468" s="48" t="n">
        <v>21.1672806071837</v>
      </c>
      <c r="BA468" s="48" t="n">
        <v>-0.0800243674590391</v>
      </c>
      <c r="BB468" s="49" t="n">
        <f aca="false">AT468/V468</f>
        <v>1.30854431780227</v>
      </c>
      <c r="BC468" s="49" t="n">
        <f aca="false">AS468/V468</f>
        <v>1.27633947447736</v>
      </c>
      <c r="BD468" s="49" t="n">
        <f aca="false">SUM(AP468:AR468)/V468</f>
        <v>0.168205517070172</v>
      </c>
      <c r="BE468" s="53" t="n">
        <v>5.99</v>
      </c>
      <c r="BF468" s="51" t="n">
        <v>108.83</v>
      </c>
      <c r="BG468" s="51" t="n">
        <v>560.231553799504</v>
      </c>
      <c r="BH468" s="51" t="n">
        <v>324.81852430396</v>
      </c>
      <c r="BI468" s="51" t="n">
        <v>88.7622898097951</v>
      </c>
      <c r="BJ468" s="51" t="n">
        <v>4.77809427547551</v>
      </c>
      <c r="BK468" s="51" t="n">
        <v>12.3127814021869</v>
      </c>
      <c r="BL468" s="51" t="n">
        <v>6.79959569971515</v>
      </c>
      <c r="BM468" s="51" t="n">
        <v>2.29716070936323</v>
      </c>
      <c r="BN468" s="52" t="n">
        <f aca="false">(BG468*0.5-BH468*0.25+BI468*0.5)/SUM(BG468:BI468)*1000</f>
        <v>249.834874504623</v>
      </c>
      <c r="BO468" s="93" t="n">
        <v>4.29886285714286</v>
      </c>
      <c r="BP468" s="94" t="s">
        <v>491</v>
      </c>
      <c r="BQ468" s="55" t="n">
        <v>220.076923076923</v>
      </c>
      <c r="BR468" s="56" t="n">
        <v>10.436489250903</v>
      </c>
      <c r="BS468" s="56"/>
      <c r="BT468" s="56" t="n">
        <v>7.97564829017891</v>
      </c>
      <c r="BU468" s="55" t="n">
        <v>9859</v>
      </c>
      <c r="BV468" s="55" t="n">
        <v>467.533560929913</v>
      </c>
      <c r="BW468" s="55"/>
      <c r="BX468" s="55" t="n">
        <v>357.292874661783</v>
      </c>
      <c r="BY468" s="96" t="n">
        <v>0.0824</v>
      </c>
      <c r="BZ468" s="96" t="n">
        <v>0.7887</v>
      </c>
      <c r="CA468" s="97" t="n">
        <v>4.12</v>
      </c>
      <c r="CB468" s="97"/>
      <c r="CC468" s="97" t="n">
        <v>5.5272</v>
      </c>
      <c r="CD468" s="97" t="n">
        <v>7.73</v>
      </c>
      <c r="CE468" s="97" t="n">
        <v>94.94</v>
      </c>
      <c r="CF468" s="97" t="n">
        <v>36.93</v>
      </c>
      <c r="CG468" s="97" t="n">
        <v>0.0773</v>
      </c>
      <c r="CH468" s="63" t="n">
        <v>44698.3177517081</v>
      </c>
      <c r="CI468" s="63" t="n">
        <v>1788.46109459465</v>
      </c>
      <c r="CJ468" s="64" t="n">
        <v>990143.955940924</v>
      </c>
      <c r="CK468" s="65" t="n">
        <v>0.180626370929578</v>
      </c>
    </row>
    <row r="469" s="1" customFormat="true" ht="15" hidden="false" customHeight="false" outlineLevel="0" collapsed="false">
      <c r="A469" s="7" t="s">
        <v>488</v>
      </c>
      <c r="B469" s="66" t="n">
        <v>459</v>
      </c>
      <c r="C469" s="8" t="s">
        <v>550</v>
      </c>
      <c r="D469" s="67" t="n">
        <v>41683</v>
      </c>
      <c r="E469" s="4" t="s">
        <v>490</v>
      </c>
      <c r="F469" s="7" t="n">
        <v>452</v>
      </c>
      <c r="G469" s="68" t="n">
        <v>1</v>
      </c>
      <c r="H469" s="68" t="n">
        <v>151</v>
      </c>
      <c r="I469" s="7" t="n">
        <v>1</v>
      </c>
      <c r="J469" s="8" t="n">
        <v>708</v>
      </c>
      <c r="K469" s="32"/>
      <c r="L469" s="31" t="n">
        <v>934.286</v>
      </c>
      <c r="M469" s="31" t="n">
        <v>151.790268285219</v>
      </c>
      <c r="N469" s="31" t="n">
        <v>296.847903702948</v>
      </c>
      <c r="O469" s="95"/>
      <c r="P469" s="33" t="n">
        <v>43.0480465163725</v>
      </c>
      <c r="Q469" s="33" t="n">
        <v>9</v>
      </c>
      <c r="R469" s="31" t="n">
        <v>291.441395491176</v>
      </c>
      <c r="S469" s="34" t="s">
        <v>76</v>
      </c>
      <c r="T469" s="35"/>
      <c r="U469" s="35"/>
      <c r="V469" s="35" t="n">
        <v>19.7624713053807</v>
      </c>
      <c r="W469" s="35" t="n">
        <v>18.4638002660189</v>
      </c>
      <c r="X469" s="35" t="n">
        <v>2.99975082142267</v>
      </c>
      <c r="Y469" s="35" t="n">
        <v>5.86644817899191</v>
      </c>
      <c r="Z469" s="35"/>
      <c r="AA469" s="35" t="n">
        <v>0.850735784032504</v>
      </c>
      <c r="AB469" s="35" t="n">
        <v>0.177862241748426</v>
      </c>
      <c r="AC469" s="71" t="n">
        <v>5.75960221559446</v>
      </c>
      <c r="AD469" s="72"/>
      <c r="AE469" s="72"/>
      <c r="AF469" s="72"/>
      <c r="AG469" s="72"/>
      <c r="AH469" s="72"/>
      <c r="AI469" s="73" t="n">
        <v>24.1834321427209</v>
      </c>
      <c r="AJ469" s="42" t="s">
        <v>16</v>
      </c>
      <c r="AK469" s="43" t="n">
        <v>627.844387558985</v>
      </c>
      <c r="AL469" s="74"/>
      <c r="AM469" s="74"/>
      <c r="AN469" s="74"/>
      <c r="AO469" s="78" t="n">
        <v>32.62</v>
      </c>
      <c r="AP469" s="76" t="n">
        <v>1.14023803358201</v>
      </c>
      <c r="AQ469" s="76" t="n">
        <v>1.03581972789116</v>
      </c>
      <c r="AR469" s="76" t="n">
        <v>1.63971768707483</v>
      </c>
      <c r="AS469" s="77" t="n">
        <v>30.1515705037302</v>
      </c>
      <c r="AT469" s="78" t="n">
        <v>30.743349887062</v>
      </c>
      <c r="AU469" s="78" t="n">
        <v>34.955181900123</v>
      </c>
      <c r="AV469" s="78" t="n">
        <v>31.754130223518</v>
      </c>
      <c r="AW469" s="78" t="n">
        <v>50.2672497570457</v>
      </c>
      <c r="AX469" s="78" t="n">
        <v>23.525</v>
      </c>
      <c r="AY469" s="48" t="n">
        <v>1.55564298674992</v>
      </c>
      <c r="AZ469" s="48" t="n">
        <v>24.3100534423465</v>
      </c>
      <c r="BA469" s="48" t="n">
        <v>-4.54758213696586</v>
      </c>
      <c r="BB469" s="49" t="n">
        <f aca="false">AT469/V469</f>
        <v>1.55564298674992</v>
      </c>
      <c r="BC469" s="49" t="n">
        <f aca="false">AS469/V469</f>
        <v>1.52569838244476</v>
      </c>
      <c r="BD469" s="49" t="n">
        <f aca="false">SUM(AP469:AR469)/V469</f>
        <v>0.19308189697455</v>
      </c>
      <c r="BE469" s="53" t="n">
        <v>5.69</v>
      </c>
      <c r="BF469" s="51" t="n">
        <v>128.04</v>
      </c>
      <c r="BG469" s="51" t="n">
        <v>546.782255545142</v>
      </c>
      <c r="BH469" s="51" t="n">
        <v>327.866291783817</v>
      </c>
      <c r="BI469" s="51" t="n">
        <v>92.9397063417682</v>
      </c>
      <c r="BJ469" s="51" t="n">
        <v>4.84223680099969</v>
      </c>
      <c r="BK469" s="51" t="n">
        <v>15.6201187129022</v>
      </c>
      <c r="BL469" s="51" t="n">
        <v>8.90346766635426</v>
      </c>
      <c r="BM469" s="51" t="n">
        <v>3.04592314901593</v>
      </c>
      <c r="BN469" s="52" t="n">
        <f aca="false">(BG469*0.5-BH469*0.25+BI469*0.5)/SUM(BG469:BI469)*1000</f>
        <v>245.863265800307</v>
      </c>
      <c r="BO469" s="93" t="n">
        <v>3.46217142857143</v>
      </c>
      <c r="BP469" s="94" t="s">
        <v>491</v>
      </c>
      <c r="BQ469" s="55" t="n">
        <v>224.296078431373</v>
      </c>
      <c r="BR469" s="56" t="n">
        <v>11.3495966655903</v>
      </c>
      <c r="BS469" s="56"/>
      <c r="BT469" s="56" t="n">
        <v>7.29575922127357</v>
      </c>
      <c r="BU469" s="55" t="n">
        <v>9483.90882352941</v>
      </c>
      <c r="BV469" s="55" t="n">
        <v>479.894881413301</v>
      </c>
      <c r="BW469" s="55"/>
      <c r="BX469" s="55" t="n">
        <v>308.486513615766</v>
      </c>
      <c r="BY469" s="96" t="n">
        <v>0.08961</v>
      </c>
      <c r="BZ469" s="96" t="n">
        <v>0.5456</v>
      </c>
      <c r="CA469" s="97" t="n">
        <v>3.99</v>
      </c>
      <c r="CB469" s="97"/>
      <c r="CC469" s="97" t="n">
        <v>5.0666</v>
      </c>
      <c r="CD469" s="97" t="n">
        <v>5.7</v>
      </c>
      <c r="CE469" s="97" t="n">
        <v>83.83</v>
      </c>
      <c r="CF469" s="97" t="n">
        <v>37.75</v>
      </c>
      <c r="CG469" s="97" t="n">
        <v>0.2775</v>
      </c>
      <c r="CH469" s="63" t="n">
        <v>37954.9900471935</v>
      </c>
      <c r="CI469" s="63" t="n">
        <v>2432.0373850643</v>
      </c>
      <c r="CJ469" s="64" t="n">
        <v>1010947.20267505</v>
      </c>
      <c r="CK469" s="65" t="n">
        <v>0.240570168118466</v>
      </c>
    </row>
    <row r="470" s="1" customFormat="true" ht="15" hidden="false" customHeight="false" outlineLevel="0" collapsed="false">
      <c r="A470" s="7" t="s">
        <v>488</v>
      </c>
      <c r="B470" s="66" t="n">
        <v>460</v>
      </c>
      <c r="C470" s="8" t="s">
        <v>551</v>
      </c>
      <c r="D470" s="67" t="n">
        <v>41683</v>
      </c>
      <c r="E470" s="4" t="s">
        <v>490</v>
      </c>
      <c r="F470" s="7" t="n">
        <v>456</v>
      </c>
      <c r="G470" s="68" t="n">
        <v>1</v>
      </c>
      <c r="H470" s="68" t="n">
        <v>156</v>
      </c>
      <c r="I470" s="7" t="n">
        <v>1</v>
      </c>
      <c r="J470" s="8" t="n">
        <v>568</v>
      </c>
      <c r="K470" s="32"/>
      <c r="L470" s="31" t="n">
        <v>934.286</v>
      </c>
      <c r="M470" s="31" t="n">
        <v>151.790268285219</v>
      </c>
      <c r="N470" s="31" t="n">
        <v>296.847903702948</v>
      </c>
      <c r="O470" s="95"/>
      <c r="P470" s="33" t="n">
        <v>43.0480465163725</v>
      </c>
      <c r="Q470" s="33" t="n">
        <v>9</v>
      </c>
      <c r="R470" s="31" t="n">
        <v>291.441395491176</v>
      </c>
      <c r="S470" s="34" t="s">
        <v>76</v>
      </c>
      <c r="T470" s="35"/>
      <c r="U470" s="35"/>
      <c r="V470" s="35" t="n">
        <v>22.0849360643328</v>
      </c>
      <c r="W470" s="35" t="n">
        <v>20.6336465758012</v>
      </c>
      <c r="X470" s="35" t="n">
        <v>3.35227837026698</v>
      </c>
      <c r="Y470" s="35" t="n">
        <v>6.55586697411082</v>
      </c>
      <c r="Z470" s="35"/>
      <c r="AA470" s="35" t="n">
        <v>0.95071335500851</v>
      </c>
      <c r="AB470" s="35" t="n">
        <v>0.198764424578995</v>
      </c>
      <c r="AC470" s="71" t="n">
        <v>6.43646458592255</v>
      </c>
      <c r="AD470" s="72"/>
      <c r="AE470" s="72"/>
      <c r="AF470" s="72"/>
      <c r="AG470" s="72"/>
      <c r="AH470" s="72"/>
      <c r="AI470" s="73" t="n">
        <v>21.8378140530001</v>
      </c>
      <c r="AJ470" s="42" t="s">
        <v>16</v>
      </c>
      <c r="AK470" s="43" t="n">
        <v>587.870838255281</v>
      </c>
      <c r="AL470" s="74"/>
      <c r="AM470" s="74"/>
      <c r="AN470" s="74"/>
      <c r="AO470" s="78" t="n">
        <v>41.62</v>
      </c>
      <c r="AP470" s="76" t="n">
        <v>1.28655280207321</v>
      </c>
      <c r="AQ470" s="76" t="n">
        <v>1.26498104956268</v>
      </c>
      <c r="AR470" s="76" t="n">
        <v>2.08908940719145</v>
      </c>
      <c r="AS470" s="77" t="n">
        <v>35.9462920310982</v>
      </c>
      <c r="AT470" s="78" t="n">
        <v>36.7205689534291</v>
      </c>
      <c r="AU470" s="78" t="n">
        <v>30.9118885649498</v>
      </c>
      <c r="AV470" s="78" t="n">
        <v>30.3935860058309</v>
      </c>
      <c r="AW470" s="78" t="n">
        <v>50.1943634596696</v>
      </c>
      <c r="AX470" s="78" t="n">
        <v>28.3575</v>
      </c>
      <c r="AY470" s="48" t="n">
        <v>1.66269754399393</v>
      </c>
      <c r="AZ470" s="48" t="n">
        <v>24.4658190598071</v>
      </c>
      <c r="BA470" s="48" t="n">
        <v>-2.38088299547438</v>
      </c>
      <c r="BB470" s="49" t="n">
        <f aca="false">AT470/V470</f>
        <v>1.66269754399393</v>
      </c>
      <c r="BC470" s="49" t="n">
        <f aca="false">AS470/V470</f>
        <v>1.62763849197424</v>
      </c>
      <c r="BD470" s="49" t="n">
        <f aca="false">SUM(AP470:AR470)/V470</f>
        <v>0.21012618036608</v>
      </c>
      <c r="BE470" s="53" t="n">
        <v>5.9</v>
      </c>
      <c r="BF470" s="51" t="n">
        <v>109.77</v>
      </c>
      <c r="BG470" s="51" t="n">
        <v>573.836202969846</v>
      </c>
      <c r="BH470" s="51" t="n">
        <v>293.705019586408</v>
      </c>
      <c r="BI470" s="51" t="n">
        <v>100.847226018038</v>
      </c>
      <c r="BJ470" s="51" t="n">
        <v>6.28587045640885</v>
      </c>
      <c r="BK470" s="51" t="n">
        <v>13.2094379156418</v>
      </c>
      <c r="BL470" s="51" t="n">
        <v>10.2942516170174</v>
      </c>
      <c r="BM470" s="51" t="n">
        <v>1.82199143664025</v>
      </c>
      <c r="BN470" s="52" t="n">
        <f aca="false">(BG470*0.5-BH470*0.25+BI470*0.5)/SUM(BG470:BI470)*1000</f>
        <v>272.530573847601</v>
      </c>
      <c r="BO470" s="93" t="n">
        <v>8.82853714285714</v>
      </c>
      <c r="BP470" s="94" t="s">
        <v>491</v>
      </c>
      <c r="BQ470" s="55" t="n">
        <v>296.419607843137</v>
      </c>
      <c r="BR470" s="56" t="n">
        <v>13.4218005874989</v>
      </c>
      <c r="BS470" s="56"/>
      <c r="BT470" s="56" t="n">
        <v>8.072304332187</v>
      </c>
      <c r="BU470" s="55" t="n">
        <v>12118.9647058824</v>
      </c>
      <c r="BV470" s="55" t="n">
        <v>548.743481555942</v>
      </c>
      <c r="BW470" s="55"/>
      <c r="BX470" s="55" t="n">
        <v>330.032051552694</v>
      </c>
      <c r="BY470" s="96" t="n">
        <v>0.10918</v>
      </c>
      <c r="BZ470" s="96" t="n">
        <v>0.6633</v>
      </c>
      <c r="CA470" s="97" t="n">
        <v>4.1</v>
      </c>
      <c r="CB470" s="97"/>
      <c r="CC470" s="97" t="n">
        <v>6.8208</v>
      </c>
      <c r="CD470" s="97" t="n">
        <v>6.15</v>
      </c>
      <c r="CE470" s="97" t="n">
        <v>90.9</v>
      </c>
      <c r="CF470" s="97" t="n">
        <v>36.34</v>
      </c>
      <c r="CG470" s="97" t="n">
        <v>0.0955</v>
      </c>
      <c r="CH470" s="63" t="n">
        <v>50245.0684951786</v>
      </c>
      <c r="CI470" s="63" t="n">
        <v>1803.09213425468</v>
      </c>
      <c r="CJ470" s="64" t="n">
        <v>1068702.82148238</v>
      </c>
      <c r="CK470" s="65" t="n">
        <v>0.168717822954153</v>
      </c>
    </row>
    <row r="471" s="1" customFormat="true" ht="15" hidden="false" customHeight="false" outlineLevel="0" collapsed="false">
      <c r="A471" s="7" t="s">
        <v>488</v>
      </c>
      <c r="B471" s="66" t="n">
        <v>461</v>
      </c>
      <c r="C471" s="8" t="s">
        <v>552</v>
      </c>
      <c r="D471" s="67" t="n">
        <v>41683</v>
      </c>
      <c r="E471" s="4" t="s">
        <v>490</v>
      </c>
      <c r="F471" s="7" t="n">
        <v>458</v>
      </c>
      <c r="G471" s="68" t="n">
        <v>1</v>
      </c>
      <c r="H471" s="68" t="n">
        <v>179</v>
      </c>
      <c r="I471" s="7" t="n">
        <v>1</v>
      </c>
      <c r="J471" s="8" t="n">
        <v>604</v>
      </c>
      <c r="K471" s="32"/>
      <c r="L471" s="31" t="n">
        <v>934.286</v>
      </c>
      <c r="M471" s="31" t="n">
        <v>151.790268285219</v>
      </c>
      <c r="N471" s="31" t="n">
        <v>296.847903702948</v>
      </c>
      <c r="O471" s="95"/>
      <c r="P471" s="33" t="n">
        <v>43.0480465163725</v>
      </c>
      <c r="Q471" s="33" t="n">
        <v>9</v>
      </c>
      <c r="R471" s="31" t="n">
        <v>291.441395491176</v>
      </c>
      <c r="S471" s="34" t="s">
        <v>76</v>
      </c>
      <c r="T471" s="35"/>
      <c r="U471" s="35"/>
      <c r="V471" s="35" t="n">
        <v>17.2153879671743</v>
      </c>
      <c r="W471" s="35" t="n">
        <v>16.0840959622994</v>
      </c>
      <c r="X471" s="35" t="n">
        <v>2.61312835817151</v>
      </c>
      <c r="Y471" s="35" t="n">
        <v>5.11035182948864</v>
      </c>
      <c r="Z471" s="35"/>
      <c r="AA471" s="35" t="n">
        <v>0.741088822008319</v>
      </c>
      <c r="AB471" s="35" t="n">
        <v>0.154938491704569</v>
      </c>
      <c r="AC471" s="71" t="n">
        <v>5.01727669307528</v>
      </c>
      <c r="AD471" s="72"/>
      <c r="AE471" s="72"/>
      <c r="AF471" s="72"/>
      <c r="AG471" s="72"/>
      <c r="AH471" s="72"/>
      <c r="AI471" s="73" t="n">
        <v>22.3521264014637</v>
      </c>
      <c r="AJ471" s="42" t="s">
        <v>16</v>
      </c>
      <c r="AK471" s="43" t="n">
        <v>597.353744411062</v>
      </c>
      <c r="AL471" s="74"/>
      <c r="AM471" s="74"/>
      <c r="AN471" s="74"/>
      <c r="AO471" s="78" t="n">
        <v>27.58</v>
      </c>
      <c r="AP471" s="76" t="n">
        <v>1.06841644070216</v>
      </c>
      <c r="AQ471" s="76" t="n">
        <v>0.960207482993197</v>
      </c>
      <c r="AR471" s="76" t="n">
        <v>1.4037925170068</v>
      </c>
      <c r="AS471" s="77" t="n">
        <v>27.0582466105323</v>
      </c>
      <c r="AT471" s="78" t="n">
        <v>28.008600318032</v>
      </c>
      <c r="AU471" s="78" t="n">
        <v>38.7388122082</v>
      </c>
      <c r="AV471" s="78" t="n">
        <v>34.8153547133139</v>
      </c>
      <c r="AW471" s="78" t="n">
        <v>50.8989310009718</v>
      </c>
      <c r="AX471" s="78" t="n">
        <v>19.07</v>
      </c>
      <c r="AY471" s="48" t="n">
        <v>1.62695144433793</v>
      </c>
      <c r="AZ471" s="48" t="n">
        <v>21.7797675525831</v>
      </c>
      <c r="BA471" s="48" t="n">
        <v>-4.56437958540886</v>
      </c>
      <c r="BB471" s="49" t="n">
        <f aca="false">AT471/V471</f>
        <v>1.62695144433793</v>
      </c>
      <c r="BC471" s="49" t="n">
        <f aca="false">AS471/V471</f>
        <v>1.57174770978883</v>
      </c>
      <c r="BD471" s="49" t="n">
        <f aca="false">SUM(AP471:AR471)/V471</f>
        <v>0.199380719577565</v>
      </c>
      <c r="BE471" s="53" t="n">
        <v>6.17</v>
      </c>
      <c r="BF471" s="51" t="n">
        <v>96.8</v>
      </c>
      <c r="BG471" s="51" t="n">
        <v>605.99173553719</v>
      </c>
      <c r="BH471" s="51" t="n">
        <v>250.309917355372</v>
      </c>
      <c r="BI471" s="51" t="n">
        <v>110.950413223141</v>
      </c>
      <c r="BJ471" s="51" t="n">
        <v>6.30165289256199</v>
      </c>
      <c r="BK471" s="51" t="n">
        <v>13.4297520661157</v>
      </c>
      <c r="BL471" s="51" t="n">
        <v>10.5371900826446</v>
      </c>
      <c r="BM471" s="51" t="n">
        <v>2.47933884297521</v>
      </c>
      <c r="BN471" s="52" t="n">
        <f aca="false">(BG471*0.5-BH471*0.25+BI471*0.5)/SUM(BG471:BI471)*1000</f>
        <v>305.911566805511</v>
      </c>
      <c r="BO471" s="93" t="n">
        <v>8.02069714285714</v>
      </c>
      <c r="BP471" s="94" t="s">
        <v>491</v>
      </c>
      <c r="BQ471" s="55" t="n">
        <v>242.291666666667</v>
      </c>
      <c r="BR471" s="56" t="n">
        <v>14.0741333932561</v>
      </c>
      <c r="BS471" s="56"/>
      <c r="BT471" s="56" t="n">
        <v>8.65061673612726</v>
      </c>
      <c r="BU471" s="55" t="n">
        <v>9675.10119047619</v>
      </c>
      <c r="BV471" s="55" t="n">
        <v>562.003087524042</v>
      </c>
      <c r="BW471" s="55"/>
      <c r="BX471" s="55" t="n">
        <v>345.433226959483</v>
      </c>
      <c r="BY471" s="96" t="n">
        <v>0.06901</v>
      </c>
      <c r="BZ471" s="96" t="n">
        <v>0.7568</v>
      </c>
      <c r="CA471" s="97" t="n">
        <v>4.38</v>
      </c>
      <c r="CB471" s="97"/>
      <c r="CC471" s="97" t="n">
        <v>6.9993</v>
      </c>
      <c r="CD471" s="97" t="n">
        <v>6.04</v>
      </c>
      <c r="CE471" s="97" t="n">
        <v>86.86</v>
      </c>
      <c r="CF471" s="97" t="n">
        <v>37.9032</v>
      </c>
      <c r="CG471" s="97" t="n">
        <v>0.596</v>
      </c>
      <c r="CH471" s="63" t="n">
        <v>68782.5470295837</v>
      </c>
      <c r="CI471" s="63" t="n">
        <v>2708.57395252778</v>
      </c>
      <c r="CJ471" s="64" t="n">
        <v>977746.958410977</v>
      </c>
      <c r="CK471" s="65" t="n">
        <v>0.277021976824119</v>
      </c>
    </row>
    <row r="472" s="1" customFormat="true" ht="15" hidden="false" customHeight="false" outlineLevel="0" collapsed="false">
      <c r="A472" s="7" t="s">
        <v>488</v>
      </c>
      <c r="B472" s="66" t="n">
        <v>462</v>
      </c>
      <c r="C472" s="8" t="s">
        <v>553</v>
      </c>
      <c r="D472" s="67" t="n">
        <v>41683</v>
      </c>
      <c r="E472" s="4" t="s">
        <v>490</v>
      </c>
      <c r="F472" s="7" t="n">
        <v>460</v>
      </c>
      <c r="G472" s="68" t="n">
        <v>1</v>
      </c>
      <c r="H472" s="68" t="n">
        <v>150</v>
      </c>
      <c r="I472" s="7" t="n">
        <v>1</v>
      </c>
      <c r="J472" s="8" t="n">
        <v>771</v>
      </c>
      <c r="K472" s="32"/>
      <c r="L472" s="31" t="n">
        <v>934.286</v>
      </c>
      <c r="M472" s="31" t="n">
        <v>151.790268285219</v>
      </c>
      <c r="N472" s="31" t="n">
        <v>296.847903702948</v>
      </c>
      <c r="O472" s="95"/>
      <c r="P472" s="33" t="n">
        <v>43.0480465163725</v>
      </c>
      <c r="Q472" s="33" t="n">
        <v>9</v>
      </c>
      <c r="R472" s="31" t="n">
        <v>291.441395491176</v>
      </c>
      <c r="S472" s="34" t="s">
        <v>76</v>
      </c>
      <c r="T472" s="35"/>
      <c r="U472" s="35"/>
      <c r="V472" s="35" t="n">
        <v>24.0565921206263</v>
      </c>
      <c r="W472" s="35" t="n">
        <v>22.4757372260114</v>
      </c>
      <c r="X472" s="35" t="n">
        <v>3.65155657201794</v>
      </c>
      <c r="Y472" s="35" t="n">
        <v>7.14114894124477</v>
      </c>
      <c r="Z472" s="35"/>
      <c r="AA472" s="35" t="n">
        <v>1.03558929663412</v>
      </c>
      <c r="AB472" s="35" t="n">
        <v>0.216509329085636</v>
      </c>
      <c r="AC472" s="71" t="n">
        <v>7.01108677839735</v>
      </c>
      <c r="AD472" s="72"/>
      <c r="AE472" s="72"/>
      <c r="AF472" s="72"/>
      <c r="AG472" s="72"/>
      <c r="AH472" s="72"/>
      <c r="AI472" s="73" t="n">
        <v>19.955093175706</v>
      </c>
      <c r="AJ472" s="42" t="s">
        <v>16</v>
      </c>
      <c r="AK472" s="43" t="n">
        <v>548.987322647186</v>
      </c>
      <c r="AL472" s="74"/>
      <c r="AM472" s="74"/>
      <c r="AN472" s="74"/>
      <c r="AO472" s="78" t="n">
        <v>37.4</v>
      </c>
      <c r="AP472" s="76" t="n">
        <v>1.2560983971425</v>
      </c>
      <c r="AQ472" s="76" t="n">
        <v>1.22395043731778</v>
      </c>
      <c r="AR472" s="76" t="n">
        <v>1.92451895043732</v>
      </c>
      <c r="AS472" s="77" t="n">
        <v>33.8014759571375</v>
      </c>
      <c r="AT472" s="78" t="n">
        <v>35.1381823674781</v>
      </c>
      <c r="AU472" s="78" t="n">
        <v>33.5855186401738</v>
      </c>
      <c r="AV472" s="78" t="n">
        <v>32.7259475218659</v>
      </c>
      <c r="AW472" s="78" t="n">
        <v>51.4577259475219</v>
      </c>
      <c r="AX472" s="78" t="n">
        <v>28.6575</v>
      </c>
      <c r="AY472" s="48" t="n">
        <v>1.46064671967192</v>
      </c>
      <c r="AZ472" s="48" t="n">
        <v>26.5215864729993</v>
      </c>
      <c r="BA472" s="48" t="n">
        <v>-2.46499435237307</v>
      </c>
      <c r="BB472" s="49" t="n">
        <f aca="false">AT472/V472</f>
        <v>1.46064671967192</v>
      </c>
      <c r="BC472" s="49" t="n">
        <f aca="false">AS472/V472</f>
        <v>1.40508164197355</v>
      </c>
      <c r="BD472" s="49" t="n">
        <f aca="false">SUM(AP472:AR472)/V472</f>
        <v>0.183091926022269</v>
      </c>
      <c r="BE472" s="53" t="n">
        <v>5.6</v>
      </c>
      <c r="BF472" s="51" t="n">
        <v>127.18</v>
      </c>
      <c r="BG472" s="51" t="n">
        <v>545.997798395974</v>
      </c>
      <c r="BH472" s="51" t="n">
        <v>336.530901085076</v>
      </c>
      <c r="BI472" s="51" t="n">
        <v>90.1085076269854</v>
      </c>
      <c r="BJ472" s="51" t="n">
        <v>4.48183676678723</v>
      </c>
      <c r="BK472" s="51" t="n">
        <v>12.9737380091209</v>
      </c>
      <c r="BL472" s="51" t="n">
        <v>7.94150023588615</v>
      </c>
      <c r="BM472" s="51" t="n">
        <v>1.96571788016984</v>
      </c>
      <c r="BN472" s="52" t="n">
        <f aca="false">(BG472*0.5-BH472*0.25+BI472*0.5)/SUM(BG472:BI472)*1000</f>
        <v>240.501212611156</v>
      </c>
      <c r="BO472" s="93" t="n">
        <v>5.82798857142857</v>
      </c>
      <c r="BP472" s="94" t="s">
        <v>491</v>
      </c>
      <c r="BQ472" s="55" t="n">
        <v>204.905555555555</v>
      </c>
      <c r="BR472" s="56" t="n">
        <v>8.51764682745185</v>
      </c>
      <c r="BS472" s="56"/>
      <c r="BT472" s="56" t="n">
        <v>5.83142159752703</v>
      </c>
      <c r="BU472" s="55" t="n">
        <v>8627.86666666666</v>
      </c>
      <c r="BV472" s="55" t="n">
        <v>358.648748891955</v>
      </c>
      <c r="BW472" s="55"/>
      <c r="BX472" s="55" t="n">
        <v>245.541063462979</v>
      </c>
      <c r="BY472" s="96" t="n">
        <v>0.08549</v>
      </c>
      <c r="BZ472" s="96" t="n">
        <v>0.5731</v>
      </c>
      <c r="CA472" s="97" t="n">
        <v>4.43</v>
      </c>
      <c r="CB472" s="97"/>
      <c r="CC472" s="97" t="n">
        <v>6.2115</v>
      </c>
      <c r="CD472" s="97" t="n">
        <v>5.89</v>
      </c>
      <c r="CE472" s="97" t="n">
        <v>85.85</v>
      </c>
      <c r="CF472" s="97" t="n">
        <v>38.913</v>
      </c>
      <c r="CG472" s="97" t="n">
        <v>0.0955</v>
      </c>
      <c r="CH472" s="63" t="n">
        <v>22128.5186607003</v>
      </c>
      <c r="CI472" s="63" t="n">
        <v>2208.9711649942</v>
      </c>
      <c r="CJ472" s="63" t="n">
        <v>1182993.00521228</v>
      </c>
      <c r="CK472" s="85" t="n">
        <v>0.186727322584449</v>
      </c>
    </row>
    <row r="473" s="1" customFormat="true" ht="15" hidden="false" customHeight="false" outlineLevel="0" collapsed="false">
      <c r="A473" s="7" t="s">
        <v>488</v>
      </c>
      <c r="B473" s="66" t="n">
        <v>463</v>
      </c>
      <c r="C473" s="8" t="s">
        <v>554</v>
      </c>
      <c r="D473" s="67" t="n">
        <v>41683</v>
      </c>
      <c r="E473" s="4" t="s">
        <v>490</v>
      </c>
      <c r="F473" s="7" t="n">
        <v>462</v>
      </c>
      <c r="G473" s="68" t="n">
        <v>1</v>
      </c>
      <c r="H473" s="68" t="n">
        <v>159</v>
      </c>
      <c r="I473" s="7" t="n">
        <v>1</v>
      </c>
      <c r="J473" s="8" t="n">
        <v>729</v>
      </c>
      <c r="K473" s="32"/>
      <c r="L473" s="31" t="n">
        <v>934.286</v>
      </c>
      <c r="M473" s="31" t="n">
        <v>151.790268285219</v>
      </c>
      <c r="N473" s="31" t="n">
        <v>296.847903702948</v>
      </c>
      <c r="O473" s="95"/>
      <c r="P473" s="33" t="n">
        <v>43.0480465163725</v>
      </c>
      <c r="Q473" s="33" t="n">
        <v>9</v>
      </c>
      <c r="R473" s="31" t="n">
        <v>291.441395491176</v>
      </c>
      <c r="S473" s="34" t="s">
        <v>76</v>
      </c>
      <c r="T473" s="35"/>
      <c r="U473" s="35"/>
      <c r="V473" s="35" t="n">
        <v>22.2775510885583</v>
      </c>
      <c r="W473" s="35" t="n">
        <v>20.8136040963248</v>
      </c>
      <c r="X473" s="35" t="n">
        <v>3.38151545646994</v>
      </c>
      <c r="Y473" s="35" t="n">
        <v>6.61304434027387</v>
      </c>
      <c r="Z473" s="35"/>
      <c r="AA473" s="35" t="n">
        <v>0.959005055531125</v>
      </c>
      <c r="AB473" s="35" t="n">
        <v>0.200497959797025</v>
      </c>
      <c r="AC473" s="71" t="n">
        <v>6.49260057737541</v>
      </c>
      <c r="AD473" s="72"/>
      <c r="AE473" s="72"/>
      <c r="AF473" s="72"/>
      <c r="AG473" s="72"/>
      <c r="AH473" s="72"/>
      <c r="AI473" s="73" t="n">
        <v>20.8513701000385</v>
      </c>
      <c r="AJ473" s="42" t="s">
        <v>16</v>
      </c>
      <c r="AK473" s="43" t="n">
        <v>568.373686869459</v>
      </c>
      <c r="AL473" s="74"/>
      <c r="AM473" s="74"/>
      <c r="AN473" s="74"/>
      <c r="AO473" s="78" t="n">
        <v>34.86</v>
      </c>
      <c r="AP473" s="76" t="n">
        <v>1.17587026034042</v>
      </c>
      <c r="AQ473" s="76" t="n">
        <v>1.11033673469388</v>
      </c>
      <c r="AR473" s="76" t="n">
        <v>1.74130612244898</v>
      </c>
      <c r="AS473" s="77" t="n">
        <v>31.5820539051063</v>
      </c>
      <c r="AT473" s="78" t="n">
        <v>32.302160896795</v>
      </c>
      <c r="AU473" s="78" t="n">
        <v>33.7312180246823</v>
      </c>
      <c r="AV473" s="78" t="n">
        <v>31.8513119533528</v>
      </c>
      <c r="AW473" s="78" t="n">
        <v>49.9514091350826</v>
      </c>
      <c r="AX473" s="78" t="n">
        <v>25.695</v>
      </c>
      <c r="AY473" s="48" t="n">
        <v>1.44998706403529</v>
      </c>
      <c r="AZ473" s="48" t="n">
        <v>25.1693869386601</v>
      </c>
      <c r="BA473" s="48" t="n">
        <v>-2.89183585010172</v>
      </c>
      <c r="BB473" s="49" t="n">
        <f aca="false">AT473/V473</f>
        <v>1.44998706403529</v>
      </c>
      <c r="BC473" s="49" t="n">
        <f aca="false">AS473/V473</f>
        <v>1.41766273050213</v>
      </c>
      <c r="BD473" s="49" t="n">
        <f aca="false">SUM(AP473:AR473)/V473</f>
        <v>0.180787964595974</v>
      </c>
      <c r="BE473" s="53" t="n">
        <v>5.75</v>
      </c>
      <c r="BF473" s="51" t="n">
        <v>122.85</v>
      </c>
      <c r="BG473" s="51" t="n">
        <v>579.242979242979</v>
      </c>
      <c r="BH473" s="51" t="n">
        <v>295.075295075295</v>
      </c>
      <c r="BI473" s="51" t="n">
        <v>100.0407000407</v>
      </c>
      <c r="BJ473" s="51" t="n">
        <v>4.63980463980464</v>
      </c>
      <c r="BK473" s="51" t="n">
        <v>10.0936100936101</v>
      </c>
      <c r="BL473" s="51" t="n">
        <v>8.62840862840863</v>
      </c>
      <c r="BM473" s="51" t="n">
        <v>2.27920227920228</v>
      </c>
      <c r="BN473" s="52" t="n">
        <f aca="false">(BG473*0.5-BH473*0.25+BI473*0.5)/SUM(BG473:BI473)*1000</f>
        <v>272.869674185464</v>
      </c>
      <c r="BO473" s="93" t="n">
        <v>3.92379428571429</v>
      </c>
      <c r="BP473" s="94" t="s">
        <v>491</v>
      </c>
      <c r="BQ473" s="55" t="n">
        <v>309.701120448179</v>
      </c>
      <c r="BR473" s="56" t="n">
        <v>13.9019373905618</v>
      </c>
      <c r="BS473" s="56"/>
      <c r="BT473" s="56" t="n">
        <v>9.58762856261136</v>
      </c>
      <c r="BU473" s="55" t="n">
        <v>10911.7855742297</v>
      </c>
      <c r="BV473" s="55" t="n">
        <v>489.810820356908</v>
      </c>
      <c r="BW473" s="55"/>
      <c r="BX473" s="55" t="n">
        <v>337.803579429027</v>
      </c>
      <c r="BY473" s="96" t="n">
        <v>0.10918</v>
      </c>
      <c r="BZ473" s="96" t="n">
        <v>0.8547</v>
      </c>
      <c r="CA473" s="97" t="n">
        <v>3.8</v>
      </c>
      <c r="CB473" s="97"/>
      <c r="CC473" s="97" t="n">
        <v>5.0096</v>
      </c>
      <c r="CD473" s="97" t="n">
        <v>8.93</v>
      </c>
      <c r="CE473" s="97" t="n">
        <v>89.89</v>
      </c>
      <c r="CF473" s="97" t="n">
        <v>39.6474</v>
      </c>
      <c r="CG473" s="97" t="n">
        <v>0.0864</v>
      </c>
      <c r="CH473" s="63" t="n">
        <v>80226.080429209</v>
      </c>
      <c r="CI473" s="63" t="n">
        <v>1856.55539248152</v>
      </c>
      <c r="CJ473" s="64" t="n">
        <v>577865.153621497</v>
      </c>
      <c r="CK473" s="65" t="n">
        <v>0.321278308762249</v>
      </c>
    </row>
    <row r="474" s="1" customFormat="true" ht="15" hidden="false" customHeight="false" outlineLevel="0" collapsed="false">
      <c r="A474" s="7" t="s">
        <v>488</v>
      </c>
      <c r="B474" s="66" t="n">
        <v>464</v>
      </c>
      <c r="C474" s="8" t="s">
        <v>555</v>
      </c>
      <c r="D474" s="67" t="n">
        <v>41683</v>
      </c>
      <c r="E474" s="4" t="s">
        <v>490</v>
      </c>
      <c r="F474" s="7" t="n">
        <v>463</v>
      </c>
      <c r="G474" s="68" t="n">
        <v>1</v>
      </c>
      <c r="H474" s="68" t="n">
        <v>151</v>
      </c>
      <c r="I474" s="7" t="n">
        <v>1</v>
      </c>
      <c r="J474" s="8" t="n">
        <v>583</v>
      </c>
      <c r="K474" s="32"/>
      <c r="L474" s="31" t="n">
        <v>934.286</v>
      </c>
      <c r="M474" s="31" t="n">
        <v>151.790268285219</v>
      </c>
      <c r="N474" s="31" t="n">
        <v>296.847903702948</v>
      </c>
      <c r="O474" s="95"/>
      <c r="P474" s="33" t="n">
        <v>43.0480465163725</v>
      </c>
      <c r="Q474" s="33" t="n">
        <v>9</v>
      </c>
      <c r="R474" s="31" t="n">
        <v>291.441395491176</v>
      </c>
      <c r="S474" s="34" t="s">
        <v>76</v>
      </c>
      <c r="T474" s="35"/>
      <c r="U474" s="35"/>
      <c r="V474" s="35" t="n">
        <v>18.0061653035578</v>
      </c>
      <c r="W474" s="35" t="n">
        <v>16.8229081567998</v>
      </c>
      <c r="X474" s="35" t="n">
        <v>2.73316066221504</v>
      </c>
      <c r="Y474" s="35" t="n">
        <v>5.34509242408991</v>
      </c>
      <c r="Z474" s="35"/>
      <c r="AA474" s="35" t="n">
        <v>0.775130241569051</v>
      </c>
      <c r="AB474" s="35" t="n">
        <v>0.162055487732021</v>
      </c>
      <c r="AC474" s="71" t="n">
        <v>5.2477419435137</v>
      </c>
      <c r="AD474" s="72"/>
      <c r="AE474" s="72"/>
      <c r="AF474" s="72"/>
      <c r="AG474" s="72"/>
      <c r="AH474" s="72"/>
      <c r="AI474" s="73" t="n">
        <v>24.4763119828885</v>
      </c>
      <c r="AJ474" s="42" t="s">
        <v>16</v>
      </c>
      <c r="AK474" s="43" t="n">
        <v>632.297545222828</v>
      </c>
      <c r="AL474" s="74"/>
      <c r="AM474" s="74"/>
      <c r="AN474" s="74"/>
      <c r="AO474" s="78" t="n">
        <v>35.84</v>
      </c>
      <c r="AP474" s="76" t="n">
        <v>1.08588352797767</v>
      </c>
      <c r="AQ474" s="76" t="n">
        <v>1.05621768707483</v>
      </c>
      <c r="AR474" s="76" t="n">
        <v>1.82247619047619</v>
      </c>
      <c r="AS474" s="77" t="n">
        <v>30.624252919665</v>
      </c>
      <c r="AT474" s="78" t="n">
        <v>31.2214813182266</v>
      </c>
      <c r="AU474" s="78" t="n">
        <v>30.2980895083054</v>
      </c>
      <c r="AV474" s="78" t="n">
        <v>29.4703595724004</v>
      </c>
      <c r="AW474" s="78" t="n">
        <v>50.8503401360544</v>
      </c>
      <c r="AX474" s="78" t="n">
        <v>30.4325</v>
      </c>
      <c r="AY474" s="48" t="n">
        <v>1.73393283866263</v>
      </c>
      <c r="AZ474" s="48" t="n">
        <v>22.6973655633878</v>
      </c>
      <c r="BA474" s="48" t="n">
        <v>-4.69120025982999</v>
      </c>
      <c r="BB474" s="49" t="n">
        <f aca="false">AT474/V474</f>
        <v>1.73393283866263</v>
      </c>
      <c r="BC474" s="49" t="n">
        <f aca="false">AS474/V474</f>
        <v>1.70076484378459</v>
      </c>
      <c r="BD474" s="49" t="n">
        <f aca="false">SUM(AP474:AR474)/V474</f>
        <v>0.220178885325757</v>
      </c>
      <c r="BE474" s="53" t="n">
        <v>5.77</v>
      </c>
      <c r="BF474" s="51" t="n">
        <v>124.65</v>
      </c>
      <c r="BG474" s="51" t="n">
        <v>541.756919374248</v>
      </c>
      <c r="BH474" s="51" t="n">
        <v>333.975130365022</v>
      </c>
      <c r="BI474" s="51" t="n">
        <v>91.6967509025271</v>
      </c>
      <c r="BJ474" s="51" t="n">
        <v>4.41235459286001</v>
      </c>
      <c r="BK474" s="51" t="n">
        <v>16.9273967107902</v>
      </c>
      <c r="BL474" s="51" t="n">
        <v>8.34336141195347</v>
      </c>
      <c r="BM474" s="51" t="n">
        <v>2.88808664259928</v>
      </c>
      <c r="BN474" s="52" t="n">
        <f aca="false">(BG474*0.5-BH474*0.25+BI474*0.5)/SUM(BG474:BI474)*1000</f>
        <v>241.08549630981</v>
      </c>
      <c r="BO474" s="93" t="n">
        <v>3.95264571428571</v>
      </c>
      <c r="BP474" s="94" t="s">
        <v>491</v>
      </c>
      <c r="BQ474" s="55" t="n">
        <v>201.775490196078</v>
      </c>
      <c r="BR474" s="56" t="n">
        <v>11.2059112417573</v>
      </c>
      <c r="BS474" s="56"/>
      <c r="BT474" s="56" t="n">
        <v>6.46271354454553</v>
      </c>
      <c r="BU474" s="55" t="n">
        <v>8818.96470588235</v>
      </c>
      <c r="BV474" s="55" t="n">
        <v>489.774727556223</v>
      </c>
      <c r="BW474" s="55"/>
      <c r="BX474" s="55" t="n">
        <v>282.464647208586</v>
      </c>
      <c r="BY474" s="96" t="n">
        <v>0.1133</v>
      </c>
      <c r="BZ474" s="96" t="n">
        <v>0.7029</v>
      </c>
      <c r="CA474" s="97" t="n">
        <v>4.58</v>
      </c>
      <c r="CB474" s="97"/>
      <c r="CC474" s="97" t="n">
        <v>6.3529</v>
      </c>
      <c r="CD474" s="97" t="n">
        <v>9.22</v>
      </c>
      <c r="CE474" s="97" t="n">
        <v>93.93</v>
      </c>
      <c r="CF474" s="97" t="n">
        <v>39.321</v>
      </c>
      <c r="CG474" s="97" t="n">
        <v>0.1228</v>
      </c>
      <c r="CH474" s="63" t="n">
        <v>47122.4687150857</v>
      </c>
      <c r="CI474" s="63" t="n">
        <v>2234.80333184935</v>
      </c>
      <c r="CJ474" s="64" t="n">
        <v>966831.857487618</v>
      </c>
      <c r="CK474" s="65" t="n">
        <v>0.231147051531446</v>
      </c>
    </row>
    <row r="475" s="1" customFormat="true" ht="15" hidden="false" customHeight="false" outlineLevel="0" collapsed="false">
      <c r="A475" s="7" t="s">
        <v>488</v>
      </c>
      <c r="B475" s="66" t="n">
        <v>465</v>
      </c>
      <c r="C475" s="8" t="s">
        <v>556</v>
      </c>
      <c r="D475" s="67" t="n">
        <v>41683</v>
      </c>
      <c r="E475" s="4" t="s">
        <v>490</v>
      </c>
      <c r="F475" s="7" t="n">
        <v>464</v>
      </c>
      <c r="G475" s="68" t="n">
        <v>1</v>
      </c>
      <c r="H475" s="68" t="n">
        <v>118</v>
      </c>
      <c r="I475" s="7" t="n">
        <v>1</v>
      </c>
      <c r="J475" s="8" t="n">
        <v>719</v>
      </c>
      <c r="K475" s="32"/>
      <c r="L475" s="31" t="n">
        <v>934.286</v>
      </c>
      <c r="M475" s="31" t="n">
        <v>151.790268285219</v>
      </c>
      <c r="N475" s="31" t="n">
        <v>296.847903702948</v>
      </c>
      <c r="O475" s="95"/>
      <c r="P475" s="33" t="n">
        <v>43.0480465163725</v>
      </c>
      <c r="Q475" s="33" t="n">
        <v>9</v>
      </c>
      <c r="R475" s="31" t="n">
        <v>291.441395491176</v>
      </c>
      <c r="S475" s="34" t="s">
        <v>76</v>
      </c>
      <c r="T475" s="35"/>
      <c r="U475" s="35"/>
      <c r="V475" s="35" t="n">
        <v>23.2087784604593</v>
      </c>
      <c r="W475" s="35" t="n">
        <v>21.6836367927087</v>
      </c>
      <c r="X475" s="35" t="n">
        <v>3.52286670908533</v>
      </c>
      <c r="Y475" s="35" t="n">
        <v>6.88947723349349</v>
      </c>
      <c r="Z475" s="35"/>
      <c r="AA475" s="35" t="n">
        <v>0.999092574754038</v>
      </c>
      <c r="AB475" s="35" t="n">
        <v>0.208879006144134</v>
      </c>
      <c r="AC475" s="71" t="n">
        <v>6.76399878216181</v>
      </c>
      <c r="AD475" s="72"/>
      <c r="AE475" s="72"/>
      <c r="AF475" s="72"/>
      <c r="AG475" s="72"/>
      <c r="AH475" s="72"/>
      <c r="AI475" s="73" t="n">
        <v>20.1326260856009</v>
      </c>
      <c r="AJ475" s="42" t="s">
        <v>16</v>
      </c>
      <c r="AK475" s="43" t="n">
        <v>552.964428895995</v>
      </c>
      <c r="AL475" s="74"/>
      <c r="AM475" s="74"/>
      <c r="AN475" s="74"/>
      <c r="AO475" s="78" t="n">
        <v>36.24</v>
      </c>
      <c r="AP475" s="76" t="n">
        <v>1.50981089844576</v>
      </c>
      <c r="AQ475" s="76" t="n">
        <v>1.24586005830904</v>
      </c>
      <c r="AR475" s="76" t="n">
        <v>1.84105539358601</v>
      </c>
      <c r="AS475" s="77" t="n">
        <v>37.1431634766864</v>
      </c>
      <c r="AT475" s="78" t="n">
        <v>37.9543933221222</v>
      </c>
      <c r="AU475" s="78" t="n">
        <v>41.6614486326092</v>
      </c>
      <c r="AV475" s="78" t="n">
        <v>34.3780369290573</v>
      </c>
      <c r="AW475" s="78" t="n">
        <v>50.801749271137</v>
      </c>
      <c r="AX475" s="78" t="n">
        <v>27.7975</v>
      </c>
      <c r="AY475" s="48" t="n">
        <v>1.63534644388049</v>
      </c>
      <c r="AZ475" s="48" t="n">
        <v>26.7284841992857</v>
      </c>
      <c r="BA475" s="48" t="n">
        <v>-3.51970573882639</v>
      </c>
      <c r="BB475" s="49" t="n">
        <f aca="false">AT475/V475</f>
        <v>1.63534644388049</v>
      </c>
      <c r="BC475" s="49" t="n">
        <f aca="false">AS475/V475</f>
        <v>1.60039286599969</v>
      </c>
      <c r="BD475" s="49" t="n">
        <f aca="false">SUM(AP475:AR475)/V475</f>
        <v>0.198059814228147</v>
      </c>
      <c r="BE475" s="53" t="n">
        <v>6.57</v>
      </c>
      <c r="BF475" s="51" t="n">
        <v>93.87</v>
      </c>
      <c r="BG475" s="51" t="n">
        <v>581.22935975285</v>
      </c>
      <c r="BH475" s="51" t="n">
        <v>298.604452966869</v>
      </c>
      <c r="BI475" s="51" t="n">
        <v>92.4683072334079</v>
      </c>
      <c r="BJ475" s="51" t="n">
        <v>6.07222754873762</v>
      </c>
      <c r="BK475" s="51" t="n">
        <v>10.653030787259</v>
      </c>
      <c r="BL475" s="51" t="n">
        <v>9.26813678491531</v>
      </c>
      <c r="BM475" s="51" t="n">
        <v>1.70448492596144</v>
      </c>
      <c r="BN475" s="52" t="n">
        <f aca="false">(BG475*0.5-BH475*0.25+BI475*0.5)/SUM(BG475:BI475)*1000</f>
        <v>269.666922318396</v>
      </c>
      <c r="BO475" s="93" t="n">
        <v>2.19270857142857</v>
      </c>
      <c r="BP475" s="94" t="s">
        <v>491</v>
      </c>
      <c r="BQ475" s="55" t="n">
        <v>247.152240896359</v>
      </c>
      <c r="BR475" s="56" t="n">
        <v>10.6490844107729</v>
      </c>
      <c r="BS475" s="56"/>
      <c r="BT475" s="56" t="n">
        <v>6.51182166972756</v>
      </c>
      <c r="BU475" s="55" t="n">
        <v>10193.5852941176</v>
      </c>
      <c r="BV475" s="55" t="n">
        <v>439.212486408296</v>
      </c>
      <c r="BW475" s="55"/>
      <c r="BX475" s="55" t="n">
        <v>268.574581277161</v>
      </c>
      <c r="BY475" s="96" t="n">
        <v>0.12566</v>
      </c>
      <c r="BZ475" s="96" t="n">
        <v>0.3322</v>
      </c>
      <c r="CA475" s="97" t="n">
        <v>4.62</v>
      </c>
      <c r="CB475" s="97"/>
      <c r="CC475" s="97" t="n">
        <v>5.9186</v>
      </c>
      <c r="CD475" s="97" t="n">
        <v>5.96</v>
      </c>
      <c r="CE475" s="97" t="n">
        <v>102.01</v>
      </c>
      <c r="CF475" s="97" t="n">
        <v>39.0864</v>
      </c>
      <c r="CG475" s="97" t="n">
        <v>0.1501</v>
      </c>
      <c r="CH475" s="63" t="n">
        <v>74322.3751095232</v>
      </c>
      <c r="CI475" s="63" t="n">
        <v>2133.85144207293</v>
      </c>
      <c r="CJ475" s="64" t="n">
        <v>438906.341415912</v>
      </c>
      <c r="CK475" s="65" t="n">
        <v>0.486174666601791</v>
      </c>
    </row>
    <row r="476" s="1" customFormat="true" ht="15" hidden="false" customHeight="false" outlineLevel="0" collapsed="false">
      <c r="A476" s="7" t="s">
        <v>488</v>
      </c>
      <c r="B476" s="66" t="n">
        <v>466</v>
      </c>
      <c r="C476" s="8" t="s">
        <v>557</v>
      </c>
      <c r="D476" s="67" t="n">
        <v>41683</v>
      </c>
      <c r="E476" s="4" t="s">
        <v>490</v>
      </c>
      <c r="F476" s="7" t="n">
        <v>467</v>
      </c>
      <c r="G476" s="68" t="n">
        <v>1</v>
      </c>
      <c r="H476" s="68" t="n">
        <v>129</v>
      </c>
      <c r="I476" s="7" t="n">
        <v>1</v>
      </c>
      <c r="J476" s="8" t="n">
        <v>719</v>
      </c>
      <c r="K476" s="32"/>
      <c r="L476" s="31" t="n">
        <v>934.286</v>
      </c>
      <c r="M476" s="31" t="n">
        <v>151.790268285219</v>
      </c>
      <c r="N476" s="31" t="n">
        <v>296.847903702948</v>
      </c>
      <c r="O476" s="95"/>
      <c r="P476" s="33" t="n">
        <v>43.0480465163725</v>
      </c>
      <c r="Q476" s="33" t="n">
        <v>9</v>
      </c>
      <c r="R476" s="31" t="n">
        <v>291.441395491176</v>
      </c>
      <c r="S476" s="34" t="s">
        <v>76</v>
      </c>
      <c r="T476" s="35"/>
      <c r="U476" s="35"/>
      <c r="V476" s="35" t="n">
        <v>19.7999220833616</v>
      </c>
      <c r="W476" s="35" t="n">
        <v>18.4987900035756</v>
      </c>
      <c r="X476" s="35" t="n">
        <v>3.00543548505989</v>
      </c>
      <c r="Y476" s="35" t="n">
        <v>5.87756536392761</v>
      </c>
      <c r="Z476" s="35"/>
      <c r="AA476" s="35" t="n">
        <v>0.852347966865104</v>
      </c>
      <c r="AB476" s="35" t="n">
        <v>0.178199298750255</v>
      </c>
      <c r="AC476" s="71" t="n">
        <v>5.77051692259147</v>
      </c>
      <c r="AD476" s="72"/>
      <c r="AE476" s="72"/>
      <c r="AF476" s="72"/>
      <c r="AG476" s="72"/>
      <c r="AH476" s="72"/>
      <c r="AI476" s="73" t="n">
        <v>22.409460267925</v>
      </c>
      <c r="AJ476" s="42" t="s">
        <v>16</v>
      </c>
      <c r="AK476" s="43" t="n">
        <v>598.383901602403</v>
      </c>
      <c r="AL476" s="74"/>
      <c r="AM476" s="74"/>
      <c r="AN476" s="74"/>
      <c r="AO476" s="78" t="n">
        <v>30.96</v>
      </c>
      <c r="AP476" s="76" t="n">
        <v>1.12686647230321</v>
      </c>
      <c r="AQ476" s="76" t="n">
        <v>1.01018658892128</v>
      </c>
      <c r="AR476" s="76" t="n">
        <v>1.53220408163265</v>
      </c>
      <c r="AS476" s="77" t="n">
        <v>29.2869970845481</v>
      </c>
      <c r="AT476" s="78" t="n">
        <v>29.8054232010548</v>
      </c>
      <c r="AU476" s="78" t="n">
        <v>36.3974958754266</v>
      </c>
      <c r="AV476" s="78" t="n">
        <v>32.6287657920311</v>
      </c>
      <c r="AW476" s="78" t="n">
        <v>49.4897959183674</v>
      </c>
      <c r="AX476" s="78" t="n">
        <v>23.1625</v>
      </c>
      <c r="AY476" s="48" t="n">
        <v>1.50533032784513</v>
      </c>
      <c r="AZ476" s="48" t="n">
        <v>23.985875992975</v>
      </c>
      <c r="BA476" s="48" t="n">
        <v>-4.18595390961336</v>
      </c>
      <c r="BB476" s="49" t="n">
        <f aca="false">AT476/V476</f>
        <v>1.50533032784513</v>
      </c>
      <c r="BC476" s="49" t="n">
        <f aca="false">AS476/V476</f>
        <v>1.47914708761196</v>
      </c>
      <c r="BD476" s="49" t="n">
        <f aca="false">SUM(AP476:AR476)/V476</f>
        <v>0.185316746571468</v>
      </c>
      <c r="BE476" s="53" t="n">
        <v>6.14</v>
      </c>
      <c r="BF476" s="51" t="n">
        <v>114.33</v>
      </c>
      <c r="BG476" s="51" t="n">
        <v>540.715472754308</v>
      </c>
      <c r="BH476" s="51" t="n">
        <v>321.612875010933</v>
      </c>
      <c r="BI476" s="51" t="n">
        <v>99.6238957404006</v>
      </c>
      <c r="BJ476" s="51" t="n">
        <v>5.94769526808362</v>
      </c>
      <c r="BK476" s="51" t="n">
        <v>16.0937636665792</v>
      </c>
      <c r="BL476" s="51" t="n">
        <v>12.0703227499344</v>
      </c>
      <c r="BM476" s="51" t="n">
        <v>3.93597480976122</v>
      </c>
      <c r="BN476" s="52" t="n">
        <f aca="false">(BG476*0.5-BH476*0.25+BI476*0.5)/SUM(BG476:BI476)*1000</f>
        <v>249.249863611566</v>
      </c>
      <c r="BO476" s="93" t="n">
        <v>5.68373142857143</v>
      </c>
      <c r="BP476" s="94" t="s">
        <v>491</v>
      </c>
      <c r="BQ476" s="55" t="n">
        <v>260.803921568627</v>
      </c>
      <c r="BR476" s="56" t="n">
        <v>13.1719670648496</v>
      </c>
      <c r="BS476" s="56"/>
      <c r="BT476" s="56" t="n">
        <v>8.75021702625575</v>
      </c>
      <c r="BU476" s="55" t="n">
        <v>10351.5980392157</v>
      </c>
      <c r="BV476" s="55" t="n">
        <v>522.810039132143</v>
      </c>
      <c r="BW476" s="55"/>
      <c r="BX476" s="55" t="n">
        <v>347.305856702258</v>
      </c>
      <c r="BY476" s="96" t="n">
        <v>0.13081</v>
      </c>
      <c r="BZ476" s="96" t="n">
        <v>0.4697</v>
      </c>
      <c r="CA476" s="97" t="n">
        <v>4.55</v>
      </c>
      <c r="CB476" s="97"/>
      <c r="CC476" s="97" t="n">
        <v>5.6055</v>
      </c>
      <c r="CD476" s="97" t="n">
        <v>7.38</v>
      </c>
      <c r="CE476" s="97" t="n">
        <v>94.94</v>
      </c>
      <c r="CF476" s="97" t="n">
        <v>40.1268</v>
      </c>
      <c r="CG476" s="97" t="n">
        <v>0.1228</v>
      </c>
      <c r="CH476" s="63" t="n">
        <v>63785.1183130688</v>
      </c>
      <c r="CI476" s="63" t="n">
        <v>2861.6033151874</v>
      </c>
      <c r="CJ476" s="64" t="n">
        <v>826112.265830826</v>
      </c>
      <c r="CK476" s="65" t="n">
        <v>0.346393999162991</v>
      </c>
    </row>
    <row r="477" s="1" customFormat="true" ht="15" hidden="false" customHeight="false" outlineLevel="0" collapsed="false">
      <c r="A477" s="7" t="s">
        <v>488</v>
      </c>
      <c r="B477" s="66" t="n">
        <v>467</v>
      </c>
      <c r="C477" s="8" t="s">
        <v>558</v>
      </c>
      <c r="D477" s="67" t="n">
        <v>41683</v>
      </c>
      <c r="E477" s="4" t="s">
        <v>490</v>
      </c>
      <c r="F477" s="7" t="n">
        <v>469</v>
      </c>
      <c r="G477" s="68" t="n">
        <v>1</v>
      </c>
      <c r="H477" s="68" t="n">
        <v>129</v>
      </c>
      <c r="I477" s="7" t="n">
        <v>1</v>
      </c>
      <c r="J477" s="8" t="n">
        <v>656</v>
      </c>
      <c r="K477" s="32"/>
      <c r="L477" s="31" t="n">
        <v>934.286</v>
      </c>
      <c r="M477" s="31" t="n">
        <v>151.790268285219</v>
      </c>
      <c r="N477" s="31" t="n">
        <v>296.847903702948</v>
      </c>
      <c r="O477" s="95"/>
      <c r="P477" s="33" t="n">
        <v>43.0480465163725</v>
      </c>
      <c r="Q477" s="33" t="n">
        <v>9</v>
      </c>
      <c r="R477" s="31" t="n">
        <v>291.441395491176</v>
      </c>
      <c r="S477" s="34" t="s">
        <v>76</v>
      </c>
      <c r="T477" s="35"/>
      <c r="U477" s="35"/>
      <c r="V477" s="35" t="n">
        <v>21.0818306677572</v>
      </c>
      <c r="W477" s="35" t="n">
        <v>19.6964592472562</v>
      </c>
      <c r="X477" s="35" t="n">
        <v>3.20001673300243</v>
      </c>
      <c r="Y477" s="35" t="n">
        <v>6.25809723994426</v>
      </c>
      <c r="Z477" s="35"/>
      <c r="AA477" s="35" t="n">
        <v>0.907531627235903</v>
      </c>
      <c r="AB477" s="35" t="n">
        <v>0.189736476009815</v>
      </c>
      <c r="AC477" s="71" t="n">
        <v>6.14411814931985</v>
      </c>
      <c r="AD477" s="72"/>
      <c r="AE477" s="72"/>
      <c r="AF477" s="72"/>
      <c r="AG477" s="72"/>
      <c r="AH477" s="72"/>
      <c r="AI477" s="73" t="n">
        <v>20.088259083893</v>
      </c>
      <c r="AJ477" s="42" t="s">
        <v>16</v>
      </c>
      <c r="AK477" s="43" t="n">
        <v>551.977104515925</v>
      </c>
      <c r="AL477" s="74"/>
      <c r="AM477" s="74"/>
      <c r="AN477" s="74"/>
      <c r="AO477" s="78" t="n">
        <v>45.66</v>
      </c>
      <c r="AP477" s="76" t="n">
        <v>1.22108319496921</v>
      </c>
      <c r="AQ477" s="76" t="n">
        <v>1.41550437317784</v>
      </c>
      <c r="AR477" s="76" t="n">
        <v>2.36065306122449</v>
      </c>
      <c r="AS477" s="77" t="n">
        <v>36.5802479245382</v>
      </c>
      <c r="AT477" s="78" t="n">
        <v>38.5391897550566</v>
      </c>
      <c r="AU477" s="78" t="n">
        <v>26.7429521456244</v>
      </c>
      <c r="AV477" s="78" t="n">
        <v>31.0009718172983</v>
      </c>
      <c r="AW477" s="78" t="n">
        <v>51.7006802721088</v>
      </c>
      <c r="AX477" s="78" t="n">
        <v>23.96</v>
      </c>
      <c r="AY477" s="48" t="n">
        <v>1.82807605100437</v>
      </c>
      <c r="AZ477" s="48" t="n">
        <v>25.779504509719</v>
      </c>
      <c r="BA477" s="48" t="n">
        <v>-4.69767384196176</v>
      </c>
      <c r="BB477" s="49" t="n">
        <f aca="false">AT477/V477</f>
        <v>1.82807605100437</v>
      </c>
      <c r="BC477" s="49" t="n">
        <f aca="false">AS477/V477</f>
        <v>1.73515519126545</v>
      </c>
      <c r="BD477" s="49" t="n">
        <f aca="false">SUM(AP477:AR477)/V477</f>
        <v>0.237040165445137</v>
      </c>
      <c r="BE477" s="53" t="n">
        <v>6.22</v>
      </c>
      <c r="BF477" s="51" t="n">
        <v>108.91</v>
      </c>
      <c r="BG477" s="51" t="n">
        <v>564.135524745203</v>
      </c>
      <c r="BH477" s="51" t="n">
        <v>318.7953355982</v>
      </c>
      <c r="BI477" s="51" t="n">
        <v>81.5352125608301</v>
      </c>
      <c r="BJ477" s="51" t="n">
        <v>4.77458451932789</v>
      </c>
      <c r="BK477" s="51" t="n">
        <v>19.3737948765035</v>
      </c>
      <c r="BL477" s="51" t="n">
        <v>8.5391607749518</v>
      </c>
      <c r="BM477" s="51" t="n">
        <v>2.84638692498393</v>
      </c>
      <c r="BN477" s="52" t="n">
        <f aca="false">(BG477*0.5-BH477*0.25+BI477*0.5)/SUM(BG477:BI477)*1000</f>
        <v>252.094440213252</v>
      </c>
      <c r="BO477" s="93" t="n">
        <v>5.07785142857143</v>
      </c>
      <c r="BP477" s="94" t="s">
        <v>491</v>
      </c>
      <c r="BQ477" s="55" t="n">
        <v>224.338541666667</v>
      </c>
      <c r="BR477" s="56" t="n">
        <v>10.641321676574</v>
      </c>
      <c r="BS477" s="56"/>
      <c r="BT477" s="56" t="n">
        <v>5.82104977018185</v>
      </c>
      <c r="BU477" s="55" t="n">
        <v>10094.328125</v>
      </c>
      <c r="BV477" s="55" t="n">
        <v>478.816488192288</v>
      </c>
      <c r="BW477" s="55"/>
      <c r="BX477" s="55" t="n">
        <v>261.923724633457</v>
      </c>
      <c r="BY477" s="96" t="n">
        <v>0.12051</v>
      </c>
      <c r="BZ477" s="96" t="n">
        <v>0.3322</v>
      </c>
      <c r="CA477" s="97" t="n">
        <v>4.21</v>
      </c>
      <c r="CB477" s="97"/>
      <c r="CC477" s="97" t="n">
        <v>5.5954</v>
      </c>
      <c r="CD477" s="97" t="n">
        <v>8.38</v>
      </c>
      <c r="CE477" s="97" t="n">
        <v>89.89</v>
      </c>
      <c r="CF477" s="97" t="n">
        <v>38.9334</v>
      </c>
      <c r="CG477" s="97" t="n">
        <v>0.0955</v>
      </c>
      <c r="CH477" s="63" t="n">
        <v>7883.54104302803</v>
      </c>
      <c r="CI477" s="63" t="n">
        <v>2200.63053774466</v>
      </c>
      <c r="CJ477" s="64" t="n">
        <v>1197939.09964232</v>
      </c>
      <c r="CK477" s="65" t="n">
        <v>0.183701369994661</v>
      </c>
    </row>
    <row r="478" s="1" customFormat="true" ht="15" hidden="false" customHeight="false" outlineLevel="0" collapsed="false">
      <c r="A478" s="7" t="s">
        <v>488</v>
      </c>
      <c r="B478" s="66" t="n">
        <v>468</v>
      </c>
      <c r="C478" s="8" t="s">
        <v>559</v>
      </c>
      <c r="D478" s="67" t="n">
        <v>41683</v>
      </c>
      <c r="E478" s="4" t="s">
        <v>490</v>
      </c>
      <c r="F478" s="7" t="n">
        <v>470</v>
      </c>
      <c r="G478" s="68" t="n">
        <v>1</v>
      </c>
      <c r="H478" s="68" t="n">
        <v>153</v>
      </c>
      <c r="I478" s="7" t="n">
        <v>1</v>
      </c>
      <c r="J478" s="8" t="n">
        <v>729</v>
      </c>
      <c r="K478" s="32"/>
      <c r="L478" s="31" t="n">
        <v>934.286</v>
      </c>
      <c r="M478" s="31" t="n">
        <v>151.790268285219</v>
      </c>
      <c r="N478" s="31" t="n">
        <v>296.847903702948</v>
      </c>
      <c r="O478" s="95"/>
      <c r="P478" s="33" t="n">
        <v>43.0480465163725</v>
      </c>
      <c r="Q478" s="33" t="n">
        <v>9</v>
      </c>
      <c r="R478" s="31" t="n">
        <v>291.441395491176</v>
      </c>
      <c r="S478" s="34" t="s">
        <v>76</v>
      </c>
      <c r="T478" s="35"/>
      <c r="U478" s="35"/>
      <c r="V478" s="35" t="n">
        <v>21.0280898886199</v>
      </c>
      <c r="W478" s="35" t="n">
        <v>19.6462499896791</v>
      </c>
      <c r="X478" s="35" t="n">
        <v>3.19185940571931</v>
      </c>
      <c r="Y478" s="35" t="n">
        <v>6.24214440231397</v>
      </c>
      <c r="Z478" s="35"/>
      <c r="AA478" s="35" t="n">
        <v>0.905218191675771</v>
      </c>
      <c r="AB478" s="35" t="n">
        <v>0.189252808997579</v>
      </c>
      <c r="AC478" s="71" t="n">
        <v>6.12845586165327</v>
      </c>
      <c r="AD478" s="72"/>
      <c r="AE478" s="72"/>
      <c r="AF478" s="72"/>
      <c r="AG478" s="72"/>
      <c r="AH478" s="72"/>
      <c r="AI478" s="73" t="n">
        <v>21.2803642548792</v>
      </c>
      <c r="AJ478" s="42" t="s">
        <v>16</v>
      </c>
      <c r="AK478" s="43" t="n">
        <v>577.074908483464</v>
      </c>
      <c r="AL478" s="74"/>
      <c r="AM478" s="74"/>
      <c r="AN478" s="74"/>
      <c r="AO478" s="78" t="n">
        <v>42.96</v>
      </c>
      <c r="AP478" s="76" t="n">
        <v>0.892154602631606</v>
      </c>
      <c r="AQ478" s="76" t="n">
        <v>1.25874052478134</v>
      </c>
      <c r="AR478" s="76" t="n">
        <v>2.10207580174927</v>
      </c>
      <c r="AS478" s="77" t="n">
        <v>30.5663190394741</v>
      </c>
      <c r="AT478" s="78" t="n">
        <v>31.9390597902649</v>
      </c>
      <c r="AU478" s="78" t="n">
        <v>20.7670996888176</v>
      </c>
      <c r="AV478" s="78" t="n">
        <v>29.3002915451895</v>
      </c>
      <c r="AW478" s="78" t="n">
        <v>48.9310009718173</v>
      </c>
      <c r="AX478" s="78" t="n">
        <v>27.035</v>
      </c>
      <c r="AY478" s="48" t="n">
        <v>1.51887593972812</v>
      </c>
      <c r="AZ478" s="48" t="n">
        <v>24.7657574182282</v>
      </c>
      <c r="BA478" s="48" t="n">
        <v>-3.73766752960832</v>
      </c>
      <c r="BB478" s="49" t="n">
        <f aca="false">AT478/V478</f>
        <v>1.51887593972812</v>
      </c>
      <c r="BC478" s="49" t="n">
        <f aca="false">AS478/V478</f>
        <v>1.45359465369302</v>
      </c>
      <c r="BD478" s="49" t="n">
        <f aca="false">SUM(AP478:AR478)/V478</f>
        <v>0.202251890290039</v>
      </c>
      <c r="BE478" s="53" t="n">
        <v>5.87</v>
      </c>
      <c r="BF478" s="51" t="n">
        <v>118.7</v>
      </c>
      <c r="BG478" s="51" t="n">
        <v>511.710193765796</v>
      </c>
      <c r="BH478" s="51" t="n">
        <v>363.268744734625</v>
      </c>
      <c r="BI478" s="51" t="n">
        <v>82.8138163437237</v>
      </c>
      <c r="BJ478" s="51" t="n">
        <v>4.04380791912384</v>
      </c>
      <c r="BK478" s="51" t="n">
        <v>26.6217354675653</v>
      </c>
      <c r="BL478" s="51" t="n">
        <v>6.57118786857624</v>
      </c>
      <c r="BM478" s="51" t="n">
        <v>4.97051390058972</v>
      </c>
      <c r="BN478" s="52" t="n">
        <f aca="false">(BG478*0.5-BH478*0.25+BI478*0.5)/SUM(BG478:BI478)*1000</f>
        <v>215.542264051368</v>
      </c>
      <c r="BO478" s="93" t="n">
        <v>5.97224571428571</v>
      </c>
      <c r="BP478" s="94" t="s">
        <v>491</v>
      </c>
      <c r="BQ478" s="55" t="n">
        <v>207.68431372549</v>
      </c>
      <c r="BR478" s="56" t="n">
        <v>9.8765182584599</v>
      </c>
      <c r="BS478" s="56"/>
      <c r="BT478" s="56" t="n">
        <v>6.50251807940798</v>
      </c>
      <c r="BU478" s="55" t="n">
        <v>10160.0980392157</v>
      </c>
      <c r="BV478" s="55" t="n">
        <v>483.167900319572</v>
      </c>
      <c r="BW478" s="55"/>
      <c r="BX478" s="55" t="n">
        <v>318.108864379048</v>
      </c>
      <c r="BY478" s="96" t="n">
        <v>0.12051</v>
      </c>
      <c r="BZ478" s="96" t="n">
        <v>0.6699</v>
      </c>
      <c r="CA478" s="97" t="n">
        <v>4.31</v>
      </c>
      <c r="CB478" s="97"/>
      <c r="CC478" s="97" t="n">
        <v>6.161</v>
      </c>
      <c r="CD478" s="97" t="n">
        <v>6.15</v>
      </c>
      <c r="CE478" s="97" t="n">
        <v>93.93</v>
      </c>
      <c r="CF478" s="97" t="n">
        <v>40.6062</v>
      </c>
      <c r="CG478" s="97" t="n">
        <v>0.1683</v>
      </c>
      <c r="CH478" s="63" t="n">
        <v>8589.79339516906</v>
      </c>
      <c r="CI478" s="63" t="n">
        <v>1302.56780570265</v>
      </c>
      <c r="CJ478" s="64" t="n">
        <v>1241547.91818553</v>
      </c>
      <c r="CK478" s="65" t="n">
        <v>0.104914823392906</v>
      </c>
    </row>
    <row r="479" s="1" customFormat="true" ht="15" hidden="false" customHeight="false" outlineLevel="0" collapsed="false">
      <c r="A479" s="7" t="s">
        <v>488</v>
      </c>
      <c r="B479" s="66" t="n">
        <v>469</v>
      </c>
      <c r="C479" s="8" t="s">
        <v>560</v>
      </c>
      <c r="D479" s="67" t="n">
        <v>41683</v>
      </c>
      <c r="E479" s="4" t="s">
        <v>490</v>
      </c>
      <c r="F479" s="7" t="n">
        <v>513</v>
      </c>
      <c r="G479" s="68" t="n">
        <v>1</v>
      </c>
      <c r="H479" s="68" t="n">
        <v>111</v>
      </c>
      <c r="I479" s="7" t="n">
        <v>1</v>
      </c>
      <c r="J479" s="8" t="n">
        <v>656</v>
      </c>
      <c r="K479" s="32"/>
      <c r="L479" s="31" t="n">
        <v>934.286</v>
      </c>
      <c r="M479" s="31" t="n">
        <v>151.790268285219</v>
      </c>
      <c r="N479" s="31" t="n">
        <v>296.847903702948</v>
      </c>
      <c r="O479" s="95"/>
      <c r="P479" s="33" t="n">
        <v>43.0480465163725</v>
      </c>
      <c r="Q479" s="33" t="n">
        <v>9</v>
      </c>
      <c r="R479" s="31" t="n">
        <v>291.441395491176</v>
      </c>
      <c r="S479" s="34" t="s">
        <v>76</v>
      </c>
      <c r="T479" s="35"/>
      <c r="U479" s="35"/>
      <c r="V479" s="35" t="n">
        <v>19.1121167600426</v>
      </c>
      <c r="W479" s="35" t="n">
        <v>17.8561831192732</v>
      </c>
      <c r="X479" s="35" t="n">
        <v>2.9010333305053</v>
      </c>
      <c r="Y479" s="35" t="n">
        <v>5.67339179554463</v>
      </c>
      <c r="Z479" s="35"/>
      <c r="AA479" s="35" t="n">
        <v>0.822739291312658</v>
      </c>
      <c r="AB479" s="35" t="n">
        <v>0.172009050840384</v>
      </c>
      <c r="AC479" s="71" t="n">
        <v>5.57006197933712</v>
      </c>
      <c r="AD479" s="72"/>
      <c r="AE479" s="72"/>
      <c r="AF479" s="72"/>
      <c r="AG479" s="72"/>
      <c r="AH479" s="72"/>
      <c r="AI479" s="73" t="n">
        <v>23.019860023792</v>
      </c>
      <c r="AJ479" s="42" t="s">
        <v>16</v>
      </c>
      <c r="AK479" s="43" t="n">
        <v>609.033243872981</v>
      </c>
      <c r="AL479" s="74"/>
      <c r="AM479" s="74"/>
      <c r="AN479" s="74"/>
      <c r="AO479" s="78" t="n">
        <v>34.24</v>
      </c>
      <c r="AP479" s="76" t="n">
        <v>1.13234020965629</v>
      </c>
      <c r="AQ479" s="76" t="n">
        <v>1.10389893100097</v>
      </c>
      <c r="AR479" s="76" t="n">
        <v>1.73279689018465</v>
      </c>
      <c r="AS479" s="77" t="n">
        <v>30.6811031448444</v>
      </c>
      <c r="AT479" s="78" t="n">
        <v>31.6726792113737</v>
      </c>
      <c r="AU479" s="78" t="n">
        <v>33.0706836932329</v>
      </c>
      <c r="AV479" s="78" t="n">
        <v>32.2400388726919</v>
      </c>
      <c r="AW479" s="78" t="n">
        <v>50.6073858114675</v>
      </c>
      <c r="AX479" s="78" t="n">
        <v>26.205</v>
      </c>
      <c r="AY479" s="48" t="n">
        <v>1.65720415007046</v>
      </c>
      <c r="AZ479" s="48" t="n">
        <v>23.3968082405835</v>
      </c>
      <c r="BA479" s="48" t="n">
        <v>-4.28469148054088</v>
      </c>
      <c r="BB479" s="49" t="n">
        <f aca="false">AT479/V479</f>
        <v>1.65720415007046</v>
      </c>
      <c r="BC479" s="49" t="n">
        <f aca="false">AS479/V479</f>
        <v>1.60532208598625</v>
      </c>
      <c r="BD479" s="49" t="n">
        <f aca="false">SUM(AP479:AR479)/V479</f>
        <v>0.207671189992932</v>
      </c>
      <c r="BE479" s="53" t="n">
        <v>5.68</v>
      </c>
      <c r="BF479" s="51" t="n">
        <v>136.53</v>
      </c>
      <c r="BG479" s="51" t="n">
        <v>550.721453160477</v>
      </c>
      <c r="BH479" s="51" t="n">
        <v>325.642715886618</v>
      </c>
      <c r="BI479" s="51" t="n">
        <v>95.8763641690471</v>
      </c>
      <c r="BJ479" s="51" t="n">
        <v>4.980590346444</v>
      </c>
      <c r="BK479" s="51" t="n">
        <v>11.865524060646</v>
      </c>
      <c r="BL479" s="51" t="n">
        <v>9.15549696037501</v>
      </c>
      <c r="BM479" s="51" t="n">
        <v>1.757855416392</v>
      </c>
      <c r="BN479" s="52" t="n">
        <f aca="false">(BG479*0.5-BH479*0.25+BI479*0.5)/SUM(BG479:BI479)*1000</f>
        <v>248.794636130782</v>
      </c>
      <c r="BO479" s="93" t="n">
        <v>5.94339428571429</v>
      </c>
      <c r="BP479" s="94" t="s">
        <v>491</v>
      </c>
      <c r="BQ479" s="55" t="n">
        <v>272.799509803922</v>
      </c>
      <c r="BR479" s="56" t="n">
        <v>14.2736418591926</v>
      </c>
      <c r="BS479" s="56"/>
      <c r="BT479" s="56" t="n">
        <v>8.61308599703048</v>
      </c>
      <c r="BU479" s="55" t="n">
        <v>10759.6524509804</v>
      </c>
      <c r="BV479" s="55" t="n">
        <v>562.975445685609</v>
      </c>
      <c r="BW479" s="55"/>
      <c r="BX479" s="55" t="n">
        <v>339.713997012181</v>
      </c>
      <c r="BY479" s="96" t="n">
        <v>0.09167</v>
      </c>
      <c r="BZ479" s="96" t="n">
        <v>0.4774</v>
      </c>
      <c r="CA479" s="97" t="n">
        <v>4.88</v>
      </c>
      <c r="CB479" s="97"/>
      <c r="CC479" s="97" t="n">
        <v>6.3731</v>
      </c>
      <c r="CD479" s="97" t="n">
        <v>7.08</v>
      </c>
      <c r="CE479" s="97" t="n">
        <v>95.95</v>
      </c>
      <c r="CF479" s="97" t="n">
        <v>41.4222</v>
      </c>
      <c r="CG479" s="97" t="n">
        <v>0.0591</v>
      </c>
      <c r="CH479" s="63" t="n">
        <v>95322.6460487071</v>
      </c>
      <c r="CI479" s="63" t="n">
        <v>1311.19735478946</v>
      </c>
      <c r="CJ479" s="64" t="n">
        <v>609415.51305059</v>
      </c>
      <c r="CK479" s="65" t="n">
        <v>0.215156543722676</v>
      </c>
    </row>
    <row r="480" s="1" customFormat="true" ht="15" hidden="false" customHeight="false" outlineLevel="0" collapsed="false">
      <c r="A480" s="7" t="s">
        <v>488</v>
      </c>
      <c r="B480" s="66" t="n">
        <v>470</v>
      </c>
      <c r="C480" s="8" t="s">
        <v>561</v>
      </c>
      <c r="D480" s="67" t="n">
        <v>41683</v>
      </c>
      <c r="E480" s="4" t="s">
        <v>490</v>
      </c>
      <c r="F480" s="7" t="n">
        <v>1259</v>
      </c>
      <c r="G480" s="68" t="n">
        <v>1</v>
      </c>
      <c r="H480" s="68" t="n">
        <v>192</v>
      </c>
      <c r="I480" s="7" t="n">
        <v>6</v>
      </c>
      <c r="J480" s="8" t="n">
        <v>823</v>
      </c>
      <c r="K480" s="32"/>
      <c r="L480" s="31" t="n">
        <v>934.286</v>
      </c>
      <c r="M480" s="31" t="n">
        <v>151.790268285219</v>
      </c>
      <c r="N480" s="31" t="n">
        <v>296.847903702948</v>
      </c>
      <c r="O480" s="95"/>
      <c r="P480" s="33" t="n">
        <v>43.0480465163725</v>
      </c>
      <c r="Q480" s="33" t="n">
        <v>9</v>
      </c>
      <c r="R480" s="31" t="n">
        <v>291.441395491176</v>
      </c>
      <c r="S480" s="34" t="s">
        <v>76</v>
      </c>
      <c r="T480" s="35"/>
      <c r="U480" s="35"/>
      <c r="V480" s="35" t="n">
        <v>23.3870070485916</v>
      </c>
      <c r="W480" s="35" t="n">
        <v>21.8501532674004</v>
      </c>
      <c r="X480" s="35" t="n">
        <v>3.54992007429402</v>
      </c>
      <c r="Y480" s="35" t="n">
        <v>6.94238401626048</v>
      </c>
      <c r="Z480" s="35"/>
      <c r="AA480" s="35" t="n">
        <v>1.0067649673065</v>
      </c>
      <c r="AB480" s="35" t="n">
        <v>0.210483063437324</v>
      </c>
      <c r="AC480" s="71" t="n">
        <v>6.8159419706035</v>
      </c>
      <c r="AD480" s="72"/>
      <c r="AE480" s="72"/>
      <c r="AF480" s="72"/>
      <c r="AG480" s="72"/>
      <c r="AH480" s="72"/>
      <c r="AI480" s="73" t="n">
        <v>25.8388910759749</v>
      </c>
      <c r="AJ480" s="42" t="s">
        <v>16</v>
      </c>
      <c r="AK480" s="43" t="n">
        <v>651.687838555571</v>
      </c>
      <c r="AL480" s="74"/>
      <c r="AM480" s="74"/>
      <c r="AN480" s="74"/>
      <c r="AO480" s="78" t="n">
        <v>34.88</v>
      </c>
      <c r="AP480" s="76" t="n">
        <v>1.49737600738796</v>
      </c>
      <c r="AQ480" s="76" t="n">
        <v>1.29401749271137</v>
      </c>
      <c r="AR480" s="76" t="n">
        <v>1.68383284742468</v>
      </c>
      <c r="AS480" s="77" t="n">
        <v>36.4126401108194</v>
      </c>
      <c r="AT480" s="78" t="n">
        <v>37.3367311155982</v>
      </c>
      <c r="AU480" s="78" t="n">
        <v>42.9293580099759</v>
      </c>
      <c r="AV480" s="78" t="n">
        <v>37.0991253644315</v>
      </c>
      <c r="AW480" s="78" t="n">
        <v>48.2750242954325</v>
      </c>
      <c r="AX480" s="78" t="n">
        <v>25.2775</v>
      </c>
      <c r="AY480" s="48" t="n">
        <v>1.59647324850174</v>
      </c>
      <c r="AZ480" s="48" t="n">
        <v>28.346892131924</v>
      </c>
      <c r="BA480" s="48" t="n">
        <v>-4.95988508333239</v>
      </c>
      <c r="BB480" s="49" t="n">
        <f aca="false">AT480/V480</f>
        <v>1.59647324850174</v>
      </c>
      <c r="BC480" s="49" t="n">
        <f aca="false">AS480/V480</f>
        <v>1.55696024015233</v>
      </c>
      <c r="BD480" s="49" t="n">
        <f aca="false">SUM(AP480:AR480)/V480</f>
        <v>0.191355240036733</v>
      </c>
      <c r="BE480" s="53" t="n">
        <v>6.78</v>
      </c>
      <c r="BF480" s="51" t="n">
        <v>69.71</v>
      </c>
      <c r="BG480" s="51" t="n">
        <v>634.772629464926</v>
      </c>
      <c r="BH480" s="51" t="n">
        <v>208.578396212882</v>
      </c>
      <c r="BI480" s="51" t="n">
        <v>119.351599483575</v>
      </c>
      <c r="BJ480" s="51" t="n">
        <v>8.32018361784536</v>
      </c>
      <c r="BK480" s="51" t="n">
        <v>10.0416009180892</v>
      </c>
      <c r="BL480" s="51" t="n">
        <v>15.6362071438818</v>
      </c>
      <c r="BM480" s="51" t="n">
        <v>3.29938315880075</v>
      </c>
      <c r="BN480" s="52" t="n">
        <f aca="false">(BG480*0.5-BH480*0.25+BI480*0.5)/SUM(BG480:BI480)*1000</f>
        <v>337.505587840858</v>
      </c>
      <c r="BO480" s="93" t="n">
        <v>5.88569142857143</v>
      </c>
      <c r="BP480" s="94" t="s">
        <v>491</v>
      </c>
      <c r="BQ480" s="55" t="n">
        <v>451.434523809524</v>
      </c>
      <c r="BR480" s="56" t="n">
        <v>19.3027916257763</v>
      </c>
      <c r="BS480" s="56"/>
      <c r="BT480" s="56" t="n">
        <v>12.0908957565631</v>
      </c>
      <c r="BU480" s="55" t="n">
        <v>14443.0952380952</v>
      </c>
      <c r="BV480" s="55" t="n">
        <v>617.56920020106</v>
      </c>
      <c r="BW480" s="55"/>
      <c r="BX480" s="55" t="n">
        <v>386.833415956475</v>
      </c>
      <c r="BY480" s="96" t="n">
        <v>0.07828</v>
      </c>
      <c r="BZ480" s="96" t="n">
        <v>0.6897</v>
      </c>
      <c r="CA480" s="97" t="n">
        <v>4.17</v>
      </c>
      <c r="CB480" s="97"/>
      <c r="CC480" s="97" t="n">
        <v>5.2823</v>
      </c>
      <c r="CD480" s="97" t="n">
        <v>4.93</v>
      </c>
      <c r="CE480" s="97" t="n">
        <v>82.82</v>
      </c>
      <c r="CF480" s="97" t="n">
        <v>37.3116</v>
      </c>
      <c r="CG480" s="97" t="n">
        <v>0.1137</v>
      </c>
      <c r="CH480" s="63" t="n">
        <v>114070.57982467</v>
      </c>
      <c r="CI480" s="63" t="n">
        <v>4577.82064405482</v>
      </c>
      <c r="CJ480" s="64" t="n">
        <v>497067.055150248</v>
      </c>
      <c r="CK480" s="65" t="n">
        <v>0.92096641622549</v>
      </c>
    </row>
    <row r="481" s="1" customFormat="true" ht="15" hidden="false" customHeight="false" outlineLevel="0" collapsed="false">
      <c r="A481" s="7" t="s">
        <v>488</v>
      </c>
      <c r="B481" s="66" t="n">
        <v>471</v>
      </c>
      <c r="C481" s="8" t="s">
        <v>562</v>
      </c>
      <c r="D481" s="67" t="n">
        <v>41683</v>
      </c>
      <c r="E481" s="4" t="s">
        <v>490</v>
      </c>
      <c r="F481" s="7" t="n">
        <v>1317</v>
      </c>
      <c r="G481" s="68" t="n">
        <v>1</v>
      </c>
      <c r="H481" s="68" t="n">
        <v>162</v>
      </c>
      <c r="I481" s="7" t="n">
        <v>6</v>
      </c>
      <c r="J481" s="8" t="n">
        <v>792</v>
      </c>
      <c r="K481" s="32"/>
      <c r="L481" s="31" t="n">
        <v>934.286</v>
      </c>
      <c r="M481" s="31" t="n">
        <v>151.790268285219</v>
      </c>
      <c r="N481" s="31" t="n">
        <v>296.847903702948</v>
      </c>
      <c r="O481" s="95"/>
      <c r="P481" s="33" t="n">
        <v>43.0480465163725</v>
      </c>
      <c r="Q481" s="33" t="n">
        <v>9</v>
      </c>
      <c r="R481" s="31" t="n">
        <v>291.441395491176</v>
      </c>
      <c r="S481" s="34" t="s">
        <v>76</v>
      </c>
      <c r="T481" s="35"/>
      <c r="U481" s="35"/>
      <c r="V481" s="35" t="n">
        <v>22.1916798814011</v>
      </c>
      <c r="W481" s="35" t="n">
        <v>20.7333758296747</v>
      </c>
      <c r="X481" s="35" t="n">
        <v>3.36848104289757</v>
      </c>
      <c r="Y481" s="35" t="n">
        <v>6.58755365244082</v>
      </c>
      <c r="Z481" s="35"/>
      <c r="AA481" s="35" t="n">
        <v>0.955308467811005</v>
      </c>
      <c r="AB481" s="35" t="n">
        <v>0.19972511893261</v>
      </c>
      <c r="AC481" s="71" t="n">
        <v>6.46757415292901</v>
      </c>
      <c r="AD481" s="72"/>
      <c r="AE481" s="72"/>
      <c r="AF481" s="72"/>
      <c r="AG481" s="72"/>
      <c r="AH481" s="72"/>
      <c r="AI481" s="73" t="n">
        <v>28.9613051405899</v>
      </c>
      <c r="AJ481" s="42" t="s">
        <v>16</v>
      </c>
      <c r="AK481" s="43" t="n">
        <v>689.240524337203</v>
      </c>
      <c r="AL481" s="74"/>
      <c r="AM481" s="74"/>
      <c r="AN481" s="74"/>
      <c r="AO481" s="78" t="n">
        <v>32.52</v>
      </c>
      <c r="AP481" s="76" t="n">
        <v>0.96802564492283</v>
      </c>
      <c r="AQ481" s="76" t="n">
        <v>0.932303206997084</v>
      </c>
      <c r="AR481" s="76" t="n">
        <v>1.48378425655977</v>
      </c>
      <c r="AS481" s="77" t="n">
        <v>27.5283846738425</v>
      </c>
      <c r="AT481" s="78" t="n">
        <v>27.0229539533033</v>
      </c>
      <c r="AU481" s="78" t="n">
        <v>29.7670862522396</v>
      </c>
      <c r="AV481" s="78" t="n">
        <v>28.6686103012634</v>
      </c>
      <c r="AW481" s="78" t="n">
        <v>45.6268221574344</v>
      </c>
      <c r="AX481" s="78" t="n">
        <v>28.3025</v>
      </c>
      <c r="AY481" s="48" t="n">
        <v>1.21770655028019</v>
      </c>
      <c r="AZ481" s="48" t="n">
        <v>24.5487919674608</v>
      </c>
      <c r="BA481" s="48" t="n">
        <v>-2.35711208605966</v>
      </c>
      <c r="BB481" s="49" t="n">
        <f aca="false">AT481/V481</f>
        <v>1.21770655028019</v>
      </c>
      <c r="BC481" s="49" t="n">
        <f aca="false">AS481/V481</f>
        <v>1.24048223572809</v>
      </c>
      <c r="BD481" s="49" t="n">
        <f aca="false">SUM(AP481:AR481)/V481</f>
        <v>0.152494679382786</v>
      </c>
      <c r="BE481" s="53" t="n">
        <v>5.7</v>
      </c>
      <c r="BF481" s="51" t="n">
        <v>123.82</v>
      </c>
      <c r="BG481" s="51" t="n">
        <v>605.314165724439</v>
      </c>
      <c r="BH481" s="51" t="n">
        <v>242.287191083831</v>
      </c>
      <c r="BI481" s="51" t="n">
        <v>107.252463253109</v>
      </c>
      <c r="BJ481" s="51" t="n">
        <v>6.86480374737522</v>
      </c>
      <c r="BK481" s="51" t="n">
        <v>14.7795186561137</v>
      </c>
      <c r="BL481" s="51" t="n">
        <v>20.2713616540139</v>
      </c>
      <c r="BM481" s="51" t="n">
        <v>3.23049588111775</v>
      </c>
      <c r="BN481" s="52" t="n">
        <f aca="false">(BG481*0.5-BH481*0.25+BI481*0.5)/SUM(BG481:BI481)*1000</f>
        <v>309.692971327074</v>
      </c>
      <c r="BO481" s="93" t="n">
        <v>8.62657714285714</v>
      </c>
      <c r="BP481" s="94" t="s">
        <v>491</v>
      </c>
      <c r="BQ481" s="55" t="n">
        <v>256.928571428571</v>
      </c>
      <c r="BR481" s="56" t="n">
        <v>11.5776981644325</v>
      </c>
      <c r="BS481" s="56"/>
      <c r="BT481" s="56" t="n">
        <v>9.50779000225341</v>
      </c>
      <c r="BU481" s="55" t="n">
        <v>11075.5595238095</v>
      </c>
      <c r="BV481" s="55" t="n">
        <v>499.086125205508</v>
      </c>
      <c r="BW481" s="55"/>
      <c r="BX481" s="55" t="n">
        <v>409.857469429453</v>
      </c>
      <c r="BY481" s="96" t="n">
        <v>0.13905</v>
      </c>
      <c r="BZ481" s="96" t="n">
        <v>0.5258</v>
      </c>
      <c r="CA481" s="97" t="n">
        <v>4.68</v>
      </c>
      <c r="CB481" s="97"/>
      <c r="CC481" s="97" t="n">
        <v>8.1002</v>
      </c>
      <c r="CD481" s="97" t="n">
        <v>6.21</v>
      </c>
      <c r="CE481" s="97" t="n">
        <v>97.97</v>
      </c>
      <c r="CF481" s="97" t="n">
        <v>41.1876</v>
      </c>
      <c r="CG481" s="97" t="n">
        <v>0.1228</v>
      </c>
      <c r="CH481" s="63" t="n">
        <v>66009.1646373004</v>
      </c>
      <c r="CI481" s="63" t="n">
        <v>2860.27596221449</v>
      </c>
      <c r="CJ481" s="64" t="n">
        <v>765121.588366768</v>
      </c>
      <c r="CK481" s="65" t="n">
        <v>0.373832866005003</v>
      </c>
    </row>
    <row r="482" s="1" customFormat="true" ht="15" hidden="false" customHeight="false" outlineLevel="0" collapsed="false">
      <c r="A482" s="7" t="s">
        <v>488</v>
      </c>
      <c r="B482" s="66" t="n">
        <v>472</v>
      </c>
      <c r="C482" s="8" t="s">
        <v>563</v>
      </c>
      <c r="D482" s="67" t="n">
        <v>41683</v>
      </c>
      <c r="E482" s="4" t="s">
        <v>490</v>
      </c>
      <c r="F482" s="7" t="n">
        <v>1408</v>
      </c>
      <c r="G482" s="68" t="n">
        <v>1</v>
      </c>
      <c r="H482" s="68" t="n">
        <v>127</v>
      </c>
      <c r="I482" s="7" t="n">
        <v>5</v>
      </c>
      <c r="J482" s="8" t="n">
        <v>771</v>
      </c>
      <c r="K482" s="32"/>
      <c r="L482" s="31" t="n">
        <v>934.286</v>
      </c>
      <c r="M482" s="31" t="n">
        <v>151.790268285219</v>
      </c>
      <c r="N482" s="31" t="n">
        <v>296.847903702948</v>
      </c>
      <c r="O482" s="95"/>
      <c r="P482" s="33" t="n">
        <v>43.0480465163725</v>
      </c>
      <c r="Q482" s="33" t="n">
        <v>9</v>
      </c>
      <c r="R482" s="31" t="n">
        <v>291.441395491176</v>
      </c>
      <c r="S482" s="34" t="s">
        <v>76</v>
      </c>
      <c r="T482" s="35"/>
      <c r="U482" s="35"/>
      <c r="V482" s="35" t="n">
        <v>25.2003973244316</v>
      </c>
      <c r="W482" s="35" t="n">
        <v>23.5443784146539</v>
      </c>
      <c r="X482" s="35" t="n">
        <v>3.82517507076958</v>
      </c>
      <c r="Y482" s="35" t="n">
        <v>7.4806851182389</v>
      </c>
      <c r="Z482" s="35"/>
      <c r="AA482" s="35" t="n">
        <v>1.0848278762532</v>
      </c>
      <c r="AB482" s="35" t="n">
        <v>0.226803575919884</v>
      </c>
      <c r="AC482" s="71" t="n">
        <v>7.34443896316444</v>
      </c>
      <c r="AD482" s="72"/>
      <c r="AE482" s="72"/>
      <c r="AF482" s="72"/>
      <c r="AG482" s="72"/>
      <c r="AH482" s="72"/>
      <c r="AI482" s="73" t="n">
        <v>26.7304172032216</v>
      </c>
      <c r="AJ482" s="42" t="s">
        <v>16</v>
      </c>
      <c r="AK482" s="43" t="n">
        <v>663.304918453898</v>
      </c>
      <c r="AL482" s="74"/>
      <c r="AM482" s="74"/>
      <c r="AN482" s="74"/>
      <c r="AO482" s="78" t="n">
        <v>43.96</v>
      </c>
      <c r="AP482" s="76" t="n">
        <v>1.06607397193111</v>
      </c>
      <c r="AQ482" s="76" t="n">
        <v>1.32755782312925</v>
      </c>
      <c r="AR482" s="76" t="n">
        <v>2.14566666666667</v>
      </c>
      <c r="AS482" s="77" t="n">
        <v>33.5751095789667</v>
      </c>
      <c r="AT482" s="78" t="n">
        <v>34.827016277502</v>
      </c>
      <c r="AU482" s="78" t="n">
        <v>24.2510002714084</v>
      </c>
      <c r="AV482" s="78" t="n">
        <v>30.1992225461613</v>
      </c>
      <c r="AW482" s="78" t="n">
        <v>48.8095238095238</v>
      </c>
      <c r="AX482" s="78" t="n">
        <v>26.9175</v>
      </c>
      <c r="AY482" s="48" t="n">
        <v>1.38200266563803</v>
      </c>
      <c r="AZ482" s="48" t="n">
        <v>26.248816888227</v>
      </c>
      <c r="BA482" s="48" t="n">
        <v>-1.04841956379541</v>
      </c>
      <c r="BB482" s="49" t="n">
        <f aca="false">AT482/V482</f>
        <v>1.38200266563803</v>
      </c>
      <c r="BC482" s="49" t="n">
        <f aca="false">AS482/V482</f>
        <v>1.33232461166062</v>
      </c>
      <c r="BD482" s="49" t="n">
        <f aca="false">SUM(AP482:AR482)/V482</f>
        <v>0.180128051287756</v>
      </c>
      <c r="BE482" s="53" t="n">
        <v>6.74</v>
      </c>
      <c r="BF482" s="51" t="n">
        <v>86.7</v>
      </c>
      <c r="BG482" s="51" t="n">
        <v>544.059976931949</v>
      </c>
      <c r="BH482" s="51" t="n">
        <v>333.679354094579</v>
      </c>
      <c r="BI482" s="51" t="n">
        <v>87.19723183391</v>
      </c>
      <c r="BJ482" s="51" t="n">
        <v>4.72895040369089</v>
      </c>
      <c r="BK482" s="51" t="n">
        <v>18.5697808535179</v>
      </c>
      <c r="BL482" s="51" t="n">
        <v>8.76585928489043</v>
      </c>
      <c r="BM482" s="51" t="n">
        <v>2.99884659746251</v>
      </c>
      <c r="BN482" s="52" t="n">
        <f aca="false">(BG482*0.5-BH482*0.25+BI482*0.5)/SUM(BG482:BI482)*1000</f>
        <v>240.646665072914</v>
      </c>
      <c r="BO482" s="93" t="n">
        <v>3.92379428571429</v>
      </c>
      <c r="BP482" s="94" t="s">
        <v>491</v>
      </c>
      <c r="BQ482" s="55" t="n">
        <v>258.919047619048</v>
      </c>
      <c r="BR482" s="56" t="n">
        <v>10.274403386808</v>
      </c>
      <c r="BS482" s="56"/>
      <c r="BT482" s="56" t="n">
        <v>7.43443094739952</v>
      </c>
      <c r="BU482" s="55" t="n">
        <v>12844.8119047619</v>
      </c>
      <c r="BV482" s="55" t="n">
        <v>509.706721659859</v>
      </c>
      <c r="BW482" s="55"/>
      <c r="BX482" s="55" t="n">
        <v>368.81746637192</v>
      </c>
      <c r="BY482" s="96" t="n">
        <v>0.15141</v>
      </c>
      <c r="BZ482" s="96" t="n">
        <v>0.429</v>
      </c>
      <c r="CA482" s="97" t="n">
        <v>4.45</v>
      </c>
      <c r="CB482" s="97"/>
      <c r="CC482" s="97" t="n">
        <v>6.0297</v>
      </c>
      <c r="CD482" s="97" t="n">
        <v>5.8</v>
      </c>
      <c r="CE482" s="97" t="n">
        <v>92.92</v>
      </c>
      <c r="CF482" s="97" t="n">
        <v>39.1578</v>
      </c>
      <c r="CG482" s="97" t="n">
        <v>0.1501</v>
      </c>
      <c r="CH482" s="63" t="n">
        <v>65550.2718828848</v>
      </c>
      <c r="CI482" s="63" t="n">
        <v>3781.83462935788</v>
      </c>
      <c r="CJ482" s="64" t="n">
        <v>801364.160865668</v>
      </c>
      <c r="CK482" s="65" t="n">
        <v>0.471924602327184</v>
      </c>
    </row>
    <row r="483" s="1" customFormat="true" ht="15" hidden="false" customHeight="false" outlineLevel="0" collapsed="false">
      <c r="A483" s="7" t="s">
        <v>488</v>
      </c>
      <c r="B483" s="66" t="n">
        <v>473</v>
      </c>
      <c r="C483" s="8" t="s">
        <v>564</v>
      </c>
      <c r="D483" s="67" t="n">
        <v>41683</v>
      </c>
      <c r="E483" s="4" t="s">
        <v>565</v>
      </c>
      <c r="F483" s="7" t="n">
        <v>43</v>
      </c>
      <c r="G483" s="68" t="n">
        <v>1</v>
      </c>
      <c r="H483" s="68" t="n">
        <v>146</v>
      </c>
      <c r="I483" s="7" t="n">
        <v>1</v>
      </c>
      <c r="J483" s="8" t="n">
        <v>677</v>
      </c>
      <c r="K483" s="32"/>
      <c r="L483" s="31" t="n">
        <v>929.354</v>
      </c>
      <c r="M483" s="31" t="n">
        <v>149.954095684994</v>
      </c>
      <c r="N483" s="31" t="n">
        <v>301.132306436805</v>
      </c>
      <c r="O483" s="95"/>
      <c r="P483" s="33" t="n">
        <v>42.9460369274712</v>
      </c>
      <c r="Q483" s="33" t="n">
        <v>8.7</v>
      </c>
      <c r="R483" s="31" t="n">
        <v>253.085790064266</v>
      </c>
      <c r="S483" s="34" t="s">
        <v>76</v>
      </c>
      <c r="T483" s="35"/>
      <c r="U483" s="35"/>
      <c r="V483" s="35" t="n">
        <v>18.6639711168854</v>
      </c>
      <c r="W483" s="35" t="n">
        <v>17.3454362133619</v>
      </c>
      <c r="X483" s="35" t="n">
        <v>2.79873891072341</v>
      </c>
      <c r="Y483" s="35" t="n">
        <v>5.62032466969762</v>
      </c>
      <c r="Z483" s="35"/>
      <c r="AA483" s="35" t="n">
        <v>0.801543592799018</v>
      </c>
      <c r="AB483" s="35" t="n">
        <v>0.162376548716903</v>
      </c>
      <c r="AC483" s="71" t="n">
        <v>4.72358587585359</v>
      </c>
      <c r="AD483" s="72"/>
      <c r="AE483" s="72"/>
      <c r="AF483" s="72"/>
      <c r="AG483" s="72"/>
      <c r="AH483" s="72"/>
      <c r="AI483" s="73" t="n">
        <v>29.2088146159049</v>
      </c>
      <c r="AJ483" s="42" t="s">
        <v>16</v>
      </c>
      <c r="AK483" s="43" t="n">
        <v>702.144708218914</v>
      </c>
      <c r="AL483" s="74"/>
      <c r="AM483" s="74"/>
      <c r="AN483" s="74"/>
      <c r="AO483" s="78" t="n">
        <v>26.306</v>
      </c>
      <c r="AP483" s="76" t="n">
        <v>0.968777791747998</v>
      </c>
      <c r="AQ483" s="76" t="n">
        <v>0.893483673469388</v>
      </c>
      <c r="AR483" s="76" t="n">
        <v>1.3677074829932</v>
      </c>
      <c r="AS483" s="77" t="n">
        <v>25.05406687622</v>
      </c>
      <c r="AT483" s="78" t="n">
        <v>26.0805446785398</v>
      </c>
      <c r="AU483" s="78" t="n">
        <v>36.827255825591</v>
      </c>
      <c r="AV483" s="78" t="n">
        <v>33.9650145772595</v>
      </c>
      <c r="AW483" s="78" t="n">
        <v>51.9922254616132</v>
      </c>
      <c r="AX483" s="78" t="n">
        <v>34.23</v>
      </c>
      <c r="AY483" s="48" t="n">
        <v>1.39737382335234</v>
      </c>
      <c r="AZ483" s="48" t="n">
        <v>21.9677891654256</v>
      </c>
      <c r="BA483" s="48" t="n">
        <v>-3.30381804854014</v>
      </c>
      <c r="BB483" s="49" t="n">
        <f aca="false">AT483/V483</f>
        <v>1.39737382335234</v>
      </c>
      <c r="BC483" s="49" t="n">
        <f aca="false">AS483/V483</f>
        <v>1.34237599915451</v>
      </c>
      <c r="BD483" s="49" t="n">
        <f aca="false">SUM(AP483:AR483)/V483</f>
        <v>0.173059041293115</v>
      </c>
      <c r="BE483" s="53" t="n">
        <v>6.17</v>
      </c>
      <c r="BF483" s="51" t="n">
        <v>119.63487265164</v>
      </c>
      <c r="BG483" s="51" t="n">
        <v>585.86446279998</v>
      </c>
      <c r="BH483" s="51" t="n">
        <v>265.299801430533</v>
      </c>
      <c r="BI483" s="51" t="n">
        <v>108.977115307832</v>
      </c>
      <c r="BJ483" s="51" t="n">
        <v>7.44022802914865</v>
      </c>
      <c r="BK483" s="51" t="n">
        <v>13.9224512186176</v>
      </c>
      <c r="BL483" s="51" t="n">
        <v>14.5765282568141</v>
      </c>
      <c r="BM483" s="51" t="n">
        <v>3.91941295707575</v>
      </c>
      <c r="BN483" s="52" t="n">
        <f aca="false">(BG483*0.5-BH483*0.25+BI483*0.5)/SUM(BG483:BI483)*1000</f>
        <v>292.765049696566</v>
      </c>
      <c r="BO483" s="93" t="n">
        <v>2.62285714285714</v>
      </c>
      <c r="BP483" s="94" t="s">
        <v>491</v>
      </c>
      <c r="BQ483" s="55" t="n">
        <v>339.816666666667</v>
      </c>
      <c r="BR483" s="56" t="n">
        <v>18.2070934710798</v>
      </c>
      <c r="BS483" s="56"/>
      <c r="BT483" s="56" t="n">
        <v>13.0295080434529</v>
      </c>
      <c r="BU483" s="55" t="n">
        <v>10186.8583333333</v>
      </c>
      <c r="BV483" s="55" t="n">
        <v>545.803370008283</v>
      </c>
      <c r="BW483" s="55"/>
      <c r="BX483" s="55" t="n">
        <v>390.592238731713</v>
      </c>
      <c r="BY483" s="96" t="n">
        <v>0.05253</v>
      </c>
      <c r="BZ483" s="96" t="n">
        <v>0.6853</v>
      </c>
      <c r="CA483" s="97" t="n">
        <v>4.14</v>
      </c>
      <c r="CB483" s="97"/>
      <c r="CC483" s="97" t="n">
        <v>5.1005</v>
      </c>
      <c r="CD483" s="97" t="n">
        <v>5.47</v>
      </c>
      <c r="CE483" s="97" t="n">
        <v>87.87</v>
      </c>
      <c r="CF483" s="97" t="n">
        <v>37.8216</v>
      </c>
      <c r="CG483" s="97" t="n">
        <v>0.1137</v>
      </c>
      <c r="CH483" s="63" t="n">
        <v>74402.4319733417</v>
      </c>
      <c r="CI483" s="63" t="n">
        <v>2516.29914899063</v>
      </c>
      <c r="CJ483" s="64" t="n">
        <v>718842.823528559</v>
      </c>
      <c r="CK483" s="65" t="n">
        <v>0.350048587344721</v>
      </c>
    </row>
    <row r="484" s="1" customFormat="true" ht="15" hidden="false" customHeight="false" outlineLevel="0" collapsed="false">
      <c r="A484" s="7" t="s">
        <v>488</v>
      </c>
      <c r="B484" s="66" t="n">
        <v>474</v>
      </c>
      <c r="C484" s="8" t="s">
        <v>566</v>
      </c>
      <c r="D484" s="67" t="n">
        <v>41730</v>
      </c>
      <c r="E484" s="4" t="s">
        <v>565</v>
      </c>
      <c r="F484" s="7" t="n">
        <v>48</v>
      </c>
      <c r="G484" s="68" t="n">
        <v>1</v>
      </c>
      <c r="H484" s="68" t="n">
        <v>142</v>
      </c>
      <c r="I484" s="7" t="n">
        <v>3</v>
      </c>
      <c r="J484" s="8" t="n">
        <v>646</v>
      </c>
      <c r="K484" s="32"/>
      <c r="L484" s="31" t="n">
        <v>929.354</v>
      </c>
      <c r="M484" s="31" t="n">
        <v>149.954095684994</v>
      </c>
      <c r="N484" s="31" t="n">
        <v>301.132306436805</v>
      </c>
      <c r="O484" s="95"/>
      <c r="P484" s="33" t="n">
        <v>42.9460369274712</v>
      </c>
      <c r="Q484" s="33" t="n">
        <v>8.7</v>
      </c>
      <c r="R484" s="31" t="n">
        <v>253.085790064266</v>
      </c>
      <c r="S484" s="34" t="s">
        <v>76</v>
      </c>
      <c r="T484" s="35"/>
      <c r="U484" s="35"/>
      <c r="V484" s="35" t="n">
        <v>20.4497142810666</v>
      </c>
      <c r="W484" s="35" t="n">
        <v>19.0050237659664</v>
      </c>
      <c r="X484" s="35" t="n">
        <v>3.06651841203386</v>
      </c>
      <c r="Y484" s="35" t="n">
        <v>6.15806962743126</v>
      </c>
      <c r="Z484" s="35"/>
      <c r="AA484" s="35" t="n">
        <v>0.878234184670922</v>
      </c>
      <c r="AB484" s="35" t="n">
        <v>0.17791251424528</v>
      </c>
      <c r="AC484" s="71" t="n">
        <v>5.17553209541225</v>
      </c>
      <c r="AD484" s="72"/>
      <c r="AE484" s="72"/>
      <c r="AF484" s="72"/>
      <c r="AG484" s="72"/>
      <c r="AH484" s="72"/>
      <c r="AI484" s="73" t="n">
        <v>24.7854455324462</v>
      </c>
      <c r="AJ484" s="42" t="s">
        <v>16</v>
      </c>
      <c r="AK484" s="43" t="n">
        <v>648.987548413807</v>
      </c>
      <c r="AL484" s="74"/>
      <c r="AM484" s="74"/>
      <c r="AN484" s="74"/>
      <c r="AO484" s="78" t="n">
        <v>36.062</v>
      </c>
      <c r="AP484" s="76" t="n">
        <v>1.3859967523519</v>
      </c>
      <c r="AQ484" s="76" t="n">
        <v>1.19330524781341</v>
      </c>
      <c r="AR484" s="76" t="n">
        <v>1.83201268221574</v>
      </c>
      <c r="AS484" s="77" t="n">
        <v>35.2147512852786</v>
      </c>
      <c r="AT484" s="78" t="n">
        <v>35.9903298649716</v>
      </c>
      <c r="AU484" s="78" t="n">
        <v>38.4337183836699</v>
      </c>
      <c r="AV484" s="78" t="n">
        <v>33.0903790087464</v>
      </c>
      <c r="AW484" s="78" t="n">
        <v>50.801749271137</v>
      </c>
      <c r="AX484" s="78" t="n">
        <v>42.115</v>
      </c>
      <c r="AY484" s="48" t="n">
        <v>1.75994291999929</v>
      </c>
      <c r="AZ484" s="48" t="n">
        <v>25.2470580288648</v>
      </c>
      <c r="BA484" s="48" t="n">
        <v>-4.79734374779817</v>
      </c>
      <c r="BB484" s="49" t="n">
        <f aca="false">AT484/V484</f>
        <v>1.75994291999929</v>
      </c>
      <c r="BC484" s="49" t="n">
        <f aca="false">AS484/V484</f>
        <v>1.72201678719209</v>
      </c>
      <c r="BD484" s="49" t="n">
        <f aca="false">SUM(AP484:AR484)/V484</f>
        <v>0.215715223291177</v>
      </c>
      <c r="BE484" s="53" t="n">
        <v>6.13</v>
      </c>
      <c r="BF484" s="51" t="n">
        <v>125.472955035705</v>
      </c>
      <c r="BG484" s="51" t="n">
        <v>546.638670403761</v>
      </c>
      <c r="BH484" s="51" t="n">
        <v>305.239170893533</v>
      </c>
      <c r="BI484" s="51" t="n">
        <v>108.537488867135</v>
      </c>
      <c r="BJ484" s="51" t="n">
        <v>6.91165172865422</v>
      </c>
      <c r="BK484" s="51" t="n">
        <v>17.5372785724064</v>
      </c>
      <c r="BL484" s="51" t="n">
        <v>11.5807846192253</v>
      </c>
      <c r="BM484" s="51" t="n">
        <v>3.55495491528582</v>
      </c>
      <c r="BN484" s="52" t="n">
        <f aca="false">(BG484*0.5-BH484*0.25+BI484*0.5)/SUM(BG484:BI484)*1000</f>
        <v>261.635022911436</v>
      </c>
      <c r="BO484" s="93" t="n">
        <v>4.66285714285714</v>
      </c>
      <c r="BP484" s="94" t="s">
        <v>491</v>
      </c>
      <c r="BQ484" s="55" t="n">
        <v>392.034722222222</v>
      </c>
      <c r="BR484" s="56" t="n">
        <v>19.1706699093194</v>
      </c>
      <c r="BS484" s="56"/>
      <c r="BT484" s="56" t="n">
        <v>10.8927793574845</v>
      </c>
      <c r="BU484" s="55" t="n">
        <v>12251.95</v>
      </c>
      <c r="BV484" s="55" t="n">
        <v>599.125730149857</v>
      </c>
      <c r="BW484" s="55"/>
      <c r="BX484" s="55" t="n">
        <v>340.423387225591</v>
      </c>
      <c r="BY484" s="96" t="n">
        <v>0.06489</v>
      </c>
      <c r="BZ484" s="96" t="n">
        <v>0.9999</v>
      </c>
      <c r="CA484" s="97" t="n">
        <v>3.55</v>
      </c>
      <c r="CB484" s="97"/>
      <c r="CC484" s="97" t="n">
        <v>6.5448</v>
      </c>
      <c r="CD484" s="97" t="n">
        <v>6.98</v>
      </c>
      <c r="CE484" s="97" t="n">
        <v>95.95</v>
      </c>
      <c r="CF484" s="97" t="n">
        <v>39.1986</v>
      </c>
      <c r="CG484" s="97" t="n">
        <v>0.0864</v>
      </c>
      <c r="CH484" s="63" t="n">
        <v>68542.6436860554</v>
      </c>
      <c r="CI484" s="63" t="n">
        <v>2600.82524840438</v>
      </c>
      <c r="CJ484" s="64" t="n">
        <v>757414.939694671</v>
      </c>
      <c r="CK484" s="65" t="n">
        <v>0.343381825747036</v>
      </c>
    </row>
    <row r="485" s="1" customFormat="true" ht="15" hidden="false" customHeight="false" outlineLevel="0" collapsed="false">
      <c r="A485" s="7" t="s">
        <v>488</v>
      </c>
      <c r="B485" s="66" t="n">
        <v>475</v>
      </c>
      <c r="C485" s="8" t="s">
        <v>567</v>
      </c>
      <c r="D485" s="67" t="n">
        <v>41730</v>
      </c>
      <c r="E485" s="4" t="s">
        <v>565</v>
      </c>
      <c r="F485" s="7" t="n">
        <v>51</v>
      </c>
      <c r="G485" s="68" t="n">
        <v>1</v>
      </c>
      <c r="H485" s="68" t="n">
        <v>194</v>
      </c>
      <c r="I485" s="7" t="n">
        <v>2</v>
      </c>
      <c r="J485" s="8" t="n">
        <v>677</v>
      </c>
      <c r="K485" s="32"/>
      <c r="L485" s="31" t="n">
        <v>929.354</v>
      </c>
      <c r="M485" s="31" t="n">
        <v>149.954095684994</v>
      </c>
      <c r="N485" s="31" t="n">
        <v>301.132306436805</v>
      </c>
      <c r="O485" s="95"/>
      <c r="P485" s="33" t="n">
        <v>42.9460369274712</v>
      </c>
      <c r="Q485" s="33" t="n">
        <v>8.7</v>
      </c>
      <c r="R485" s="31" t="n">
        <v>253.085790064266</v>
      </c>
      <c r="S485" s="34" t="s">
        <v>76</v>
      </c>
      <c r="T485" s="35"/>
      <c r="U485" s="35"/>
      <c r="V485" s="35" t="n">
        <v>25.211997338429</v>
      </c>
      <c r="W485" s="35" t="n">
        <v>23.4308705744583</v>
      </c>
      <c r="X485" s="35" t="n">
        <v>3.7806422612966</v>
      </c>
      <c r="Y485" s="35" t="n">
        <v>7.5921469083997</v>
      </c>
      <c r="Z485" s="35"/>
      <c r="AA485" s="35" t="n">
        <v>1.08275536871148</v>
      </c>
      <c r="AB485" s="35" t="n">
        <v>0.219344376844332</v>
      </c>
      <c r="AC485" s="71" t="n">
        <v>6.38079826549447</v>
      </c>
      <c r="AD485" s="72"/>
      <c r="AE485" s="72"/>
      <c r="AF485" s="72"/>
      <c r="AG485" s="72"/>
      <c r="AH485" s="72"/>
      <c r="AI485" s="73" t="n">
        <v>26.5783463047739</v>
      </c>
      <c r="AJ485" s="42" t="s">
        <v>16</v>
      </c>
      <c r="AK485" s="43" t="n">
        <v>672.665864902312</v>
      </c>
      <c r="AL485" s="74"/>
      <c r="AM485" s="74"/>
      <c r="AN485" s="74"/>
      <c r="AO485" s="78" t="n">
        <v>30.354</v>
      </c>
      <c r="AP485" s="76" t="n">
        <v>1.24064690180751</v>
      </c>
      <c r="AQ485" s="76" t="n">
        <v>0.92182944606414</v>
      </c>
      <c r="AR485" s="76" t="n">
        <v>1.5191749271137</v>
      </c>
      <c r="AS485" s="77" t="n">
        <v>30.7513035271126</v>
      </c>
      <c r="AT485" s="78" t="n">
        <v>30.4396592447262</v>
      </c>
      <c r="AU485" s="78" t="n">
        <v>40.8726000463697</v>
      </c>
      <c r="AV485" s="78" t="n">
        <v>30.3692905733722</v>
      </c>
      <c r="AW485" s="78" t="n">
        <v>50.0485908649174</v>
      </c>
      <c r="AX485" s="78" t="n">
        <v>41.34</v>
      </c>
      <c r="AY485" s="48" t="n">
        <v>1.20734818571193</v>
      </c>
      <c r="AZ485" s="48" t="n">
        <v>24.2282636595254</v>
      </c>
      <c r="BA485" s="48" t="n">
        <v>0.983733678903583</v>
      </c>
      <c r="BB485" s="49" t="n">
        <f aca="false">AT485/V485</f>
        <v>1.20734818571193</v>
      </c>
      <c r="BC485" s="49" t="n">
        <f aca="false">AS485/V485</f>
        <v>1.21970913745261</v>
      </c>
      <c r="BD485" s="49" t="n">
        <f aca="false">SUM(AP485:AR485)/V485</f>
        <v>0.146027751215635</v>
      </c>
      <c r="BE485" s="53" t="n">
        <v>6.3</v>
      </c>
      <c r="BF485" s="51" t="n">
        <v>122.686344002973</v>
      </c>
      <c r="BG485" s="51" t="n">
        <v>633.445358160828</v>
      </c>
      <c r="BH485" s="51" t="n">
        <v>206.039512132206</v>
      </c>
      <c r="BI485" s="51" t="n">
        <v>119.175124675067</v>
      </c>
      <c r="BJ485" s="51" t="n">
        <v>7.68658197453805</v>
      </c>
      <c r="BK485" s="51" t="n">
        <v>14.5643044806402</v>
      </c>
      <c r="BL485" s="51" t="n">
        <v>11.7816686249545</v>
      </c>
      <c r="BM485" s="51" t="n">
        <v>7.30744995176707</v>
      </c>
      <c r="BN485" s="52" t="n">
        <f aca="false">(BG485*0.5-BH485*0.25+BI485*0.5)/SUM(BG485:BI485)*1000</f>
        <v>338.80663122456</v>
      </c>
      <c r="BO485" s="93" t="n">
        <v>2.33142857142857</v>
      </c>
      <c r="BP485" s="94" t="s">
        <v>491</v>
      </c>
      <c r="BQ485" s="55" t="n">
        <v>447.729166666667</v>
      </c>
      <c r="BR485" s="56" t="n">
        <v>17.7585758342209</v>
      </c>
      <c r="BS485" s="56"/>
      <c r="BT485" s="56" t="n">
        <v>14.708744374142</v>
      </c>
      <c r="BU485" s="55" t="n">
        <v>11816.971875</v>
      </c>
      <c r="BV485" s="55" t="n">
        <v>468.704312331026</v>
      </c>
      <c r="BW485" s="55"/>
      <c r="BX485" s="55" t="n">
        <v>388.209729287536</v>
      </c>
      <c r="BY485" s="96" t="n">
        <v>0.05047</v>
      </c>
      <c r="BZ485" s="96" t="n">
        <v>1.0461</v>
      </c>
      <c r="CA485" s="97" t="n">
        <v>3.57</v>
      </c>
      <c r="CB485" s="97"/>
      <c r="CC485" s="97" t="n">
        <v>6.3529</v>
      </c>
      <c r="CD485" s="97" t="n">
        <v>5.73</v>
      </c>
      <c r="CE485" s="97" t="n">
        <v>87.87</v>
      </c>
      <c r="CF485" s="97" t="n">
        <v>38.6784</v>
      </c>
      <c r="CG485" s="97" t="n">
        <v>0.0864</v>
      </c>
      <c r="CH485" s="63" t="n">
        <v>120448.873624378</v>
      </c>
      <c r="CI485" s="63" t="n">
        <v>1497.89158684104</v>
      </c>
      <c r="CJ485" s="64" t="n">
        <v>258939.199152383</v>
      </c>
      <c r="CK485" s="65" t="n">
        <v>0.578472317727199</v>
      </c>
    </row>
    <row r="486" s="1" customFormat="true" ht="15" hidden="false" customHeight="false" outlineLevel="0" collapsed="false">
      <c r="A486" s="7" t="s">
        <v>488</v>
      </c>
      <c r="B486" s="66" t="n">
        <v>476</v>
      </c>
      <c r="C486" s="8" t="s">
        <v>568</v>
      </c>
      <c r="D486" s="67" t="n">
        <v>41730</v>
      </c>
      <c r="E486" s="4" t="s">
        <v>565</v>
      </c>
      <c r="F486" s="7" t="n">
        <v>55</v>
      </c>
      <c r="G486" s="68" t="n">
        <v>1</v>
      </c>
      <c r="H486" s="68" t="n">
        <v>180</v>
      </c>
      <c r="I486" s="7" t="n">
        <v>1</v>
      </c>
      <c r="J486" s="8" t="n">
        <v>710</v>
      </c>
      <c r="K486" s="32"/>
      <c r="L486" s="31" t="n">
        <v>929.354</v>
      </c>
      <c r="M486" s="31" t="n">
        <v>149.954095684994</v>
      </c>
      <c r="N486" s="31" t="n">
        <v>301.132306436805</v>
      </c>
      <c r="O486" s="95"/>
      <c r="P486" s="33" t="n">
        <v>42.9460369274712</v>
      </c>
      <c r="Q486" s="33" t="n">
        <v>8.7</v>
      </c>
      <c r="R486" s="31" t="n">
        <v>253.085790064266</v>
      </c>
      <c r="S486" s="34" t="s">
        <v>76</v>
      </c>
      <c r="T486" s="35"/>
      <c r="U486" s="35"/>
      <c r="V486" s="35" t="n">
        <v>20.1572009739309</v>
      </c>
      <c r="W486" s="35" t="n">
        <v>18.7331753539266</v>
      </c>
      <c r="X486" s="35" t="n">
        <v>3.0226548435865</v>
      </c>
      <c r="Y486" s="35" t="n">
        <v>6.06998442059003</v>
      </c>
      <c r="Z486" s="35"/>
      <c r="AA486" s="35" t="n">
        <v>0.865671897380895</v>
      </c>
      <c r="AB486" s="35" t="n">
        <v>0.175367648473199</v>
      </c>
      <c r="AC486" s="71" t="n">
        <v>5.1015011339715</v>
      </c>
      <c r="AD486" s="72"/>
      <c r="AE486" s="72"/>
      <c r="AF486" s="72"/>
      <c r="AG486" s="72"/>
      <c r="AH486" s="72"/>
      <c r="AI486" s="73" t="n">
        <v>28.2553595063893</v>
      </c>
      <c r="AJ486" s="42" t="s">
        <v>16</v>
      </c>
      <c r="AK486" s="43" t="n">
        <v>692.093813280532</v>
      </c>
      <c r="AL486" s="74"/>
      <c r="AM486" s="74"/>
      <c r="AN486" s="74"/>
      <c r="AO486" s="78" t="n">
        <v>23.696</v>
      </c>
      <c r="AP486" s="76" t="n">
        <v>1.05228596545186</v>
      </c>
      <c r="AQ486" s="76" t="n">
        <v>0.901553352769679</v>
      </c>
      <c r="AR486" s="76" t="n">
        <v>1.17213449951409</v>
      </c>
      <c r="AS486" s="77" t="n">
        <v>25.262689481778</v>
      </c>
      <c r="AT486" s="78" t="n">
        <v>26.1139348521642</v>
      </c>
      <c r="AU486" s="78" t="n">
        <v>44.4077466851732</v>
      </c>
      <c r="AV486" s="78" t="n">
        <v>38.0466472303207</v>
      </c>
      <c r="AW486" s="78" t="n">
        <v>49.4655004859087</v>
      </c>
      <c r="AX486" s="78" t="n">
        <v>48.6516666666667</v>
      </c>
      <c r="AY486" s="48" t="n">
        <v>1.29551393995313</v>
      </c>
      <c r="AZ486" s="48" t="n">
        <v>22.631495246808</v>
      </c>
      <c r="BA486" s="48" t="n">
        <v>-2.47429427287711</v>
      </c>
      <c r="BB486" s="49" t="n">
        <f aca="false">AT486/V486</f>
        <v>1.29551393995313</v>
      </c>
      <c r="BC486" s="49" t="n">
        <f aca="false">AS486/V486</f>
        <v>1.25328360393142</v>
      </c>
      <c r="BD486" s="49" t="n">
        <f aca="false">SUM(AP486:AR486)/V486</f>
        <v>0.155079756449242</v>
      </c>
      <c r="BE486" s="53" t="n">
        <v>6.2</v>
      </c>
      <c r="BF486" s="51" t="n">
        <v>140.239693645321</v>
      </c>
      <c r="BG486" s="51" t="n">
        <v>600.056601337853</v>
      </c>
      <c r="BH486" s="51" t="n">
        <v>222.753752320731</v>
      </c>
      <c r="BI486" s="51" t="n">
        <v>133.694796155706</v>
      </c>
      <c r="BJ486" s="51" t="n">
        <v>8.05313685415999</v>
      </c>
      <c r="BK486" s="51" t="n">
        <v>15.5652178942874</v>
      </c>
      <c r="BL486" s="51" t="n">
        <v>14.9249598125807</v>
      </c>
      <c r="BM486" s="51" t="n">
        <v>4.95153562468136</v>
      </c>
      <c r="BN486" s="52" t="n">
        <f aca="false">(BG486*0.5-BH486*0.25+BI486*0.5)/SUM(BG486:BI486)*1000</f>
        <v>325.337778606853</v>
      </c>
      <c r="BO486" s="93" t="n">
        <v>5.508</v>
      </c>
      <c r="BP486" s="94" t="s">
        <v>491</v>
      </c>
      <c r="BQ486" s="55" t="n">
        <v>401.993137254902</v>
      </c>
      <c r="BR486" s="56" t="n">
        <v>19.9429046609594</v>
      </c>
      <c r="BS486" s="56"/>
      <c r="BT486" s="56" t="n">
        <v>15.3938171145275</v>
      </c>
      <c r="BU486" s="55" t="n">
        <v>11907.1932773109</v>
      </c>
      <c r="BV486" s="55" t="n">
        <v>590.716602603227</v>
      </c>
      <c r="BW486" s="55"/>
      <c r="BX486" s="55" t="n">
        <v>455.970857885636</v>
      </c>
      <c r="BY486" s="96" t="n">
        <v>0.03811</v>
      </c>
      <c r="BZ486" s="96" t="n">
        <v>1.0021</v>
      </c>
      <c r="CA486" s="97" t="n">
        <v>3.93</v>
      </c>
      <c r="CB486" s="97"/>
      <c r="CC486" s="97" t="n">
        <v>8.2719</v>
      </c>
      <c r="CD486" s="97" t="n">
        <v>5.17</v>
      </c>
      <c r="CE486" s="97" t="n">
        <v>101</v>
      </c>
      <c r="CF486" s="97" t="n">
        <v>37.6788</v>
      </c>
      <c r="CG486" s="97" t="n">
        <v>0.1228</v>
      </c>
      <c r="CH486" s="63" t="n">
        <v>77767.1019037601</v>
      </c>
      <c r="CI486" s="63" t="n">
        <v>3037.796724621</v>
      </c>
      <c r="CJ486" s="64" t="n">
        <v>508831.095998085</v>
      </c>
      <c r="CK486" s="65" t="n">
        <v>0.59701475568475</v>
      </c>
    </row>
    <row r="487" s="1" customFormat="true" ht="15" hidden="false" customHeight="false" outlineLevel="0" collapsed="false">
      <c r="A487" s="7" t="s">
        <v>488</v>
      </c>
      <c r="B487" s="66" t="n">
        <v>477</v>
      </c>
      <c r="C487" s="8" t="s">
        <v>569</v>
      </c>
      <c r="D487" s="67" t="n">
        <v>41730</v>
      </c>
      <c r="E487" s="4" t="s">
        <v>565</v>
      </c>
      <c r="F487" s="7" t="n">
        <v>63</v>
      </c>
      <c r="G487" s="68" t="n">
        <v>1</v>
      </c>
      <c r="H487" s="68" t="n">
        <v>188</v>
      </c>
      <c r="I487" s="7" t="n">
        <v>2</v>
      </c>
      <c r="J487" s="8" t="n">
        <v>703</v>
      </c>
      <c r="K487" s="32"/>
      <c r="L487" s="31" t="n">
        <v>929.354</v>
      </c>
      <c r="M487" s="31" t="n">
        <v>149.954095684994</v>
      </c>
      <c r="N487" s="31" t="n">
        <v>301.132306436805</v>
      </c>
      <c r="O487" s="95"/>
      <c r="P487" s="33" t="n">
        <v>42.9460369274712</v>
      </c>
      <c r="Q487" s="33" t="n">
        <v>8.7</v>
      </c>
      <c r="R487" s="31" t="n">
        <v>253.085790064266</v>
      </c>
      <c r="S487" s="34" t="s">
        <v>76</v>
      </c>
      <c r="T487" s="35"/>
      <c r="U487" s="35"/>
      <c r="V487" s="35" t="n">
        <v>25.2917321497212</v>
      </c>
      <c r="W487" s="35" t="n">
        <v>23.504972440272</v>
      </c>
      <c r="X487" s="35" t="n">
        <v>3.79259882281854</v>
      </c>
      <c r="Y487" s="35" t="n">
        <v>7.61615763602744</v>
      </c>
      <c r="Z487" s="35"/>
      <c r="AA487" s="35" t="n">
        <v>1.08617966286164</v>
      </c>
      <c r="AB487" s="35" t="n">
        <v>0.220038069702574</v>
      </c>
      <c r="AC487" s="71" t="n">
        <v>6.40097801320599</v>
      </c>
      <c r="AD487" s="72"/>
      <c r="AE487" s="72"/>
      <c r="AF487" s="72"/>
      <c r="AG487" s="72"/>
      <c r="AH487" s="72"/>
      <c r="AI487" s="73" t="n">
        <v>29.9865945025454</v>
      </c>
      <c r="AJ487" s="42" t="s">
        <v>16</v>
      </c>
      <c r="AK487" s="43" t="n">
        <v>709.870355593014</v>
      </c>
      <c r="AL487" s="74"/>
      <c r="AM487" s="74"/>
      <c r="AN487" s="74"/>
      <c r="AO487" s="78" t="n">
        <v>27.662</v>
      </c>
      <c r="AP487" s="76" t="n">
        <v>1.03811754164251</v>
      </c>
      <c r="AQ487" s="76" t="n">
        <v>0.903921039844509</v>
      </c>
      <c r="AR487" s="76" t="n">
        <v>1.34748080660836</v>
      </c>
      <c r="AS487" s="77" t="n">
        <v>26.6365631246376</v>
      </c>
      <c r="AT487" s="78" t="n">
        <v>26.9091487103336</v>
      </c>
      <c r="AU487" s="78" t="n">
        <v>37.5286509161488</v>
      </c>
      <c r="AV487" s="78" t="n">
        <v>32.6773566569485</v>
      </c>
      <c r="AW487" s="78" t="n">
        <v>48.712342079689</v>
      </c>
      <c r="AX487" s="78" t="n">
        <v>38.2666666666667</v>
      </c>
      <c r="AY487" s="48" t="n">
        <v>1.063950406838</v>
      </c>
      <c r="AZ487" s="48" t="n">
        <v>23.0586986839533</v>
      </c>
      <c r="BA487" s="48" t="n">
        <v>2.23303346576785</v>
      </c>
      <c r="BB487" s="49" t="n">
        <f aca="false">AT487/V487</f>
        <v>1.063950406838</v>
      </c>
      <c r="BC487" s="49" t="n">
        <f aca="false">AS487/V487</f>
        <v>1.0531727509589</v>
      </c>
      <c r="BD487" s="49" t="n">
        <f aca="false">SUM(AP487:AR487)/V487</f>
        <v>0.130063032797524</v>
      </c>
      <c r="BE487" s="53" t="n">
        <v>6.71</v>
      </c>
      <c r="BF487" s="51" t="n">
        <v>101.593842210251</v>
      </c>
      <c r="BG487" s="51" t="n">
        <v>629.642088895616</v>
      </c>
      <c r="BH487" s="51" t="n">
        <v>203.745258361208</v>
      </c>
      <c r="BI487" s="51" t="n">
        <v>116.621049763575</v>
      </c>
      <c r="BJ487" s="51" t="n">
        <v>10.4567374415015</v>
      </c>
      <c r="BK487" s="51" t="n">
        <v>15.428928353485</v>
      </c>
      <c r="BL487" s="51" t="n">
        <v>16.9721866571457</v>
      </c>
      <c r="BM487" s="51" t="n">
        <v>7.13375052746906</v>
      </c>
      <c r="BN487" s="52" t="n">
        <f aca="false">(BG487*0.5-BH487*0.25+BI487*0.5)/SUM(BG487:BI487)*1000</f>
        <v>339.149901990156</v>
      </c>
      <c r="BO487" s="93" t="n">
        <v>4.45885714285714</v>
      </c>
      <c r="BP487" s="94" t="s">
        <v>491</v>
      </c>
      <c r="BQ487" s="55" t="n">
        <v>401.872222222222</v>
      </c>
      <c r="BR487" s="56" t="n">
        <v>15.8894701178722</v>
      </c>
      <c r="BS487" s="56"/>
      <c r="BT487" s="56" t="n">
        <v>14.934408611295</v>
      </c>
      <c r="BU487" s="55" t="n">
        <v>11824.3688888889</v>
      </c>
      <c r="BV487" s="55" t="n">
        <v>467.519140994036</v>
      </c>
      <c r="BW487" s="55"/>
      <c r="BX487" s="55" t="n">
        <v>439.418170235469</v>
      </c>
      <c r="BY487" s="96" t="n">
        <v>0.0721</v>
      </c>
      <c r="BZ487" s="96" t="n">
        <v>0.6479</v>
      </c>
      <c r="CA487" s="97" t="n">
        <v>4.2</v>
      </c>
      <c r="CB487" s="97"/>
      <c r="CC487" s="97" t="n">
        <v>4.8278</v>
      </c>
      <c r="CD487" s="97" t="n">
        <v>7.14</v>
      </c>
      <c r="CE487" s="97" t="n">
        <v>82.82</v>
      </c>
      <c r="CF487" s="97" t="n">
        <v>36.8628</v>
      </c>
      <c r="CG487" s="97" t="n">
        <v>0.0864</v>
      </c>
      <c r="CH487" s="63" t="n">
        <v>98109.1918265178</v>
      </c>
      <c r="CI487" s="63" t="n">
        <v>3779.88968402827</v>
      </c>
      <c r="CJ487" s="64" t="n">
        <v>410972.237282992</v>
      </c>
      <c r="CK487" s="65" t="n">
        <v>0.919743316243882</v>
      </c>
    </row>
    <row r="488" s="1" customFormat="true" ht="15" hidden="false" customHeight="false" outlineLevel="0" collapsed="false">
      <c r="A488" s="7" t="s">
        <v>488</v>
      </c>
      <c r="B488" s="66" t="n">
        <v>478</v>
      </c>
      <c r="C488" s="8" t="s">
        <v>570</v>
      </c>
      <c r="D488" s="67" t="n">
        <v>41730</v>
      </c>
      <c r="E488" s="4" t="s">
        <v>565</v>
      </c>
      <c r="F488" s="7" t="n">
        <v>73</v>
      </c>
      <c r="G488" s="68" t="n">
        <v>1</v>
      </c>
      <c r="H488" s="68" t="n">
        <v>152</v>
      </c>
      <c r="I488" s="7" t="n">
        <v>3</v>
      </c>
      <c r="J488" s="8" t="n">
        <v>740</v>
      </c>
      <c r="K488" s="32"/>
      <c r="L488" s="31" t="n">
        <v>929.354</v>
      </c>
      <c r="M488" s="31" t="n">
        <v>149.954095684994</v>
      </c>
      <c r="N488" s="31" t="n">
        <v>301.132306436805</v>
      </c>
      <c r="O488" s="95"/>
      <c r="P488" s="33" t="n">
        <v>42.9460369274712</v>
      </c>
      <c r="Q488" s="33" t="n">
        <v>8.7</v>
      </c>
      <c r="R488" s="31" t="n">
        <v>253.085790064266</v>
      </c>
      <c r="S488" s="34" t="s">
        <v>76</v>
      </c>
      <c r="T488" s="35"/>
      <c r="U488" s="35"/>
      <c r="V488" s="35" t="n">
        <v>22.0612398552002</v>
      </c>
      <c r="W488" s="35" t="n">
        <v>20.5027015043897</v>
      </c>
      <c r="X488" s="35" t="n">
        <v>3.3081732721763</v>
      </c>
      <c r="Y488" s="35" t="n">
        <v>6.643352040452</v>
      </c>
      <c r="Z488" s="35"/>
      <c r="AA488" s="35" t="n">
        <v>0.947442821487227</v>
      </c>
      <c r="AB488" s="35" t="n">
        <v>0.191932786740242</v>
      </c>
      <c r="AC488" s="71" t="n">
        <v>5.58338631855062</v>
      </c>
      <c r="AD488" s="72"/>
      <c r="AE488" s="72"/>
      <c r="AF488" s="72"/>
      <c r="AG488" s="72"/>
      <c r="AH488" s="72"/>
      <c r="AI488" s="73" t="n">
        <v>27.5160119225497</v>
      </c>
      <c r="AJ488" s="42" t="s">
        <v>16</v>
      </c>
      <c r="AK488" s="43" t="n">
        <v>683.820459720392</v>
      </c>
      <c r="AL488" s="74"/>
      <c r="AM488" s="74"/>
      <c r="AN488" s="74"/>
      <c r="AO488" s="78" t="n">
        <v>39.79</v>
      </c>
      <c r="AP488" s="76" t="n">
        <v>1.335040290044</v>
      </c>
      <c r="AQ488" s="76" t="n">
        <v>1.2335286686103</v>
      </c>
      <c r="AR488" s="76" t="n">
        <v>2.02140160349854</v>
      </c>
      <c r="AS488" s="77" t="n">
        <v>35.94160435066</v>
      </c>
      <c r="AT488" s="78" t="n">
        <v>36.7009784748154</v>
      </c>
      <c r="AU488" s="78" t="n">
        <v>33.5521560704699</v>
      </c>
      <c r="AV488" s="78" t="n">
        <v>31.0009718172983</v>
      </c>
      <c r="AW488" s="78" t="n">
        <v>50.801749271137</v>
      </c>
      <c r="AX488" s="78" t="n">
        <v>41.3766666666667</v>
      </c>
      <c r="AY488" s="48" t="n">
        <v>1.66359546044119</v>
      </c>
      <c r="AZ488" s="48" t="n">
        <v>26.8971471071215</v>
      </c>
      <c r="BA488" s="48" t="n">
        <v>-4.83590725192127</v>
      </c>
      <c r="BB488" s="49" t="n">
        <f aca="false">AT488/V488</f>
        <v>1.66359546044119</v>
      </c>
      <c r="BC488" s="49" t="n">
        <f aca="false">AS488/V488</f>
        <v>1.6291742706468</v>
      </c>
      <c r="BD488" s="49" t="n">
        <f aca="false">SUM(AP488:AR488)/V488</f>
        <v>0.208055875022405</v>
      </c>
      <c r="BE488" s="53" t="n">
        <v>6.66</v>
      </c>
      <c r="BF488" s="51" t="n">
        <v>113.145548655067</v>
      </c>
      <c r="BG488" s="51" t="n">
        <v>615.656730429828</v>
      </c>
      <c r="BH488" s="51" t="n">
        <v>220.816781595143</v>
      </c>
      <c r="BI488" s="51" t="n">
        <v>114.335612928131</v>
      </c>
      <c r="BJ488" s="51" t="n">
        <v>9.71293434058083</v>
      </c>
      <c r="BK488" s="51" t="n">
        <v>16.9774100368015</v>
      </c>
      <c r="BL488" s="51" t="n">
        <v>15.1062009126957</v>
      </c>
      <c r="BM488" s="51" t="n">
        <v>7.39432975682127</v>
      </c>
      <c r="BN488" s="52" t="n">
        <f aca="false">(BG488*0.5-BH488*0.25+BI488*0.5)/SUM(BG488:BI488)*1000</f>
        <v>325.819313414219</v>
      </c>
      <c r="BO488" s="93" t="n">
        <v>5.47885714285714</v>
      </c>
      <c r="BP488" s="94" t="s">
        <v>491</v>
      </c>
      <c r="BQ488" s="55" t="n">
        <v>375.750980392157</v>
      </c>
      <c r="BR488" s="56" t="n">
        <v>17.0321787378413</v>
      </c>
      <c r="BS488" s="56"/>
      <c r="BT488" s="56" t="n">
        <v>10.2381733677755</v>
      </c>
      <c r="BU488" s="55" t="n">
        <v>10455.2784313725</v>
      </c>
      <c r="BV488" s="55" t="n">
        <v>473.920708899236</v>
      </c>
      <c r="BW488" s="55"/>
      <c r="BX488" s="55" t="n">
        <v>284.877375641281</v>
      </c>
      <c r="BY488" s="96" t="n">
        <v>0.05974</v>
      </c>
      <c r="BZ488" s="96" t="n">
        <v>0.9064</v>
      </c>
      <c r="CA488" s="97" t="n">
        <v>4.18</v>
      </c>
      <c r="CB488" s="97"/>
      <c r="CC488" s="97" t="n">
        <v>5.6156</v>
      </c>
      <c r="CD488" s="97" t="n">
        <v>6.32</v>
      </c>
      <c r="CE488" s="97" t="n">
        <v>92.92</v>
      </c>
      <c r="CF488" s="97" t="n">
        <v>40.1676</v>
      </c>
      <c r="CG488" s="97" t="n">
        <v>0.1137</v>
      </c>
      <c r="CH488" s="63" t="n">
        <v>95198.1023411151</v>
      </c>
      <c r="CI488" s="63" t="n">
        <v>2874.28073240709</v>
      </c>
      <c r="CJ488" s="64" t="n">
        <v>477990.452014679</v>
      </c>
      <c r="CK488" s="65" t="n">
        <v>0.60132597215955</v>
      </c>
    </row>
    <row r="489" s="1" customFormat="true" ht="15" hidden="false" customHeight="false" outlineLevel="0" collapsed="false">
      <c r="A489" s="7" t="s">
        <v>488</v>
      </c>
      <c r="B489" s="66" t="n">
        <v>479</v>
      </c>
      <c r="C489" s="8" t="s">
        <v>571</v>
      </c>
      <c r="D489" s="67" t="n">
        <v>41730</v>
      </c>
      <c r="E489" s="4" t="s">
        <v>565</v>
      </c>
      <c r="F489" s="7" t="n">
        <v>95</v>
      </c>
      <c r="G489" s="68" t="n">
        <v>1</v>
      </c>
      <c r="H489" s="68" t="n">
        <v>202</v>
      </c>
      <c r="I489" s="7" t="n">
        <v>4</v>
      </c>
      <c r="J489" s="8" t="n">
        <v>771</v>
      </c>
      <c r="K489" s="32"/>
      <c r="L489" s="31" t="n">
        <v>929.354</v>
      </c>
      <c r="M489" s="31" t="n">
        <v>149.954095684994</v>
      </c>
      <c r="N489" s="31" t="n">
        <v>301.132306436805</v>
      </c>
      <c r="O489" s="95"/>
      <c r="P489" s="33" t="n">
        <v>42.9460369274712</v>
      </c>
      <c r="Q489" s="33" t="n">
        <v>8.7</v>
      </c>
      <c r="R489" s="31" t="n">
        <v>253.085790064266</v>
      </c>
      <c r="S489" s="34" t="s">
        <v>76</v>
      </c>
      <c r="T489" s="35"/>
      <c r="U489" s="35"/>
      <c r="V489" s="35" t="n">
        <v>17.9217724500364</v>
      </c>
      <c r="W489" s="35" t="n">
        <v>16.6556709135312</v>
      </c>
      <c r="X489" s="35" t="n">
        <v>2.68744318081746</v>
      </c>
      <c r="Y489" s="35" t="n">
        <v>5.39682467331506</v>
      </c>
      <c r="Z489" s="35"/>
      <c r="AA489" s="35" t="n">
        <v>0.769669101445</v>
      </c>
      <c r="AB489" s="35" t="n">
        <v>0.155919420315317</v>
      </c>
      <c r="AC489" s="71" t="n">
        <v>4.53574593986947</v>
      </c>
      <c r="AD489" s="72"/>
      <c r="AE489" s="72"/>
      <c r="AF489" s="72"/>
      <c r="AG489" s="72"/>
      <c r="AH489" s="72"/>
      <c r="AI489" s="73" t="n">
        <v>31.5581263272003</v>
      </c>
      <c r="AJ489" s="42" t="s">
        <v>16</v>
      </c>
      <c r="AK489" s="43" t="n">
        <v>724.318233921848</v>
      </c>
      <c r="AL489" s="74"/>
      <c r="AM489" s="74"/>
      <c r="AN489" s="74"/>
      <c r="AO489" s="78" t="n">
        <v>27.972</v>
      </c>
      <c r="AP489" s="76" t="n">
        <v>0.999183660302831</v>
      </c>
      <c r="AQ489" s="76" t="n">
        <v>0.926283673469388</v>
      </c>
      <c r="AR489" s="76" t="n">
        <v>1.39792040816327</v>
      </c>
      <c r="AS489" s="77" t="n">
        <v>26.1765549045425</v>
      </c>
      <c r="AT489" s="78" t="n">
        <v>26.8743385473178</v>
      </c>
      <c r="AU489" s="78" t="n">
        <v>35.7208515766778</v>
      </c>
      <c r="AV489" s="78" t="n">
        <v>33.1146744412051</v>
      </c>
      <c r="AW489" s="78" t="n">
        <v>49.9757045675413</v>
      </c>
      <c r="AX489" s="78" t="n">
        <v>44.2866666666667</v>
      </c>
      <c r="AY489" s="48" t="n">
        <v>1.49953575307576</v>
      </c>
      <c r="AZ489" s="48" t="n">
        <v>23.8546721052906</v>
      </c>
      <c r="BA489" s="48" t="n">
        <v>-5.93289965525419</v>
      </c>
      <c r="BB489" s="49" t="n">
        <f aca="false">AT489/V489</f>
        <v>1.49953575307576</v>
      </c>
      <c r="BC489" s="49" t="n">
        <f aca="false">AS489/V489</f>
        <v>1.46060078474488</v>
      </c>
      <c r="BD489" s="49" t="n">
        <f aca="false">SUM(AP489:AR489)/V489</f>
        <v>0.185438563691212</v>
      </c>
      <c r="BE489" s="53" t="n">
        <v>6.37</v>
      </c>
      <c r="BF489" s="51" t="n">
        <v>120.884395439988</v>
      </c>
      <c r="BG489" s="51" t="n">
        <v>654.390086340114</v>
      </c>
      <c r="BH489" s="51" t="n">
        <v>186.391450324771</v>
      </c>
      <c r="BI489" s="51" t="n">
        <v>115.889825197851</v>
      </c>
      <c r="BJ489" s="51" t="n">
        <v>8.47337347422772</v>
      </c>
      <c r="BK489" s="51" t="n">
        <v>12.7316993379364</v>
      </c>
      <c r="BL489" s="51" t="n">
        <v>14.7529077137753</v>
      </c>
      <c r="BM489" s="51" t="n">
        <v>7.37065761132357</v>
      </c>
      <c r="BN489" s="52" t="n">
        <f aca="false">(BG489*0.5-BH489*0.25+BI489*0.5)/SUM(BG489:BI489)*1000</f>
        <v>353.87501568837</v>
      </c>
      <c r="BO489" s="93" t="n">
        <v>1.71942857142857</v>
      </c>
      <c r="BP489" s="94" t="s">
        <v>491</v>
      </c>
      <c r="BQ489" s="55" t="n">
        <v>441.938756613757</v>
      </c>
      <c r="BR489" s="56" t="n">
        <v>24.659321941835</v>
      </c>
      <c r="BS489" s="56"/>
      <c r="BT489" s="56" t="n">
        <v>16.4446375428229</v>
      </c>
      <c r="BU489" s="55" t="n">
        <v>12674.9462962963</v>
      </c>
      <c r="BV489" s="55" t="n">
        <v>707.237318832855</v>
      </c>
      <c r="BW489" s="55"/>
      <c r="BX489" s="55" t="n">
        <v>471.637516732902</v>
      </c>
      <c r="BY489" s="96" t="n">
        <v>0.06489</v>
      </c>
      <c r="BZ489" s="96" t="n">
        <v>1.5125</v>
      </c>
      <c r="CA489" s="97" t="n">
        <v>3.95</v>
      </c>
      <c r="CB489" s="97"/>
      <c r="CC489" s="97" t="n">
        <v>5.4742</v>
      </c>
      <c r="CD489" s="97" t="n">
        <v>5.33</v>
      </c>
      <c r="CE489" s="97" t="n">
        <v>94.94</v>
      </c>
      <c r="CF489" s="97" t="n">
        <v>40.0146</v>
      </c>
      <c r="CG489" s="97" t="n">
        <v>0.1046</v>
      </c>
      <c r="CH489" s="63" t="n">
        <v>83280.891253796</v>
      </c>
      <c r="CI489" s="63" t="n">
        <v>4304.59580580764</v>
      </c>
      <c r="CJ489" s="64" t="n">
        <v>520923.892040129</v>
      </c>
      <c r="CK489" s="65" t="n">
        <v>0.826338716957148</v>
      </c>
    </row>
    <row r="490" s="1" customFormat="true" ht="15" hidden="false" customHeight="false" outlineLevel="0" collapsed="false">
      <c r="A490" s="7" t="s">
        <v>488</v>
      </c>
      <c r="B490" s="66" t="n">
        <v>480</v>
      </c>
      <c r="C490" s="8" t="s">
        <v>572</v>
      </c>
      <c r="D490" s="67" t="n">
        <v>41730</v>
      </c>
      <c r="E490" s="4" t="s">
        <v>565</v>
      </c>
      <c r="F490" s="7" t="n">
        <v>97</v>
      </c>
      <c r="G490" s="68" t="n">
        <v>1</v>
      </c>
      <c r="H490" s="68" t="n">
        <v>159</v>
      </c>
      <c r="I490" s="7" t="n">
        <v>3</v>
      </c>
      <c r="J490" s="8" t="n">
        <v>750</v>
      </c>
      <c r="K490" s="32"/>
      <c r="L490" s="31" t="n">
        <v>929.354</v>
      </c>
      <c r="M490" s="31" t="n">
        <v>149.954095684994</v>
      </c>
      <c r="N490" s="31" t="n">
        <v>301.132306436805</v>
      </c>
      <c r="O490" s="95"/>
      <c r="P490" s="33" t="n">
        <v>42.9460369274712</v>
      </c>
      <c r="Q490" s="33" t="n">
        <v>8.7</v>
      </c>
      <c r="R490" s="31" t="n">
        <v>253.085790064266</v>
      </c>
      <c r="S490" s="34" t="s">
        <v>76</v>
      </c>
      <c r="T490" s="35"/>
      <c r="U490" s="35"/>
      <c r="V490" s="35" t="n">
        <v>26.1950716481311</v>
      </c>
      <c r="W490" s="35" t="n">
        <v>24.3444946164772</v>
      </c>
      <c r="X490" s="35" t="n">
        <v>3.92805828039913</v>
      </c>
      <c r="Y490" s="35" t="n">
        <v>7.88818234267907</v>
      </c>
      <c r="Z490" s="35"/>
      <c r="AA490" s="35" t="n">
        <v>1.12497451431839</v>
      </c>
      <c r="AB490" s="35" t="n">
        <v>0.22789712333874</v>
      </c>
      <c r="AC490" s="71" t="n">
        <v>6.62960040385731</v>
      </c>
      <c r="AD490" s="72"/>
      <c r="AE490" s="72"/>
      <c r="AF490" s="72"/>
      <c r="AG490" s="72"/>
      <c r="AH490" s="72"/>
      <c r="AI490" s="73" t="n">
        <v>30.6752840303282</v>
      </c>
      <c r="AJ490" s="42" t="s">
        <v>16</v>
      </c>
      <c r="AK490" s="43" t="n">
        <v>716.384044190156</v>
      </c>
      <c r="AL490" s="74"/>
      <c r="AM490" s="74"/>
      <c r="AN490" s="74"/>
      <c r="AO490" s="78" t="n">
        <v>41.668</v>
      </c>
      <c r="AP490" s="76" t="n">
        <v>1.62050332545035</v>
      </c>
      <c r="AQ490" s="76" t="n">
        <v>1.34236559766764</v>
      </c>
      <c r="AR490" s="76" t="n">
        <v>2.11275792031098</v>
      </c>
      <c r="AS490" s="77" t="n">
        <v>40.9747498817553</v>
      </c>
      <c r="AT490" s="78" t="n">
        <v>41.5153084172767</v>
      </c>
      <c r="AU490" s="78" t="n">
        <v>38.8908353040787</v>
      </c>
      <c r="AV490" s="78" t="n">
        <v>32.2157434402332</v>
      </c>
      <c r="AW490" s="78" t="n">
        <v>50.7045675413023</v>
      </c>
      <c r="AX490" s="78" t="n">
        <v>41.9083333333333</v>
      </c>
      <c r="AY490" s="48" t="n">
        <v>1.58485187499912</v>
      </c>
      <c r="AZ490" s="48" t="n">
        <v>28.931946624428</v>
      </c>
      <c r="BA490" s="48" t="n">
        <v>-2.73687497629695</v>
      </c>
      <c r="BB490" s="49" t="n">
        <f aca="false">AT490/V490</f>
        <v>1.58485187499912</v>
      </c>
      <c r="BC490" s="49" t="n">
        <f aca="false">AS490/V490</f>
        <v>1.56421598811235</v>
      </c>
      <c r="BD490" s="49" t="n">
        <f aca="false">SUM(AP490:AR490)/V490</f>
        <v>0.193762663130227</v>
      </c>
      <c r="BE490" s="53" t="n">
        <v>6.36</v>
      </c>
      <c r="BF490" s="51" t="n">
        <v>109.351921275655</v>
      </c>
      <c r="BG490" s="51" t="n">
        <v>608.830805677079</v>
      </c>
      <c r="BH490" s="51" t="n">
        <v>235.584297308237</v>
      </c>
      <c r="BI490" s="51" t="n">
        <v>107.918089299364</v>
      </c>
      <c r="BJ490" s="51" t="n">
        <v>8.43537937719768</v>
      </c>
      <c r="BK490" s="51" t="n">
        <v>19.0475981450037</v>
      </c>
      <c r="BL490" s="51" t="n">
        <v>11.768034551948</v>
      </c>
      <c r="BM490" s="51" t="n">
        <v>8.41579564117072</v>
      </c>
      <c r="BN490" s="52" t="n">
        <f aca="false">(BG490*0.5-BH490*0.25+BI490*0.5)/SUM(BG490:BI490)*1000</f>
        <v>314.468061795372</v>
      </c>
      <c r="BO490" s="93" t="n">
        <v>4.80857142857143</v>
      </c>
      <c r="BP490" s="94" t="s">
        <v>491</v>
      </c>
      <c r="BQ490" s="55" t="n">
        <v>543.344397759104</v>
      </c>
      <c r="BR490" s="56" t="n">
        <v>20.7422375116072</v>
      </c>
      <c r="BS490" s="56"/>
      <c r="BT490" s="56" t="n">
        <v>13.0878082922537</v>
      </c>
      <c r="BU490" s="55" t="n">
        <v>14647.0348739496</v>
      </c>
      <c r="BV490" s="55" t="n">
        <v>559.152311957681</v>
      </c>
      <c r="BW490" s="55"/>
      <c r="BX490" s="55" t="n">
        <v>352.810455524742</v>
      </c>
      <c r="BY490" s="96" t="n">
        <v>0.11536</v>
      </c>
      <c r="BZ490" s="96" t="n">
        <v>0.9625</v>
      </c>
      <c r="CA490" s="97" t="n">
        <v>3.63</v>
      </c>
      <c r="CB490" s="97"/>
      <c r="CC490" s="97" t="n">
        <v>5.8378</v>
      </c>
      <c r="CD490" s="97" t="n">
        <v>6.42</v>
      </c>
      <c r="CE490" s="97" t="n">
        <v>95.95</v>
      </c>
      <c r="CF490" s="97" t="n">
        <v>40.4124</v>
      </c>
      <c r="CG490" s="97" t="n">
        <v>0.0773</v>
      </c>
      <c r="CH490" s="63" t="n">
        <v>160052.10856801</v>
      </c>
      <c r="CI490" s="63" t="n">
        <v>1061.59170094126</v>
      </c>
      <c r="CJ490" s="64" t="n">
        <v>131418.10343566</v>
      </c>
      <c r="CK490" s="65" t="n">
        <v>0.807797155177328</v>
      </c>
    </row>
    <row r="491" s="1" customFormat="true" ht="15" hidden="false" customHeight="false" outlineLevel="0" collapsed="false">
      <c r="A491" s="7" t="s">
        <v>488</v>
      </c>
      <c r="B491" s="66" t="n">
        <v>481</v>
      </c>
      <c r="C491" s="8" t="s">
        <v>573</v>
      </c>
      <c r="D491" s="67" t="n">
        <v>41730</v>
      </c>
      <c r="E491" s="4" t="s">
        <v>565</v>
      </c>
      <c r="F491" s="7" t="n">
        <v>102</v>
      </c>
      <c r="G491" s="68" t="n">
        <v>1</v>
      </c>
      <c r="H491" s="68" t="n">
        <v>151</v>
      </c>
      <c r="I491" s="7" t="n">
        <v>2</v>
      </c>
      <c r="J491" s="8" t="n">
        <v>792</v>
      </c>
      <c r="K491" s="32"/>
      <c r="L491" s="31" t="n">
        <v>929.354</v>
      </c>
      <c r="M491" s="31" t="n">
        <v>149.954095684994</v>
      </c>
      <c r="N491" s="31" t="n">
        <v>301.132306436805</v>
      </c>
      <c r="O491" s="95"/>
      <c r="P491" s="33" t="n">
        <v>42.9460369274712</v>
      </c>
      <c r="Q491" s="33" t="n">
        <v>8.7</v>
      </c>
      <c r="R491" s="31" t="n">
        <v>253.085790064266</v>
      </c>
      <c r="S491" s="34" t="s">
        <v>76</v>
      </c>
      <c r="T491" s="35"/>
      <c r="U491" s="35"/>
      <c r="V491" s="35" t="n">
        <v>22.5150756627351</v>
      </c>
      <c r="W491" s="35" t="n">
        <v>20.9244756274656</v>
      </c>
      <c r="X491" s="35" t="n">
        <v>3.37622781028467</v>
      </c>
      <c r="Y491" s="35" t="n">
        <v>6.78001666391861</v>
      </c>
      <c r="Z491" s="35"/>
      <c r="AA491" s="35" t="n">
        <v>0.966933270836631</v>
      </c>
      <c r="AB491" s="35" t="n">
        <v>0.195881158265796</v>
      </c>
      <c r="AC491" s="71" t="n">
        <v>5.69824571246005</v>
      </c>
      <c r="AD491" s="72"/>
      <c r="AE491" s="72"/>
      <c r="AF491" s="72"/>
      <c r="AG491" s="72"/>
      <c r="AH491" s="72"/>
      <c r="AI491" s="73" t="n">
        <v>28.5224684806624</v>
      </c>
      <c r="AJ491" s="42" t="s">
        <v>16</v>
      </c>
      <c r="AK491" s="43" t="n">
        <v>694.977312153104</v>
      </c>
      <c r="AL491" s="74"/>
      <c r="AM491" s="74"/>
      <c r="AN491" s="74"/>
      <c r="AO491" s="78" t="n">
        <v>39.67</v>
      </c>
      <c r="AP491" s="76" t="n">
        <v>1.12222852004319</v>
      </c>
      <c r="AQ491" s="76" t="n">
        <v>1.33775413022352</v>
      </c>
      <c r="AR491" s="76" t="n">
        <v>2.00663119533528</v>
      </c>
      <c r="AS491" s="77" t="n">
        <v>32.7014278006478</v>
      </c>
      <c r="AT491" s="78" t="n">
        <v>34.8298889299073</v>
      </c>
      <c r="AU491" s="78" t="n">
        <v>28.2890980600754</v>
      </c>
      <c r="AV491" s="78" t="n">
        <v>33.7220602526725</v>
      </c>
      <c r="AW491" s="78" t="n">
        <v>50.5830903790088</v>
      </c>
      <c r="AX491" s="78" t="n">
        <v>39.355</v>
      </c>
      <c r="AY491" s="48" t="n">
        <v>1.54695855575358</v>
      </c>
      <c r="AZ491" s="48" t="n">
        <v>26.4075151790953</v>
      </c>
      <c r="BA491" s="48" t="n">
        <v>-3.89243951636012</v>
      </c>
      <c r="BB491" s="49" t="n">
        <f aca="false">AT491/V491</f>
        <v>1.54695855575358</v>
      </c>
      <c r="BC491" s="49" t="n">
        <f aca="false">AS491/V491</f>
        <v>1.45242362453048</v>
      </c>
      <c r="BD491" s="49" t="n">
        <f aca="false">SUM(AP491:AR491)/V491</f>
        <v>0.198383248295928</v>
      </c>
      <c r="BE491" s="53" t="n">
        <v>6.24</v>
      </c>
      <c r="BF491" s="51" t="n">
        <v>127.354086817854</v>
      </c>
      <c r="BG491" s="51" t="n">
        <v>617.255020879418</v>
      </c>
      <c r="BH491" s="51" t="n">
        <v>212.548332543558</v>
      </c>
      <c r="BI491" s="51" t="n">
        <v>118.110574471661</v>
      </c>
      <c r="BJ491" s="51" t="n">
        <v>10.0908167817649</v>
      </c>
      <c r="BK491" s="51" t="n">
        <v>16.9899602881158</v>
      </c>
      <c r="BL491" s="51" t="n">
        <v>16.156959010804</v>
      </c>
      <c r="BM491" s="51" t="n">
        <v>8.84833602467817</v>
      </c>
      <c r="BN491" s="52" t="n">
        <f aca="false">(BG491*0.5-BH491*0.25+BI491*0.5)/SUM(BG491:BI491)*1000</f>
        <v>331.829404847201</v>
      </c>
      <c r="BO491" s="93" t="n">
        <v>4.51714285714286</v>
      </c>
      <c r="BP491" s="94" t="s">
        <v>491</v>
      </c>
      <c r="BQ491" s="55" t="n">
        <v>409.234077380952</v>
      </c>
      <c r="BR491" s="56" t="n">
        <v>18.17600275971</v>
      </c>
      <c r="BS491" s="56"/>
      <c r="BT491" s="56" t="n">
        <v>11.7495085386149</v>
      </c>
      <c r="BU491" s="55" t="n">
        <v>12972.790625</v>
      </c>
      <c r="BV491" s="55" t="n">
        <v>576.182413034097</v>
      </c>
      <c r="BW491" s="55"/>
      <c r="BX491" s="55" t="n">
        <v>372.461441123365</v>
      </c>
      <c r="BY491" s="96" t="n">
        <v>0.11433</v>
      </c>
      <c r="BZ491" s="96" t="n">
        <v>0.8833</v>
      </c>
      <c r="CA491" s="97" t="n">
        <v>4.1514</v>
      </c>
      <c r="CB491" s="97"/>
      <c r="CC491" s="97" t="n">
        <v>5.763</v>
      </c>
      <c r="CD491" s="97" t="n">
        <v>7.7164</v>
      </c>
      <c r="CE491" s="97" t="n">
        <v>99.99</v>
      </c>
      <c r="CF491" s="97" t="n">
        <v>40.6121</v>
      </c>
      <c r="CG491" s="97" t="n">
        <v>0.0773</v>
      </c>
      <c r="CH491" s="63" t="n">
        <v>20931.2769672873</v>
      </c>
      <c r="CI491" s="63" t="n">
        <v>1751.33989428824</v>
      </c>
      <c r="CJ491" s="64" t="n">
        <v>410914.201615754</v>
      </c>
      <c r="CK491" s="65" t="n">
        <v>0.426205735260987</v>
      </c>
    </row>
    <row r="492" s="1" customFormat="true" ht="15" hidden="false" customHeight="false" outlineLevel="0" collapsed="false">
      <c r="A492" s="7" t="s">
        <v>488</v>
      </c>
      <c r="B492" s="66" t="n">
        <v>482</v>
      </c>
      <c r="C492" s="8" t="s">
        <v>574</v>
      </c>
      <c r="D492" s="67" t="n">
        <v>41730</v>
      </c>
      <c r="E492" s="4" t="s">
        <v>565</v>
      </c>
      <c r="F492" s="7" t="n">
        <v>110</v>
      </c>
      <c r="G492" s="68" t="n">
        <v>1</v>
      </c>
      <c r="H492" s="68" t="n">
        <v>169</v>
      </c>
      <c r="I492" s="7" t="n">
        <v>1</v>
      </c>
      <c r="J492" s="8" t="n">
        <v>823</v>
      </c>
      <c r="K492" s="32"/>
      <c r="L492" s="31" t="n">
        <v>929.354</v>
      </c>
      <c r="M492" s="31" t="n">
        <v>149.954095684994</v>
      </c>
      <c r="N492" s="31" t="n">
        <v>301.132306436805</v>
      </c>
      <c r="O492" s="95"/>
      <c r="P492" s="33" t="n">
        <v>42.9460369274712</v>
      </c>
      <c r="Q492" s="33" t="n">
        <v>8.7</v>
      </c>
      <c r="R492" s="31" t="n">
        <v>253.085790064266</v>
      </c>
      <c r="S492" s="34" t="s">
        <v>76</v>
      </c>
      <c r="T492" s="35"/>
      <c r="U492" s="35"/>
      <c r="V492" s="35" t="n">
        <v>26.8674844840787</v>
      </c>
      <c r="W492" s="35" t="n">
        <v>24.9694041752165</v>
      </c>
      <c r="X492" s="35" t="n">
        <v>4.02888933914065</v>
      </c>
      <c r="Y492" s="35" t="n">
        <v>8.0906675708457</v>
      </c>
      <c r="Z492" s="35"/>
      <c r="AA492" s="35" t="n">
        <v>1.1538519808015</v>
      </c>
      <c r="AB492" s="35" t="n">
        <v>0.233747115011485</v>
      </c>
      <c r="AC492" s="71" t="n">
        <v>6.79977853769248</v>
      </c>
      <c r="AD492" s="72"/>
      <c r="AE492" s="72"/>
      <c r="AF492" s="72"/>
      <c r="AG492" s="72"/>
      <c r="AH492" s="72"/>
      <c r="AI492" s="73" t="n">
        <v>29.4812708931801</v>
      </c>
      <c r="AJ492" s="42" t="s">
        <v>16</v>
      </c>
      <c r="AK492" s="43" t="n">
        <v>704.897389548679</v>
      </c>
      <c r="AL492" s="74"/>
      <c r="AM492" s="74"/>
      <c r="AN492" s="74"/>
      <c r="AO492" s="78" t="n">
        <v>29.074</v>
      </c>
      <c r="AP492" s="76" t="n">
        <v>1.30208029330974</v>
      </c>
      <c r="AQ492" s="76" t="n">
        <v>1.07579450923226</v>
      </c>
      <c r="AR492" s="76" t="n">
        <v>1.47912915451895</v>
      </c>
      <c r="AS492" s="77" t="n">
        <v>31.160804399646</v>
      </c>
      <c r="AT492" s="78" t="n">
        <v>32.1562198639895</v>
      </c>
      <c r="AU492" s="78" t="n">
        <v>44.7850413878289</v>
      </c>
      <c r="AV492" s="78" t="n">
        <v>37.0019436345967</v>
      </c>
      <c r="AW492" s="78" t="n">
        <v>50.8746355685131</v>
      </c>
      <c r="AX492" s="78" t="n">
        <v>42.79</v>
      </c>
      <c r="AY492" s="48" t="n">
        <v>1.19684520086147</v>
      </c>
      <c r="AZ492" s="48" t="n">
        <v>26.3388146014218</v>
      </c>
      <c r="BA492" s="48" t="n">
        <v>0.528669882656946</v>
      </c>
      <c r="BB492" s="49" t="n">
        <f aca="false">AT492/V492</f>
        <v>1.19684520086147</v>
      </c>
      <c r="BC492" s="49" t="n">
        <f aca="false">AS492/V492</f>
        <v>1.15979612524245</v>
      </c>
      <c r="BD492" s="49" t="n">
        <f aca="false">SUM(AP492:AR492)/V492</f>
        <v>0.143556571488728</v>
      </c>
      <c r="BE492" s="53" t="n">
        <v>6.09</v>
      </c>
      <c r="BF492" s="51" t="n">
        <v>126.313245468875</v>
      </c>
      <c r="BG492" s="51" t="n">
        <v>571.813112162561</v>
      </c>
      <c r="BH492" s="51" t="n">
        <v>271.064653460633</v>
      </c>
      <c r="BI492" s="51" t="n">
        <v>117.832839132151</v>
      </c>
      <c r="BJ492" s="51" t="n">
        <v>7.63252151757528</v>
      </c>
      <c r="BK492" s="51" t="n">
        <v>15.0771761585333</v>
      </c>
      <c r="BL492" s="51" t="n">
        <v>12.6901456729262</v>
      </c>
      <c r="BM492" s="51" t="n">
        <v>3.88955189561978</v>
      </c>
      <c r="BN492" s="52" t="n">
        <f aca="false">(BG492*0.5-BH492*0.25+BI492*0.5)/SUM(BG492:BI492)*1000</f>
        <v>288.387377958374</v>
      </c>
      <c r="BO492" s="93" t="n">
        <v>7.46057142857143</v>
      </c>
      <c r="BP492" s="94" t="s">
        <v>491</v>
      </c>
      <c r="BQ492" s="55" t="n">
        <v>455.266666666667</v>
      </c>
      <c r="BR492" s="56" t="n">
        <v>16.9448936291915</v>
      </c>
      <c r="BS492" s="56"/>
      <c r="BT492" s="56" t="n">
        <v>14.1579659733731</v>
      </c>
      <c r="BU492" s="55" t="n">
        <v>13847.0194444444</v>
      </c>
      <c r="BV492" s="55" t="n">
        <v>515.382057916512</v>
      </c>
      <c r="BW492" s="55"/>
      <c r="BX492" s="55" t="n">
        <v>430.617140416781</v>
      </c>
      <c r="BY492" s="96" t="n">
        <v>0.06386</v>
      </c>
      <c r="BZ492" s="96" t="n">
        <v>0.7194</v>
      </c>
      <c r="CA492" s="97" t="n">
        <v>4.386</v>
      </c>
      <c r="CB492" s="97"/>
      <c r="CC492" s="97" t="n">
        <v>5.8242</v>
      </c>
      <c r="CD492" s="97" t="n">
        <v>5.3126</v>
      </c>
      <c r="CE492" s="97" t="n">
        <v>92.92</v>
      </c>
      <c r="CF492" s="97" t="n">
        <v>40.2182</v>
      </c>
      <c r="CG492" s="97" t="n">
        <v>0.0864</v>
      </c>
      <c r="CH492" s="63" t="n">
        <v>73198.5138137952</v>
      </c>
      <c r="CI492" s="63" t="n">
        <v>2301.12640434321</v>
      </c>
      <c r="CJ492" s="64" t="n">
        <v>373456.397495461</v>
      </c>
      <c r="CK492" s="65" t="n">
        <v>0.616170032104263</v>
      </c>
    </row>
    <row r="493" s="1" customFormat="true" ht="15" hidden="false" customHeight="false" outlineLevel="0" collapsed="false">
      <c r="A493" s="7" t="s">
        <v>488</v>
      </c>
      <c r="B493" s="66" t="n">
        <v>483</v>
      </c>
      <c r="C493" s="8" t="s">
        <v>575</v>
      </c>
      <c r="D493" s="67" t="n">
        <v>41730</v>
      </c>
      <c r="E493" s="4" t="s">
        <v>565</v>
      </c>
      <c r="F493" s="7" t="n">
        <v>117</v>
      </c>
      <c r="G493" s="68" t="n">
        <v>1</v>
      </c>
      <c r="H493" s="68" t="n">
        <v>195</v>
      </c>
      <c r="I493" s="7" t="n">
        <v>2</v>
      </c>
      <c r="J493" s="8" t="n">
        <v>740</v>
      </c>
      <c r="K493" s="32"/>
      <c r="L493" s="31" t="n">
        <v>929.354</v>
      </c>
      <c r="M493" s="31" t="n">
        <v>149.954095684994</v>
      </c>
      <c r="N493" s="31" t="n">
        <v>301.132306436805</v>
      </c>
      <c r="O493" s="95"/>
      <c r="P493" s="33" t="n">
        <v>42.9460369274712</v>
      </c>
      <c r="Q493" s="33" t="n">
        <v>8.7</v>
      </c>
      <c r="R493" s="31" t="n">
        <v>253.085790064266</v>
      </c>
      <c r="S493" s="34" t="s">
        <v>76</v>
      </c>
      <c r="T493" s="35"/>
      <c r="U493" s="35"/>
      <c r="V493" s="35" t="n">
        <v>25.021499612609</v>
      </c>
      <c r="W493" s="35" t="n">
        <v>23.2538307509766</v>
      </c>
      <c r="X493" s="35" t="n">
        <v>3.75207634709122</v>
      </c>
      <c r="Y493" s="35" t="n">
        <v>7.53478188885258</v>
      </c>
      <c r="Z493" s="35"/>
      <c r="AA493" s="35" t="n">
        <v>1.07457424634381</v>
      </c>
      <c r="AB493" s="35" t="n">
        <v>0.217687046629698</v>
      </c>
      <c r="AC493" s="71" t="n">
        <v>6.33258599804988</v>
      </c>
      <c r="AD493" s="72"/>
      <c r="AE493" s="72"/>
      <c r="AF493" s="72"/>
      <c r="AG493" s="72"/>
      <c r="AH493" s="72"/>
      <c r="AI493" s="73" t="n">
        <v>27.8223834048183</v>
      </c>
      <c r="AJ493" s="42" t="s">
        <v>16</v>
      </c>
      <c r="AK493" s="43" t="n">
        <v>687.302131042687</v>
      </c>
      <c r="AL493" s="74"/>
      <c r="AM493" s="74"/>
      <c r="AN493" s="74"/>
      <c r="AO493" s="78" t="n">
        <v>42.24</v>
      </c>
      <c r="AP493" s="76" t="n">
        <v>1.78338995862914</v>
      </c>
      <c r="AQ493" s="76" t="n">
        <v>1.36592419825073</v>
      </c>
      <c r="AR493" s="76" t="n">
        <v>2.08634402332361</v>
      </c>
      <c r="AS493" s="77" t="n">
        <v>43.6468493794372</v>
      </c>
      <c r="AT493" s="78" t="n">
        <v>43.5483118340562</v>
      </c>
      <c r="AU493" s="78" t="n">
        <v>42.220406217546</v>
      </c>
      <c r="AV493" s="78" t="n">
        <v>32.3372206025267</v>
      </c>
      <c r="AW493" s="78" t="n">
        <v>49.3926141885326</v>
      </c>
      <c r="AX493" s="78" t="n">
        <v>41.13</v>
      </c>
      <c r="AY493" s="48" t="n">
        <v>1.74043572560739</v>
      </c>
      <c r="AZ493" s="48" t="n">
        <v>29.9002543224748</v>
      </c>
      <c r="BA493" s="48" t="n">
        <v>-4.87875470986579</v>
      </c>
      <c r="BB493" s="49" t="n">
        <f aca="false">AT493/V493</f>
        <v>1.74043572560739</v>
      </c>
      <c r="BC493" s="49" t="n">
        <f aca="false">AS493/V493</f>
        <v>1.74437384070467</v>
      </c>
      <c r="BD493" s="49" t="n">
        <f aca="false">SUM(AP493:AR493)/V493</f>
        <v>0.20924637856498</v>
      </c>
      <c r="BE493" s="53" t="n">
        <v>6.6</v>
      </c>
      <c r="BF493" s="51" t="n">
        <v>121.608912429813</v>
      </c>
      <c r="BG493" s="51" t="n">
        <v>583.12141541308</v>
      </c>
      <c r="BH493" s="51" t="n">
        <v>242.207974285895</v>
      </c>
      <c r="BI493" s="51" t="n">
        <v>138.65982727131</v>
      </c>
      <c r="BJ493" s="51" t="n">
        <v>6.32943694424392</v>
      </c>
      <c r="BK493" s="51" t="n">
        <v>14.2605665141568</v>
      </c>
      <c r="BL493" s="51" t="n">
        <v>9.00755735360062</v>
      </c>
      <c r="BM493" s="51" t="n">
        <v>6.41322221771409</v>
      </c>
      <c r="BN493" s="52" t="n">
        <f aca="false">(BG493*0.5-BH493*0.25+BI493*0.5)/SUM(BG493:BI493)*1000</f>
        <v>311.55807812317</v>
      </c>
      <c r="BO493" s="93" t="n">
        <v>2.62285714285714</v>
      </c>
      <c r="BP493" s="94" t="s">
        <v>491</v>
      </c>
      <c r="BQ493" s="55" t="n">
        <v>420.758333333333</v>
      </c>
      <c r="BR493" s="56" t="n">
        <v>16.8158719440342</v>
      </c>
      <c r="BS493" s="56"/>
      <c r="BT493" s="56" t="n">
        <v>9.66187472287472</v>
      </c>
      <c r="BU493" s="55" t="n">
        <v>12597.4796296296</v>
      </c>
      <c r="BV493" s="55" t="n">
        <v>503.466212044358</v>
      </c>
      <c r="BW493" s="55"/>
      <c r="BX493" s="55" t="n">
        <v>289.275958104488</v>
      </c>
      <c r="BY493" s="96" t="n">
        <v>0.0515</v>
      </c>
      <c r="BZ493" s="96" t="n">
        <v>1.0054</v>
      </c>
      <c r="CA493" s="97" t="n">
        <v>4.1514</v>
      </c>
      <c r="CB493" s="97"/>
      <c r="CC493" s="97" t="n">
        <v>5.4162</v>
      </c>
      <c r="CD493" s="97" t="n">
        <v>4.949</v>
      </c>
      <c r="CE493" s="97" t="n">
        <v>94.94</v>
      </c>
      <c r="CF493" s="97" t="n">
        <v>39.4405</v>
      </c>
      <c r="CG493" s="97" t="n">
        <v>0.0955</v>
      </c>
      <c r="CH493" s="63" t="n">
        <v>124899.203616503</v>
      </c>
      <c r="CI493" s="63" t="n">
        <v>1225.30785301403</v>
      </c>
      <c r="CJ493" s="64" t="n">
        <v>395091.164831243</v>
      </c>
      <c r="CK493" s="65" t="n">
        <v>0.310132941985024</v>
      </c>
    </row>
    <row r="494" s="1" customFormat="true" ht="15" hidden="false" customHeight="false" outlineLevel="0" collapsed="false">
      <c r="A494" s="7" t="s">
        <v>488</v>
      </c>
      <c r="B494" s="66" t="n">
        <v>484</v>
      </c>
      <c r="C494" s="8" t="s">
        <v>576</v>
      </c>
      <c r="D494" s="67" t="n">
        <v>41730</v>
      </c>
      <c r="E494" s="4" t="s">
        <v>565</v>
      </c>
      <c r="F494" s="7" t="n">
        <v>172</v>
      </c>
      <c r="G494" s="68" t="n">
        <v>1</v>
      </c>
      <c r="H494" s="68" t="n">
        <v>170</v>
      </c>
      <c r="I494" s="7" t="n">
        <v>2</v>
      </c>
      <c r="J494" s="8" t="n">
        <v>715</v>
      </c>
      <c r="K494" s="32"/>
      <c r="L494" s="31" t="n">
        <v>929.354</v>
      </c>
      <c r="M494" s="31" t="n">
        <v>149.954095684994</v>
      </c>
      <c r="N494" s="31" t="n">
        <v>301.132306436805</v>
      </c>
      <c r="O494" s="95"/>
      <c r="P494" s="33" t="n">
        <v>42.9460369274712</v>
      </c>
      <c r="Q494" s="33" t="n">
        <v>8.7</v>
      </c>
      <c r="R494" s="31" t="n">
        <v>253.085790064266</v>
      </c>
      <c r="S494" s="34" t="s">
        <v>76</v>
      </c>
      <c r="T494" s="35"/>
      <c r="U494" s="35"/>
      <c r="V494" s="35" t="n">
        <v>21.8213497018785</v>
      </c>
      <c r="W494" s="35" t="n">
        <v>20.2797586308396</v>
      </c>
      <c r="X494" s="35" t="n">
        <v>3.27220076117121</v>
      </c>
      <c r="Y494" s="35" t="n">
        <v>6.57111336529075</v>
      </c>
      <c r="Z494" s="35"/>
      <c r="AA494" s="35" t="n">
        <v>0.937140490104135</v>
      </c>
      <c r="AB494" s="35" t="n">
        <v>0.189845742406343</v>
      </c>
      <c r="AC494" s="71" t="n">
        <v>5.52267352956855</v>
      </c>
      <c r="AD494" s="72"/>
      <c r="AE494" s="72"/>
      <c r="AF494" s="72"/>
      <c r="AG494" s="72"/>
      <c r="AH494" s="72"/>
      <c r="AI494" s="73" t="n">
        <v>30.1926462232798</v>
      </c>
      <c r="AJ494" s="42" t="s">
        <v>16</v>
      </c>
      <c r="AK494" s="43" t="n">
        <v>711.850364633097</v>
      </c>
      <c r="AL494" s="74"/>
      <c r="AM494" s="74"/>
      <c r="AN494" s="74"/>
      <c r="AO494" s="78" t="n">
        <v>34.86</v>
      </c>
      <c r="AP494" s="76" t="n">
        <v>1.51022022418106</v>
      </c>
      <c r="AQ494" s="76" t="n">
        <v>1.16284693877551</v>
      </c>
      <c r="AR494" s="76" t="n">
        <v>1.7015</v>
      </c>
      <c r="AS494" s="77" t="n">
        <v>36.5973033627159</v>
      </c>
      <c r="AT494" s="78" t="n">
        <v>36.5753957020707</v>
      </c>
      <c r="AU494" s="78" t="n">
        <v>43.3224390183895</v>
      </c>
      <c r="AV494" s="78" t="n">
        <v>33.357628765792</v>
      </c>
      <c r="AW494" s="78" t="n">
        <v>48.8095238095238</v>
      </c>
      <c r="AX494" s="78" t="n">
        <v>45.16</v>
      </c>
      <c r="AY494" s="48" t="n">
        <v>1.67612893802449</v>
      </c>
      <c r="AZ494" s="48" t="n">
        <v>26.8728104253951</v>
      </c>
      <c r="BA494" s="48" t="n">
        <v>-5.05146072351663</v>
      </c>
      <c r="BB494" s="49" t="n">
        <f aca="false">AT494/V494</f>
        <v>1.67612893802449</v>
      </c>
      <c r="BC494" s="49" t="n">
        <f aca="false">AS494/V494</f>
        <v>1.67713289336844</v>
      </c>
      <c r="BD494" s="49" t="n">
        <f aca="false">SUM(AP494:AR494)/V494</f>
        <v>0.200471887519404</v>
      </c>
      <c r="BE494" s="53" t="n">
        <v>6.42</v>
      </c>
      <c r="BF494" s="51" t="n">
        <v>131.292910596682</v>
      </c>
      <c r="BG494" s="51" t="n">
        <v>614.058540657047</v>
      </c>
      <c r="BH494" s="51" t="n">
        <v>203.369896962811</v>
      </c>
      <c r="BI494" s="51" t="n">
        <v>141.745797531966</v>
      </c>
      <c r="BJ494" s="51" t="n">
        <v>8.02283398500443</v>
      </c>
      <c r="BK494" s="51" t="n">
        <v>14.8160200127598</v>
      </c>
      <c r="BL494" s="51" t="n">
        <v>12.5698768949062</v>
      </c>
      <c r="BM494" s="51" t="n">
        <v>5.41703395550503</v>
      </c>
      <c r="BN494" s="52" t="n">
        <f aca="false">(BG494*0.5-BH494*0.25+BI494*0.5)/SUM(BG494:BI494)*1000</f>
        <v>340.980483907634</v>
      </c>
      <c r="BO494" s="93" t="n">
        <v>5.712</v>
      </c>
      <c r="BP494" s="94" t="s">
        <v>491</v>
      </c>
      <c r="BQ494" s="55" t="n">
        <v>442.355882352941</v>
      </c>
      <c r="BR494" s="56" t="n">
        <v>20.2717012648792</v>
      </c>
      <c r="BS494" s="56"/>
      <c r="BT494" s="56" t="n">
        <v>12.0943567078865</v>
      </c>
      <c r="BU494" s="55" t="n">
        <v>13301.0343137255</v>
      </c>
      <c r="BV494" s="55" t="n">
        <v>609.542237095467</v>
      </c>
      <c r="BW494" s="55"/>
      <c r="BX494" s="55" t="n">
        <v>363.660708473824</v>
      </c>
      <c r="BY494" s="96" t="n">
        <v>0.09682</v>
      </c>
      <c r="BZ494" s="96" t="n">
        <v>0.6699</v>
      </c>
      <c r="CA494" s="97" t="n">
        <v>4.6614</v>
      </c>
      <c r="CB494" s="97"/>
      <c r="CC494" s="97" t="n">
        <v>4.9674</v>
      </c>
      <c r="CD494" s="97" t="n">
        <v>4.1915</v>
      </c>
      <c r="CE494" s="97" t="n">
        <v>88.88</v>
      </c>
      <c r="CF494" s="97" t="n">
        <v>31.5952</v>
      </c>
      <c r="CG494" s="97" t="n">
        <v>0.3048</v>
      </c>
      <c r="CH494" s="63" t="n">
        <v>112317.815978003</v>
      </c>
      <c r="CI494" s="63" t="n">
        <v>1447.39679190549</v>
      </c>
      <c r="CJ494" s="64" t="n">
        <v>306290.509273006</v>
      </c>
      <c r="CK494" s="65" t="n">
        <v>0.472556853080739</v>
      </c>
    </row>
    <row r="495" s="1" customFormat="true" ht="15" hidden="false" customHeight="false" outlineLevel="0" collapsed="false">
      <c r="A495" s="7" t="s">
        <v>488</v>
      </c>
      <c r="B495" s="66" t="n">
        <v>485</v>
      </c>
      <c r="C495" s="8" t="s">
        <v>577</v>
      </c>
      <c r="D495" s="67" t="n">
        <v>41730</v>
      </c>
      <c r="E495" s="4" t="s">
        <v>565</v>
      </c>
      <c r="F495" s="7" t="n">
        <v>173</v>
      </c>
      <c r="G495" s="68" t="n">
        <v>1</v>
      </c>
      <c r="H495" s="68" t="n">
        <v>182</v>
      </c>
      <c r="I495" s="7" t="n">
        <v>1</v>
      </c>
      <c r="J495" s="8" t="n">
        <v>771</v>
      </c>
      <c r="K495" s="32"/>
      <c r="L495" s="31" t="n">
        <v>929.354</v>
      </c>
      <c r="M495" s="31" t="n">
        <v>149.954095684994</v>
      </c>
      <c r="N495" s="31" t="n">
        <v>301.132306436805</v>
      </c>
      <c r="O495" s="95"/>
      <c r="P495" s="33" t="n">
        <v>42.9460369274712</v>
      </c>
      <c r="Q495" s="33" t="n">
        <v>8.7</v>
      </c>
      <c r="R495" s="31" t="n">
        <v>253.085790064266</v>
      </c>
      <c r="S495" s="34" t="s">
        <v>76</v>
      </c>
      <c r="T495" s="35"/>
      <c r="U495" s="35"/>
      <c r="V495" s="35" t="n">
        <v>20.2383135788779</v>
      </c>
      <c r="W495" s="35" t="n">
        <v>18.8085576777845</v>
      </c>
      <c r="X495" s="35" t="n">
        <v>3.03481801090998</v>
      </c>
      <c r="Y495" s="35" t="n">
        <v>6.09441004639881</v>
      </c>
      <c r="Z495" s="35"/>
      <c r="AA495" s="35" t="n">
        <v>0.869155362308231</v>
      </c>
      <c r="AB495" s="35" t="n">
        <v>0.176073328136238</v>
      </c>
      <c r="AC495" s="71" t="n">
        <v>5.12202958167867</v>
      </c>
      <c r="AD495" s="72"/>
      <c r="AE495" s="72"/>
      <c r="AF495" s="72"/>
      <c r="AG495" s="72"/>
      <c r="AH495" s="72"/>
      <c r="AI495" s="73" t="n">
        <v>29.9985369279339</v>
      </c>
      <c r="AJ495" s="42" t="s">
        <v>16</v>
      </c>
      <c r="AK495" s="43" t="n">
        <v>709.985856280252</v>
      </c>
      <c r="AL495" s="74"/>
      <c r="AM495" s="74"/>
      <c r="AN495" s="74"/>
      <c r="AO495" s="78" t="n">
        <v>32.64</v>
      </c>
      <c r="AP495" s="76" t="n">
        <v>1.25876761365176</v>
      </c>
      <c r="AQ495" s="76" t="n">
        <v>1.16730029154519</v>
      </c>
      <c r="AR495" s="76" t="n">
        <v>1.62803498542274</v>
      </c>
      <c r="AS495" s="77" t="n">
        <v>31.9375142047764</v>
      </c>
      <c r="AT495" s="78" t="n">
        <v>33.1410233494102</v>
      </c>
      <c r="AU495" s="78" t="n">
        <v>38.5651842417819</v>
      </c>
      <c r="AV495" s="78" t="n">
        <v>35.7628765792031</v>
      </c>
      <c r="AW495" s="78" t="n">
        <v>49.8785228377065</v>
      </c>
      <c r="AX495" s="78" t="n">
        <v>42.7716666666667</v>
      </c>
      <c r="AY495" s="48" t="n">
        <v>1.63753878109679</v>
      </c>
      <c r="AZ495" s="48" t="n">
        <v>25.9566743023317</v>
      </c>
      <c r="BA495" s="48" t="n">
        <v>-5.71836072345385</v>
      </c>
      <c r="BB495" s="49" t="n">
        <f aca="false">AT495/V495</f>
        <v>1.63753878109679</v>
      </c>
      <c r="BC495" s="49" t="n">
        <f aca="false">AS495/V495</f>
        <v>1.57807191198523</v>
      </c>
      <c r="BD495" s="49" t="n">
        <f aca="false">SUM(AP495:AR495)/V495</f>
        <v>0.200318216970945</v>
      </c>
      <c r="BE495" s="53" t="n">
        <v>6.34</v>
      </c>
      <c r="BF495" s="51" t="n">
        <v>134.197791583179</v>
      </c>
      <c r="BG495" s="51" t="n">
        <v>605.908007879874</v>
      </c>
      <c r="BH495" s="51" t="n">
        <v>215.49312245356</v>
      </c>
      <c r="BI495" s="51" t="n">
        <v>128.207099559037</v>
      </c>
      <c r="BJ495" s="51" t="n">
        <v>8.43932370980605</v>
      </c>
      <c r="BK495" s="51" t="n">
        <v>15.8271098042556</v>
      </c>
      <c r="BL495" s="51" t="n">
        <v>18.4737772877584</v>
      </c>
      <c r="BM495" s="51" t="n">
        <v>7.65155930571002</v>
      </c>
      <c r="BN495" s="52" t="n">
        <f aca="false">(BG495*0.5-BH495*0.25+BI495*0.5)/SUM(BG495:BI495)*1000</f>
        <v>329.80366349766</v>
      </c>
      <c r="BO495" s="93" t="n">
        <v>4.02171428571429</v>
      </c>
      <c r="BP495" s="94" t="s">
        <v>491</v>
      </c>
      <c r="BQ495" s="55" t="n">
        <v>455.805555555556</v>
      </c>
      <c r="BR495" s="56" t="n">
        <v>22.5219138827489</v>
      </c>
      <c r="BS495" s="56"/>
      <c r="BT495" s="56" t="n">
        <v>13.7535148130441</v>
      </c>
      <c r="BU495" s="55" t="n">
        <v>12706.1607142857</v>
      </c>
      <c r="BV495" s="55" t="n">
        <v>627.827050152378</v>
      </c>
      <c r="BW495" s="55"/>
      <c r="BX495" s="55" t="n">
        <v>383.396752125695</v>
      </c>
      <c r="BY495" s="96" t="n">
        <v>0.09373</v>
      </c>
      <c r="BZ495" s="96" t="n">
        <v>0.9493</v>
      </c>
      <c r="CA495" s="97" t="n">
        <v>4.0698</v>
      </c>
      <c r="CB495" s="97"/>
      <c r="CC495" s="97" t="n">
        <v>5.8038</v>
      </c>
      <c r="CD495" s="97" t="n">
        <v>4.6864</v>
      </c>
      <c r="CE495" s="97" t="n">
        <v>98.98</v>
      </c>
      <c r="CF495" s="97" t="n">
        <v>37.8952</v>
      </c>
      <c r="CG495" s="97" t="n">
        <v>0.0955</v>
      </c>
      <c r="CH495" s="63" t="n">
        <v>102594.338600606</v>
      </c>
      <c r="CI495" s="63" t="n">
        <v>1088.27215206471</v>
      </c>
      <c r="CJ495" s="64" t="n">
        <v>223821.544094886</v>
      </c>
      <c r="CK495" s="65" t="n">
        <v>0.486223145526756</v>
      </c>
    </row>
    <row r="496" s="1" customFormat="true" ht="15" hidden="false" customHeight="false" outlineLevel="0" collapsed="false">
      <c r="A496" s="7" t="s">
        <v>488</v>
      </c>
      <c r="B496" s="66" t="n">
        <v>486</v>
      </c>
      <c r="C496" s="8" t="s">
        <v>578</v>
      </c>
      <c r="D496" s="67" t="n">
        <v>41730</v>
      </c>
      <c r="E496" s="4" t="s">
        <v>565</v>
      </c>
      <c r="F496" s="7" t="n">
        <v>176</v>
      </c>
      <c r="G496" s="68" t="n">
        <v>1</v>
      </c>
      <c r="H496" s="68" t="n">
        <v>139</v>
      </c>
      <c r="I496" s="7" t="n">
        <v>2</v>
      </c>
      <c r="J496" s="8" t="n">
        <v>625</v>
      </c>
      <c r="K496" s="32"/>
      <c r="L496" s="31" t="n">
        <v>929.354</v>
      </c>
      <c r="M496" s="31" t="n">
        <v>149.954095684994</v>
      </c>
      <c r="N496" s="31" t="n">
        <v>301.132306436805</v>
      </c>
      <c r="O496" s="95"/>
      <c r="P496" s="33" t="n">
        <v>42.9460369274712</v>
      </c>
      <c r="Q496" s="33" t="n">
        <v>8.7</v>
      </c>
      <c r="R496" s="31" t="n">
        <v>253.085790064266</v>
      </c>
      <c r="S496" s="34" t="s">
        <v>76</v>
      </c>
      <c r="T496" s="35"/>
      <c r="U496" s="35"/>
      <c r="V496" s="35" t="n">
        <v>20.9584375813166</v>
      </c>
      <c r="W496" s="35" t="n">
        <v>19.4778077999469</v>
      </c>
      <c r="X496" s="35" t="n">
        <v>3.14280355447673</v>
      </c>
      <c r="Y496" s="35" t="n">
        <v>6.31126264817367</v>
      </c>
      <c r="Z496" s="35"/>
      <c r="AA496" s="35" t="n">
        <v>0.900081834309321</v>
      </c>
      <c r="AB496" s="35" t="n">
        <v>0.182338406957454</v>
      </c>
      <c r="AC496" s="71" t="n">
        <v>5.30428273378011</v>
      </c>
      <c r="AD496" s="72"/>
      <c r="AE496" s="72"/>
      <c r="AF496" s="72"/>
      <c r="AG496" s="72"/>
      <c r="AH496" s="72"/>
      <c r="AI496" s="73" t="n">
        <v>26.8275843625136</v>
      </c>
      <c r="AJ496" s="42" t="s">
        <v>16</v>
      </c>
      <c r="AK496" s="43" t="n">
        <v>675.706918579051</v>
      </c>
      <c r="AL496" s="74"/>
      <c r="AM496" s="74"/>
      <c r="AN496" s="74"/>
      <c r="AO496" s="78" t="n">
        <v>37.524</v>
      </c>
      <c r="AP496" s="76" t="n">
        <v>1.41757514156147</v>
      </c>
      <c r="AQ496" s="76" t="n">
        <v>1.21433352769679</v>
      </c>
      <c r="AR496" s="76" t="n">
        <v>1.89716822157434</v>
      </c>
      <c r="AS496" s="77" t="n">
        <v>36.2732271234221</v>
      </c>
      <c r="AT496" s="78" t="n">
        <v>36.8904167123906</v>
      </c>
      <c r="AU496" s="78" t="n">
        <v>37.7778259663541</v>
      </c>
      <c r="AV496" s="78" t="n">
        <v>32.3615160349854</v>
      </c>
      <c r="AW496" s="78" t="n">
        <v>50.5587949465501</v>
      </c>
      <c r="AX496" s="78" t="n">
        <v>40.7366666666667</v>
      </c>
      <c r="AY496" s="48" t="n">
        <v>1.760170173433</v>
      </c>
      <c r="AZ496" s="48" t="n">
        <v>25.314172501988</v>
      </c>
      <c r="BA496" s="48" t="n">
        <v>-4.35573492067147</v>
      </c>
      <c r="BB496" s="49" t="n">
        <f aca="false">AT496/V496</f>
        <v>1.760170173433</v>
      </c>
      <c r="BC496" s="49" t="n">
        <f aca="false">AS496/V496</f>
        <v>1.73072191009877</v>
      </c>
      <c r="BD496" s="49" t="n">
        <f aca="false">SUM(AP496:AR496)/V496</f>
        <v>0.216098021298595</v>
      </c>
      <c r="BE496" s="53" t="n">
        <v>6.42</v>
      </c>
      <c r="BF496" s="51" t="n">
        <v>125.911954989482</v>
      </c>
      <c r="BG496" s="51" t="n">
        <v>567.737868489183</v>
      </c>
      <c r="BH496" s="51" t="n">
        <v>250.634400111533</v>
      </c>
      <c r="BI496" s="51" t="n">
        <v>137.112429065131</v>
      </c>
      <c r="BJ496" s="51" t="n">
        <v>7.19769915933131</v>
      </c>
      <c r="BK496" s="51" t="n">
        <v>17.355387675168</v>
      </c>
      <c r="BL496" s="51" t="n">
        <v>12.7164806517</v>
      </c>
      <c r="BM496" s="51" t="n">
        <v>7.24573484795406</v>
      </c>
      <c r="BN496" s="52" t="n">
        <f aca="false">(BG496*0.5-BH496*0.25+BI496*0.5)/SUM(BG496:BI496)*1000</f>
        <v>303.266550952772</v>
      </c>
      <c r="BO496" s="93" t="n">
        <v>4.51714285714286</v>
      </c>
      <c r="BP496" s="94" t="s">
        <v>491</v>
      </c>
      <c r="BQ496" s="55" t="n">
        <v>375.084803921569</v>
      </c>
      <c r="BR496" s="56" t="n">
        <v>17.8966014268134</v>
      </c>
      <c r="BS496" s="56"/>
      <c r="BT496" s="56" t="n">
        <v>10.167540444063</v>
      </c>
      <c r="BU496" s="55" t="n">
        <v>10467.6161764706</v>
      </c>
      <c r="BV496" s="55" t="n">
        <v>499.446398895782</v>
      </c>
      <c r="BW496" s="55"/>
      <c r="BX496" s="55" t="n">
        <v>283.74892748107</v>
      </c>
      <c r="BY496" s="96" t="n">
        <v>0.03296</v>
      </c>
      <c r="BZ496" s="96" t="n">
        <v>1.1704</v>
      </c>
      <c r="CA496" s="97" t="n">
        <v>3.7332</v>
      </c>
      <c r="CB496" s="97"/>
      <c r="CC496" s="97" t="n">
        <v>5.3244</v>
      </c>
      <c r="CD496" s="97" t="n">
        <v>4.5349</v>
      </c>
      <c r="CE496" s="97" t="n">
        <v>92.92</v>
      </c>
      <c r="CF496" s="97" t="n">
        <v>35.3197</v>
      </c>
      <c r="CG496" s="97" t="n">
        <v>0.0773</v>
      </c>
      <c r="CH496" s="63" t="n">
        <v>68830.7581510602</v>
      </c>
      <c r="CI496" s="63" t="n">
        <v>4550.61098239299</v>
      </c>
      <c r="CJ496" s="64" t="n">
        <v>801739.457381741</v>
      </c>
      <c r="CK496" s="65" t="n">
        <v>0.567592244649405</v>
      </c>
    </row>
    <row r="497" s="1" customFormat="true" ht="15" hidden="false" customHeight="false" outlineLevel="0" collapsed="false">
      <c r="A497" s="7" t="s">
        <v>488</v>
      </c>
      <c r="B497" s="66" t="n">
        <v>487</v>
      </c>
      <c r="C497" s="8" t="s">
        <v>579</v>
      </c>
      <c r="D497" s="67" t="n">
        <v>41730</v>
      </c>
      <c r="E497" s="4" t="s">
        <v>565</v>
      </c>
      <c r="F497" s="7" t="n">
        <v>186</v>
      </c>
      <c r="G497" s="68" t="n">
        <v>1</v>
      </c>
      <c r="H497" s="68" t="n">
        <v>189</v>
      </c>
      <c r="I497" s="7" t="n">
        <v>3</v>
      </c>
      <c r="J497" s="8" t="n">
        <v>792</v>
      </c>
      <c r="K497" s="32"/>
      <c r="L497" s="31" t="n">
        <v>929.354</v>
      </c>
      <c r="M497" s="31" t="n">
        <v>149.954095684994</v>
      </c>
      <c r="N497" s="31" t="n">
        <v>301.132306436805</v>
      </c>
      <c r="O497" s="95"/>
      <c r="P497" s="33" t="n">
        <v>42.9460369274712</v>
      </c>
      <c r="Q497" s="33" t="n">
        <v>8.7</v>
      </c>
      <c r="R497" s="31" t="n">
        <v>253.085790064266</v>
      </c>
      <c r="S497" s="34" t="s">
        <v>76</v>
      </c>
      <c r="T497" s="35"/>
      <c r="U497" s="35"/>
      <c r="V497" s="35" t="n">
        <v>21.3041610271448</v>
      </c>
      <c r="W497" s="35" t="n">
        <v>19.7991072672212</v>
      </c>
      <c r="X497" s="35" t="n">
        <v>3.19464620115301</v>
      </c>
      <c r="Y497" s="35" t="n">
        <v>6.41537114680522</v>
      </c>
      <c r="Z497" s="35"/>
      <c r="AA497" s="35" t="n">
        <v>0.914929286180555</v>
      </c>
      <c r="AB497" s="35" t="n">
        <v>0.18534620093616</v>
      </c>
      <c r="AC497" s="71" t="n">
        <v>5.3917804252113</v>
      </c>
      <c r="AD497" s="72"/>
      <c r="AE497" s="72"/>
      <c r="AF497" s="72"/>
      <c r="AG497" s="72"/>
      <c r="AH497" s="72"/>
      <c r="AI497" s="73" t="n">
        <v>32.8729942196589</v>
      </c>
      <c r="AJ497" s="42" t="s">
        <v>16</v>
      </c>
      <c r="AK497" s="43" t="n">
        <v>735.345069516145</v>
      </c>
      <c r="AL497" s="74"/>
      <c r="AM497" s="74"/>
      <c r="AN497" s="74"/>
      <c r="AO497" s="78" t="n">
        <v>32.106</v>
      </c>
      <c r="AP497" s="76" t="n">
        <v>1.29540870780197</v>
      </c>
      <c r="AQ497" s="76" t="n">
        <v>1.12324198250729</v>
      </c>
      <c r="AR497" s="76" t="n">
        <v>1.53197725947522</v>
      </c>
      <c r="AS497" s="77" t="n">
        <v>32.2735306170296</v>
      </c>
      <c r="AT497" s="78" t="n">
        <v>32.7388877570739</v>
      </c>
      <c r="AU497" s="78" t="n">
        <v>40.3478698000989</v>
      </c>
      <c r="AV497" s="78" t="n">
        <v>34.9854227405248</v>
      </c>
      <c r="AW497" s="78" t="n">
        <v>47.7162293488824</v>
      </c>
      <c r="AX497" s="78" t="n">
        <v>38.56</v>
      </c>
      <c r="AY497" s="48" t="n">
        <v>1.53673677716571</v>
      </c>
      <c r="AZ497" s="48" t="n">
        <v>26.3841567555756</v>
      </c>
      <c r="BA497" s="48" t="n">
        <v>-5.07999572843073</v>
      </c>
      <c r="BB497" s="49" t="n">
        <f aca="false">AT497/V497</f>
        <v>1.53673677716571</v>
      </c>
      <c r="BC497" s="49" t="n">
        <f aca="false">AS497/V497</f>
        <v>1.51489329131094</v>
      </c>
      <c r="BD497" s="49" t="n">
        <f aca="false">SUM(AP497:AR497)/V497</f>
        <v>0.18543926441181</v>
      </c>
      <c r="BE497" s="53" t="n">
        <v>6.26</v>
      </c>
      <c r="BF497" s="51" t="n">
        <v>133.43830567634</v>
      </c>
      <c r="BG497" s="51" t="n">
        <v>618.564039897988</v>
      </c>
      <c r="BH497" s="51" t="n">
        <v>211.653238528848</v>
      </c>
      <c r="BI497" s="51" t="n">
        <v>124.777546747567</v>
      </c>
      <c r="BJ497" s="51" t="n">
        <v>8.98472235854351</v>
      </c>
      <c r="BK497" s="51" t="n">
        <v>16.2487391166007</v>
      </c>
      <c r="BL497" s="51" t="n">
        <v>12.7284887287013</v>
      </c>
      <c r="BM497" s="51" t="n">
        <v>7.04322462175197</v>
      </c>
      <c r="BN497" s="52" t="n">
        <f aca="false">(BG497*0.5-BH497*0.25+BI497*0.5)/SUM(BG497:BI497)*1000</f>
        <v>333.779278471329</v>
      </c>
      <c r="BO497" s="93" t="n">
        <v>6.49885714285714</v>
      </c>
      <c r="BP497" s="94" t="s">
        <v>491</v>
      </c>
      <c r="BQ497" s="55" t="n">
        <v>420.416666666667</v>
      </c>
      <c r="BR497" s="56" t="n">
        <v>19.7340165675142</v>
      </c>
      <c r="BS497" s="56"/>
      <c r="BT497" s="56" t="n">
        <v>12.841507316504</v>
      </c>
      <c r="BU497" s="55" t="n">
        <v>11240.7401960784</v>
      </c>
      <c r="BV497" s="55" t="n">
        <v>527.63120696262</v>
      </c>
      <c r="BW497" s="55"/>
      <c r="BX497" s="55" t="n">
        <v>343.345207066469</v>
      </c>
      <c r="BY497" s="96" t="n">
        <v>0.04841</v>
      </c>
      <c r="BZ497" s="96" t="n">
        <v>1.298</v>
      </c>
      <c r="CA497" s="97" t="n">
        <v>3.6414</v>
      </c>
      <c r="CB497" s="97"/>
      <c r="CC497" s="97" t="n">
        <v>5.7528</v>
      </c>
      <c r="CD497" s="97" t="n">
        <v>7.1306</v>
      </c>
      <c r="CE497" s="97" t="n">
        <v>92.92</v>
      </c>
      <c r="CF497" s="97" t="n">
        <v>35.5924</v>
      </c>
      <c r="CG497" s="97" t="n">
        <v>0.0955</v>
      </c>
      <c r="CH497" s="63" t="n">
        <v>117699.446263267</v>
      </c>
      <c r="CI497" s="63" t="n">
        <v>975.623361536962</v>
      </c>
      <c r="CJ497" s="64" t="n">
        <v>201781.020895683</v>
      </c>
      <c r="CK497" s="65" t="n">
        <v>0.483506009240256</v>
      </c>
    </row>
    <row r="498" s="1" customFormat="true" ht="15" hidden="false" customHeight="false" outlineLevel="0" collapsed="false">
      <c r="A498" s="7" t="s">
        <v>488</v>
      </c>
      <c r="B498" s="66" t="n">
        <v>488</v>
      </c>
      <c r="C498" s="8" t="s">
        <v>580</v>
      </c>
      <c r="D498" s="67" t="n">
        <v>41730</v>
      </c>
      <c r="E498" s="4" t="s">
        <v>565</v>
      </c>
      <c r="F498" s="7" t="n">
        <v>198</v>
      </c>
      <c r="G498" s="68" t="n">
        <v>1</v>
      </c>
      <c r="H498" s="68" t="n">
        <v>181</v>
      </c>
      <c r="I498" s="7" t="n">
        <v>1</v>
      </c>
      <c r="J498" s="8" t="n">
        <v>666</v>
      </c>
      <c r="K498" s="32"/>
      <c r="L498" s="31" t="n">
        <v>929.354</v>
      </c>
      <c r="M498" s="31" t="n">
        <v>149.954095684994</v>
      </c>
      <c r="N498" s="31" t="n">
        <v>301.132306436805</v>
      </c>
      <c r="O498" s="95"/>
      <c r="P498" s="33" t="n">
        <v>42.9460369274712</v>
      </c>
      <c r="Q498" s="33" t="n">
        <v>8.7</v>
      </c>
      <c r="R498" s="31" t="n">
        <v>253.085790064266</v>
      </c>
      <c r="S498" s="34" t="s">
        <v>76</v>
      </c>
      <c r="T498" s="35"/>
      <c r="U498" s="35"/>
      <c r="V498" s="35" t="n">
        <v>19.5028060922663</v>
      </c>
      <c r="W498" s="35" t="n">
        <v>18.1250108530721</v>
      </c>
      <c r="X498" s="35" t="n">
        <v>2.92452565088559</v>
      </c>
      <c r="Y498" s="35" t="n">
        <v>5.87292498055392</v>
      </c>
      <c r="Z498" s="35"/>
      <c r="AA498" s="35" t="n">
        <v>0.837568230627779</v>
      </c>
      <c r="AB498" s="35" t="n">
        <v>0.169674413002717</v>
      </c>
      <c r="AC498" s="71" t="n">
        <v>4.9358830883314</v>
      </c>
      <c r="AD498" s="72"/>
      <c r="AE498" s="72"/>
      <c r="AF498" s="72"/>
      <c r="AG498" s="72"/>
      <c r="AH498" s="72"/>
      <c r="AI498" s="73" t="n">
        <v>28.4155658603237</v>
      </c>
      <c r="AJ498" s="42" t="s">
        <v>16</v>
      </c>
      <c r="AK498" s="43" t="n">
        <v>693.82978179056</v>
      </c>
      <c r="AL498" s="74"/>
      <c r="AM498" s="74"/>
      <c r="AN498" s="74"/>
      <c r="AO498" s="78" t="n">
        <v>36.162</v>
      </c>
      <c r="AP498" s="76" t="n">
        <v>1.30526428571429</v>
      </c>
      <c r="AQ498" s="76" t="n">
        <v>1.19485714285714</v>
      </c>
      <c r="AR498" s="76" t="n">
        <v>1.75275</v>
      </c>
      <c r="AS498" s="77" t="n">
        <v>34.0437642857143</v>
      </c>
      <c r="AT498" s="78" t="n">
        <v>34.6007017197452</v>
      </c>
      <c r="AU498" s="78" t="n">
        <v>36.0949141561386</v>
      </c>
      <c r="AV498" s="78" t="n">
        <v>33.041788143829</v>
      </c>
      <c r="AW498" s="78" t="n">
        <v>48.4693877551021</v>
      </c>
      <c r="AX498" s="78" t="n">
        <v>42.79</v>
      </c>
      <c r="AY498" s="48" t="n">
        <v>1.77413965744478</v>
      </c>
      <c r="AZ498" s="48" t="n">
        <v>25.2673583362743</v>
      </c>
      <c r="BA498" s="48" t="n">
        <v>-5.76455224400799</v>
      </c>
      <c r="BB498" s="49" t="n">
        <f aca="false">AT498/V498</f>
        <v>1.77413965744478</v>
      </c>
      <c r="BC498" s="49" t="n">
        <f aca="false">AS498/V498</f>
        <v>1.74558287277512</v>
      </c>
      <c r="BD498" s="49" t="n">
        <f aca="false">SUM(AP498:AR498)/V498</f>
        <v>0.218064590728709</v>
      </c>
      <c r="BE498" s="53" t="n">
        <v>6.67</v>
      </c>
      <c r="BF498" s="51" t="n">
        <v>110.96628648997</v>
      </c>
      <c r="BG498" s="51" t="n">
        <v>595.729246775161</v>
      </c>
      <c r="BH498" s="51" t="n">
        <v>216.639217125776</v>
      </c>
      <c r="BI498" s="51" t="n">
        <v>147.048500948297</v>
      </c>
      <c r="BJ498" s="51" t="n">
        <v>7.87524833189896</v>
      </c>
      <c r="BK498" s="51" t="n">
        <v>14.1870317505606</v>
      </c>
      <c r="BL498" s="51" t="n">
        <v>13.6056434703595</v>
      </c>
      <c r="BM498" s="51" t="n">
        <v>4.91511159794651</v>
      </c>
      <c r="BN498" s="52" t="n">
        <f aca="false">(BG498*0.5-BH498*0.25+BI498*0.5)/SUM(BG498:BI498)*1000</f>
        <v>330.647759215031</v>
      </c>
      <c r="BO498" s="93" t="n">
        <v>4.63371428571429</v>
      </c>
      <c r="BP498" s="94" t="s">
        <v>491</v>
      </c>
      <c r="BQ498" s="55" t="n">
        <v>402.641798941799</v>
      </c>
      <c r="BR498" s="56" t="n">
        <v>20.6453264744022</v>
      </c>
      <c r="BS498" s="56"/>
      <c r="BT498" s="56" t="n">
        <v>11.636810207003</v>
      </c>
      <c r="BU498" s="55" t="n">
        <v>12124.8678571429</v>
      </c>
      <c r="BV498" s="55" t="n">
        <v>621.698631457495</v>
      </c>
      <c r="BW498" s="55"/>
      <c r="BX498" s="55" t="n">
        <v>350.422599962003</v>
      </c>
      <c r="BY498" s="96" t="n">
        <v>0.07313</v>
      </c>
      <c r="BZ498" s="96" t="n">
        <v>1.4212</v>
      </c>
      <c r="CA498" s="97" t="n">
        <v>3.9168</v>
      </c>
      <c r="CB498" s="97"/>
      <c r="CC498" s="97" t="n">
        <v>5.865</v>
      </c>
      <c r="CD498" s="97" t="n">
        <v>4.9894</v>
      </c>
      <c r="CE498" s="97" t="n">
        <v>85.85</v>
      </c>
      <c r="CF498" s="97" t="n">
        <v>36.5638</v>
      </c>
      <c r="CG498" s="97" t="n">
        <v>0.1501</v>
      </c>
      <c r="CH498" s="63" t="n">
        <v>205292.727680566</v>
      </c>
      <c r="CI498" s="63" t="n">
        <v>876.948736066528</v>
      </c>
      <c r="CJ498" s="64" t="n">
        <v>87086.863198112</v>
      </c>
      <c r="CK498" s="65" t="n">
        <v>1.00698165470902</v>
      </c>
    </row>
    <row r="499" s="1" customFormat="true" ht="15" hidden="false" customHeight="false" outlineLevel="0" collapsed="false">
      <c r="A499" s="7" t="s">
        <v>488</v>
      </c>
      <c r="B499" s="66" t="n">
        <v>489</v>
      </c>
      <c r="C499" s="8" t="s">
        <v>581</v>
      </c>
      <c r="D499" s="67" t="n">
        <v>41730</v>
      </c>
      <c r="E499" s="4" t="s">
        <v>565</v>
      </c>
      <c r="F499" s="7" t="n">
        <v>200</v>
      </c>
      <c r="G499" s="68" t="n">
        <v>1</v>
      </c>
      <c r="H499" s="68" t="n">
        <v>159</v>
      </c>
      <c r="I499" s="7" t="n">
        <v>2</v>
      </c>
      <c r="J499" s="8" t="n">
        <v>745</v>
      </c>
      <c r="K499" s="32"/>
      <c r="L499" s="31" t="n">
        <v>929.354</v>
      </c>
      <c r="M499" s="31" t="n">
        <v>149.954095684994</v>
      </c>
      <c r="N499" s="31" t="n">
        <v>301.132306436805</v>
      </c>
      <c r="O499" s="95"/>
      <c r="P499" s="33" t="n">
        <v>42.9460369274712</v>
      </c>
      <c r="Q499" s="33" t="n">
        <v>8.7</v>
      </c>
      <c r="R499" s="31" t="n">
        <v>253.085790064266</v>
      </c>
      <c r="S499" s="34" t="s">
        <v>76</v>
      </c>
      <c r="T499" s="35"/>
      <c r="U499" s="35"/>
      <c r="V499" s="35" t="n">
        <v>22.689422033442</v>
      </c>
      <c r="W499" s="35" t="n">
        <v>21.0865051244675</v>
      </c>
      <c r="X499" s="35" t="n">
        <v>3.40237176263999</v>
      </c>
      <c r="Y499" s="35" t="n">
        <v>6.83251798864846</v>
      </c>
      <c r="Z499" s="35"/>
      <c r="AA499" s="35" t="n">
        <v>0.97442075651118</v>
      </c>
      <c r="AB499" s="35" t="n">
        <v>0.197397971690946</v>
      </c>
      <c r="AC499" s="71" t="n">
        <v>5.74237030143524</v>
      </c>
      <c r="AD499" s="72"/>
      <c r="AE499" s="72"/>
      <c r="AF499" s="72"/>
      <c r="AG499" s="72"/>
      <c r="AH499" s="72"/>
      <c r="AI499" s="73" t="n">
        <v>28.4877806304599</v>
      </c>
      <c r="AJ499" s="42" t="s">
        <v>16</v>
      </c>
      <c r="AK499" s="43" t="n">
        <v>694.6059044453</v>
      </c>
      <c r="AL499" s="74"/>
      <c r="AM499" s="74"/>
      <c r="AN499" s="74"/>
      <c r="AO499" s="78" t="n">
        <v>30.468</v>
      </c>
      <c r="AP499" s="76" t="n">
        <v>1.38227395761253</v>
      </c>
      <c r="AQ499" s="76" t="n">
        <v>1.07703935860058</v>
      </c>
      <c r="AR499" s="76" t="n">
        <v>1.53672419825073</v>
      </c>
      <c r="AS499" s="77" t="n">
        <v>32.921309364188</v>
      </c>
      <c r="AT499" s="78" t="n">
        <v>33.4565448706246</v>
      </c>
      <c r="AU499" s="78" t="n">
        <v>45.368056899453</v>
      </c>
      <c r="AV499" s="78" t="n">
        <v>35.3498542274052</v>
      </c>
      <c r="AW499" s="78" t="n">
        <v>50.4373177842566</v>
      </c>
      <c r="AX499" s="78" t="n">
        <v>41.4916666666667</v>
      </c>
      <c r="AY499" s="48" t="n">
        <v>1.47454372444185</v>
      </c>
      <c r="AZ499" s="48" t="n">
        <v>25.8859825441263</v>
      </c>
      <c r="BA499" s="48" t="n">
        <v>-3.19656051068429</v>
      </c>
      <c r="BB499" s="49" t="n">
        <f aca="false">AT499/V499</f>
        <v>1.47454372444185</v>
      </c>
      <c r="BC499" s="49" t="n">
        <f aca="false">AS499/V499</f>
        <v>1.4509540752367</v>
      </c>
      <c r="BD499" s="49" t="n">
        <f aca="false">SUM(AP499:AR499)/V499</f>
        <v>0.176118964536605</v>
      </c>
      <c r="BE499" s="53" t="n">
        <v>6.4</v>
      </c>
      <c r="BF499" s="51" t="n">
        <v>123.411556744478</v>
      </c>
      <c r="BG499" s="51" t="n">
        <v>580.728833810442</v>
      </c>
      <c r="BH499" s="51" t="n">
        <v>263.633973554304</v>
      </c>
      <c r="BI499" s="51" t="n">
        <v>116.622119906811</v>
      </c>
      <c r="BJ499" s="51" t="n">
        <v>7.39551299983108</v>
      </c>
      <c r="BK499" s="51" t="n">
        <v>15.3407613786734</v>
      </c>
      <c r="BL499" s="51" t="n">
        <v>11.1157868916691</v>
      </c>
      <c r="BM499" s="51" t="n">
        <v>5.16301145826938</v>
      </c>
      <c r="BN499" s="52" t="n">
        <f aca="false">(BG499*0.5-BH499*0.25+BI499*0.5)/SUM(BG499:BI499)*1000</f>
        <v>294.24705366908</v>
      </c>
      <c r="BO499" s="93" t="n">
        <v>3.23485714285714</v>
      </c>
      <c r="BP499" s="94" t="s">
        <v>491</v>
      </c>
      <c r="BQ499" s="55" t="n">
        <v>427.806481481481</v>
      </c>
      <c r="BR499" s="56" t="n">
        <v>18.8548866890896</v>
      </c>
      <c r="BS499" s="56"/>
      <c r="BT499" s="56" t="n">
        <v>12.7869295271163</v>
      </c>
      <c r="BU499" s="55" t="n">
        <v>12595.6888888889</v>
      </c>
      <c r="BV499" s="55" t="n">
        <v>555.134849637159</v>
      </c>
      <c r="BW499" s="55"/>
      <c r="BX499" s="55" t="n">
        <v>376.479069718526</v>
      </c>
      <c r="BY499" s="96" t="n">
        <v>0.06592</v>
      </c>
      <c r="BZ499" s="96" t="n">
        <v>0.9383</v>
      </c>
      <c r="CA499" s="97" t="n">
        <v>3.9066</v>
      </c>
      <c r="CB499" s="97"/>
      <c r="CC499" s="97" t="n">
        <v>6.1914</v>
      </c>
      <c r="CD499" s="97" t="n">
        <v>5.5853</v>
      </c>
      <c r="CE499" s="97" t="n">
        <v>86.86</v>
      </c>
      <c r="CF499" s="97" t="n">
        <v>36.9558</v>
      </c>
      <c r="CG499" s="97" t="n">
        <v>0.4868</v>
      </c>
      <c r="CH499" s="63" t="n">
        <v>65999.911629849</v>
      </c>
      <c r="CI499" s="63" t="n">
        <v>1595.47996019929</v>
      </c>
      <c r="CJ499" s="64" t="n">
        <v>176662.11503628</v>
      </c>
      <c r="CK499" s="65" t="n">
        <v>0.90312513233051</v>
      </c>
    </row>
    <row r="500" s="1" customFormat="true" ht="15" hidden="false" customHeight="false" outlineLevel="0" collapsed="false">
      <c r="A500" s="7" t="s">
        <v>488</v>
      </c>
      <c r="B500" s="66" t="n">
        <v>490</v>
      </c>
      <c r="C500" s="8" t="s">
        <v>582</v>
      </c>
      <c r="D500" s="67" t="n">
        <v>42122</v>
      </c>
      <c r="E500" s="4" t="s">
        <v>583</v>
      </c>
      <c r="F500" s="7" t="n">
        <v>1847</v>
      </c>
      <c r="G500" s="68" t="n">
        <v>1</v>
      </c>
      <c r="H500" s="68" t="n">
        <v>151</v>
      </c>
      <c r="I500" s="7" t="n">
        <v>2</v>
      </c>
      <c r="J500" s="8" t="n">
        <v>740</v>
      </c>
      <c r="K500" s="32"/>
      <c r="L500" s="31" t="n">
        <v>929.382</v>
      </c>
      <c r="M500" s="31" t="n">
        <v>156.38069978578</v>
      </c>
      <c r="N500" s="31" t="n">
        <v>352.035091298582</v>
      </c>
      <c r="O500" s="95"/>
      <c r="P500" s="33" t="n">
        <v>40.3957972049373</v>
      </c>
      <c r="Q500" s="33" t="n">
        <v>7.5</v>
      </c>
      <c r="R500" s="31" t="n">
        <v>260.94052840967</v>
      </c>
      <c r="S500" s="34" t="s">
        <v>76</v>
      </c>
      <c r="T500" s="35"/>
      <c r="U500" s="35"/>
      <c r="V500" s="35" t="n">
        <v>24.1853104781835</v>
      </c>
      <c r="W500" s="35" t="n">
        <v>22.4773922228351</v>
      </c>
      <c r="X500" s="35" t="n">
        <v>3.78211577711469</v>
      </c>
      <c r="Y500" s="35" t="n">
        <v>8.51407798227189</v>
      </c>
      <c r="Z500" s="35"/>
      <c r="AA500" s="35" t="n">
        <v>0.976984897415145</v>
      </c>
      <c r="AB500" s="35" t="n">
        <v>0.181389828586376</v>
      </c>
      <c r="AC500" s="71" t="n">
        <v>6.31092769592915</v>
      </c>
      <c r="AD500" s="72"/>
      <c r="AE500" s="72"/>
      <c r="AF500" s="72"/>
      <c r="AG500" s="72"/>
      <c r="AH500" s="72"/>
      <c r="AI500" s="73" t="n">
        <v>24.8904889519395</v>
      </c>
      <c r="AJ500" s="42" t="s">
        <v>16</v>
      </c>
      <c r="AK500" s="43" t="n">
        <v>698.680085614968</v>
      </c>
      <c r="AL500" s="74"/>
      <c r="AM500" s="74"/>
      <c r="AN500" s="74"/>
      <c r="AO500" s="78" t="n">
        <v>54.1571428571429</v>
      </c>
      <c r="AP500" s="76" t="n">
        <v>1.32693603209075</v>
      </c>
      <c r="AQ500" s="76" t="n">
        <v>1.5881358461752</v>
      </c>
      <c r="AR500" s="76" t="n">
        <v>2.79996112730807</v>
      </c>
      <c r="AS500" s="77" t="n">
        <v>41.5668976242184</v>
      </c>
      <c r="AT500" s="78" t="n">
        <v>43.5308749711255</v>
      </c>
      <c r="AU500" s="78" t="n">
        <v>24.5015885640603</v>
      </c>
      <c r="AV500" s="78" t="n">
        <v>29.3245869776482</v>
      </c>
      <c r="AW500" s="78" t="n">
        <v>51.7006802721089</v>
      </c>
      <c r="AX500" s="78" t="n">
        <v>26.865</v>
      </c>
      <c r="AY500" s="48" t="n">
        <v>1.79988902811038</v>
      </c>
      <c r="AZ500" s="48" t="n">
        <v>28.9675528844388</v>
      </c>
      <c r="BA500" s="48" t="n">
        <v>-4.78224240625525</v>
      </c>
      <c r="BB500" s="49" t="n">
        <f aca="false">AT500/V500</f>
        <v>1.79988902811038</v>
      </c>
      <c r="BC500" s="49" t="n">
        <f aca="false">AS500/V500</f>
        <v>1.71868364732031</v>
      </c>
      <c r="BD500" s="49" t="n">
        <f aca="false">SUM(AP500:AR500)/V500</f>
        <v>0.236301825057375</v>
      </c>
      <c r="BE500" s="53" t="n">
        <v>6.45</v>
      </c>
      <c r="BF500" s="51" t="n">
        <v>113.125601049691</v>
      </c>
      <c r="BG500" s="51" t="n">
        <v>570.427466873067</v>
      </c>
      <c r="BH500" s="51" t="n">
        <v>292.885448056638</v>
      </c>
      <c r="BI500" s="51" t="n">
        <v>98.2223783623177</v>
      </c>
      <c r="BJ500" s="51" t="n">
        <v>7.59170383331961</v>
      </c>
      <c r="BK500" s="51" t="n">
        <v>14.9689588864792</v>
      </c>
      <c r="BL500" s="51" t="n">
        <v>12.6399623443602</v>
      </c>
      <c r="BM500" s="51" t="n">
        <v>3.2640816438188</v>
      </c>
      <c r="BN500" s="52" t="n">
        <f aca="false">(BG500*0.5-BH500*0.25+BI500*0.5)/SUM(BG500:BI500)*1000</f>
        <v>271.548597773867</v>
      </c>
      <c r="BO500" s="93" t="n">
        <v>3.46217142857143</v>
      </c>
      <c r="BP500" s="94" t="s">
        <v>491</v>
      </c>
      <c r="BQ500" s="55" t="n">
        <v>475.867904761905</v>
      </c>
      <c r="BR500" s="56" t="n">
        <v>19.6759063809069</v>
      </c>
      <c r="BS500" s="56"/>
      <c r="BT500" s="56" t="n">
        <v>10.9317330533226</v>
      </c>
      <c r="BU500" s="55" t="n">
        <v>13330.9605714286</v>
      </c>
      <c r="BV500" s="55" t="n">
        <v>551.200720927434</v>
      </c>
      <c r="BW500" s="55"/>
      <c r="BX500" s="55" t="n">
        <v>306.241502847603</v>
      </c>
      <c r="BY500" s="96" t="n">
        <v>0.06283</v>
      </c>
      <c r="BZ500" s="96" t="n">
        <v>0.9251</v>
      </c>
      <c r="CA500" s="97" t="n">
        <v>3.84</v>
      </c>
      <c r="CB500" s="97"/>
      <c r="CC500" s="97" t="n">
        <v>7.3557</v>
      </c>
      <c r="CD500" s="97" t="n">
        <v>5.17</v>
      </c>
      <c r="CE500" s="97" t="n">
        <v>80</v>
      </c>
      <c r="CF500" s="97" t="n">
        <v>35.9865</v>
      </c>
      <c r="CG500" s="97" t="n">
        <v>0.1446</v>
      </c>
      <c r="CH500" s="63" t="n">
        <v>24963.1954739847</v>
      </c>
      <c r="CI500" s="63" t="n">
        <v>5869.59055128949</v>
      </c>
      <c r="CJ500" s="64" t="n">
        <v>880002.568688133</v>
      </c>
      <c r="CK500" s="65" t="n">
        <v>0.666996979342868</v>
      </c>
    </row>
    <row r="501" s="1" customFormat="true" ht="15" hidden="false" customHeight="false" outlineLevel="0" collapsed="false">
      <c r="A501" s="7" t="s">
        <v>488</v>
      </c>
      <c r="B501" s="66" t="n">
        <v>491</v>
      </c>
      <c r="C501" s="8" t="s">
        <v>584</v>
      </c>
      <c r="D501" s="67" t="n">
        <v>42122</v>
      </c>
      <c r="E501" s="4" t="s">
        <v>583</v>
      </c>
      <c r="F501" s="7" t="n">
        <v>1850</v>
      </c>
      <c r="G501" s="68" t="n">
        <v>1</v>
      </c>
      <c r="H501" s="68" t="n">
        <v>129</v>
      </c>
      <c r="I501" s="7" t="n">
        <v>2</v>
      </c>
      <c r="J501" s="8" t="n">
        <v>740</v>
      </c>
      <c r="K501" s="32"/>
      <c r="L501" s="31" t="n">
        <v>929.382</v>
      </c>
      <c r="M501" s="31" t="n">
        <v>156.38069978578</v>
      </c>
      <c r="N501" s="31" t="n">
        <v>352.035091298582</v>
      </c>
      <c r="O501" s="95"/>
      <c r="P501" s="33" t="n">
        <v>40.3957972049373</v>
      </c>
      <c r="Q501" s="33" t="n">
        <v>7.5</v>
      </c>
      <c r="R501" s="31" t="n">
        <v>260.94052840967</v>
      </c>
      <c r="S501" s="34" t="s">
        <v>76</v>
      </c>
      <c r="T501" s="35"/>
      <c r="U501" s="35"/>
      <c r="V501" s="35" t="n">
        <v>19.2884025311902</v>
      </c>
      <c r="W501" s="35" t="n">
        <v>17.9262941212426</v>
      </c>
      <c r="X501" s="35" t="n">
        <v>3.01633388557733</v>
      </c>
      <c r="Y501" s="35" t="n">
        <v>6.79019454607134</v>
      </c>
      <c r="Z501" s="35"/>
      <c r="AA501" s="35" t="n">
        <v>0.779170397057158</v>
      </c>
      <c r="AB501" s="35" t="n">
        <v>0.144663018983926</v>
      </c>
      <c r="AC501" s="71" t="n">
        <v>5.0331259486672</v>
      </c>
      <c r="AD501" s="72"/>
      <c r="AE501" s="72"/>
      <c r="AF501" s="72"/>
      <c r="AG501" s="72"/>
      <c r="AH501" s="72"/>
      <c r="AI501" s="73" t="n">
        <v>24.7978501262218</v>
      </c>
      <c r="AJ501" s="42" t="s">
        <v>16</v>
      </c>
      <c r="AK501" s="43" t="n">
        <v>697.554426620664</v>
      </c>
      <c r="AL501" s="74"/>
      <c r="AM501" s="74"/>
      <c r="AN501" s="74"/>
      <c r="AO501" s="78" t="n">
        <v>42.7571428571429</v>
      </c>
      <c r="AP501" s="76" t="n">
        <v>1.18008052200472</v>
      </c>
      <c r="AQ501" s="76" t="n">
        <v>1.18977601925124</v>
      </c>
      <c r="AR501" s="76" t="n">
        <v>1.83106390855662</v>
      </c>
      <c r="AS501" s="77" t="n">
        <v>34.8040649729279</v>
      </c>
      <c r="AT501" s="78" t="n">
        <v>33.4906157845</v>
      </c>
      <c r="AU501" s="78" t="n">
        <v>27.5996112730807</v>
      </c>
      <c r="AV501" s="78" t="n">
        <v>27.8263686426952</v>
      </c>
      <c r="AW501" s="78" t="n">
        <v>42.8247489471979</v>
      </c>
      <c r="AX501" s="78" t="n">
        <v>23.08</v>
      </c>
      <c r="AY501" s="48" t="n">
        <v>1.73630842317523</v>
      </c>
      <c r="AZ501" s="48" t="n">
        <v>26.2978902098507</v>
      </c>
      <c r="BA501" s="48" t="n">
        <v>-7.00948767866052</v>
      </c>
      <c r="BB501" s="49" t="n">
        <f aca="false">AT501/V501</f>
        <v>1.73630842317523</v>
      </c>
      <c r="BC501" s="49" t="n">
        <f aca="false">AS501/V501</f>
        <v>1.80440370407286</v>
      </c>
      <c r="BD501" s="49" t="n">
        <f aca="false">SUM(AP501:AR501)/V501</f>
        <v>0.217795146229425</v>
      </c>
      <c r="BE501" s="53" t="n">
        <v>6.5</v>
      </c>
      <c r="BF501" s="51" t="n">
        <v>116.116061750093</v>
      </c>
      <c r="BG501" s="51" t="n">
        <v>563.854952121761</v>
      </c>
      <c r="BH501" s="51" t="n">
        <v>288.647603913779</v>
      </c>
      <c r="BI501" s="51" t="n">
        <v>110.873380031933</v>
      </c>
      <c r="BJ501" s="51" t="n">
        <v>7.37747237734273</v>
      </c>
      <c r="BK501" s="51" t="n">
        <v>14.0612629945159</v>
      </c>
      <c r="BL501" s="51" t="n">
        <v>12.036596999389</v>
      </c>
      <c r="BM501" s="51" t="n">
        <v>3.14873156128015</v>
      </c>
      <c r="BN501" s="52" t="n">
        <f aca="false">(BG501*0.5-BH501*0.25+BI501*0.5)/SUM(BG501:BI501)*1000</f>
        <v>275.284294707386</v>
      </c>
      <c r="BO501" s="93" t="n">
        <v>3.72183428571429</v>
      </c>
      <c r="BP501" s="94" t="s">
        <v>491</v>
      </c>
      <c r="BQ501" s="55" t="n">
        <v>512.394688644689</v>
      </c>
      <c r="BR501" s="56" t="n">
        <v>26.5649105889471</v>
      </c>
      <c r="BS501" s="56"/>
      <c r="BT501" s="56" t="n">
        <v>15.2996496672908</v>
      </c>
      <c r="BU501" s="55" t="n">
        <v>13299.7646520147</v>
      </c>
      <c r="BV501" s="55" t="n">
        <v>689.521313675839</v>
      </c>
      <c r="BW501" s="55"/>
      <c r="BX501" s="55" t="n">
        <v>397.119143392102</v>
      </c>
      <c r="BY501" s="96" t="n">
        <v>0.08343</v>
      </c>
      <c r="BZ501" s="96" t="n">
        <v>0.6314</v>
      </c>
      <c r="CA501" s="97" t="n">
        <v>4.11</v>
      </c>
      <c r="CB501" s="97"/>
      <c r="CC501" s="97" t="n">
        <v>6.0093</v>
      </c>
      <c r="CD501" s="97" t="n">
        <v>6.05</v>
      </c>
      <c r="CE501" s="97" t="n">
        <v>79</v>
      </c>
      <c r="CF501" s="97" t="n">
        <v>32.0166</v>
      </c>
      <c r="CG501" s="97" t="n">
        <v>0.1532</v>
      </c>
      <c r="CH501" s="63" t="n">
        <v>32873.1809951389</v>
      </c>
      <c r="CI501" s="63" t="n">
        <v>3765.62309263345</v>
      </c>
      <c r="CJ501" s="64" t="n">
        <v>651504.632081357</v>
      </c>
      <c r="CK501" s="65" t="n">
        <v>0.577988690671844</v>
      </c>
    </row>
    <row r="502" s="1" customFormat="true" ht="15" hidden="false" customHeight="false" outlineLevel="0" collapsed="false">
      <c r="A502" s="7" t="s">
        <v>488</v>
      </c>
      <c r="B502" s="66" t="n">
        <v>492</v>
      </c>
      <c r="C502" s="8" t="s">
        <v>585</v>
      </c>
      <c r="D502" s="67" t="n">
        <v>42122</v>
      </c>
      <c r="E502" s="4" t="s">
        <v>583</v>
      </c>
      <c r="F502" s="7" t="n">
        <v>1866</v>
      </c>
      <c r="G502" s="68" t="n">
        <v>1</v>
      </c>
      <c r="H502" s="68" t="n">
        <v>151</v>
      </c>
      <c r="I502" s="7" t="n">
        <v>2</v>
      </c>
      <c r="J502" s="8" t="n">
        <v>770</v>
      </c>
      <c r="K502" s="32"/>
      <c r="L502" s="31" t="n">
        <v>929.382</v>
      </c>
      <c r="M502" s="31" t="n">
        <v>156.38069978578</v>
      </c>
      <c r="N502" s="31" t="n">
        <v>352.035091298582</v>
      </c>
      <c r="O502" s="95"/>
      <c r="P502" s="33" t="n">
        <v>40.3957972049373</v>
      </c>
      <c r="Q502" s="33" t="n">
        <v>7.5</v>
      </c>
      <c r="R502" s="31" t="n">
        <v>260.94052840967</v>
      </c>
      <c r="S502" s="34" t="s">
        <v>76</v>
      </c>
      <c r="T502" s="35"/>
      <c r="U502" s="35"/>
      <c r="V502" s="35" t="n">
        <v>28.8915209340218</v>
      </c>
      <c r="W502" s="35" t="n">
        <v>26.851259508703</v>
      </c>
      <c r="X502" s="35" t="n">
        <v>4.51807626153783</v>
      </c>
      <c r="Y502" s="35" t="n">
        <v>10.1708292097633</v>
      </c>
      <c r="Z502" s="35"/>
      <c r="AA502" s="35" t="n">
        <v>1.16709602059294</v>
      </c>
      <c r="AB502" s="35" t="n">
        <v>0.216686407005163</v>
      </c>
      <c r="AC502" s="71" t="n">
        <v>7.5389687390827</v>
      </c>
      <c r="AD502" s="72"/>
      <c r="AE502" s="72"/>
      <c r="AF502" s="72"/>
      <c r="AG502" s="72"/>
      <c r="AH502" s="72"/>
      <c r="AI502" s="73" t="n">
        <v>24.5366347309918</v>
      </c>
      <c r="AJ502" s="42" t="s">
        <v>16</v>
      </c>
      <c r="AK502" s="43" t="n">
        <v>694.33461099183</v>
      </c>
      <c r="AL502" s="74"/>
      <c r="AM502" s="74"/>
      <c r="AN502" s="74"/>
      <c r="AO502" s="78" t="n">
        <v>37.2571428571429</v>
      </c>
      <c r="AP502" s="76" t="n">
        <v>1.4828274592686</v>
      </c>
      <c r="AQ502" s="76" t="n">
        <v>1.22289601554908</v>
      </c>
      <c r="AR502" s="76" t="n">
        <v>1.85471053727614</v>
      </c>
      <c r="AS502" s="77" t="n">
        <v>37.1452690318862</v>
      </c>
      <c r="AT502" s="78" t="n">
        <v>37.5269141433011</v>
      </c>
      <c r="AU502" s="78" t="n">
        <v>39.7998167748475</v>
      </c>
      <c r="AV502" s="78" t="n">
        <v>32.8231292517007</v>
      </c>
      <c r="AW502" s="78" t="n">
        <v>49.7813411078717</v>
      </c>
      <c r="AX502" s="78" t="n">
        <v>36.255</v>
      </c>
      <c r="AY502" s="48" t="n">
        <v>1.29889022557862</v>
      </c>
      <c r="AZ502" s="48" t="n">
        <v>27.7478745609596</v>
      </c>
      <c r="BA502" s="48" t="n">
        <v>1.14364637306219</v>
      </c>
      <c r="BB502" s="49" t="n">
        <f aca="false">AT502/V502</f>
        <v>1.29889022557862</v>
      </c>
      <c r="BC502" s="49" t="n">
        <f aca="false">AS502/V502</f>
        <v>1.28568063677621</v>
      </c>
      <c r="BD502" s="49" t="n">
        <f aca="false">SUM(AP502:AR502)/V502</f>
        <v>0.157846796037781</v>
      </c>
      <c r="BE502" s="53" t="n">
        <v>6.81</v>
      </c>
      <c r="BF502" s="51" t="n">
        <v>102.098876141188</v>
      </c>
      <c r="BG502" s="51" t="n">
        <v>626.614011717979</v>
      </c>
      <c r="BH502" s="51" t="n">
        <v>222.573067878453</v>
      </c>
      <c r="BI502" s="51" t="n">
        <v>112.284922946538</v>
      </c>
      <c r="BJ502" s="51" t="n">
        <v>7.98773043246007</v>
      </c>
      <c r="BK502" s="51" t="n">
        <v>12.5083990435381</v>
      </c>
      <c r="BL502" s="51" t="n">
        <v>13.7350174443534</v>
      </c>
      <c r="BM502" s="51" t="n">
        <v>4.29685053667914</v>
      </c>
      <c r="BN502" s="52" t="n">
        <f aca="false">(BG502*0.5-BH502*0.25+BI502*0.5)/SUM(BG502:BI502)*1000</f>
        <v>326.381006969176</v>
      </c>
      <c r="BO502" s="93" t="n">
        <v>4.38541714285714</v>
      </c>
      <c r="BP502" s="94" t="s">
        <v>491</v>
      </c>
      <c r="BQ502" s="55" t="n">
        <v>563.479166666667</v>
      </c>
      <c r="BR502" s="56" t="n">
        <v>19.5032711484265</v>
      </c>
      <c r="BS502" s="56"/>
      <c r="BT502" s="56" t="n">
        <v>15.0153344480965</v>
      </c>
      <c r="BU502" s="55" t="n">
        <v>12853.4027777778</v>
      </c>
      <c r="BV502" s="55" t="n">
        <v>444.884947633269</v>
      </c>
      <c r="BW502" s="55"/>
      <c r="BX502" s="55" t="n">
        <v>342.511583251836</v>
      </c>
      <c r="BY502" s="96" t="n">
        <v>0.06386</v>
      </c>
      <c r="BZ502" s="96" t="n">
        <v>0.8811</v>
      </c>
      <c r="CA502" s="97" t="n">
        <v>4.01</v>
      </c>
      <c r="CB502" s="97"/>
      <c r="CC502" s="97" t="n">
        <v>6.4647</v>
      </c>
      <c r="CD502" s="97" t="n">
        <v>5.56</v>
      </c>
      <c r="CE502" s="97" t="n">
        <v>84</v>
      </c>
      <c r="CF502" s="97" t="n">
        <v>36.4419</v>
      </c>
      <c r="CG502" s="97" t="n">
        <v>0.1704</v>
      </c>
      <c r="CH502" s="63" t="n">
        <v>73964.614194844</v>
      </c>
      <c r="CI502" s="63" t="n">
        <v>5896.07330283581</v>
      </c>
      <c r="CJ502" s="64" t="n">
        <v>485677.872130407</v>
      </c>
      <c r="CK502" s="65" t="n">
        <v>1.21398845637602</v>
      </c>
    </row>
    <row r="503" s="1" customFormat="true" ht="15" hidden="false" customHeight="false" outlineLevel="0" collapsed="false">
      <c r="A503" s="7" t="s">
        <v>488</v>
      </c>
      <c r="B503" s="66" t="n">
        <v>493</v>
      </c>
      <c r="C503" s="8" t="s">
        <v>586</v>
      </c>
      <c r="D503" s="67" t="n">
        <v>42122</v>
      </c>
      <c r="E503" s="4" t="s">
        <v>583</v>
      </c>
      <c r="F503" s="7" t="n">
        <v>1867</v>
      </c>
      <c r="G503" s="68" t="n">
        <v>1</v>
      </c>
      <c r="H503" s="68" t="n">
        <v>133</v>
      </c>
      <c r="I503" s="7" t="n">
        <v>2</v>
      </c>
      <c r="J503" s="8" t="n">
        <v>750</v>
      </c>
      <c r="K503" s="32"/>
      <c r="L503" s="31" t="n">
        <v>929.382</v>
      </c>
      <c r="M503" s="31" t="n">
        <v>156.38069978578</v>
      </c>
      <c r="N503" s="31" t="n">
        <v>352.035091298582</v>
      </c>
      <c r="O503" s="95"/>
      <c r="P503" s="33" t="n">
        <v>40.3957972049373</v>
      </c>
      <c r="Q503" s="33" t="n">
        <v>7.5</v>
      </c>
      <c r="R503" s="31" t="n">
        <v>260.94052840967</v>
      </c>
      <c r="S503" s="34" t="s">
        <v>76</v>
      </c>
      <c r="T503" s="35"/>
      <c r="U503" s="35"/>
      <c r="V503" s="35" t="n">
        <v>17.1180521692204</v>
      </c>
      <c r="W503" s="35" t="n">
        <v>15.9092095611344</v>
      </c>
      <c r="X503" s="35" t="n">
        <v>2.67693297719218</v>
      </c>
      <c r="Y503" s="35" t="n">
        <v>6.0261550582454</v>
      </c>
      <c r="Z503" s="35"/>
      <c r="AA503" s="35" t="n">
        <v>0.691497363971365</v>
      </c>
      <c r="AB503" s="35" t="n">
        <v>0.128385391269153</v>
      </c>
      <c r="AC503" s="71" t="n">
        <v>4.46679357838068</v>
      </c>
      <c r="AD503" s="72"/>
      <c r="AE503" s="72"/>
      <c r="AF503" s="72"/>
      <c r="AG503" s="72"/>
      <c r="AH503" s="72"/>
      <c r="AI503" s="73" t="n">
        <v>24.8646926522005</v>
      </c>
      <c r="AJ503" s="42" t="s">
        <v>16</v>
      </c>
      <c r="AK503" s="43" t="n">
        <v>698.367476127389</v>
      </c>
      <c r="AL503" s="74"/>
      <c r="AM503" s="74"/>
      <c r="AN503" s="74"/>
      <c r="AO503" s="78" t="n">
        <v>36.6142857142857</v>
      </c>
      <c r="AP503" s="76" t="n">
        <v>1.05679716784673</v>
      </c>
      <c r="AQ503" s="76" t="n">
        <v>1.0799257253922</v>
      </c>
      <c r="AR503" s="76" t="n">
        <v>1.80402748854644</v>
      </c>
      <c r="AS503" s="77" t="n">
        <v>30.4976718034152</v>
      </c>
      <c r="AT503" s="78" t="n">
        <v>30.9573453687467</v>
      </c>
      <c r="AU503" s="78" t="n">
        <v>28.8629737609329</v>
      </c>
      <c r="AV503" s="78" t="n">
        <v>29.4946550048591</v>
      </c>
      <c r="AW503" s="78" t="n">
        <v>49.2711370262391</v>
      </c>
      <c r="AX503" s="78" t="n">
        <v>29.525</v>
      </c>
      <c r="AY503" s="48" t="n">
        <v>1.80846191276426</v>
      </c>
      <c r="AZ503" s="48" t="n">
        <v>24.893535297004</v>
      </c>
      <c r="BA503" s="48" t="n">
        <v>-7.77548312778357</v>
      </c>
      <c r="BB503" s="49" t="n">
        <f aca="false">AT503/V503</f>
        <v>1.80846191276426</v>
      </c>
      <c r="BC503" s="49" t="n">
        <f aca="false">AS503/V503</f>
        <v>1.78160876611022</v>
      </c>
      <c r="BD503" s="49" t="n">
        <f aca="false">SUM(AP503:AR503)/V503</f>
        <v>0.23021020983165</v>
      </c>
      <c r="BE503" s="53" t="n">
        <v>6.43</v>
      </c>
      <c r="BF503" s="51" t="n">
        <v>114.801506560275</v>
      </c>
      <c r="BG503" s="51" t="n">
        <v>609.114757045084</v>
      </c>
      <c r="BH503" s="51" t="n">
        <v>205.935839981474</v>
      </c>
      <c r="BI503" s="51" t="n">
        <v>144.476616123539</v>
      </c>
      <c r="BJ503" s="51" t="n">
        <v>7.43620480269229</v>
      </c>
      <c r="BK503" s="51" t="n">
        <v>13.9670818288779</v>
      </c>
      <c r="BL503" s="51" t="n">
        <v>14.2145159281878</v>
      </c>
      <c r="BM503" s="51" t="n">
        <v>4.85498429014476</v>
      </c>
      <c r="BN503" s="52" t="n">
        <f aca="false">(BG503*0.5-BH503*0.25+BI503*0.5)/SUM(BG503:BI503)*1000</f>
        <v>339.033351144836</v>
      </c>
      <c r="BO503" s="93" t="n">
        <v>4.09690285714286</v>
      </c>
      <c r="BP503" s="94" t="s">
        <v>491</v>
      </c>
      <c r="BQ503" s="55" t="n">
        <v>519.234567901235</v>
      </c>
      <c r="BR503" s="56" t="n">
        <v>30.3325730502714</v>
      </c>
      <c r="BS503" s="56"/>
      <c r="BT503" s="56" t="n">
        <v>16.772580520597</v>
      </c>
      <c r="BU503" s="55" t="n">
        <v>13053.2166666667</v>
      </c>
      <c r="BV503" s="55" t="n">
        <v>762.541002774682</v>
      </c>
      <c r="BW503" s="55"/>
      <c r="BX503" s="55" t="n">
        <v>421.651679470057</v>
      </c>
      <c r="BY503" s="96" t="n">
        <v>0.1442</v>
      </c>
      <c r="BZ503" s="96" t="n">
        <v>1.0318</v>
      </c>
      <c r="CA503" s="97" t="n">
        <v>4.25</v>
      </c>
      <c r="CB503" s="97"/>
      <c r="CC503" s="97" t="n">
        <v>5.2668</v>
      </c>
      <c r="CD503" s="97" t="n">
        <v>5.79</v>
      </c>
      <c r="CE503" s="97" t="n">
        <v>89</v>
      </c>
      <c r="CF503" s="97" t="n">
        <v>36.2142</v>
      </c>
      <c r="CG503" s="97" t="n">
        <v>0.1532</v>
      </c>
      <c r="CH503" s="63" t="n">
        <v>70917.6607281957</v>
      </c>
      <c r="CI503" s="63" t="n">
        <v>4499.34623621514</v>
      </c>
      <c r="CJ503" s="64" t="n">
        <v>536533.138590925</v>
      </c>
      <c r="CK503" s="65" t="n">
        <v>0.838596148605394</v>
      </c>
    </row>
    <row r="504" s="1" customFormat="true" ht="15" hidden="false" customHeight="false" outlineLevel="0" collapsed="false">
      <c r="A504" s="7" t="s">
        <v>488</v>
      </c>
      <c r="B504" s="66" t="n">
        <v>494</v>
      </c>
      <c r="C504" s="8" t="s">
        <v>587</v>
      </c>
      <c r="D504" s="67" t="n">
        <v>42122</v>
      </c>
      <c r="E504" s="4" t="s">
        <v>583</v>
      </c>
      <c r="F504" s="7" t="n">
        <v>1868</v>
      </c>
      <c r="G504" s="68" t="n">
        <v>1</v>
      </c>
      <c r="H504" s="68" t="n">
        <v>175</v>
      </c>
      <c r="I504" s="7" t="n">
        <v>2</v>
      </c>
      <c r="J504" s="8" t="n">
        <v>820</v>
      </c>
      <c r="K504" s="32"/>
      <c r="L504" s="31" t="n">
        <v>929.382</v>
      </c>
      <c r="M504" s="31" t="n">
        <v>156.38069978578</v>
      </c>
      <c r="N504" s="31" t="n">
        <v>352.035091298582</v>
      </c>
      <c r="O504" s="95"/>
      <c r="P504" s="33" t="n">
        <v>40.3957972049373</v>
      </c>
      <c r="Q504" s="33" t="n">
        <v>7.5</v>
      </c>
      <c r="R504" s="31" t="n">
        <v>260.94052840967</v>
      </c>
      <c r="S504" s="34" t="s">
        <v>76</v>
      </c>
      <c r="T504" s="35"/>
      <c r="U504" s="35"/>
      <c r="V504" s="35" t="n">
        <v>21.1570840442642</v>
      </c>
      <c r="W504" s="35" t="n">
        <v>19.6630130832263</v>
      </c>
      <c r="X504" s="35" t="n">
        <v>3.30855960826859</v>
      </c>
      <c r="Y504" s="35" t="n">
        <v>7.44803601313432</v>
      </c>
      <c r="Z504" s="35"/>
      <c r="AA504" s="35" t="n">
        <v>0.85465727649991</v>
      </c>
      <c r="AB504" s="35" t="n">
        <v>0.158678130331981</v>
      </c>
      <c r="AC504" s="71" t="n">
        <v>5.52074069011811</v>
      </c>
      <c r="AD504" s="72"/>
      <c r="AE504" s="72"/>
      <c r="AF504" s="72"/>
      <c r="AG504" s="72"/>
      <c r="AH504" s="72"/>
      <c r="AI504" s="73" t="n">
        <v>25.3730527759893</v>
      </c>
      <c r="AJ504" s="42" t="s">
        <v>16</v>
      </c>
      <c r="AK504" s="43" t="n">
        <v>704.41081464595</v>
      </c>
      <c r="AL504" s="74"/>
      <c r="AM504" s="74"/>
      <c r="AN504" s="74"/>
      <c r="AO504" s="78" t="n">
        <v>43.9142857142857</v>
      </c>
      <c r="AP504" s="76" t="n">
        <v>1.57897831711534</v>
      </c>
      <c r="AQ504" s="76" t="n">
        <v>1.47447868943496</v>
      </c>
      <c r="AR504" s="76" t="n">
        <v>2.20531653477718</v>
      </c>
      <c r="AS504" s="77" t="n">
        <v>41.2503890424444</v>
      </c>
      <c r="AT504" s="78" t="n">
        <v>42.5293678437401</v>
      </c>
      <c r="AU504" s="78" t="n">
        <v>35.9559148334659</v>
      </c>
      <c r="AV504" s="78" t="n">
        <v>33.5762876579203</v>
      </c>
      <c r="AW504" s="78" t="n">
        <v>50.2186588921283</v>
      </c>
      <c r="AX504" s="78" t="n">
        <v>29.44</v>
      </c>
      <c r="AY504" s="48" t="n">
        <v>2.01017152244428</v>
      </c>
      <c r="AZ504" s="48" t="n">
        <v>30.0556140757015</v>
      </c>
      <c r="BA504" s="48" t="n">
        <v>-8.89853003143735</v>
      </c>
      <c r="BB504" s="49" t="n">
        <f aca="false">AT504/V504</f>
        <v>2.01017152244428</v>
      </c>
      <c r="BC504" s="49" t="n">
        <f aca="false">AS504/V504</f>
        <v>1.94971995933568</v>
      </c>
      <c r="BD504" s="49" t="n">
        <f aca="false">SUM(AP504:AR504)/V504</f>
        <v>0.24855852206879</v>
      </c>
      <c r="BE504" s="53" t="n">
        <v>6.86</v>
      </c>
      <c r="BF504" s="51" t="n">
        <v>100.707126122307</v>
      </c>
      <c r="BG504" s="51" t="n">
        <v>576.593985103415</v>
      </c>
      <c r="BH504" s="51" t="n">
        <v>273.68388072262</v>
      </c>
      <c r="BI504" s="51" t="n">
        <v>112.657120573665</v>
      </c>
      <c r="BJ504" s="51" t="n">
        <v>7.67517663727507</v>
      </c>
      <c r="BK504" s="51" t="n">
        <v>14.0907784257916</v>
      </c>
      <c r="BL504" s="51" t="n">
        <v>11.6759189472421</v>
      </c>
      <c r="BM504" s="51" t="n">
        <v>3.62313958999031</v>
      </c>
      <c r="BN504" s="52" t="n">
        <f aca="false">(BG504*0.5-BH504*0.25+BI504*0.5)/SUM(BG504:BI504)*1000</f>
        <v>286.836169169199</v>
      </c>
      <c r="BO504" s="93" t="n">
        <v>4.76048571428571</v>
      </c>
      <c r="BP504" s="94" t="s">
        <v>491</v>
      </c>
      <c r="BQ504" s="55" t="n">
        <v>613.521590909091</v>
      </c>
      <c r="BR504" s="56" t="n">
        <v>28.9984002344321</v>
      </c>
      <c r="BS504" s="56"/>
      <c r="BT504" s="56" t="n">
        <v>14.4258337712253</v>
      </c>
      <c r="BU504" s="55" t="n">
        <v>15421.4329545455</v>
      </c>
      <c r="BV504" s="55" t="n">
        <v>728.901625681555</v>
      </c>
      <c r="BW504" s="55"/>
      <c r="BX504" s="55" t="n">
        <v>362.60668183939</v>
      </c>
      <c r="BY504" s="96" t="n">
        <v>0.07313</v>
      </c>
      <c r="BZ504" s="96" t="n">
        <v>0.6457</v>
      </c>
      <c r="CA504" s="97" t="n">
        <v>4.09</v>
      </c>
      <c r="CB504" s="97"/>
      <c r="CC504" s="97" t="n">
        <v>5.841</v>
      </c>
      <c r="CD504" s="97" t="n">
        <v>6.35</v>
      </c>
      <c r="CE504" s="97" t="n">
        <v>88</v>
      </c>
      <c r="CF504" s="97" t="n">
        <v>35.541</v>
      </c>
      <c r="CG504" s="97" t="n">
        <v>0.1446</v>
      </c>
      <c r="CH504" s="63" t="n">
        <v>81034.4963992929</v>
      </c>
      <c r="CI504" s="63" t="n">
        <v>2549.98789972262</v>
      </c>
      <c r="CJ504" s="64" t="n">
        <v>205855.344127165</v>
      </c>
      <c r="CK504" s="65" t="n">
        <v>1.23872805466123</v>
      </c>
    </row>
    <row r="505" s="1" customFormat="true" ht="15" hidden="false" customHeight="false" outlineLevel="0" collapsed="false">
      <c r="A505" s="7" t="s">
        <v>488</v>
      </c>
      <c r="B505" s="66" t="n">
        <v>496</v>
      </c>
      <c r="C505" s="8" t="s">
        <v>588</v>
      </c>
      <c r="D505" s="67" t="n">
        <v>42122</v>
      </c>
      <c r="E505" s="4" t="s">
        <v>583</v>
      </c>
      <c r="F505" s="7" t="n">
        <v>2151</v>
      </c>
      <c r="G505" s="68" t="n">
        <v>1</v>
      </c>
      <c r="H505" s="68" t="n">
        <v>190</v>
      </c>
      <c r="I505" s="7" t="n">
        <v>1</v>
      </c>
      <c r="J505" s="8" t="n">
        <v>700</v>
      </c>
      <c r="K505" s="32"/>
      <c r="L505" s="31" t="n">
        <v>929.382</v>
      </c>
      <c r="M505" s="31" t="n">
        <v>156.38069978578</v>
      </c>
      <c r="N505" s="31" t="n">
        <v>352.035091298582</v>
      </c>
      <c r="O505" s="95"/>
      <c r="P505" s="33" t="n">
        <v>40.3957972049373</v>
      </c>
      <c r="Q505" s="33" t="n">
        <v>7.5</v>
      </c>
      <c r="R505" s="31" t="n">
        <v>260.94052840967</v>
      </c>
      <c r="S505" s="34" t="s">
        <v>76</v>
      </c>
      <c r="T505" s="35"/>
      <c r="U505" s="35"/>
      <c r="V505" s="35" t="n">
        <v>17.4529186765692</v>
      </c>
      <c r="W505" s="35" t="n">
        <v>16.2204284654672</v>
      </c>
      <c r="X505" s="35" t="n">
        <v>2.7292996359462</v>
      </c>
      <c r="Y505" s="35" t="n">
        <v>6.14403981973277</v>
      </c>
      <c r="Z505" s="35"/>
      <c r="AA505" s="35" t="n">
        <v>0.705024563492952</v>
      </c>
      <c r="AB505" s="35" t="n">
        <v>0.130896890074269</v>
      </c>
      <c r="AC505" s="71" t="n">
        <v>4.55417382175497</v>
      </c>
      <c r="AD505" s="72"/>
      <c r="AE505" s="72"/>
      <c r="AF505" s="72"/>
      <c r="AG505" s="72"/>
      <c r="AH505" s="72"/>
      <c r="AI505" s="73" t="n">
        <v>25.6502608665034</v>
      </c>
      <c r="AJ505" s="42" t="s">
        <v>16</v>
      </c>
      <c r="AK505" s="43" t="n">
        <v>707.60531290369</v>
      </c>
      <c r="AL505" s="74"/>
      <c r="AM505" s="74"/>
      <c r="AN505" s="74"/>
      <c r="AO505" s="78" t="n">
        <v>32.2857142857143</v>
      </c>
      <c r="AP505" s="76" t="n">
        <v>1.0307844336597</v>
      </c>
      <c r="AQ505" s="76" t="n">
        <v>1.02991114813272</v>
      </c>
      <c r="AR505" s="76" t="n">
        <v>1.61663890045814</v>
      </c>
      <c r="AS505" s="77" t="n">
        <v>28.3760522191813</v>
      </c>
      <c r="AT505" s="78" t="n">
        <v>29.238985762188</v>
      </c>
      <c r="AU505" s="78" t="n">
        <v>31.9269514850351</v>
      </c>
      <c r="AV505" s="78" t="n">
        <v>31.8999028182702</v>
      </c>
      <c r="AW505" s="78" t="n">
        <v>50.0728862973761</v>
      </c>
      <c r="AX505" s="78" t="n">
        <v>21.9825</v>
      </c>
      <c r="AY505" s="48" t="n">
        <v>1.67530636588835</v>
      </c>
      <c r="AZ505" s="48" t="n">
        <v>23.6653530342591</v>
      </c>
      <c r="BA505" s="48" t="n">
        <v>-6.2124343576899</v>
      </c>
      <c r="BB505" s="49" t="n">
        <f aca="false">AT505/V505</f>
        <v>1.67530636588835</v>
      </c>
      <c r="BC505" s="49" t="n">
        <f aca="false">AS505/V505</f>
        <v>1.62586285681125</v>
      </c>
      <c r="BD505" s="49" t="n">
        <f aca="false">SUM(AP505:AR505)/V505</f>
        <v>0.210700258816163</v>
      </c>
      <c r="BE505" s="53" t="n">
        <v>6.65</v>
      </c>
      <c r="BF505" s="51" t="n">
        <v>109.161652557401</v>
      </c>
      <c r="BG505" s="51" t="n">
        <v>549.004002662025</v>
      </c>
      <c r="BH505" s="51" t="n">
        <v>307.298479177053</v>
      </c>
      <c r="BI505" s="51" t="n">
        <v>100.721401351943</v>
      </c>
      <c r="BJ505" s="51" t="n">
        <v>7.08002285779094</v>
      </c>
      <c r="BK505" s="51" t="n">
        <v>20.8609398321753</v>
      </c>
      <c r="BL505" s="51" t="n">
        <v>12.2496889402202</v>
      </c>
      <c r="BM505" s="51" t="n">
        <v>2.78546517879378</v>
      </c>
      <c r="BN505" s="52" t="n">
        <f aca="false">(BG505*0.5-BH505*0.25+BI505*0.5)/SUM(BG505:BI505)*1000</f>
        <v>259.176480931367</v>
      </c>
      <c r="BO505" s="93" t="n">
        <v>4.99129714285714</v>
      </c>
      <c r="BP505" s="94" t="s">
        <v>491</v>
      </c>
      <c r="BQ505" s="55" t="n">
        <v>420.440476190476</v>
      </c>
      <c r="BR505" s="56" t="n">
        <v>24.0899808210832</v>
      </c>
      <c r="BS505" s="56"/>
      <c r="BT505" s="56" t="n">
        <v>14.3794480290828</v>
      </c>
      <c r="BU505" s="55" t="n">
        <v>11278.3214285714</v>
      </c>
      <c r="BV505" s="55" t="n">
        <v>646.214059526487</v>
      </c>
      <c r="BW505" s="55"/>
      <c r="BX505" s="55" t="n">
        <v>385.728886778166</v>
      </c>
      <c r="BY505" s="96" t="n">
        <v>0.07416</v>
      </c>
      <c r="BZ505" s="96" t="n">
        <v>0.5632</v>
      </c>
      <c r="CA505" s="97" t="n">
        <v>4.25</v>
      </c>
      <c r="CB505" s="97"/>
      <c r="CC505" s="97" t="n">
        <v>6.5637</v>
      </c>
      <c r="CD505" s="97" t="n">
        <v>4.28</v>
      </c>
      <c r="CE505" s="97" t="n">
        <v>83</v>
      </c>
      <c r="CF505" s="97" t="n">
        <v>34.4223</v>
      </c>
      <c r="CG505" s="97" t="n">
        <v>0.1532</v>
      </c>
      <c r="CH505" s="63" t="n">
        <v>16760.8175149898</v>
      </c>
      <c r="CI505" s="63" t="n">
        <v>4188.69373014723</v>
      </c>
      <c r="CJ505" s="64" t="n">
        <v>974699.109624393</v>
      </c>
      <c r="CK505" s="65" t="n">
        <v>0.429742234171259</v>
      </c>
    </row>
    <row r="506" s="1" customFormat="true" ht="15" hidden="false" customHeight="false" outlineLevel="0" collapsed="false">
      <c r="A506" s="7" t="s">
        <v>488</v>
      </c>
      <c r="B506" s="66" t="n">
        <v>497</v>
      </c>
      <c r="C506" s="8" t="s">
        <v>589</v>
      </c>
      <c r="D506" s="67" t="n">
        <v>42122</v>
      </c>
      <c r="E506" s="4" t="s">
        <v>583</v>
      </c>
      <c r="F506" s="7" t="n">
        <v>2166</v>
      </c>
      <c r="G506" s="68" t="n">
        <v>1</v>
      </c>
      <c r="H506" s="68" t="n">
        <v>135</v>
      </c>
      <c r="I506" s="7" t="n">
        <v>1</v>
      </c>
      <c r="J506" s="8" t="n">
        <v>740</v>
      </c>
      <c r="K506" s="32"/>
      <c r="L506" s="31" t="n">
        <v>929.382</v>
      </c>
      <c r="M506" s="31" t="n">
        <v>156.38069978578</v>
      </c>
      <c r="N506" s="31" t="n">
        <v>352.035091298582</v>
      </c>
      <c r="O506" s="95"/>
      <c r="P506" s="33" t="n">
        <v>40.3957972049373</v>
      </c>
      <c r="Q506" s="33" t="n">
        <v>7.5</v>
      </c>
      <c r="R506" s="31" t="n">
        <v>260.94052840967</v>
      </c>
      <c r="S506" s="34" t="s">
        <v>76</v>
      </c>
      <c r="T506" s="35"/>
      <c r="U506" s="35"/>
      <c r="V506" s="35" t="n">
        <v>17.4636750908358</v>
      </c>
      <c r="W506" s="35" t="n">
        <v>16.2304252832711</v>
      </c>
      <c r="X506" s="35" t="n">
        <v>2.73098173153639</v>
      </c>
      <c r="Y506" s="35" t="n">
        <v>6.14782645501115</v>
      </c>
      <c r="Z506" s="35"/>
      <c r="AA506" s="35" t="n">
        <v>0.705459077422317</v>
      </c>
      <c r="AB506" s="35" t="n">
        <v>0.130977563181268</v>
      </c>
      <c r="AC506" s="71" t="n">
        <v>4.55698060617749</v>
      </c>
      <c r="AD506" s="72"/>
      <c r="AE506" s="72"/>
      <c r="AF506" s="72"/>
      <c r="AG506" s="72"/>
      <c r="AH506" s="72"/>
      <c r="AI506" s="73" t="n">
        <v>29.485921881009</v>
      </c>
      <c r="AJ506" s="42" t="s">
        <v>16</v>
      </c>
      <c r="AK506" s="43" t="n">
        <v>745.641325705658</v>
      </c>
      <c r="AL506" s="74"/>
      <c r="AM506" s="74"/>
      <c r="AN506" s="74"/>
      <c r="AO506" s="78" t="n">
        <v>28.2571428571429</v>
      </c>
      <c r="AP506" s="76" t="n">
        <v>0.990205827329922</v>
      </c>
      <c r="AQ506" s="76" t="n">
        <v>0.850597667638484</v>
      </c>
      <c r="AR506" s="76" t="n">
        <v>1.43619880605303</v>
      </c>
      <c r="AS506" s="77" t="n">
        <v>26.155944552806</v>
      </c>
      <c r="AT506" s="78" t="n">
        <v>26.3850311633272</v>
      </c>
      <c r="AU506" s="78" t="n">
        <v>35.0426733635463</v>
      </c>
      <c r="AV506" s="78" t="n">
        <v>30.1020408163265</v>
      </c>
      <c r="AW506" s="78" t="n">
        <v>50.8260447035957</v>
      </c>
      <c r="AX506" s="78" t="n">
        <v>31.825</v>
      </c>
      <c r="AY506" s="48" t="n">
        <v>1.51085215603747</v>
      </c>
      <c r="AZ506" s="48" t="n">
        <v>23.1781531261669</v>
      </c>
      <c r="BA506" s="48" t="n">
        <v>-5.71447803533111</v>
      </c>
      <c r="BB506" s="49" t="n">
        <f aca="false">AT506/V506</f>
        <v>1.51085215603747</v>
      </c>
      <c r="BC506" s="49" t="n">
        <f aca="false">AS506/V506</f>
        <v>1.49773426365058</v>
      </c>
      <c r="BD506" s="49" t="n">
        <f aca="false">SUM(AP506:AR506)/V506</f>
        <v>0.187646774460496</v>
      </c>
      <c r="BE506" s="53" t="n">
        <v>6.56</v>
      </c>
      <c r="BF506" s="51" t="n">
        <v>119.463398176783</v>
      </c>
      <c r="BG506" s="51" t="n">
        <v>582.496049736147</v>
      </c>
      <c r="BH506" s="51" t="n">
        <v>265.218584397242</v>
      </c>
      <c r="BI506" s="51" t="n">
        <v>115.165228077112</v>
      </c>
      <c r="BJ506" s="51" t="n">
        <v>7.30856983264077</v>
      </c>
      <c r="BK506" s="51" t="n">
        <v>12.750059955127</v>
      </c>
      <c r="BL506" s="51" t="n">
        <v>14.7020940628838</v>
      </c>
      <c r="BM506" s="51" t="n">
        <v>2.35941393884805</v>
      </c>
      <c r="BN506" s="52" t="n">
        <f aca="false">(BG506*0.5-BH506*0.25+BI506*0.5)/SUM(BG506:BI506)*1000</f>
        <v>293.417698194164</v>
      </c>
      <c r="BO506" s="93" t="n">
        <v>8.94394285714286</v>
      </c>
      <c r="BP506" s="94" t="s">
        <v>491</v>
      </c>
      <c r="BQ506" s="55" t="n">
        <v>476.416893424036</v>
      </c>
      <c r="BR506" s="56" t="n">
        <v>27.2804487569767</v>
      </c>
      <c r="BS506" s="56"/>
      <c r="BT506" s="56" t="n">
        <v>18.056332413441</v>
      </c>
      <c r="BU506" s="55" t="n">
        <v>11718.8002267574</v>
      </c>
      <c r="BV506" s="55" t="n">
        <v>671.038608185451</v>
      </c>
      <c r="BW506" s="55"/>
      <c r="BX506" s="55" t="n">
        <v>444.145779257045</v>
      </c>
      <c r="BY506" s="96" t="n">
        <v>0.05974</v>
      </c>
      <c r="BZ506" s="96" t="n">
        <v>0.7733</v>
      </c>
      <c r="CA506" s="97" t="n">
        <v>3.87</v>
      </c>
      <c r="CB506" s="97"/>
      <c r="CC506" s="97" t="n">
        <v>5.8113</v>
      </c>
      <c r="CD506" s="97" t="n">
        <v>5.66</v>
      </c>
      <c r="CE506" s="97" t="n">
        <v>88</v>
      </c>
      <c r="CF506" s="97" t="n">
        <v>34.1055</v>
      </c>
      <c r="CG506" s="97" t="n">
        <v>0.1446</v>
      </c>
      <c r="CH506" s="63" t="n">
        <v>69283.4821857968</v>
      </c>
      <c r="CI506" s="63" t="n">
        <v>5687.78530661756</v>
      </c>
      <c r="CJ506" s="64" t="n">
        <v>651809.746073928</v>
      </c>
      <c r="CK506" s="65" t="n">
        <v>0.872614338904416</v>
      </c>
    </row>
    <row r="507" s="1" customFormat="true" ht="15" hidden="false" customHeight="false" outlineLevel="0" collapsed="false">
      <c r="A507" s="7" t="s">
        <v>488</v>
      </c>
      <c r="B507" s="66" t="n">
        <v>498</v>
      </c>
      <c r="C507" s="8" t="s">
        <v>590</v>
      </c>
      <c r="D507" s="67" t="n">
        <v>41766</v>
      </c>
      <c r="E507" s="4" t="s">
        <v>565</v>
      </c>
      <c r="F507" s="99" t="n">
        <v>7</v>
      </c>
      <c r="G507" s="68" t="n">
        <v>1</v>
      </c>
      <c r="H507" s="68" t="n">
        <v>147</v>
      </c>
      <c r="I507" s="7" t="n">
        <v>2</v>
      </c>
      <c r="J507" s="8" t="n">
        <v>635</v>
      </c>
      <c r="K507" s="32"/>
      <c r="L507" s="31" t="n">
        <v>937.054</v>
      </c>
      <c r="M507" s="31" t="n">
        <v>149.036009384882</v>
      </c>
      <c r="N507" s="31" t="n">
        <v>314.495562582883</v>
      </c>
      <c r="O507" s="95"/>
      <c r="P507" s="33" t="n">
        <v>28.9707232479853</v>
      </c>
      <c r="Q507" s="33" t="n">
        <v>9.8</v>
      </c>
      <c r="R507" s="31" t="n">
        <v>268.795266755075</v>
      </c>
      <c r="S507" s="34" t="s">
        <v>76</v>
      </c>
      <c r="T507" s="35"/>
      <c r="U507" s="35"/>
      <c r="V507" s="35" t="n">
        <v>28.9309262043254</v>
      </c>
      <c r="W507" s="35" t="n">
        <v>27.1098401234679</v>
      </c>
      <c r="X507" s="35" t="n">
        <v>4.31174978930117</v>
      </c>
      <c r="Y507" s="35" t="n">
        <v>9.09864791267318</v>
      </c>
      <c r="Z507" s="35"/>
      <c r="AA507" s="35" t="n">
        <v>0.838149856373397</v>
      </c>
      <c r="AB507" s="35" t="n">
        <v>0.283523076802389</v>
      </c>
      <c r="AC507" s="71" t="n">
        <v>7.77649602656303</v>
      </c>
      <c r="AD507" s="72"/>
      <c r="AE507" s="72"/>
      <c r="AF507" s="72"/>
      <c r="AG507" s="72"/>
      <c r="AH507" s="72"/>
      <c r="AI507" s="73" t="n">
        <v>26.6639584289977</v>
      </c>
      <c r="AJ507" s="42" t="s">
        <v>16</v>
      </c>
      <c r="AK507" s="43" t="n">
        <v>632.462673308767</v>
      </c>
      <c r="AL507" s="74"/>
      <c r="AM507" s="74"/>
      <c r="AN507" s="74"/>
      <c r="AO507" s="78" t="n">
        <v>40.535</v>
      </c>
      <c r="AP507" s="76" t="n">
        <v>1.47123843984916</v>
      </c>
      <c r="AQ507" s="76" t="n">
        <v>1.41714929543246</v>
      </c>
      <c r="AR507" s="76" t="n">
        <v>2.11636819727891</v>
      </c>
      <c r="AS507" s="77" t="n">
        <v>38.2825765977374</v>
      </c>
      <c r="AT507" s="78" t="n">
        <v>40.2825635919368</v>
      </c>
      <c r="AU507" s="78" t="n">
        <v>36.2955085691171</v>
      </c>
      <c r="AV507" s="78" t="n">
        <v>34.9611273080661</v>
      </c>
      <c r="AW507" s="78" t="n">
        <v>52.2108843537415</v>
      </c>
      <c r="AX507" s="78" t="n">
        <v>28.5875</v>
      </c>
      <c r="AY507" s="48" t="n">
        <v>1.3923703412549</v>
      </c>
      <c r="AZ507" s="48" t="n">
        <v>26.2537989811344</v>
      </c>
      <c r="BA507" s="48" t="n">
        <v>2.67712722319102</v>
      </c>
      <c r="BB507" s="49" t="n">
        <f aca="false">AT507/V507</f>
        <v>1.3923703412549</v>
      </c>
      <c r="BC507" s="49" t="n">
        <f aca="false">AS507/V507</f>
        <v>1.32324061550487</v>
      </c>
      <c r="BD507" s="49" t="n">
        <f aca="false">SUM(AP507:AR507)/V507</f>
        <v>0.172989827467476</v>
      </c>
      <c r="BE507" s="53" t="n">
        <v>6.41</v>
      </c>
      <c r="BF507" s="51" t="n">
        <v>119.382498518459</v>
      </c>
      <c r="BG507" s="51" t="n">
        <v>590.990074300916</v>
      </c>
      <c r="BH507" s="51" t="n">
        <v>241.955387599345</v>
      </c>
      <c r="BI507" s="51" t="n">
        <v>125.930200832771</v>
      </c>
      <c r="BJ507" s="51" t="n">
        <v>7.91264642596029</v>
      </c>
      <c r="BK507" s="51" t="n">
        <v>15.640892225125</v>
      </c>
      <c r="BL507" s="51" t="n">
        <v>11.2940134037558</v>
      </c>
      <c r="BM507" s="51" t="n">
        <v>6.27678521212631</v>
      </c>
      <c r="BN507" s="52" t="n">
        <f aca="false">(BG507*0.5-BH507*0.25+BI507*0.5)/SUM(BG507:BI507)*1000</f>
        <v>310.75070757111</v>
      </c>
      <c r="BO507" s="93" t="n">
        <v>6.41142857142857</v>
      </c>
      <c r="BP507" s="94" t="s">
        <v>491</v>
      </c>
      <c r="BQ507" s="55" t="n">
        <v>427.2</v>
      </c>
      <c r="BR507" s="56" t="n">
        <v>14.7662054433684</v>
      </c>
      <c r="BS507" s="56"/>
      <c r="BT507" s="56" t="n">
        <v>10.6050847291534</v>
      </c>
      <c r="BU507" s="55" t="n">
        <v>13956.18125</v>
      </c>
      <c r="BV507" s="55" t="n">
        <v>482.39662814229</v>
      </c>
      <c r="BW507" s="55"/>
      <c r="BX507" s="55" t="n">
        <v>346.457126993615</v>
      </c>
      <c r="BY507" s="96" t="n">
        <v>0.09476</v>
      </c>
      <c r="BZ507" s="96" t="n">
        <v>0.781</v>
      </c>
      <c r="CA507" s="97" t="n">
        <v>4.182</v>
      </c>
      <c r="CB507" s="97"/>
      <c r="CC507" s="97" t="n">
        <v>6.222</v>
      </c>
      <c r="CD507" s="97" t="n">
        <v>7.9184</v>
      </c>
      <c r="CE507" s="97" t="n">
        <v>95.95</v>
      </c>
      <c r="CF507" s="97" t="n">
        <v>40.5818</v>
      </c>
      <c r="CG507" s="97" t="n">
        <v>0.05</v>
      </c>
      <c r="CH507" s="63" t="n">
        <v>139823.321285386</v>
      </c>
      <c r="CI507" s="63" t="n">
        <v>773.741165412503</v>
      </c>
      <c r="CJ507" s="64" t="n">
        <v>224556.410107993</v>
      </c>
      <c r="CK507" s="65" t="n">
        <v>0.344564274535916</v>
      </c>
    </row>
    <row r="508" s="1" customFormat="true" ht="15" hidden="false" customHeight="false" outlineLevel="0" collapsed="false">
      <c r="A508" s="7" t="s">
        <v>488</v>
      </c>
      <c r="B508" s="66" t="n">
        <v>499</v>
      </c>
      <c r="C508" s="8" t="s">
        <v>591</v>
      </c>
      <c r="D508" s="67" t="n">
        <v>41766</v>
      </c>
      <c r="E508" s="4" t="s">
        <v>565</v>
      </c>
      <c r="F508" s="99" t="n">
        <v>8</v>
      </c>
      <c r="G508" s="68" t="n">
        <v>1</v>
      </c>
      <c r="H508" s="68" t="n">
        <v>153</v>
      </c>
      <c r="I508" s="7" t="n">
        <v>2</v>
      </c>
      <c r="J508" s="8" t="n">
        <v>666</v>
      </c>
      <c r="K508" s="32"/>
      <c r="L508" s="31" t="n">
        <v>937.054</v>
      </c>
      <c r="M508" s="31" t="n">
        <v>149.036009384882</v>
      </c>
      <c r="N508" s="31" t="n">
        <v>314.495562582883</v>
      </c>
      <c r="O508" s="95"/>
      <c r="P508" s="33" t="n">
        <v>28.9707232479853</v>
      </c>
      <c r="Q508" s="33" t="n">
        <v>9.8</v>
      </c>
      <c r="R508" s="31" t="n">
        <v>268.795266755075</v>
      </c>
      <c r="S508" s="34" t="s">
        <v>76</v>
      </c>
      <c r="T508" s="35"/>
      <c r="U508" s="35"/>
      <c r="V508" s="35" t="n">
        <v>17.7405708373685</v>
      </c>
      <c r="W508" s="35" t="n">
        <v>16.6238728654395</v>
      </c>
      <c r="X508" s="35" t="n">
        <v>2.64398388181122</v>
      </c>
      <c r="Y508" s="35" t="n">
        <v>5.57933080603969</v>
      </c>
      <c r="Z508" s="35"/>
      <c r="AA508" s="35" t="n">
        <v>0.513957167990682</v>
      </c>
      <c r="AB508" s="35" t="n">
        <v>0.173857594206211</v>
      </c>
      <c r="AC508" s="71" t="n">
        <v>4.76858147061777</v>
      </c>
      <c r="AD508" s="72"/>
      <c r="AE508" s="72"/>
      <c r="AF508" s="72"/>
      <c r="AG508" s="72"/>
      <c r="AH508" s="72"/>
      <c r="AI508" s="73" t="n">
        <v>34.7687412212484</v>
      </c>
      <c r="AJ508" s="42" t="s">
        <v>16</v>
      </c>
      <c r="AK508" s="43" t="n">
        <v>718.137624320697</v>
      </c>
      <c r="AL508" s="74"/>
      <c r="AM508" s="74"/>
      <c r="AN508" s="74"/>
      <c r="AO508" s="78" t="n">
        <v>31.58</v>
      </c>
      <c r="AP508" s="76" t="n">
        <v>0.940929888184872</v>
      </c>
      <c r="AQ508" s="76" t="n">
        <v>0.96520019436346</v>
      </c>
      <c r="AR508" s="76" t="n">
        <v>1.53603401360544</v>
      </c>
      <c r="AS508" s="77" t="n">
        <v>26.7459483227731</v>
      </c>
      <c r="AT508" s="78" t="n">
        <v>27.2150216579969</v>
      </c>
      <c r="AU508" s="78" t="n">
        <v>29.7951199551891</v>
      </c>
      <c r="AV508" s="78" t="n">
        <v>30.5636540330418</v>
      </c>
      <c r="AW508" s="78" t="n">
        <v>48.6394557823129</v>
      </c>
      <c r="AX508" s="78" t="n">
        <v>27.8325</v>
      </c>
      <c r="AY508" s="48" t="n">
        <v>1.5340555784525</v>
      </c>
      <c r="AZ508" s="48" t="n">
        <v>22.4716728860863</v>
      </c>
      <c r="BA508" s="48" t="n">
        <v>-4.73110204871781</v>
      </c>
      <c r="BB508" s="49" t="n">
        <f aca="false">AT508/V508</f>
        <v>1.5340555784525</v>
      </c>
      <c r="BC508" s="49" t="n">
        <f aca="false">AS508/V508</f>
        <v>1.5076148658326</v>
      </c>
      <c r="BD508" s="49" t="n">
        <f aca="false">SUM(AP508:AR508)/V508</f>
        <v>0.194027809347783</v>
      </c>
      <c r="BE508" s="53" t="n">
        <v>6.3</v>
      </c>
      <c r="BF508" s="51" t="n">
        <v>122.425732059952</v>
      </c>
      <c r="BG508" s="51" t="n">
        <v>557.710069273393</v>
      </c>
      <c r="BH508" s="51" t="n">
        <v>314.701373296745</v>
      </c>
      <c r="BI508" s="51" t="n">
        <v>91.602893382222</v>
      </c>
      <c r="BJ508" s="51" t="n">
        <v>7.70445896847633</v>
      </c>
      <c r="BK508" s="51" t="n">
        <v>13.3498223017586</v>
      </c>
      <c r="BL508" s="51" t="n">
        <v>12.8769925077599</v>
      </c>
      <c r="BM508" s="51" t="n">
        <v>2.05439026964532</v>
      </c>
      <c r="BN508" s="52" t="n">
        <f aca="false">(BG508*0.5-BH508*0.25+BI508*0.5)/SUM(BG508:BI508)*1000</f>
        <v>255.163360989455</v>
      </c>
      <c r="BO508" s="93" t="n">
        <v>4.284</v>
      </c>
      <c r="BP508" s="94" t="s">
        <v>491</v>
      </c>
      <c r="BQ508" s="55" t="n">
        <v>378.933560090703</v>
      </c>
      <c r="BR508" s="56" t="n">
        <v>21.3597163002513</v>
      </c>
      <c r="BS508" s="56"/>
      <c r="BT508" s="56" t="n">
        <v>13.9236912927224</v>
      </c>
      <c r="BU508" s="55" t="n">
        <v>12324.7267857143</v>
      </c>
      <c r="BV508" s="55" t="n">
        <v>694.719854208617</v>
      </c>
      <c r="BW508" s="55"/>
      <c r="BX508" s="55" t="n">
        <v>452.864853116615</v>
      </c>
      <c r="BY508" s="96" t="n">
        <v>0.08858</v>
      </c>
      <c r="BZ508" s="96" t="n">
        <v>0.5423</v>
      </c>
      <c r="CA508" s="97" t="n">
        <v>4.5186</v>
      </c>
      <c r="CB508" s="97"/>
      <c r="CC508" s="97" t="n">
        <v>5.2734</v>
      </c>
      <c r="CD508" s="97" t="n">
        <v>6.2721</v>
      </c>
      <c r="CE508" s="97" t="n">
        <v>89.89</v>
      </c>
      <c r="CF508" s="97" t="n">
        <v>37.9962</v>
      </c>
      <c r="CG508" s="97" t="n">
        <v>0.5141</v>
      </c>
      <c r="CH508" s="63" t="n">
        <v>67137.1588978848</v>
      </c>
      <c r="CI508" s="63" t="n">
        <v>1687.09337215502</v>
      </c>
      <c r="CJ508" s="64" t="n">
        <v>680534.272130099</v>
      </c>
      <c r="CK508" s="65" t="n">
        <v>0.247907187227229</v>
      </c>
    </row>
    <row r="509" s="1" customFormat="true" ht="15" hidden="false" customHeight="false" outlineLevel="0" collapsed="false">
      <c r="A509" s="7" t="s">
        <v>488</v>
      </c>
      <c r="B509" s="66" t="n">
        <v>500</v>
      </c>
      <c r="C509" s="8" t="s">
        <v>592</v>
      </c>
      <c r="D509" s="67" t="n">
        <v>41766</v>
      </c>
      <c r="E509" s="4" t="s">
        <v>565</v>
      </c>
      <c r="F509" s="99" t="n">
        <v>11</v>
      </c>
      <c r="G509" s="68" t="n">
        <v>1</v>
      </c>
      <c r="H509" s="68" t="n">
        <v>141</v>
      </c>
      <c r="I509" s="7" t="n">
        <v>2</v>
      </c>
      <c r="J509" s="8" t="n">
        <v>719</v>
      </c>
      <c r="K509" s="32"/>
      <c r="L509" s="31" t="n">
        <v>937.054</v>
      </c>
      <c r="M509" s="31" t="n">
        <v>149.036009384882</v>
      </c>
      <c r="N509" s="31" t="n">
        <v>314.495562582883</v>
      </c>
      <c r="O509" s="95"/>
      <c r="P509" s="33" t="n">
        <v>28.9707232479853</v>
      </c>
      <c r="Q509" s="33" t="n">
        <v>9.8</v>
      </c>
      <c r="R509" s="31" t="n">
        <v>268.795266755075</v>
      </c>
      <c r="S509" s="34" t="s">
        <v>76</v>
      </c>
      <c r="T509" s="35"/>
      <c r="U509" s="35"/>
      <c r="V509" s="35" t="n">
        <v>18.5489975593063</v>
      </c>
      <c r="W509" s="35" t="n">
        <v>17.3814123589382</v>
      </c>
      <c r="X509" s="35" t="n">
        <v>2.76446857432893</v>
      </c>
      <c r="Y509" s="35" t="n">
        <v>5.83357742276255</v>
      </c>
      <c r="Z509" s="35"/>
      <c r="AA509" s="35" t="n">
        <v>0.537377874818217</v>
      </c>
      <c r="AB509" s="35" t="n">
        <v>0.181780176081202</v>
      </c>
      <c r="AC509" s="71" t="n">
        <v>4.98588274699297</v>
      </c>
      <c r="AD509" s="72"/>
      <c r="AE509" s="72"/>
      <c r="AF509" s="72"/>
      <c r="AG509" s="72"/>
      <c r="AH509" s="72"/>
      <c r="AI509" s="73" t="n">
        <v>28.7583147361543</v>
      </c>
      <c r="AJ509" s="42" t="s">
        <v>16</v>
      </c>
      <c r="AK509" s="43" t="n">
        <v>659.228988558232</v>
      </c>
      <c r="AL509" s="74"/>
      <c r="AM509" s="74"/>
      <c r="AN509" s="74"/>
      <c r="AO509" s="78" t="n">
        <v>28.2375</v>
      </c>
      <c r="AP509" s="76" t="n">
        <v>0.929679922987766</v>
      </c>
      <c r="AQ509" s="76" t="n">
        <v>0.86372722303207</v>
      </c>
      <c r="AR509" s="76" t="n">
        <v>1.36316599854227</v>
      </c>
      <c r="AS509" s="77" t="n">
        <v>25.2401988448165</v>
      </c>
      <c r="AT509" s="78" t="n">
        <v>25.3631279342983</v>
      </c>
      <c r="AU509" s="78" t="n">
        <v>32.923591783542</v>
      </c>
      <c r="AV509" s="78" t="n">
        <v>30.5879494655005</v>
      </c>
      <c r="AW509" s="78" t="n">
        <v>48.2750242954325</v>
      </c>
      <c r="AX509" s="78" t="n">
        <v>30.5375</v>
      </c>
      <c r="AY509" s="48" t="n">
        <v>1.36735841671257</v>
      </c>
      <c r="AZ509" s="48" t="n">
        <v>22.5940740564136</v>
      </c>
      <c r="BA509" s="48" t="n">
        <v>-4.04507649710729</v>
      </c>
      <c r="BB509" s="49" t="n">
        <f aca="false">AT509/V509</f>
        <v>1.36735841671257</v>
      </c>
      <c r="BC509" s="49" t="n">
        <f aca="false">AS509/V509</f>
        <v>1.36073115348237</v>
      </c>
      <c r="BD509" s="49" t="n">
        <f aca="false">SUM(AP509:AR509)/V509</f>
        <v>0.170174864408153</v>
      </c>
      <c r="BE509" s="53" t="n">
        <v>6.06</v>
      </c>
      <c r="BF509" s="51" t="n">
        <v>132.917118579859</v>
      </c>
      <c r="BG509" s="51" t="n">
        <v>579.376418910419</v>
      </c>
      <c r="BH509" s="51" t="n">
        <v>259.452264159245</v>
      </c>
      <c r="BI509" s="51" t="n">
        <v>117.69701687262</v>
      </c>
      <c r="BJ509" s="51" t="n">
        <v>8.83969787104608</v>
      </c>
      <c r="BK509" s="51" t="n">
        <v>15.015846667794</v>
      </c>
      <c r="BL509" s="51" t="n">
        <v>16.0016187986565</v>
      </c>
      <c r="BM509" s="51" t="n">
        <v>3.61713672021925</v>
      </c>
      <c r="BN509" s="52" t="n">
        <f aca="false">(BG509*0.5-BH509*0.25+BI509*0.5)/SUM(BG509:BI509)*1000</f>
        <v>296.566680716289</v>
      </c>
      <c r="BO509" s="93" t="n">
        <v>5.47885714285714</v>
      </c>
      <c r="BP509" s="94" t="s">
        <v>491</v>
      </c>
      <c r="BQ509" s="55" t="n">
        <v>392.541829004329</v>
      </c>
      <c r="BR509" s="56" t="n">
        <v>21.1624281985732</v>
      </c>
      <c r="BS509" s="56"/>
      <c r="BT509" s="56" t="n">
        <v>15.476869809638</v>
      </c>
      <c r="BU509" s="55" t="n">
        <v>12958.4613095238</v>
      </c>
      <c r="BV509" s="55" t="n">
        <v>698.607095509718</v>
      </c>
      <c r="BW509" s="55"/>
      <c r="BX509" s="55" t="n">
        <v>510.917318364357</v>
      </c>
      <c r="BY509" s="96" t="n">
        <v>0.04532</v>
      </c>
      <c r="BZ509" s="96" t="n">
        <v>0.8668</v>
      </c>
      <c r="CA509" s="97" t="n">
        <v>4.2636</v>
      </c>
      <c r="CB509" s="97"/>
      <c r="CC509" s="97" t="n">
        <v>5.967</v>
      </c>
      <c r="CD509" s="97" t="n">
        <v>5.7065</v>
      </c>
      <c r="CE509" s="97" t="n">
        <v>95.95</v>
      </c>
      <c r="CF509" s="97" t="n">
        <v>34.4372</v>
      </c>
      <c r="CG509" s="97" t="n">
        <v>0.0591</v>
      </c>
      <c r="CH509" s="63" t="n">
        <v>63409.7838667366</v>
      </c>
      <c r="CI509" s="63" t="n">
        <v>2334.6394381704</v>
      </c>
      <c r="CJ509" s="64" t="n">
        <v>597327.218138354</v>
      </c>
      <c r="CK509" s="65" t="n">
        <v>0.390847657243312</v>
      </c>
    </row>
    <row r="510" s="1" customFormat="true" ht="15" hidden="false" customHeight="false" outlineLevel="0" collapsed="false">
      <c r="A510" s="7" t="s">
        <v>488</v>
      </c>
      <c r="B510" s="66" t="n">
        <v>501</v>
      </c>
      <c r="C510" s="8" t="s">
        <v>593</v>
      </c>
      <c r="D510" s="67" t="n">
        <v>41766</v>
      </c>
      <c r="E510" s="4" t="s">
        <v>565</v>
      </c>
      <c r="F510" s="99" t="n">
        <v>12</v>
      </c>
      <c r="G510" s="68" t="n">
        <v>1</v>
      </c>
      <c r="H510" s="68" t="n">
        <v>179</v>
      </c>
      <c r="I510" s="7" t="n">
        <v>1</v>
      </c>
      <c r="J510" s="8" t="n">
        <v>833</v>
      </c>
      <c r="K510" s="32"/>
      <c r="L510" s="31" t="n">
        <v>937.054</v>
      </c>
      <c r="M510" s="31" t="n">
        <v>149.036009384882</v>
      </c>
      <c r="N510" s="31" t="n">
        <v>314.495562582883</v>
      </c>
      <c r="O510" s="95"/>
      <c r="P510" s="33" t="n">
        <v>28.9707232479853</v>
      </c>
      <c r="Q510" s="33" t="n">
        <v>9.8</v>
      </c>
      <c r="R510" s="31" t="n">
        <v>268.795266755075</v>
      </c>
      <c r="S510" s="34" t="s">
        <v>76</v>
      </c>
      <c r="T510" s="35"/>
      <c r="U510" s="35"/>
      <c r="V510" s="35" t="n">
        <v>23.1488902905082</v>
      </c>
      <c r="W510" s="35" t="n">
        <v>21.6917602422819</v>
      </c>
      <c r="X510" s="35" t="n">
        <v>3.45001823058579</v>
      </c>
      <c r="Y510" s="35" t="n">
        <v>7.28022327508282</v>
      </c>
      <c r="Z510" s="35"/>
      <c r="AA510" s="35" t="n">
        <v>0.670640094104289</v>
      </c>
      <c r="AB510" s="35" t="n">
        <v>0.226859124846981</v>
      </c>
      <c r="AC510" s="71" t="n">
        <v>6.22231214072113</v>
      </c>
      <c r="AD510" s="72"/>
      <c r="AE510" s="72"/>
      <c r="AF510" s="72"/>
      <c r="AG510" s="72"/>
      <c r="AH510" s="72"/>
      <c r="AI510" s="73" t="n">
        <v>32.463082931319</v>
      </c>
      <c r="AJ510" s="42" t="s">
        <v>16</v>
      </c>
      <c r="AK510" s="43" t="n">
        <v>698.118628451478</v>
      </c>
      <c r="AL510" s="74"/>
      <c r="AM510" s="74"/>
      <c r="AN510" s="74"/>
      <c r="AO510" s="78" t="n">
        <v>19.84</v>
      </c>
      <c r="AP510" s="76" t="n">
        <v>0.905895236993745</v>
      </c>
      <c r="AQ510" s="76" t="n">
        <v>0.690736637512148</v>
      </c>
      <c r="AR510" s="76" t="n">
        <v>1.0069426627794</v>
      </c>
      <c r="AS510" s="77" t="n">
        <v>21.5244285549062</v>
      </c>
      <c r="AT510" s="78" t="n">
        <v>21.8080044098808</v>
      </c>
      <c r="AU510" s="78" t="n">
        <v>45.6600421871847</v>
      </c>
      <c r="AV510" s="78" t="n">
        <v>34.8153547133139</v>
      </c>
      <c r="AW510" s="78" t="n">
        <v>50.7531584062196</v>
      </c>
      <c r="AX510" s="78" t="n">
        <v>28.305</v>
      </c>
      <c r="AY510" s="48" t="n">
        <v>0.942075587045429</v>
      </c>
      <c r="AZ510" s="48" t="n">
        <v>22.9324431544297</v>
      </c>
      <c r="BA510" s="48" t="n">
        <v>0.216447136078518</v>
      </c>
      <c r="BB510" s="49" t="n">
        <f aca="false">AT510/V510</f>
        <v>0.942075587045429</v>
      </c>
      <c r="BC510" s="49" t="n">
        <f aca="false">AS510/V510</f>
        <v>0.929825502854962</v>
      </c>
      <c r="BD510" s="49" t="n">
        <f aca="false">SUM(AP510:AR510)/V510</f>
        <v>0.112470814134569</v>
      </c>
      <c r="BE510" s="53" t="n">
        <v>6.4</v>
      </c>
      <c r="BF510" s="51" t="n">
        <v>127.899562658432</v>
      </c>
      <c r="BG510" s="51" t="n">
        <v>642.163727868501</v>
      </c>
      <c r="BH510" s="51" t="n">
        <v>198.616013086432</v>
      </c>
      <c r="BI510" s="51" t="n">
        <v>114.07455694159</v>
      </c>
      <c r="BJ510" s="51" t="n">
        <v>8.79422939071191</v>
      </c>
      <c r="BK510" s="51" t="n">
        <v>15.0532381126868</v>
      </c>
      <c r="BL510" s="51" t="n">
        <v>12.4976204093649</v>
      </c>
      <c r="BM510" s="51" t="n">
        <v>8.8006141907137</v>
      </c>
      <c r="BN510" s="52" t="n">
        <f aca="false">(BG510*0.5-BH510*0.25+BI510*0.5)/SUM(BG510:BI510)*1000</f>
        <v>343.995036579951</v>
      </c>
      <c r="BO510" s="93" t="n">
        <v>1.60285714285714</v>
      </c>
      <c r="BP510" s="94" t="s">
        <v>491</v>
      </c>
      <c r="BQ510" s="55" t="n">
        <v>373.4375</v>
      </c>
      <c r="BR510" s="56" t="n">
        <v>16.1319827997596</v>
      </c>
      <c r="BS510" s="56"/>
      <c r="BT510" s="56" t="n">
        <v>17.1238730963757</v>
      </c>
      <c r="BU510" s="55" t="n">
        <v>10986.5769230769</v>
      </c>
      <c r="BV510" s="55" t="n">
        <v>474.604906982593</v>
      </c>
      <c r="BW510" s="55"/>
      <c r="BX510" s="55" t="n">
        <v>503.786440821661</v>
      </c>
      <c r="BY510" s="96" t="n">
        <v>0.06077</v>
      </c>
      <c r="BZ510" s="96" t="n">
        <v>0.9724</v>
      </c>
      <c r="CA510" s="97" t="n">
        <v>4.5186</v>
      </c>
      <c r="CB510" s="97"/>
      <c r="CC510" s="97" t="n">
        <v>6.1302</v>
      </c>
      <c r="CD510" s="97" t="n">
        <v>5.555</v>
      </c>
      <c r="CE510" s="97" t="n">
        <v>93.93</v>
      </c>
      <c r="CF510" s="97" t="n">
        <v>38.0669</v>
      </c>
      <c r="CG510" s="97" t="n">
        <v>0.0773</v>
      </c>
      <c r="CH510" s="63" t="n">
        <v>144534.642379475</v>
      </c>
      <c r="CI510" s="63" t="n">
        <v>1777.50096150851</v>
      </c>
      <c r="CJ510" s="64" t="n">
        <v>388863.443710194</v>
      </c>
      <c r="CK510" s="65" t="n">
        <v>0.457101584183165</v>
      </c>
    </row>
    <row r="511" s="1" customFormat="true" ht="15" hidden="false" customHeight="false" outlineLevel="0" collapsed="false">
      <c r="A511" s="7" t="s">
        <v>488</v>
      </c>
      <c r="B511" s="66" t="n">
        <v>502</v>
      </c>
      <c r="C511" s="8" t="s">
        <v>594</v>
      </c>
      <c r="D511" s="67" t="n">
        <v>41766</v>
      </c>
      <c r="E511" s="4" t="s">
        <v>565</v>
      </c>
      <c r="F511" s="99" t="n">
        <v>17</v>
      </c>
      <c r="G511" s="68" t="n">
        <v>1</v>
      </c>
      <c r="H511" s="68" t="n">
        <v>141</v>
      </c>
      <c r="I511" s="7" t="n">
        <v>2</v>
      </c>
      <c r="J511" s="8" t="n">
        <v>625</v>
      </c>
      <c r="K511" s="32"/>
      <c r="L511" s="31" t="n">
        <v>937.054</v>
      </c>
      <c r="M511" s="31" t="n">
        <v>149.036009384882</v>
      </c>
      <c r="N511" s="31" t="n">
        <v>314.495562582883</v>
      </c>
      <c r="O511" s="95"/>
      <c r="P511" s="33" t="n">
        <v>28.9707232479853</v>
      </c>
      <c r="Q511" s="33" t="n">
        <v>9.8</v>
      </c>
      <c r="R511" s="31" t="n">
        <v>268.795266755075</v>
      </c>
      <c r="S511" s="34" t="s">
        <v>76</v>
      </c>
      <c r="T511" s="35"/>
      <c r="U511" s="35"/>
      <c r="V511" s="35" t="n">
        <v>22.3172657318866</v>
      </c>
      <c r="W511" s="35" t="n">
        <v>20.9124831231273</v>
      </c>
      <c r="X511" s="35" t="n">
        <v>3.32607622506237</v>
      </c>
      <c r="Y511" s="35" t="n">
        <v>7.01868104166138</v>
      </c>
      <c r="Z511" s="35"/>
      <c r="AA511" s="35" t="n">
        <v>0.646547329170234</v>
      </c>
      <c r="AB511" s="35" t="n">
        <v>0.218709204172489</v>
      </c>
      <c r="AC511" s="71" t="n">
        <v>5.99877539564636</v>
      </c>
      <c r="AD511" s="72"/>
      <c r="AE511" s="72"/>
      <c r="AF511" s="72"/>
      <c r="AG511" s="72"/>
      <c r="AH511" s="72"/>
      <c r="AI511" s="73" t="n">
        <v>29.8350406005564</v>
      </c>
      <c r="AJ511" s="42" t="s">
        <v>16</v>
      </c>
      <c r="AK511" s="43" t="n">
        <v>671.52717734806</v>
      </c>
      <c r="AL511" s="74"/>
      <c r="AM511" s="74"/>
      <c r="AN511" s="74"/>
      <c r="AO511" s="78" t="n">
        <v>34.585</v>
      </c>
      <c r="AP511" s="76" t="n">
        <v>1.17646369106001</v>
      </c>
      <c r="AQ511" s="76" t="n">
        <v>1.02343367346939</v>
      </c>
      <c r="AR511" s="76" t="n">
        <v>1.73261103012634</v>
      </c>
      <c r="AS511" s="77" t="n">
        <v>31.4809553659002</v>
      </c>
      <c r="AT511" s="78" t="n">
        <v>31.5920223579131</v>
      </c>
      <c r="AU511" s="78" t="n">
        <v>34.0165878577422</v>
      </c>
      <c r="AV511" s="78" t="n">
        <v>29.5918367346939</v>
      </c>
      <c r="AW511" s="78" t="n">
        <v>50.0971817298348</v>
      </c>
      <c r="AX511" s="78" t="n">
        <v>29.2325</v>
      </c>
      <c r="AY511" s="48" t="n">
        <v>1.41558660175717</v>
      </c>
      <c r="AZ511" s="48" t="n">
        <v>23.5647925432454</v>
      </c>
      <c r="BA511" s="48" t="n">
        <v>-1.24752681135874</v>
      </c>
      <c r="BB511" s="49" t="n">
        <f aca="false">AT511/V511</f>
        <v>1.41558660175717</v>
      </c>
      <c r="BC511" s="49" t="n">
        <f aca="false">AS511/V511</f>
        <v>1.41060987237879</v>
      </c>
      <c r="BD511" s="49" t="n">
        <f aca="false">SUM(AP511:AR511)/V511</f>
        <v>0.176209238259731</v>
      </c>
      <c r="BE511" s="53" t="n">
        <v>6.75</v>
      </c>
      <c r="BF511" s="51" t="n">
        <v>108.790654552604</v>
      </c>
      <c r="BG511" s="51" t="n">
        <v>610.398933640065</v>
      </c>
      <c r="BH511" s="51" t="n">
        <v>219.472523392583</v>
      </c>
      <c r="BI511" s="51" t="n">
        <v>129.533355527115</v>
      </c>
      <c r="BJ511" s="51" t="n">
        <v>7.45197302728409</v>
      </c>
      <c r="BK511" s="51" t="n">
        <v>16.812993292454</v>
      </c>
      <c r="BL511" s="51" t="n">
        <v>9.2170740656705</v>
      </c>
      <c r="BM511" s="51" t="n">
        <v>7.11314705482903</v>
      </c>
      <c r="BN511" s="52" t="n">
        <f aca="false">(BG511*0.5-BH511*0.25+BI511*0.5)/SUM(BG511:BI511)*1000</f>
        <v>328.430720390843</v>
      </c>
      <c r="BO511" s="93" t="n">
        <v>5.304</v>
      </c>
      <c r="BP511" s="94" t="s">
        <v>491</v>
      </c>
      <c r="BQ511" s="55" t="n">
        <v>430.127192982456</v>
      </c>
      <c r="BR511" s="56" t="n">
        <v>19.2732926223975</v>
      </c>
      <c r="BS511" s="56"/>
      <c r="BT511" s="56" t="n">
        <v>13.6150572479801</v>
      </c>
      <c r="BU511" s="55" t="n">
        <v>13335.4114583333</v>
      </c>
      <c r="BV511" s="55" t="n">
        <v>597.537871285005</v>
      </c>
      <c r="BW511" s="55"/>
      <c r="BX511" s="55" t="n">
        <v>422.113257177823</v>
      </c>
      <c r="BY511" s="96" t="n">
        <v>0.04738</v>
      </c>
      <c r="BZ511" s="96" t="n">
        <v>1.1759</v>
      </c>
      <c r="CA511" s="97" t="n">
        <v>4.0392</v>
      </c>
      <c r="CB511" s="97"/>
      <c r="CC511" s="97" t="n">
        <v>7.4562</v>
      </c>
      <c r="CD511" s="97" t="n">
        <v>6.2721</v>
      </c>
      <c r="CE511" s="97" t="n">
        <v>96.96</v>
      </c>
      <c r="CF511" s="97" t="n">
        <v>38.1174</v>
      </c>
      <c r="CG511" s="97" t="n">
        <v>0.1137</v>
      </c>
      <c r="CH511" s="63" t="n">
        <v>83993.4842870342</v>
      </c>
      <c r="CI511" s="63" t="n">
        <v>3084.98180546062</v>
      </c>
      <c r="CJ511" s="64" t="n">
        <v>424158.575589258</v>
      </c>
      <c r="CK511" s="65" t="n">
        <v>0.727318032218218</v>
      </c>
    </row>
    <row r="512" s="1" customFormat="true" ht="15" hidden="false" customHeight="false" outlineLevel="0" collapsed="false">
      <c r="A512" s="7" t="s">
        <v>488</v>
      </c>
      <c r="B512" s="66" t="n">
        <v>503</v>
      </c>
      <c r="C512" s="8" t="s">
        <v>595</v>
      </c>
      <c r="D512" s="67" t="n">
        <v>41766</v>
      </c>
      <c r="E512" s="4" t="s">
        <v>565</v>
      </c>
      <c r="F512" s="99" t="n">
        <v>19</v>
      </c>
      <c r="G512" s="68" t="n">
        <v>1</v>
      </c>
      <c r="H512" s="68" t="n">
        <v>116</v>
      </c>
      <c r="I512" s="7" t="n">
        <v>1</v>
      </c>
      <c r="J512" s="8" t="n">
        <v>708</v>
      </c>
      <c r="K512" s="32"/>
      <c r="L512" s="31" t="n">
        <v>937.054</v>
      </c>
      <c r="M512" s="31" t="n">
        <v>149.036009384882</v>
      </c>
      <c r="N512" s="31" t="n">
        <v>314.495562582883</v>
      </c>
      <c r="O512" s="95"/>
      <c r="P512" s="33" t="n">
        <v>28.9707232479853</v>
      </c>
      <c r="Q512" s="33" t="n">
        <v>9.8</v>
      </c>
      <c r="R512" s="31" t="n">
        <v>268.795266755075</v>
      </c>
      <c r="S512" s="34" t="s">
        <v>76</v>
      </c>
      <c r="T512" s="35"/>
      <c r="U512" s="35"/>
      <c r="V512" s="35" t="n">
        <v>26.502065356004</v>
      </c>
      <c r="W512" s="35" t="n">
        <v>24.8338663501049</v>
      </c>
      <c r="X512" s="35" t="n">
        <v>3.94976206111617</v>
      </c>
      <c r="Y512" s="35" t="n">
        <v>8.3347819537448</v>
      </c>
      <c r="Z512" s="35"/>
      <c r="AA512" s="35" t="n">
        <v>0.76778400092881</v>
      </c>
      <c r="AB512" s="35" t="n">
        <v>0.259720240488839</v>
      </c>
      <c r="AC512" s="71" t="n">
        <v>7.12362972692752</v>
      </c>
      <c r="AD512" s="72"/>
      <c r="AE512" s="72"/>
      <c r="AF512" s="72"/>
      <c r="AG512" s="72"/>
      <c r="AH512" s="72"/>
      <c r="AI512" s="73" t="n">
        <v>34.1495031093172</v>
      </c>
      <c r="AJ512" s="42" t="s">
        <v>16</v>
      </c>
      <c r="AK512" s="43" t="n">
        <v>713.026571173558</v>
      </c>
      <c r="AL512" s="74"/>
      <c r="AM512" s="74"/>
      <c r="AN512" s="74"/>
      <c r="AO512" s="78" t="n">
        <v>35.635</v>
      </c>
      <c r="AP512" s="76" t="n">
        <v>1.44309231693072</v>
      </c>
      <c r="AQ512" s="76" t="n">
        <v>1.18263872691934</v>
      </c>
      <c r="AR512" s="76" t="n">
        <v>1.77309232264334</v>
      </c>
      <c r="AS512" s="77" t="n">
        <v>35.9003847539609</v>
      </c>
      <c r="AT512" s="78" t="n">
        <v>36.2913644733808</v>
      </c>
      <c r="AU512" s="78" t="n">
        <v>40.4964870753676</v>
      </c>
      <c r="AV512" s="78" t="n">
        <v>33.1875607385811</v>
      </c>
      <c r="AW512" s="78" t="n">
        <v>49.757045675413</v>
      </c>
      <c r="AX512" s="78" t="n">
        <v>27.77</v>
      </c>
      <c r="AY512" s="48" t="n">
        <v>1.36937872523807</v>
      </c>
      <c r="AZ512" s="48" t="n">
        <v>26.0944518034497</v>
      </c>
      <c r="BA512" s="48" t="n">
        <v>0.40761355255426</v>
      </c>
      <c r="BB512" s="49" t="n">
        <f aca="false">AT512/V512</f>
        <v>1.36937872523807</v>
      </c>
      <c r="BC512" s="49" t="n">
        <f aca="false">AS512/V512</f>
        <v>1.35462592336517</v>
      </c>
      <c r="BD512" s="49" t="n">
        <f aca="false">SUM(AP512:AR512)/V512</f>
        <v>0.165980398410604</v>
      </c>
      <c r="BE512" s="53" t="n">
        <v>6.36</v>
      </c>
      <c r="BF512" s="51" t="n">
        <v>123.320914798448</v>
      </c>
      <c r="BG512" s="51" t="n">
        <v>603.370404727054</v>
      </c>
      <c r="BH512" s="51" t="n">
        <v>205.953431007693</v>
      </c>
      <c r="BI512" s="51" t="n">
        <v>139.87369696427</v>
      </c>
      <c r="BJ512" s="51" t="n">
        <v>9.56604072878446</v>
      </c>
      <c r="BK512" s="51" t="n">
        <v>16.1399203731668</v>
      </c>
      <c r="BL512" s="51" t="n">
        <v>16.9164817600048</v>
      </c>
      <c r="BM512" s="51" t="n">
        <v>8.18002443902711</v>
      </c>
      <c r="BN512" s="52" t="n">
        <f aca="false">(BG512*0.5-BH512*0.25+BI512*0.5)/SUM(BG512:BI512)*1000</f>
        <v>337.267725700305</v>
      </c>
      <c r="BO512" s="93" t="n">
        <v>5.53714285714286</v>
      </c>
      <c r="BP512" s="94" t="s">
        <v>491</v>
      </c>
      <c r="BQ512" s="55" t="n">
        <v>424.534166666667</v>
      </c>
      <c r="BR512" s="56" t="n">
        <v>16.0189087515962</v>
      </c>
      <c r="BS512" s="56"/>
      <c r="BT512" s="56" t="n">
        <v>11.697938967769</v>
      </c>
      <c r="BU512" s="55" t="n">
        <v>12400.3364583333</v>
      </c>
      <c r="BV512" s="55" t="n">
        <v>467.900757611107</v>
      </c>
      <c r="BW512" s="55"/>
      <c r="BX512" s="55" t="n">
        <v>341.688350335486</v>
      </c>
      <c r="BY512" s="96" t="n">
        <v>0.05665</v>
      </c>
      <c r="BZ512" s="96" t="n">
        <v>0.8327</v>
      </c>
      <c r="CA512" s="97" t="n">
        <v>4.233</v>
      </c>
      <c r="CB512" s="97"/>
      <c r="CC512" s="97" t="n">
        <v>5.7426</v>
      </c>
      <c r="CD512" s="97" t="n">
        <v>4.6561</v>
      </c>
      <c r="CE512" s="97" t="n">
        <v>83.83</v>
      </c>
      <c r="CF512" s="97" t="n">
        <v>33.0358</v>
      </c>
      <c r="CG512" s="97" t="n">
        <v>0.4959</v>
      </c>
      <c r="CH512" s="63" t="n">
        <v>139599.629659823</v>
      </c>
      <c r="CI512" s="63" t="n">
        <v>1087.969369047</v>
      </c>
      <c r="CJ512" s="64" t="n">
        <v>170906.107225222</v>
      </c>
      <c r="CK512" s="65" t="n">
        <v>0.636588935709161</v>
      </c>
    </row>
    <row r="513" s="1" customFormat="true" ht="15" hidden="false" customHeight="false" outlineLevel="0" collapsed="false">
      <c r="A513" s="7" t="s">
        <v>488</v>
      </c>
      <c r="B513" s="66" t="n">
        <v>504</v>
      </c>
      <c r="C513" s="8" t="s">
        <v>596</v>
      </c>
      <c r="D513" s="67" t="n">
        <v>41766</v>
      </c>
      <c r="E513" s="4" t="s">
        <v>565</v>
      </c>
      <c r="F513" s="99" t="n">
        <v>24</v>
      </c>
      <c r="G513" s="68" t="n">
        <v>1</v>
      </c>
      <c r="H513" s="68" t="n">
        <v>121</v>
      </c>
      <c r="I513" s="7" t="n">
        <v>2</v>
      </c>
      <c r="J513" s="8" t="n">
        <v>750</v>
      </c>
      <c r="K513" s="32"/>
      <c r="L513" s="31" t="n">
        <v>937.054</v>
      </c>
      <c r="M513" s="31" t="n">
        <v>149.036009384882</v>
      </c>
      <c r="N513" s="31" t="n">
        <v>314.495562582883</v>
      </c>
      <c r="O513" s="95"/>
      <c r="P513" s="33" t="n">
        <v>28.9707232479853</v>
      </c>
      <c r="Q513" s="33" t="n">
        <v>9.8</v>
      </c>
      <c r="R513" s="31" t="n">
        <v>268.795266755075</v>
      </c>
      <c r="S513" s="34" t="s">
        <v>76</v>
      </c>
      <c r="T513" s="35"/>
      <c r="U513" s="35"/>
      <c r="V513" s="35" t="n">
        <v>21.5778621968818</v>
      </c>
      <c r="W513" s="35" t="n">
        <v>20.2196220830368</v>
      </c>
      <c r="X513" s="35" t="n">
        <v>3.21587847288017</v>
      </c>
      <c r="Y513" s="35" t="n">
        <v>6.78614191094425</v>
      </c>
      <c r="Z513" s="35"/>
      <c r="AA513" s="35" t="n">
        <v>0.625126273989026</v>
      </c>
      <c r="AB513" s="35" t="n">
        <v>0.211463049529441</v>
      </c>
      <c r="AC513" s="71" t="n">
        <v>5.80002722521508</v>
      </c>
      <c r="AD513" s="72"/>
      <c r="AE513" s="72"/>
      <c r="AF513" s="72"/>
      <c r="AG513" s="72"/>
      <c r="AH513" s="72"/>
      <c r="AI513" s="73" t="n">
        <v>31.9031465209712</v>
      </c>
      <c r="AJ513" s="42" t="s">
        <v>16</v>
      </c>
      <c r="AK513" s="43" t="n">
        <v>692.820267945731</v>
      </c>
      <c r="AL513" s="74"/>
      <c r="AM513" s="74"/>
      <c r="AN513" s="74"/>
      <c r="AO513" s="78" t="n">
        <v>29.0775</v>
      </c>
      <c r="AP513" s="76" t="n">
        <v>0.897575871930268</v>
      </c>
      <c r="AQ513" s="76" t="n">
        <v>0.976314504373178</v>
      </c>
      <c r="AR513" s="76" t="n">
        <v>1.4658846574344</v>
      </c>
      <c r="AS513" s="77" t="n">
        <v>25.094638078954</v>
      </c>
      <c r="AT513" s="78" t="n">
        <v>26.3858609505494</v>
      </c>
      <c r="AU513" s="78" t="n">
        <v>30.8683990002671</v>
      </c>
      <c r="AV513" s="78" t="n">
        <v>33.5762876579203</v>
      </c>
      <c r="AW513" s="78" t="n">
        <v>50.4130223517979</v>
      </c>
      <c r="AX513" s="78" t="n">
        <v>29.4175</v>
      </c>
      <c r="AY513" s="48" t="n">
        <v>1.22282090365571</v>
      </c>
      <c r="AZ513" s="48" t="n">
        <v>22.7930326470017</v>
      </c>
      <c r="BA513" s="48" t="n">
        <v>-1.21517045011995</v>
      </c>
      <c r="BB513" s="49" t="n">
        <f aca="false">AT513/V513</f>
        <v>1.22282090365571</v>
      </c>
      <c r="BC513" s="49" t="n">
        <f aca="false">AS513/V513</f>
        <v>1.16298073692307</v>
      </c>
      <c r="BD513" s="49" t="n">
        <f aca="false">SUM(AP513:AR513)/V513</f>
        <v>0.154777846075061</v>
      </c>
      <c r="BE513" s="53" t="n">
        <v>6.04</v>
      </c>
      <c r="BF513" s="51" t="n">
        <v>134.151594863429</v>
      </c>
      <c r="BG513" s="51" t="n">
        <v>595.148834105382</v>
      </c>
      <c r="BH513" s="51" t="n">
        <v>242.872499302262</v>
      </c>
      <c r="BI513" s="51" t="n">
        <v>122.478943014341</v>
      </c>
      <c r="BJ513" s="51" t="n">
        <v>8.72541269532712</v>
      </c>
      <c r="BK513" s="51" t="n">
        <v>12.9593306672885</v>
      </c>
      <c r="BL513" s="51" t="n">
        <v>15.2081776742443</v>
      </c>
      <c r="BM513" s="51" t="n">
        <v>2.60680254115575</v>
      </c>
      <c r="BN513" s="52" t="n">
        <f aca="false">(BG513*0.5-BH513*0.25+BI513*0.5)/SUM(BG513:BI513)*1000</f>
        <v>310.354688126431</v>
      </c>
      <c r="BO513" s="93" t="n">
        <v>5.712</v>
      </c>
      <c r="BP513" s="94" t="s">
        <v>491</v>
      </c>
      <c r="BQ513" s="55" t="n">
        <v>349.391666666667</v>
      </c>
      <c r="BR513" s="56" t="n">
        <v>16.1921354153961</v>
      </c>
      <c r="BS513" s="56"/>
      <c r="BT513" s="56" t="n">
        <v>13.241624645922</v>
      </c>
      <c r="BU513" s="55" t="n">
        <v>11102.3385416667</v>
      </c>
      <c r="BV513" s="55" t="n">
        <v>514.524489978023</v>
      </c>
      <c r="BW513" s="55"/>
      <c r="BX513" s="55" t="n">
        <v>420.768477574937</v>
      </c>
      <c r="BY513" s="96" t="n">
        <v>0.103</v>
      </c>
      <c r="BZ513" s="96" t="n">
        <v>0.6765</v>
      </c>
      <c r="CA513" s="97" t="n">
        <v>4.233</v>
      </c>
      <c r="CB513" s="97"/>
      <c r="CC513" s="97" t="n">
        <v>7.089</v>
      </c>
      <c r="CD513" s="97" t="n">
        <v>5.959</v>
      </c>
      <c r="CE513" s="97" t="n">
        <v>97.97</v>
      </c>
      <c r="CF513" s="97" t="n">
        <v>35.6732</v>
      </c>
      <c r="CG513" s="97" t="n">
        <v>0.1046</v>
      </c>
      <c r="CH513" s="63" t="n">
        <v>79740.9526709803</v>
      </c>
      <c r="CI513" s="63" t="n">
        <v>1252.49182462883</v>
      </c>
      <c r="CJ513" s="64" t="n">
        <v>360741.218143452</v>
      </c>
      <c r="CK513" s="65" t="n">
        <v>0.347199532971241</v>
      </c>
    </row>
    <row r="514" s="1" customFormat="true" ht="15" hidden="false" customHeight="false" outlineLevel="0" collapsed="false">
      <c r="A514" s="7" t="s">
        <v>488</v>
      </c>
      <c r="B514" s="66" t="n">
        <v>505</v>
      </c>
      <c r="C514" s="8" t="s">
        <v>597</v>
      </c>
      <c r="D514" s="67" t="n">
        <v>41766</v>
      </c>
      <c r="E514" s="4" t="s">
        <v>565</v>
      </c>
      <c r="F514" s="99" t="n">
        <v>41</v>
      </c>
      <c r="G514" s="68" t="n">
        <v>1</v>
      </c>
      <c r="H514" s="68" t="n">
        <v>142</v>
      </c>
      <c r="I514" s="7" t="n">
        <v>4</v>
      </c>
      <c r="J514" s="8" t="n">
        <v>687</v>
      </c>
      <c r="K514" s="32"/>
      <c r="L514" s="31" t="n">
        <v>937.054</v>
      </c>
      <c r="M514" s="31" t="n">
        <v>149.036009384882</v>
      </c>
      <c r="N514" s="31" t="n">
        <v>314.495562582883</v>
      </c>
      <c r="O514" s="95"/>
      <c r="P514" s="33" t="n">
        <v>28.9707232479853</v>
      </c>
      <c r="Q514" s="33" t="n">
        <v>9.8</v>
      </c>
      <c r="R514" s="31" t="n">
        <v>268.795266755075</v>
      </c>
      <c r="S514" s="34" t="s">
        <v>76</v>
      </c>
      <c r="T514" s="35"/>
      <c r="U514" s="35"/>
      <c r="V514" s="35" t="n">
        <v>20.0940001711761</v>
      </c>
      <c r="W514" s="35" t="n">
        <v>18.8291632364012</v>
      </c>
      <c r="X514" s="35" t="n">
        <v>2.99472959809122</v>
      </c>
      <c r="Y514" s="35" t="n">
        <v>6.31947388837456</v>
      </c>
      <c r="Z514" s="35"/>
      <c r="AA514" s="35" t="n">
        <v>0.582137717904112</v>
      </c>
      <c r="AB514" s="35" t="n">
        <v>0.196921201677526</v>
      </c>
      <c r="AC514" s="71" t="n">
        <v>5.4011721361878</v>
      </c>
      <c r="AD514" s="72"/>
      <c r="AE514" s="72"/>
      <c r="AF514" s="72"/>
      <c r="AG514" s="72"/>
      <c r="AH514" s="72"/>
      <c r="AI514" s="73" t="n">
        <v>35.1521069236052</v>
      </c>
      <c r="AJ514" s="42" t="s">
        <v>16</v>
      </c>
      <c r="AK514" s="43" t="n">
        <v>721.21158992552</v>
      </c>
      <c r="AL514" s="74"/>
      <c r="AM514" s="74"/>
      <c r="AN514" s="74"/>
      <c r="AO514" s="78" t="n">
        <v>33.7525</v>
      </c>
      <c r="AP514" s="76" t="n">
        <v>1.24667232904527</v>
      </c>
      <c r="AQ514" s="76" t="n">
        <v>1.07342134353742</v>
      </c>
      <c r="AR514" s="76" t="n">
        <v>1.6941852526725</v>
      </c>
      <c r="AS514" s="77" t="n">
        <v>32.201084935679</v>
      </c>
      <c r="AT514" s="78" t="n">
        <v>32.6257476258733</v>
      </c>
      <c r="AU514" s="78" t="n">
        <v>36.9357034010893</v>
      </c>
      <c r="AV514" s="78" t="n">
        <v>31.8027210884354</v>
      </c>
      <c r="AW514" s="78" t="n">
        <v>50.1943634596696</v>
      </c>
      <c r="AX514" s="78" t="n">
        <v>32.86</v>
      </c>
      <c r="AY514" s="48" t="n">
        <v>1.62365618333543</v>
      </c>
      <c r="AZ514" s="48" t="n">
        <v>24.7172141611578</v>
      </c>
      <c r="BA514" s="48" t="n">
        <v>-4.62321398998177</v>
      </c>
      <c r="BB514" s="49" t="n">
        <f aca="false">AT514/V514</f>
        <v>1.62365618333543</v>
      </c>
      <c r="BC514" s="49" t="n">
        <f aca="false">AS514/V514</f>
        <v>1.60252237789218</v>
      </c>
      <c r="BD514" s="49" t="n">
        <f aca="false">SUM(AP514:AR514)/V514</f>
        <v>0.19977500204332</v>
      </c>
      <c r="BE514" s="53" t="n">
        <v>6.69</v>
      </c>
      <c r="BF514" s="51" t="n">
        <v>101.039637340366</v>
      </c>
      <c r="BG514" s="51" t="n">
        <v>655.276795923089</v>
      </c>
      <c r="BH514" s="51" t="n">
        <v>183.05672577812</v>
      </c>
      <c r="BI514" s="51" t="n">
        <v>115.044613576962</v>
      </c>
      <c r="BJ514" s="51" t="n">
        <v>10.5665062370769</v>
      </c>
      <c r="BK514" s="51" t="n">
        <v>13.0399590104484</v>
      </c>
      <c r="BL514" s="51" t="n">
        <v>16.4331110032768</v>
      </c>
      <c r="BM514" s="51" t="n">
        <v>6.58228847102694</v>
      </c>
      <c r="BN514" s="52" t="n">
        <f aca="false">(BG514*0.5-BH514*0.25+BI514*0.5)/SUM(BG514:BI514)*1000</f>
        <v>355.993609195231</v>
      </c>
      <c r="BO514" s="93" t="n">
        <v>2.47714285714286</v>
      </c>
      <c r="BP514" s="94" t="s">
        <v>491</v>
      </c>
      <c r="BQ514" s="55" t="n">
        <v>521.310606060606</v>
      </c>
      <c r="BR514" s="56" t="n">
        <v>25.9435951836211</v>
      </c>
      <c r="BS514" s="56"/>
      <c r="BT514" s="56" t="n">
        <v>15.9785029921334</v>
      </c>
      <c r="BU514" s="55" t="n">
        <v>14798.6864583333</v>
      </c>
      <c r="BV514" s="55" t="n">
        <v>736.472894011486</v>
      </c>
      <c r="BW514" s="55"/>
      <c r="BX514" s="55" t="n">
        <v>453.589190599803</v>
      </c>
      <c r="BY514" s="96" t="n">
        <v>0.08858</v>
      </c>
      <c r="BZ514" s="96" t="n">
        <v>0.737</v>
      </c>
      <c r="CA514" s="97" t="n">
        <v>4.1922</v>
      </c>
      <c r="CB514" s="97"/>
      <c r="CC514" s="97" t="n">
        <v>7.14</v>
      </c>
      <c r="CD514" s="97" t="n">
        <v>7.777</v>
      </c>
      <c r="CE514" s="97" t="n">
        <v>75.75</v>
      </c>
      <c r="CF514" s="97" t="n">
        <v>37.4205</v>
      </c>
      <c r="CG514" s="97" t="n">
        <v>0.0955</v>
      </c>
      <c r="CH514" s="63" t="n">
        <v>119712.153295903</v>
      </c>
      <c r="CI514" s="63" t="n">
        <v>2156.71529192183</v>
      </c>
      <c r="CJ514" s="64" t="n">
        <v>354774.200923252</v>
      </c>
      <c r="CK514" s="65" t="n">
        <v>0.607912099106777</v>
      </c>
    </row>
    <row r="515" s="1" customFormat="true" ht="15" hidden="false" customHeight="false" outlineLevel="0" collapsed="false">
      <c r="A515" s="7" t="s">
        <v>488</v>
      </c>
      <c r="B515" s="66" t="n">
        <v>506</v>
      </c>
      <c r="C515" s="8" t="s">
        <v>598</v>
      </c>
      <c r="D515" s="67" t="n">
        <v>41766</v>
      </c>
      <c r="E515" s="4" t="s">
        <v>565</v>
      </c>
      <c r="F515" s="99" t="n">
        <v>53</v>
      </c>
      <c r="G515" s="68" t="n">
        <v>1</v>
      </c>
      <c r="H515" s="68" t="n">
        <v>204</v>
      </c>
      <c r="I515" s="7" t="n">
        <v>1</v>
      </c>
      <c r="J515" s="8" t="n">
        <v>729</v>
      </c>
      <c r="K515" s="32"/>
      <c r="L515" s="31" t="n">
        <v>937.054</v>
      </c>
      <c r="M515" s="31" t="n">
        <v>149.036009384882</v>
      </c>
      <c r="N515" s="31" t="n">
        <v>314.495562582883</v>
      </c>
      <c r="O515" s="95"/>
      <c r="P515" s="33" t="n">
        <v>28.9707232479853</v>
      </c>
      <c r="Q515" s="33" t="n">
        <v>9.8</v>
      </c>
      <c r="R515" s="31" t="n">
        <v>268.795266755075</v>
      </c>
      <c r="S515" s="34" t="s">
        <v>76</v>
      </c>
      <c r="T515" s="35"/>
      <c r="U515" s="35"/>
      <c r="V515" s="35" t="n">
        <v>22.3674536034288</v>
      </c>
      <c r="W515" s="35" t="n">
        <v>20.9595118689074</v>
      </c>
      <c r="X515" s="35" t="n">
        <v>3.33355602515653</v>
      </c>
      <c r="Y515" s="35" t="n">
        <v>7.03446490455687</v>
      </c>
      <c r="Z515" s="35"/>
      <c r="AA515" s="35" t="n">
        <v>0.648001308107087</v>
      </c>
      <c r="AB515" s="35" t="n">
        <v>0.219201045313602</v>
      </c>
      <c r="AC515" s="71" t="n">
        <v>6.01226565796541</v>
      </c>
      <c r="AD515" s="72"/>
      <c r="AE515" s="72"/>
      <c r="AF515" s="72"/>
      <c r="AG515" s="72"/>
      <c r="AH515" s="72"/>
      <c r="AI515" s="73" t="n">
        <v>29.0802210605656</v>
      </c>
      <c r="AJ515" s="42" t="s">
        <v>16</v>
      </c>
      <c r="AK515" s="43" t="n">
        <v>663.001186284332</v>
      </c>
      <c r="AL515" s="74"/>
      <c r="AM515" s="74"/>
      <c r="AN515" s="74"/>
      <c r="AO515" s="78" t="n">
        <v>35.6125</v>
      </c>
      <c r="AP515" s="76" t="n">
        <v>1.38428878932525</v>
      </c>
      <c r="AQ515" s="76" t="n">
        <v>1.22688350340136</v>
      </c>
      <c r="AR515" s="76" t="n">
        <v>1.76418579931973</v>
      </c>
      <c r="AS515" s="77" t="n">
        <v>35.0093318398788</v>
      </c>
      <c r="AT515" s="78" t="n">
        <v>35.8680424472033</v>
      </c>
      <c r="AU515" s="78" t="n">
        <v>38.8708680751212</v>
      </c>
      <c r="AV515" s="78" t="n">
        <v>34.4509232264334</v>
      </c>
      <c r="AW515" s="78" t="n">
        <v>49.5383867832848</v>
      </c>
      <c r="AX515" s="78" t="n">
        <v>27.5225</v>
      </c>
      <c r="AY515" s="48" t="n">
        <v>1.60358184186442</v>
      </c>
      <c r="AZ515" s="48" t="n">
        <v>26.5552854652929</v>
      </c>
      <c r="BA515" s="48" t="n">
        <v>-4.18783186186406</v>
      </c>
      <c r="BB515" s="49" t="n">
        <f aca="false">AT515/V515</f>
        <v>1.60358184186442</v>
      </c>
      <c r="BC515" s="49" t="n">
        <f aca="false">AS515/V515</f>
        <v>1.56519076603839</v>
      </c>
      <c r="BD515" s="49" t="n">
        <f aca="false">SUM(AP515:AR515)/V515</f>
        <v>0.19561270449559</v>
      </c>
      <c r="BE515" s="53" t="n">
        <v>6.53</v>
      </c>
      <c r="BF515" s="51" t="n">
        <v>110.904606083524</v>
      </c>
      <c r="BG515" s="51" t="n">
        <v>630.196779799237</v>
      </c>
      <c r="BH515" s="51" t="n">
        <v>204.448010883912</v>
      </c>
      <c r="BI515" s="51" t="n">
        <v>118.86235538033</v>
      </c>
      <c r="BJ515" s="51" t="n">
        <v>8.72605008925908</v>
      </c>
      <c r="BK515" s="51" t="n">
        <v>15.2968286280721</v>
      </c>
      <c r="BL515" s="51" t="n">
        <v>13.7849283332542</v>
      </c>
      <c r="BM515" s="51" t="n">
        <v>8.68504688593589</v>
      </c>
      <c r="BN515" s="52" t="n">
        <f aca="false">(BG515*0.5-BH515*0.25+BI515*0.5)/SUM(BG515:BI515)*1000</f>
        <v>339.187352925485</v>
      </c>
      <c r="BO515" s="93" t="n">
        <v>2.06914285714286</v>
      </c>
      <c r="BP515" s="94" t="s">
        <v>491</v>
      </c>
      <c r="BQ515" s="55" t="n">
        <v>507.123015873016</v>
      </c>
      <c r="BR515" s="56" t="n">
        <v>22.672362480961</v>
      </c>
      <c r="BS515" s="56"/>
      <c r="BT515" s="56" t="n">
        <v>14.1385752127255</v>
      </c>
      <c r="BU515" s="55" t="n">
        <v>14246.4166666667</v>
      </c>
      <c r="BV515" s="55" t="n">
        <v>636.926174934941</v>
      </c>
      <c r="BW515" s="55"/>
      <c r="BX515" s="55" t="n">
        <v>397.189690171605</v>
      </c>
      <c r="BY515" s="96" t="n">
        <v>0.05356</v>
      </c>
      <c r="BZ515" s="96" t="n">
        <v>0.693</v>
      </c>
      <c r="CA515" s="97" t="n">
        <v>4.284</v>
      </c>
      <c r="CB515" s="97"/>
      <c r="CC515" s="97" t="n">
        <v>4.9674</v>
      </c>
      <c r="CD515" s="97" t="n">
        <v>6.6357</v>
      </c>
      <c r="CE515" s="97" t="n">
        <v>88.88</v>
      </c>
      <c r="CF515" s="97" t="n">
        <v>36.4004</v>
      </c>
      <c r="CG515" s="97" t="n">
        <v>0.7416</v>
      </c>
      <c r="CH515" s="63"/>
      <c r="CI515" s="63"/>
      <c r="CJ515" s="64"/>
      <c r="CK515" s="65"/>
    </row>
    <row r="516" s="1" customFormat="true" ht="15" hidden="false" customHeight="false" outlineLevel="0" collapsed="false">
      <c r="A516" s="7" t="s">
        <v>488</v>
      </c>
      <c r="B516" s="66" t="n">
        <v>507</v>
      </c>
      <c r="C516" s="8" t="s">
        <v>599</v>
      </c>
      <c r="D516" s="67" t="n">
        <v>41766</v>
      </c>
      <c r="E516" s="4" t="s">
        <v>565</v>
      </c>
      <c r="F516" s="99" t="n">
        <v>56</v>
      </c>
      <c r="G516" s="68" t="n">
        <v>1</v>
      </c>
      <c r="H516" s="68" t="n">
        <v>150</v>
      </c>
      <c r="I516" s="7" t="n">
        <v>2</v>
      </c>
      <c r="J516" s="8" t="n">
        <v>792</v>
      </c>
      <c r="K516" s="32"/>
      <c r="L516" s="31" t="n">
        <v>937.054</v>
      </c>
      <c r="M516" s="31" t="n">
        <v>149.036009384882</v>
      </c>
      <c r="N516" s="31" t="n">
        <v>314.495562582883</v>
      </c>
      <c r="O516" s="95"/>
      <c r="P516" s="33" t="n">
        <v>28.9707232479853</v>
      </c>
      <c r="Q516" s="33" t="n">
        <v>9.8</v>
      </c>
      <c r="R516" s="31" t="n">
        <v>268.795266755075</v>
      </c>
      <c r="S516" s="34" t="s">
        <v>76</v>
      </c>
      <c r="T516" s="35"/>
      <c r="U516" s="35"/>
      <c r="V516" s="35" t="n">
        <v>26.8371043867506</v>
      </c>
      <c r="W516" s="35" t="n">
        <v>25.1478160140222</v>
      </c>
      <c r="X516" s="35" t="n">
        <v>3.99969494124682</v>
      </c>
      <c r="Y516" s="35" t="n">
        <v>8.44015024220668</v>
      </c>
      <c r="Z516" s="35"/>
      <c r="AA516" s="35" t="n">
        <v>0.777490323965844</v>
      </c>
      <c r="AB516" s="35" t="n">
        <v>0.263003622990156</v>
      </c>
      <c r="AC516" s="71" t="n">
        <v>7.21368663257042</v>
      </c>
      <c r="AD516" s="72"/>
      <c r="AE516" s="72"/>
      <c r="AF516" s="72"/>
      <c r="AG516" s="72"/>
      <c r="AH516" s="72"/>
      <c r="AI516" s="73" t="n">
        <v>30.2847877183555</v>
      </c>
      <c r="AJ516" s="42" t="s">
        <v>16</v>
      </c>
      <c r="AK516" s="43" t="n">
        <v>676.405194213719</v>
      </c>
      <c r="AL516" s="74"/>
      <c r="AM516" s="74"/>
      <c r="AN516" s="74"/>
      <c r="AO516" s="78" t="n">
        <v>37.89</v>
      </c>
      <c r="AP516" s="76" t="n">
        <v>1.44665643389599</v>
      </c>
      <c r="AQ516" s="76" t="n">
        <v>1.14885131195335</v>
      </c>
      <c r="AR516" s="76" t="n">
        <v>1.78955685131195</v>
      </c>
      <c r="AS516" s="77" t="n">
        <v>36.8558465084398</v>
      </c>
      <c r="AT516" s="78" t="n">
        <v>36.176030728722</v>
      </c>
      <c r="AU516" s="78" t="n">
        <v>38.1804284480334</v>
      </c>
      <c r="AV516" s="78" t="n">
        <v>30.3206997084548</v>
      </c>
      <c r="AW516" s="78" t="n">
        <v>47.2303206997085</v>
      </c>
      <c r="AX516" s="78" t="n">
        <v>31.5575</v>
      </c>
      <c r="AY516" s="48" t="n">
        <v>1.34798561750134</v>
      </c>
      <c r="AZ516" s="48" t="n">
        <v>27.934663351364</v>
      </c>
      <c r="BA516" s="48" t="n">
        <v>-1.09755896461336</v>
      </c>
      <c r="BB516" s="49" t="n">
        <f aca="false">AT516/V516</f>
        <v>1.34798561750134</v>
      </c>
      <c r="BC516" s="49" t="n">
        <f aca="false">AS516/V516</f>
        <v>1.37331680710813</v>
      </c>
      <c r="BD516" s="49" t="n">
        <f aca="false">SUM(AP516:AR516)/V516</f>
        <v>0.163395593427963</v>
      </c>
      <c r="BE516" s="53" t="n">
        <v>6.34</v>
      </c>
      <c r="BF516" s="51" t="n">
        <v>125.467105547034</v>
      </c>
      <c r="BG516" s="51" t="n">
        <v>624.164885162405</v>
      </c>
      <c r="BH516" s="51" t="n">
        <v>203.540501102414</v>
      </c>
      <c r="BI516" s="51" t="n">
        <v>121.703658237371</v>
      </c>
      <c r="BJ516" s="51" t="n">
        <v>9.19782539256073</v>
      </c>
      <c r="BK516" s="51" t="n">
        <v>16.7844337185418</v>
      </c>
      <c r="BL516" s="51" t="n">
        <v>15.5503945030256</v>
      </c>
      <c r="BM516" s="51" t="n">
        <v>9.0583018836826</v>
      </c>
      <c r="BN516" s="52" t="n">
        <f aca="false">(BG516*0.5-BH516*0.25+BI516*0.5)/SUM(BG516:BI516)*1000</f>
        <v>339.210110003899</v>
      </c>
      <c r="BO516" s="93" t="n">
        <v>5.42057142857143</v>
      </c>
      <c r="BP516" s="94" t="s">
        <v>491</v>
      </c>
      <c r="BQ516" s="55" t="n">
        <v>422.606060606061</v>
      </c>
      <c r="BR516" s="56" t="n">
        <v>15.7470811498837</v>
      </c>
      <c r="BS516" s="56"/>
      <c r="BT516" s="56" t="n">
        <v>11.6819355825716</v>
      </c>
      <c r="BU516" s="55" t="n">
        <v>12894.0354166667</v>
      </c>
      <c r="BV516" s="55" t="n">
        <v>480.455537633651</v>
      </c>
      <c r="BW516" s="55"/>
      <c r="BX516" s="55" t="n">
        <v>356.424824861436</v>
      </c>
      <c r="BY516" s="96" t="n">
        <v>0.05356</v>
      </c>
      <c r="BZ516" s="96" t="n">
        <v>1.4058</v>
      </c>
      <c r="CA516" s="97" t="n">
        <v>4.0392</v>
      </c>
      <c r="CB516" s="97"/>
      <c r="CC516" s="97" t="n">
        <v>6.5484</v>
      </c>
      <c r="CD516" s="97" t="n">
        <v>6.6357</v>
      </c>
      <c r="CE516" s="97" t="n">
        <v>91.91</v>
      </c>
      <c r="CF516" s="97" t="n">
        <v>38.3901</v>
      </c>
      <c r="CG516" s="97" t="n">
        <v>0.1137</v>
      </c>
      <c r="CH516" s="63" t="n">
        <v>98404.8038103839</v>
      </c>
      <c r="CI516" s="63" t="n">
        <v>1130.38847814081</v>
      </c>
      <c r="CJ516" s="64" t="n">
        <v>186111.992421059</v>
      </c>
      <c r="CK516" s="65" t="n">
        <v>0.607370037489803</v>
      </c>
    </row>
    <row r="517" s="1" customFormat="true" ht="15" hidden="false" customHeight="false" outlineLevel="0" collapsed="false">
      <c r="A517" s="7" t="s">
        <v>488</v>
      </c>
      <c r="B517" s="66" t="n">
        <v>508</v>
      </c>
      <c r="C517" s="8" t="s">
        <v>600</v>
      </c>
      <c r="D517" s="67" t="n">
        <v>41766</v>
      </c>
      <c r="E517" s="4" t="s">
        <v>565</v>
      </c>
      <c r="F517" s="99" t="n">
        <v>62</v>
      </c>
      <c r="G517" s="68" t="n">
        <v>1</v>
      </c>
      <c r="H517" s="68" t="n">
        <v>193</v>
      </c>
      <c r="I517" s="7" t="n">
        <v>1</v>
      </c>
      <c r="J517" s="8" t="n">
        <v>771</v>
      </c>
      <c r="K517" s="32"/>
      <c r="L517" s="31" t="n">
        <v>937.054</v>
      </c>
      <c r="M517" s="31" t="n">
        <v>149.036009384882</v>
      </c>
      <c r="N517" s="31" t="n">
        <v>314.495562582883</v>
      </c>
      <c r="O517" s="95"/>
      <c r="P517" s="33" t="n">
        <v>28.9707232479853</v>
      </c>
      <c r="Q517" s="33" t="n">
        <v>9.8</v>
      </c>
      <c r="R517" s="31" t="n">
        <v>268.795266755075</v>
      </c>
      <c r="S517" s="34" t="s">
        <v>76</v>
      </c>
      <c r="T517" s="35"/>
      <c r="U517" s="35"/>
      <c r="V517" s="35" t="n">
        <v>21.2086700283369</v>
      </c>
      <c r="W517" s="35" t="n">
        <v>19.8736690847332</v>
      </c>
      <c r="X517" s="35" t="n">
        <v>3.16085554538409</v>
      </c>
      <c r="Y517" s="35" t="n">
        <v>6.67003261219655</v>
      </c>
      <c r="Z517" s="35"/>
      <c r="AA517" s="35" t="n">
        <v>0.61443050984879</v>
      </c>
      <c r="AB517" s="35" t="n">
        <v>0.207844966277702</v>
      </c>
      <c r="AC517" s="71" t="n">
        <v>5.70079011778719</v>
      </c>
      <c r="AD517" s="72"/>
      <c r="AE517" s="72"/>
      <c r="AF517" s="72"/>
      <c r="AG517" s="72"/>
      <c r="AH517" s="72"/>
      <c r="AI517" s="73" t="n">
        <v>29.9155601327174</v>
      </c>
      <c r="AJ517" s="42" t="s">
        <v>16</v>
      </c>
      <c r="AK517" s="43" t="n">
        <v>672.411281736886</v>
      </c>
      <c r="AL517" s="74"/>
      <c r="AM517" s="74"/>
      <c r="AN517" s="74"/>
      <c r="AO517" s="78" t="n">
        <v>29.885</v>
      </c>
      <c r="AP517" s="76" t="n">
        <v>0.849140948351025</v>
      </c>
      <c r="AQ517" s="76" t="n">
        <v>0.916783122772919</v>
      </c>
      <c r="AR517" s="76" t="n">
        <v>1.49570213799806</v>
      </c>
      <c r="AS517" s="77" t="n">
        <v>24.6911142252654</v>
      </c>
      <c r="AT517" s="78" t="n">
        <v>25.498656928483</v>
      </c>
      <c r="AU517" s="78" t="n">
        <v>28.4136171440865</v>
      </c>
      <c r="AV517" s="78" t="n">
        <v>30.677032717849</v>
      </c>
      <c r="AW517" s="78" t="n">
        <v>50.0485908649174</v>
      </c>
      <c r="AX517" s="78" t="n">
        <v>31.5466666666667</v>
      </c>
      <c r="AY517" s="48" t="n">
        <v>1.20227514947492</v>
      </c>
      <c r="AZ517" s="48" t="n">
        <v>23.2904791510789</v>
      </c>
      <c r="BA517" s="48" t="n">
        <v>-2.08180912274195</v>
      </c>
      <c r="BB517" s="49" t="n">
        <f aca="false">AT517/V517</f>
        <v>1.20227514947492</v>
      </c>
      <c r="BC517" s="49" t="n">
        <f aca="false">AS517/V517</f>
        <v>1.16419908425543</v>
      </c>
      <c r="BD517" s="49" t="n">
        <f aca="false">SUM(AP517:AR517)/V517</f>
        <v>0.153787399434483</v>
      </c>
      <c r="BE517" s="53" t="n">
        <v>6.63</v>
      </c>
      <c r="BF517" s="51" t="n">
        <v>104.695941764888</v>
      </c>
      <c r="BG517" s="51" t="n">
        <v>670.692161476556</v>
      </c>
      <c r="BH517" s="51" t="n">
        <v>167.657617864769</v>
      </c>
      <c r="BI517" s="51" t="n">
        <v>112.559375104968</v>
      </c>
      <c r="BJ517" s="51" t="n">
        <v>10.5448786396523</v>
      </c>
      <c r="BK517" s="51" t="n">
        <v>13.0150415597697</v>
      </c>
      <c r="BL517" s="51" t="n">
        <v>18.2135624643672</v>
      </c>
      <c r="BM517" s="51" t="n">
        <v>7.31736288991819</v>
      </c>
      <c r="BN517" s="52" t="n">
        <f aca="false">(BG517*0.5-BH517*0.25+BI517*0.5)/SUM(BG517:BI517)*1000</f>
        <v>367.765271991943</v>
      </c>
      <c r="BO517" s="93" t="n">
        <v>2.56457142857143</v>
      </c>
      <c r="BP517" s="94" t="s">
        <v>491</v>
      </c>
      <c r="BQ517" s="55" t="n">
        <v>424.483333333333</v>
      </c>
      <c r="BR517" s="56" t="n">
        <v>20.0146134937354</v>
      </c>
      <c r="BS517" s="56"/>
      <c r="BT517" s="56" t="n">
        <v>16.6472820323006</v>
      </c>
      <c r="BU517" s="55" t="n">
        <v>12016.9988888889</v>
      </c>
      <c r="BV517" s="55" t="n">
        <v>566.607848244749</v>
      </c>
      <c r="BW517" s="55"/>
      <c r="BX517" s="55" t="n">
        <v>471.279680439381</v>
      </c>
      <c r="BY517" s="96" t="n">
        <v>0.09991</v>
      </c>
      <c r="BZ517" s="96" t="n">
        <v>0.9383</v>
      </c>
      <c r="CA517" s="97" t="n">
        <v>4.437</v>
      </c>
      <c r="CB517" s="97"/>
      <c r="CC517" s="97" t="n">
        <v>6.3342</v>
      </c>
      <c r="CD517" s="97" t="n">
        <v>6.5852</v>
      </c>
      <c r="CE517" s="97" t="n">
        <v>114.13</v>
      </c>
      <c r="CF517" s="97" t="n">
        <v>40.5414</v>
      </c>
      <c r="CG517" s="97" t="n">
        <v>0.0864</v>
      </c>
      <c r="CH517" s="63" t="n">
        <v>138095.611322182</v>
      </c>
      <c r="CI517" s="63" t="n">
        <v>1323.86762523956</v>
      </c>
      <c r="CJ517" s="64" t="n">
        <v>181331.774229904</v>
      </c>
      <c r="CK517" s="65" t="n">
        <v>0.730080335264946</v>
      </c>
    </row>
    <row r="518" s="1" customFormat="true" ht="15" hidden="false" customHeight="false" outlineLevel="0" collapsed="false">
      <c r="A518" s="7" t="s">
        <v>488</v>
      </c>
      <c r="B518" s="66" t="n">
        <v>509</v>
      </c>
      <c r="C518" s="8" t="s">
        <v>601</v>
      </c>
      <c r="D518" s="67" t="n">
        <v>41766</v>
      </c>
      <c r="E518" s="4" t="s">
        <v>565</v>
      </c>
      <c r="F518" s="99" t="n">
        <v>64</v>
      </c>
      <c r="G518" s="68" t="n">
        <v>1</v>
      </c>
      <c r="H518" s="68" t="n">
        <v>209</v>
      </c>
      <c r="I518" s="7" t="n">
        <v>2</v>
      </c>
      <c r="J518" s="8" t="n">
        <v>719</v>
      </c>
      <c r="K518" s="32"/>
      <c r="L518" s="31" t="n">
        <v>937.054</v>
      </c>
      <c r="M518" s="31" t="n">
        <v>149.036009384882</v>
      </c>
      <c r="N518" s="31" t="n">
        <v>314.495562582883</v>
      </c>
      <c r="O518" s="95"/>
      <c r="P518" s="33" t="n">
        <v>28.9707232479853</v>
      </c>
      <c r="Q518" s="33" t="n">
        <v>9.8</v>
      </c>
      <c r="R518" s="31" t="n">
        <v>268.795266755075</v>
      </c>
      <c r="S518" s="34" t="s">
        <v>76</v>
      </c>
      <c r="T518" s="35"/>
      <c r="U518" s="35"/>
      <c r="V518" s="35" t="n">
        <v>25.0711711477092</v>
      </c>
      <c r="W518" s="35" t="n">
        <v>23.4930412086455</v>
      </c>
      <c r="X518" s="35" t="n">
        <v>3.73650729845997</v>
      </c>
      <c r="Y518" s="35" t="n">
        <v>7.88477207471053</v>
      </c>
      <c r="Z518" s="35"/>
      <c r="AA518" s="35" t="n">
        <v>0.726329960823156</v>
      </c>
      <c r="AB518" s="35" t="n">
        <v>0.24569747724755</v>
      </c>
      <c r="AC518" s="71" t="n">
        <v>6.73901213651063</v>
      </c>
      <c r="AD518" s="72"/>
      <c r="AE518" s="72"/>
      <c r="AF518" s="72"/>
      <c r="AG518" s="72"/>
      <c r="AH518" s="72"/>
      <c r="AI518" s="73" t="n">
        <v>32.3277672703234</v>
      </c>
      <c r="AJ518" s="42" t="s">
        <v>16</v>
      </c>
      <c r="AK518" s="43" t="n">
        <v>696.855031216576</v>
      </c>
      <c r="AL518" s="74"/>
      <c r="AM518" s="74"/>
      <c r="AN518" s="74"/>
      <c r="AO518" s="78" t="n">
        <v>27.0575</v>
      </c>
      <c r="AP518" s="76" t="n">
        <v>1.04184780050552</v>
      </c>
      <c r="AQ518" s="76" t="n">
        <v>0.894685556365403</v>
      </c>
      <c r="AR518" s="76" t="n">
        <v>1.38968792517007</v>
      </c>
      <c r="AS518" s="77" t="n">
        <v>26.4507170075827</v>
      </c>
      <c r="AT518" s="78" t="n">
        <v>27.1018120241137</v>
      </c>
      <c r="AU518" s="78" t="n">
        <v>38.5049542827503</v>
      </c>
      <c r="AV518" s="78" t="n">
        <v>33.0660835762877</v>
      </c>
      <c r="AW518" s="78" t="n">
        <v>51.3605442176871</v>
      </c>
      <c r="AX518" s="78" t="n">
        <v>27.46</v>
      </c>
      <c r="AY518" s="48" t="n">
        <v>1.08099505461635</v>
      </c>
      <c r="AZ518" s="48" t="n">
        <v>23.2431022595756</v>
      </c>
      <c r="BA518" s="48" t="n">
        <v>1.8280688881336</v>
      </c>
      <c r="BB518" s="49" t="n">
        <f aca="false">AT518/V518</f>
        <v>1.08099505461635</v>
      </c>
      <c r="BC518" s="49" t="n">
        <f aca="false">AS518/V518</f>
        <v>1.05502518616884</v>
      </c>
      <c r="BD518" s="49" t="n">
        <f aca="false">SUM(AP518:AR518)/V518</f>
        <v>0.132671156941343</v>
      </c>
      <c r="BE518" s="53" t="n">
        <v>6.15</v>
      </c>
      <c r="BF518" s="51" t="n">
        <v>132.127294781613</v>
      </c>
      <c r="BG518" s="51" t="n">
        <v>622.639999425182</v>
      </c>
      <c r="BH518" s="51" t="n">
        <v>203.810550794654</v>
      </c>
      <c r="BI518" s="51" t="n">
        <v>122.770864958118</v>
      </c>
      <c r="BJ518" s="51" t="n">
        <v>10.4035680111797</v>
      </c>
      <c r="BK518" s="51" t="n">
        <v>16.028954822499</v>
      </c>
      <c r="BL518" s="51" t="n">
        <v>19.3931042084858</v>
      </c>
      <c r="BM518" s="51" t="n">
        <v>4.95295777988082</v>
      </c>
      <c r="BN518" s="52" t="n">
        <f aca="false">(BG518*0.5-BH518*0.25+BI518*0.5)/SUM(BG518:BI518)*1000</f>
        <v>338.964955223504</v>
      </c>
      <c r="BO518" s="93" t="n">
        <v>6.84857142857143</v>
      </c>
      <c r="BP518" s="94" t="s">
        <v>491</v>
      </c>
      <c r="BQ518" s="55" t="n">
        <v>361.181818181818</v>
      </c>
      <c r="BR518" s="56" t="n">
        <v>14.4062603240144</v>
      </c>
      <c r="BS518" s="56"/>
      <c r="BT518" s="56" t="n">
        <v>13.3268512769721</v>
      </c>
      <c r="BU518" s="55" t="n">
        <v>10797.025</v>
      </c>
      <c r="BV518" s="55" t="n">
        <v>430.654991599248</v>
      </c>
      <c r="BW518" s="55"/>
      <c r="BX518" s="55" t="n">
        <v>398.387568712875</v>
      </c>
      <c r="BY518" s="96" t="n">
        <v>0.05459</v>
      </c>
      <c r="BZ518" s="96" t="n">
        <v>0.8239</v>
      </c>
      <c r="CA518" s="97" t="n">
        <v>4.4064</v>
      </c>
      <c r="CB518" s="97"/>
      <c r="CC518" s="97" t="n">
        <v>6.9462</v>
      </c>
      <c r="CD518" s="97" t="n">
        <v>4.949</v>
      </c>
      <c r="CE518" s="97" t="n">
        <v>90.9</v>
      </c>
      <c r="CF518" s="97" t="n">
        <v>37.6427</v>
      </c>
      <c r="CG518" s="97" t="n">
        <v>0.1228</v>
      </c>
      <c r="CH518" s="63" t="n">
        <v>107723.66344961</v>
      </c>
      <c r="CI518" s="63" t="n">
        <v>1462.49106684919</v>
      </c>
      <c r="CJ518" s="64" t="n">
        <v>235376.891191674</v>
      </c>
      <c r="CK518" s="65" t="n">
        <v>0.621340123681999</v>
      </c>
    </row>
    <row r="519" s="1" customFormat="true" ht="15" hidden="false" customHeight="false" outlineLevel="0" collapsed="false">
      <c r="A519" s="7" t="s">
        <v>488</v>
      </c>
      <c r="B519" s="66" t="n">
        <v>510</v>
      </c>
      <c r="C519" s="8" t="s">
        <v>602</v>
      </c>
      <c r="D519" s="67" t="n">
        <v>41766</v>
      </c>
      <c r="E519" s="4" t="s">
        <v>565</v>
      </c>
      <c r="F519" s="99" t="n">
        <v>82</v>
      </c>
      <c r="G519" s="68" t="n">
        <v>1</v>
      </c>
      <c r="H519" s="68" t="n">
        <v>160</v>
      </c>
      <c r="I519" s="7" t="n">
        <v>3</v>
      </c>
      <c r="J519" s="8" t="n">
        <v>708</v>
      </c>
      <c r="K519" s="32"/>
      <c r="L519" s="31" t="n">
        <v>937.054</v>
      </c>
      <c r="M519" s="31" t="n">
        <v>149.036009384882</v>
      </c>
      <c r="N519" s="31" t="n">
        <v>314.495562582883</v>
      </c>
      <c r="O519" s="95"/>
      <c r="P519" s="33" t="n">
        <v>28.9707232479853</v>
      </c>
      <c r="Q519" s="33" t="n">
        <v>9.8</v>
      </c>
      <c r="R519" s="31" t="n">
        <v>268.795266755075</v>
      </c>
      <c r="S519" s="34" t="s">
        <v>76</v>
      </c>
      <c r="T519" s="35"/>
      <c r="U519" s="35"/>
      <c r="V519" s="35" t="n">
        <v>25.4320777886509</v>
      </c>
      <c r="W519" s="35" t="n">
        <v>23.8312302201664</v>
      </c>
      <c r="X519" s="35" t="n">
        <v>3.79029538398642</v>
      </c>
      <c r="Y519" s="35" t="n">
        <v>7.99827561179339</v>
      </c>
      <c r="Z519" s="35"/>
      <c r="AA519" s="35" t="n">
        <v>0.736785687236239</v>
      </c>
      <c r="AB519" s="35" t="n">
        <v>0.249234362328779</v>
      </c>
      <c r="AC519" s="71" t="n">
        <v>6.83602213333623</v>
      </c>
      <c r="AD519" s="72"/>
      <c r="AE519" s="72"/>
      <c r="AF519" s="72"/>
      <c r="AG519" s="72"/>
      <c r="AH519" s="72"/>
      <c r="AI519" s="73" t="n">
        <v>31.7970128816662</v>
      </c>
      <c r="AJ519" s="42" t="s">
        <v>16</v>
      </c>
      <c r="AK519" s="43" t="n">
        <v>691.794948271679</v>
      </c>
      <c r="AL519" s="74"/>
      <c r="AM519" s="74"/>
      <c r="AN519" s="74"/>
      <c r="AO519" s="78" t="n">
        <v>40.9825</v>
      </c>
      <c r="AP519" s="76" t="n">
        <v>1.11789312076254</v>
      </c>
      <c r="AQ519" s="76" t="n">
        <v>1.25954476433431</v>
      </c>
      <c r="AR519" s="76" t="n">
        <v>2.01726299805637</v>
      </c>
      <c r="AS519" s="77" t="n">
        <v>33.1613968114381</v>
      </c>
      <c r="AT519" s="78" t="n">
        <v>34.238903681512</v>
      </c>
      <c r="AU519" s="78" t="n">
        <v>27.2773286344791</v>
      </c>
      <c r="AV519" s="78" t="n">
        <v>30.7337220602527</v>
      </c>
      <c r="AW519" s="78" t="n">
        <v>49.2225461613217</v>
      </c>
      <c r="AX519" s="78" t="n">
        <v>34.305</v>
      </c>
      <c r="AY519" s="48" t="n">
        <v>1.34628809985754</v>
      </c>
      <c r="AZ519" s="48" t="n">
        <v>25.4649484969001</v>
      </c>
      <c r="BA519" s="48" t="n">
        <v>-0.0328707082492272</v>
      </c>
      <c r="BB519" s="49" t="n">
        <f aca="false">AT519/V519</f>
        <v>1.34628809985754</v>
      </c>
      <c r="BC519" s="49" t="n">
        <f aca="false">AS519/V519</f>
        <v>1.30392007633118</v>
      </c>
      <c r="BD519" s="49" t="n">
        <f aca="false">SUM(AP519:AR519)/V519</f>
        <v>0.17280148793483</v>
      </c>
      <c r="BE519" s="53" t="n">
        <v>6.06</v>
      </c>
      <c r="BF519" s="51" t="n">
        <v>120.756685525317</v>
      </c>
      <c r="BG519" s="51" t="n">
        <v>545.783665437456</v>
      </c>
      <c r="BH519" s="51" t="n">
        <v>302.85940223102</v>
      </c>
      <c r="BI519" s="51" t="n">
        <v>100.043727930662</v>
      </c>
      <c r="BJ519" s="51" t="n">
        <v>8.50795012490275</v>
      </c>
      <c r="BK519" s="51" t="n">
        <v>23.1154486547495</v>
      </c>
      <c r="BL519" s="51" t="n">
        <v>15.3487548579929</v>
      </c>
      <c r="BM519" s="51" t="n">
        <v>4.34105076321676</v>
      </c>
      <c r="BN519" s="52" t="n">
        <f aca="false">(BG519*0.5-BH519*0.25+BI519*0.5)/SUM(BG519:BI519)*1000</f>
        <v>260.569502256208</v>
      </c>
      <c r="BO519" s="93" t="n">
        <v>5.42057142857143</v>
      </c>
      <c r="BP519" s="94" t="s">
        <v>491</v>
      </c>
      <c r="BQ519" s="55" t="n">
        <v>372.841666666667</v>
      </c>
      <c r="BR519" s="56" t="n">
        <v>14.6602912182444</v>
      </c>
      <c r="BS519" s="56"/>
      <c r="BT519" s="56" t="n">
        <v>10.8894160319739</v>
      </c>
      <c r="BU519" s="55" t="n">
        <v>13832.503125</v>
      </c>
      <c r="BV519" s="55" t="n">
        <v>543.899843337723</v>
      </c>
      <c r="BW519" s="55"/>
      <c r="BX519" s="55" t="n">
        <v>403.999592208588</v>
      </c>
      <c r="BY519" s="96" t="n">
        <v>0.08446</v>
      </c>
      <c r="BZ519" s="96" t="n">
        <v>0.9273</v>
      </c>
      <c r="CA519" s="97" t="n">
        <v>4.2636</v>
      </c>
      <c r="CB519" s="97"/>
      <c r="CC519" s="97" t="n">
        <v>8.0988</v>
      </c>
      <c r="CD519" s="97" t="n">
        <v>7.2518</v>
      </c>
      <c r="CE519" s="97" t="n">
        <v>104.03</v>
      </c>
      <c r="CF519" s="97" t="n">
        <v>38.4709</v>
      </c>
      <c r="CG519" s="97" t="n">
        <v>0.1319</v>
      </c>
      <c r="CH519" s="63" t="n">
        <v>46150.1252943165</v>
      </c>
      <c r="CI519" s="63" t="n">
        <v>2645.2970161937</v>
      </c>
      <c r="CJ519" s="64" t="n">
        <v>711816.398258154</v>
      </c>
      <c r="CK519" s="65" t="n">
        <v>0.37162631019275</v>
      </c>
    </row>
    <row r="520" s="1" customFormat="true" ht="15" hidden="false" customHeight="false" outlineLevel="0" collapsed="false">
      <c r="A520" s="7" t="s">
        <v>488</v>
      </c>
      <c r="B520" s="66" t="n">
        <v>511</v>
      </c>
      <c r="C520" s="8" t="s">
        <v>603</v>
      </c>
      <c r="D520" s="67" t="n">
        <v>41766</v>
      </c>
      <c r="E520" s="4" t="s">
        <v>565</v>
      </c>
      <c r="F520" s="99" t="n">
        <v>83</v>
      </c>
      <c r="G520" s="68" t="n">
        <v>1</v>
      </c>
      <c r="H520" s="68" t="n">
        <v>186</v>
      </c>
      <c r="I520" s="7" t="n">
        <v>1</v>
      </c>
      <c r="J520" s="8" t="n">
        <v>790</v>
      </c>
      <c r="K520" s="32"/>
      <c r="L520" s="31" t="n">
        <v>937.054</v>
      </c>
      <c r="M520" s="31" t="n">
        <v>149.036009384882</v>
      </c>
      <c r="N520" s="31" t="n">
        <v>314.495562582883</v>
      </c>
      <c r="O520" s="95"/>
      <c r="P520" s="33" t="n">
        <v>28.9707232479853</v>
      </c>
      <c r="Q520" s="33" t="n">
        <v>9.8</v>
      </c>
      <c r="R520" s="31" t="n">
        <v>268.795266755075</v>
      </c>
      <c r="S520" s="34" t="s">
        <v>76</v>
      </c>
      <c r="T520" s="35"/>
      <c r="U520" s="35"/>
      <c r="V520" s="35" t="n">
        <v>24.113244828799</v>
      </c>
      <c r="W520" s="35" t="n">
        <v>22.5954125198054</v>
      </c>
      <c r="X520" s="35" t="n">
        <v>3.59374178260485</v>
      </c>
      <c r="Y520" s="35" t="n">
        <v>7.58350849813193</v>
      </c>
      <c r="Z520" s="35"/>
      <c r="AA520" s="35" t="n">
        <v>0.698578142546049</v>
      </c>
      <c r="AB520" s="35" t="n">
        <v>0.23630979932223</v>
      </c>
      <c r="AC520" s="71" t="n">
        <v>6.48152607608746</v>
      </c>
      <c r="AD520" s="72"/>
      <c r="AE520" s="72"/>
      <c r="AF520" s="72"/>
      <c r="AG520" s="72"/>
      <c r="AH520" s="72"/>
      <c r="AI520" s="73" t="n">
        <v>34.2649231196438</v>
      </c>
      <c r="AJ520" s="42" t="s">
        <v>16</v>
      </c>
      <c r="AK520" s="43" t="n">
        <v>713.993229584055</v>
      </c>
      <c r="AL520" s="74"/>
      <c r="AM520" s="74"/>
      <c r="AN520" s="74"/>
      <c r="AO520" s="78" t="n">
        <v>27.105</v>
      </c>
      <c r="AP520" s="76" t="n">
        <v>1.00190292162104</v>
      </c>
      <c r="AQ520" s="76" t="n">
        <v>0.961450437317784</v>
      </c>
      <c r="AR520" s="76" t="n">
        <v>1.29598250728863</v>
      </c>
      <c r="AS520" s="77" t="n">
        <v>25.8705438243156</v>
      </c>
      <c r="AT520" s="78" t="n">
        <v>26.6358619909968</v>
      </c>
      <c r="AU520" s="78" t="n">
        <v>36.9637676303648</v>
      </c>
      <c r="AV520" s="78" t="n">
        <v>35.4713313896987</v>
      </c>
      <c r="AW520" s="78" t="n">
        <v>47.8134110787172</v>
      </c>
      <c r="AX520" s="78" t="n">
        <v>29.19</v>
      </c>
      <c r="AY520" s="48" t="n">
        <v>1.10461541696724</v>
      </c>
      <c r="AZ520" s="48" t="n">
        <v>23.975827181237</v>
      </c>
      <c r="BA520" s="48" t="n">
        <v>0.137417647562007</v>
      </c>
      <c r="BB520" s="49" t="n">
        <f aca="false">AT520/V520</f>
        <v>1.10461541696724</v>
      </c>
      <c r="BC520" s="49" t="n">
        <f aca="false">AS520/V520</f>
        <v>1.07287691921984</v>
      </c>
      <c r="BD520" s="49" t="n">
        <f aca="false">SUM(AP520:AR520)/V520</f>
        <v>0.13516786684531</v>
      </c>
      <c r="BE520" s="53" t="n">
        <v>6.32</v>
      </c>
      <c r="BF520" s="51" t="n">
        <v>140.594524236121</v>
      </c>
      <c r="BG520" s="51" t="n">
        <v>621.205307077247</v>
      </c>
      <c r="BH520" s="51" t="n">
        <v>209.392999637273</v>
      </c>
      <c r="BI520" s="51" t="n">
        <v>114.308678114198</v>
      </c>
      <c r="BJ520" s="51" t="n">
        <v>9.25078777177566</v>
      </c>
      <c r="BK520" s="51" t="n">
        <v>17.9164867011903</v>
      </c>
      <c r="BL520" s="51" t="n">
        <v>20.0576075619369</v>
      </c>
      <c r="BM520" s="51" t="n">
        <v>7.86813313637911</v>
      </c>
      <c r="BN520" s="52" t="n">
        <f aca="false">(BG520*0.5-BH520*0.25+BI520*0.5)/SUM(BG520:BI520)*1000</f>
        <v>333.79872066834</v>
      </c>
      <c r="BO520" s="93" t="n">
        <v>7.11085714285714</v>
      </c>
      <c r="BP520" s="94" t="s">
        <v>491</v>
      </c>
      <c r="BQ520" s="55" t="n">
        <v>513.823529411765</v>
      </c>
      <c r="BR520" s="56" t="n">
        <v>21.30876756985</v>
      </c>
      <c r="BS520" s="56"/>
      <c r="BT520" s="56" t="n">
        <v>19.2906664550763</v>
      </c>
      <c r="BU520" s="55" t="n">
        <v>14991.9318181818</v>
      </c>
      <c r="BV520" s="55" t="n">
        <v>621.730170477787</v>
      </c>
      <c r="BW520" s="55"/>
      <c r="BX520" s="55" t="n">
        <v>562.847630883852</v>
      </c>
      <c r="BY520" s="96" t="n">
        <v>0.05562</v>
      </c>
      <c r="BZ520" s="96" t="n">
        <v>0.8448</v>
      </c>
      <c r="CA520" s="97" t="n">
        <v>4.2942</v>
      </c>
      <c r="CB520" s="97"/>
      <c r="CC520" s="97" t="n">
        <v>6.4362</v>
      </c>
      <c r="CD520" s="97" t="n">
        <v>6.8781</v>
      </c>
      <c r="CE520" s="97" t="n">
        <v>96.96</v>
      </c>
      <c r="CF520" s="97" t="n">
        <v>35.5419</v>
      </c>
      <c r="CG520" s="97" t="n">
        <v>0.0955</v>
      </c>
      <c r="CH520" s="63" t="n">
        <v>75153.9188006992</v>
      </c>
      <c r="CI520" s="63" t="n">
        <v>2818.48843023691</v>
      </c>
      <c r="CJ520" s="64" t="n">
        <v>437158.341925764</v>
      </c>
      <c r="CK520" s="65" t="n">
        <v>0.644729417222359</v>
      </c>
    </row>
    <row r="521" s="1" customFormat="true" ht="15" hidden="false" customHeight="false" outlineLevel="0" collapsed="false">
      <c r="A521" s="7" t="s">
        <v>488</v>
      </c>
      <c r="B521" s="66" t="n">
        <v>512</v>
      </c>
      <c r="C521" s="8" t="s">
        <v>604</v>
      </c>
      <c r="D521" s="67" t="n">
        <v>41766</v>
      </c>
      <c r="E521" s="4" t="s">
        <v>565</v>
      </c>
      <c r="F521" s="99" t="n">
        <v>84</v>
      </c>
      <c r="G521" s="68" t="n">
        <v>1</v>
      </c>
      <c r="H521" s="68" t="n">
        <v>130</v>
      </c>
      <c r="I521" s="7" t="n">
        <v>1</v>
      </c>
      <c r="J521" s="8" t="n">
        <v>698</v>
      </c>
      <c r="K521" s="32"/>
      <c r="L521" s="31" t="n">
        <v>937.054</v>
      </c>
      <c r="M521" s="31" t="n">
        <v>149.036009384882</v>
      </c>
      <c r="N521" s="31" t="n">
        <v>314.495562582883</v>
      </c>
      <c r="O521" s="95"/>
      <c r="P521" s="33" t="n">
        <v>28.9707232479853</v>
      </c>
      <c r="Q521" s="33" t="n">
        <v>9.8</v>
      </c>
      <c r="R521" s="31" t="n">
        <v>268.795266755075</v>
      </c>
      <c r="S521" s="34" t="s">
        <v>76</v>
      </c>
      <c r="T521" s="35"/>
      <c r="U521" s="35"/>
      <c r="V521" s="35" t="n">
        <v>25.6959499123127</v>
      </c>
      <c r="W521" s="35" t="n">
        <v>24.0784926491322</v>
      </c>
      <c r="X521" s="35" t="n">
        <v>3.82962183228489</v>
      </c>
      <c r="Y521" s="35" t="n">
        <v>8.08126222377435</v>
      </c>
      <c r="Z521" s="35"/>
      <c r="AA521" s="35" t="n">
        <v>0.744430253503702</v>
      </c>
      <c r="AB521" s="35" t="n">
        <v>0.251820309140664</v>
      </c>
      <c r="AC521" s="71" t="n">
        <v>6.90694971120513</v>
      </c>
      <c r="AD521" s="72"/>
      <c r="AE521" s="72"/>
      <c r="AF521" s="72"/>
      <c r="AG521" s="72"/>
      <c r="AH521" s="72"/>
      <c r="AI521" s="73" t="n">
        <v>30.4688574544313</v>
      </c>
      <c r="AJ521" s="42" t="s">
        <v>16</v>
      </c>
      <c r="AK521" s="43" t="n">
        <v>678.360108689447</v>
      </c>
      <c r="AL521" s="74"/>
      <c r="AM521" s="74"/>
      <c r="AN521" s="74"/>
      <c r="AO521" s="78" t="n">
        <v>27.0975</v>
      </c>
      <c r="AP521" s="76" t="n">
        <v>1.04647450431403</v>
      </c>
      <c r="AQ521" s="76" t="n">
        <v>0.921025327988338</v>
      </c>
      <c r="AR521" s="76" t="n">
        <v>1.25974407798834</v>
      </c>
      <c r="AS521" s="77" t="n">
        <v>26.5361175647104</v>
      </c>
      <c r="AT521" s="78" t="n">
        <v>26.6770292205326</v>
      </c>
      <c r="AU521" s="78" t="n">
        <v>38.6188579874169</v>
      </c>
      <c r="AV521" s="78" t="n">
        <v>33.9893100097182</v>
      </c>
      <c r="AW521" s="78" t="n">
        <v>46.4893100097182</v>
      </c>
      <c r="AX521" s="78" t="n">
        <v>31.456</v>
      </c>
      <c r="AY521" s="48" t="n">
        <v>1.03818030902021</v>
      </c>
      <c r="AZ521" s="48" t="n">
        <v>22.694927944529</v>
      </c>
      <c r="BA521" s="48" t="n">
        <v>3.00102196778367</v>
      </c>
      <c r="BB521" s="49" t="n">
        <f aca="false">AT521/V521</f>
        <v>1.03818030902021</v>
      </c>
      <c r="BC521" s="49" t="n">
        <f aca="false">AS521/V521</f>
        <v>1.03269650101533</v>
      </c>
      <c r="BD521" s="49" t="n">
        <f aca="false">SUM(AP521:AR521)/V521</f>
        <v>0.12559348540543</v>
      </c>
      <c r="BE521" s="53" t="n">
        <v>5.89</v>
      </c>
      <c r="BF521" s="51" t="n">
        <v>126.791505912596</v>
      </c>
      <c r="BG521" s="51" t="n">
        <v>616.722865906526</v>
      </c>
      <c r="BH521" s="51" t="n">
        <v>216.780956669816</v>
      </c>
      <c r="BI521" s="51" t="n">
        <v>124.180080851076</v>
      </c>
      <c r="BJ521" s="51" t="n">
        <v>7.91143366021541</v>
      </c>
      <c r="BK521" s="51" t="n">
        <v>14.6532425052679</v>
      </c>
      <c r="BL521" s="51" t="n">
        <v>13.2367608151957</v>
      </c>
      <c r="BM521" s="51" t="n">
        <v>6.51465959190381</v>
      </c>
      <c r="BN521" s="52" t="n">
        <f aca="false">(BG521*0.5-BH521*0.25+BI521*0.5)/SUM(BG521:BI521)*1000</f>
        <v>330.230291100759</v>
      </c>
      <c r="BO521" s="93" t="n">
        <v>4.896</v>
      </c>
      <c r="BP521" s="94" t="s">
        <v>491</v>
      </c>
      <c r="BQ521" s="55" t="n">
        <v>489.057619047619</v>
      </c>
      <c r="BR521" s="56" t="n">
        <v>19.0324786869731</v>
      </c>
      <c r="BS521" s="56"/>
      <c r="BT521" s="56" t="n">
        <v>18.3325367680448</v>
      </c>
      <c r="BU521" s="55" t="n">
        <v>13593.1604761905</v>
      </c>
      <c r="BV521" s="55" t="n">
        <v>529.000115682708</v>
      </c>
      <c r="BW521" s="55"/>
      <c r="BX521" s="55" t="n">
        <v>509.545510627105</v>
      </c>
      <c r="BY521" s="96" t="n">
        <v>0.03193</v>
      </c>
      <c r="BZ521" s="96" t="n">
        <v>1.1099</v>
      </c>
      <c r="CA521" s="97" t="n">
        <v>4.3554</v>
      </c>
      <c r="CB521" s="97"/>
      <c r="CC521" s="97" t="n">
        <v>7.0788</v>
      </c>
      <c r="CD521" s="97" t="n">
        <v>2.16</v>
      </c>
      <c r="CE521" s="97" t="n">
        <v>96.96</v>
      </c>
      <c r="CF521" s="97" t="n">
        <v>34.2491</v>
      </c>
      <c r="CG521" s="97" t="n">
        <v>0.1046</v>
      </c>
      <c r="CH521" s="63" t="n">
        <v>77778.0046391669</v>
      </c>
      <c r="CI521" s="63" t="n">
        <v>2469.74287020539</v>
      </c>
      <c r="CJ521" s="64" t="n">
        <v>395487.504331682</v>
      </c>
      <c r="CK521" s="65" t="n">
        <v>0.624480632928949</v>
      </c>
    </row>
    <row r="522" s="1" customFormat="true" ht="15" hidden="false" customHeight="false" outlineLevel="0" collapsed="false">
      <c r="A522" s="7" t="s">
        <v>488</v>
      </c>
      <c r="B522" s="66" t="n">
        <v>513</v>
      </c>
      <c r="C522" s="8" t="s">
        <v>605</v>
      </c>
      <c r="D522" s="67" t="n">
        <v>41766</v>
      </c>
      <c r="E522" s="4" t="s">
        <v>565</v>
      </c>
      <c r="F522" s="99" t="n">
        <v>94</v>
      </c>
      <c r="G522" s="68" t="n">
        <v>1</v>
      </c>
      <c r="H522" s="68" t="n">
        <v>122</v>
      </c>
      <c r="I522" s="7" t="n">
        <v>1</v>
      </c>
      <c r="J522" s="8" t="n">
        <v>698</v>
      </c>
      <c r="K522" s="32"/>
      <c r="L522" s="31" t="n">
        <v>937.054</v>
      </c>
      <c r="M522" s="31" t="n">
        <v>149.036009384882</v>
      </c>
      <c r="N522" s="31" t="n">
        <v>314.495562582883</v>
      </c>
      <c r="O522" s="95"/>
      <c r="P522" s="33" t="n">
        <v>28.9707232479853</v>
      </c>
      <c r="Q522" s="33" t="n">
        <v>9.8</v>
      </c>
      <c r="R522" s="31" t="n">
        <v>268.795266755075</v>
      </c>
      <c r="S522" s="34" t="s">
        <v>76</v>
      </c>
      <c r="T522" s="35"/>
      <c r="U522" s="35"/>
      <c r="V522" s="35" t="n">
        <v>22.9443134433071</v>
      </c>
      <c r="W522" s="35" t="n">
        <v>21.5000606893047</v>
      </c>
      <c r="X522" s="35" t="n">
        <v>3.4195289136664</v>
      </c>
      <c r="Y522" s="35" t="n">
        <v>7.21588476443087</v>
      </c>
      <c r="Z522" s="35"/>
      <c r="AA522" s="35" t="n">
        <v>0.664713354881079</v>
      </c>
      <c r="AB522" s="35" t="n">
        <v>0.22485427174441</v>
      </c>
      <c r="AC522" s="71" t="n">
        <v>6.16732285250579</v>
      </c>
      <c r="AD522" s="72"/>
      <c r="AE522" s="72"/>
      <c r="AF522" s="72"/>
      <c r="AG522" s="72"/>
      <c r="AH522" s="72"/>
      <c r="AI522" s="73" t="n">
        <v>31.4024517075962</v>
      </c>
      <c r="AJ522" s="42" t="s">
        <v>16</v>
      </c>
      <c r="AK522" s="43" t="n">
        <v>687.92245614283</v>
      </c>
      <c r="AL522" s="74"/>
      <c r="AM522" s="74"/>
      <c r="AN522" s="74"/>
      <c r="AO522" s="78" t="n">
        <v>33.07</v>
      </c>
      <c r="AP522" s="76" t="n">
        <v>1.06027396957707</v>
      </c>
      <c r="AQ522" s="76" t="n">
        <v>0.899863945578231</v>
      </c>
      <c r="AR522" s="76" t="n">
        <v>1.600472303207</v>
      </c>
      <c r="AS522" s="77" t="n">
        <v>29.132109543656</v>
      </c>
      <c r="AT522" s="78" t="n">
        <v>28.5164208321142</v>
      </c>
      <c r="AU522" s="78" t="n">
        <v>32.0615049766273</v>
      </c>
      <c r="AV522" s="78" t="n">
        <v>27.2108843537415</v>
      </c>
      <c r="AW522" s="78" t="n">
        <v>48.396501457726</v>
      </c>
      <c r="AX522" s="78" t="n">
        <v>33.45</v>
      </c>
      <c r="AY522" s="48" t="n">
        <v>1.24285352458138</v>
      </c>
      <c r="AZ522" s="48" t="n">
        <v>23.5648938218018</v>
      </c>
      <c r="BA522" s="48" t="n">
        <v>-0.620580378494669</v>
      </c>
      <c r="BB522" s="49" t="n">
        <f aca="false">AT522/V522</f>
        <v>1.24285352458138</v>
      </c>
      <c r="BC522" s="49" t="n">
        <f aca="false">AS522/V522</f>
        <v>1.26968756836583</v>
      </c>
      <c r="BD522" s="49" t="n">
        <f aca="false">SUM(AP522:AR522)/V522</f>
        <v>0.155184866488168</v>
      </c>
      <c r="BE522" s="53" t="n">
        <v>6.53</v>
      </c>
      <c r="BF522" s="51" t="n">
        <v>117.048104748894</v>
      </c>
      <c r="BG522" s="51" t="n">
        <v>606.955204271327</v>
      </c>
      <c r="BH522" s="51" t="n">
        <v>224.783676260191</v>
      </c>
      <c r="BI522" s="51" t="n">
        <v>127.019624553399</v>
      </c>
      <c r="BJ522" s="51" t="n">
        <v>8.41983730872907</v>
      </c>
      <c r="BK522" s="51" t="n">
        <v>14.9973343787646</v>
      </c>
      <c r="BL522" s="51" t="n">
        <v>12.3476761252936</v>
      </c>
      <c r="BM522" s="51" t="n">
        <v>5.47664710229574</v>
      </c>
      <c r="BN522" s="52" t="n">
        <f aca="false">(BG522*0.5-BH522*0.25+BI522*0.5)/SUM(BG522:BI522)*1000</f>
        <v>324.160352892816</v>
      </c>
      <c r="BO522" s="93" t="n">
        <v>4.66285714285714</v>
      </c>
      <c r="BP522" s="94" t="s">
        <v>491</v>
      </c>
      <c r="BQ522" s="55" t="n">
        <v>435.663888888889</v>
      </c>
      <c r="BR522" s="56" t="n">
        <v>18.9878808082607</v>
      </c>
      <c r="BS522" s="56"/>
      <c r="BT522" s="56" t="n">
        <v>15.2776497251808</v>
      </c>
      <c r="BU522" s="55" t="n">
        <v>13523.4166666667</v>
      </c>
      <c r="BV522" s="55" t="n">
        <v>589.401670269261</v>
      </c>
      <c r="BW522" s="55"/>
      <c r="BX522" s="55" t="n">
        <v>474.23260956498</v>
      </c>
      <c r="BY522" s="96" t="n">
        <v>0.07416</v>
      </c>
      <c r="BZ522" s="96" t="n">
        <v>0.748</v>
      </c>
      <c r="CA522" s="97" t="n">
        <v>4.8552</v>
      </c>
      <c r="CB522" s="97"/>
      <c r="CC522" s="97" t="n">
        <v>7.0278</v>
      </c>
      <c r="CD522" s="97" t="n">
        <v>6.6963</v>
      </c>
      <c r="CE522" s="97" t="n">
        <v>95.95</v>
      </c>
      <c r="CF522" s="97" t="n">
        <v>33.3502</v>
      </c>
      <c r="CG522" s="97" t="n">
        <v>0.9691</v>
      </c>
      <c r="CH522" s="63" t="n">
        <v>124501.342317671</v>
      </c>
      <c r="CI522" s="63" t="n">
        <v>2299.88771712363</v>
      </c>
      <c r="CJ522" s="64" t="n">
        <v>437831.874002546</v>
      </c>
      <c r="CK522" s="65" t="n">
        <v>0.525290152153303</v>
      </c>
    </row>
    <row r="523" s="1" customFormat="true" ht="15" hidden="false" customHeight="false" outlineLevel="0" collapsed="false">
      <c r="A523" s="7" t="s">
        <v>488</v>
      </c>
      <c r="B523" s="66" t="n">
        <v>514</v>
      </c>
      <c r="C523" s="8" t="s">
        <v>606</v>
      </c>
      <c r="D523" s="67" t="n">
        <v>41766</v>
      </c>
      <c r="E523" s="4" t="s">
        <v>565</v>
      </c>
      <c r="F523" s="99" t="n">
        <v>101</v>
      </c>
      <c r="G523" s="68" t="n">
        <v>1</v>
      </c>
      <c r="H523" s="68" t="n">
        <v>206</v>
      </c>
      <c r="I523" s="7" t="n">
        <v>2</v>
      </c>
      <c r="J523" s="8" t="n">
        <v>719</v>
      </c>
      <c r="K523" s="32"/>
      <c r="L523" s="31" t="n">
        <v>937.054</v>
      </c>
      <c r="M523" s="31" t="n">
        <v>149.036009384882</v>
      </c>
      <c r="N523" s="31" t="n">
        <v>314.495562582883</v>
      </c>
      <c r="O523" s="95"/>
      <c r="P523" s="33" t="n">
        <v>28.9707232479853</v>
      </c>
      <c r="Q523" s="33" t="n">
        <v>9.8</v>
      </c>
      <c r="R523" s="31" t="n">
        <v>268.795266755075</v>
      </c>
      <c r="S523" s="34" t="s">
        <v>76</v>
      </c>
      <c r="T523" s="35"/>
      <c r="U523" s="35"/>
      <c r="V523" s="35" t="n">
        <v>22.7786040452997</v>
      </c>
      <c r="W523" s="35" t="n">
        <v>21.3447820350643</v>
      </c>
      <c r="X523" s="35" t="n">
        <v>3.39483224626981</v>
      </c>
      <c r="Y523" s="35" t="n">
        <v>7.16376989407927</v>
      </c>
      <c r="Z523" s="35"/>
      <c r="AA523" s="35" t="n">
        <v>0.659912633771818</v>
      </c>
      <c r="AB523" s="35" t="n">
        <v>0.223230319643937</v>
      </c>
      <c r="AC523" s="71" t="n">
        <v>6.12278095066457</v>
      </c>
      <c r="AD523" s="72"/>
      <c r="AE523" s="72"/>
      <c r="AF523" s="72"/>
      <c r="AG523" s="72"/>
      <c r="AH523" s="72"/>
      <c r="AI523" s="73" t="n">
        <v>32.935155297444</v>
      </c>
      <c r="AJ523" s="42" t="s">
        <v>16</v>
      </c>
      <c r="AK523" s="43" t="n">
        <v>702.445611338576</v>
      </c>
      <c r="AL523" s="74"/>
      <c r="AM523" s="74"/>
      <c r="AN523" s="74"/>
      <c r="AO523" s="78" t="n">
        <v>25.71</v>
      </c>
      <c r="AP523" s="76" t="n">
        <v>0.963038389264358</v>
      </c>
      <c r="AQ523" s="76" t="n">
        <v>0.80702915451895</v>
      </c>
      <c r="AR523" s="76" t="n">
        <v>1.28612463556851</v>
      </c>
      <c r="AS523" s="77" t="n">
        <v>24.7295758389654</v>
      </c>
      <c r="AT523" s="78" t="n">
        <v>24.9105650702187</v>
      </c>
      <c r="AU523" s="78" t="n">
        <v>37.4577358718148</v>
      </c>
      <c r="AV523" s="78" t="n">
        <v>31.3896987366375</v>
      </c>
      <c r="AW523" s="78" t="n">
        <v>50.0242954324587</v>
      </c>
      <c r="AX523" s="78" t="n">
        <v>28.9225</v>
      </c>
      <c r="AY523" s="48" t="n">
        <v>1.09359489372918</v>
      </c>
      <c r="AZ523" s="48" t="n">
        <v>22.600754241197</v>
      </c>
      <c r="BA523" s="48" t="n">
        <v>0.177849804102781</v>
      </c>
      <c r="BB523" s="49" t="n">
        <f aca="false">AT523/V523</f>
        <v>1.09359489372918</v>
      </c>
      <c r="BC523" s="49" t="n">
        <f aca="false">AS523/V523</f>
        <v>1.08564931326721</v>
      </c>
      <c r="BD523" s="49" t="n">
        <f aca="false">SUM(AP523:AR523)/V523</f>
        <v>0.134169423783564</v>
      </c>
      <c r="BE523" s="53" t="n">
        <v>6.39</v>
      </c>
      <c r="BF523" s="51" t="n">
        <v>116.66487383752</v>
      </c>
      <c r="BG523" s="51" t="n">
        <v>640.510432362685</v>
      </c>
      <c r="BH523" s="51" t="n">
        <v>194.946160669249</v>
      </c>
      <c r="BI523" s="51" t="n">
        <v>108.647093052167</v>
      </c>
      <c r="BJ523" s="51" t="n">
        <v>9.95091264220183</v>
      </c>
      <c r="BK523" s="51" t="n">
        <v>18.456779339343</v>
      </c>
      <c r="BL523" s="51" t="n">
        <v>15.5236575263018</v>
      </c>
      <c r="BM523" s="51" t="n">
        <v>11.9649644080524</v>
      </c>
      <c r="BN523" s="52" t="n">
        <f aca="false">(BG523*0.5-BH523*0.25+BI523*0.5)/SUM(BG523:BI523)*1000</f>
        <v>345.1339374509</v>
      </c>
      <c r="BO523" s="93" t="n">
        <v>5.07085714285714</v>
      </c>
      <c r="BP523" s="94" t="s">
        <v>491</v>
      </c>
      <c r="BQ523" s="55" t="n">
        <v>382.068939393939</v>
      </c>
      <c r="BR523" s="56" t="n">
        <v>16.7731498661691</v>
      </c>
      <c r="BS523" s="56"/>
      <c r="BT523" s="56" t="n">
        <v>15.3376263572083</v>
      </c>
      <c r="BU523" s="55" t="n">
        <v>11718.7166666667</v>
      </c>
      <c r="BV523" s="55" t="n">
        <v>514.461581726505</v>
      </c>
      <c r="BW523" s="55"/>
      <c r="BX523" s="55" t="n">
        <v>470.431587305771</v>
      </c>
      <c r="BY523" s="96" t="n">
        <v>0.0618</v>
      </c>
      <c r="BZ523" s="96" t="n">
        <v>0.9284</v>
      </c>
      <c r="CA523" s="97" t="n">
        <v>4.2738</v>
      </c>
      <c r="CB523" s="97"/>
      <c r="CC523" s="97" t="n">
        <v>6.7422</v>
      </c>
      <c r="CD523" s="97" t="n">
        <v>6.2822</v>
      </c>
      <c r="CE523" s="97" t="n">
        <v>96.96</v>
      </c>
      <c r="CF523" s="97" t="n">
        <v>37.269</v>
      </c>
      <c r="CG523" s="97" t="n">
        <v>0.141</v>
      </c>
      <c r="CH523" s="63" t="n">
        <v>159436.132181368</v>
      </c>
      <c r="CI523" s="63" t="n">
        <v>1631.16622258859</v>
      </c>
      <c r="CJ523" s="64" t="n">
        <v>233112.572901959</v>
      </c>
      <c r="CK523" s="65" t="n">
        <v>0.699733267186157</v>
      </c>
    </row>
    <row r="524" s="1" customFormat="true" ht="15" hidden="false" customHeight="false" outlineLevel="0" collapsed="false">
      <c r="A524" s="7" t="s">
        <v>488</v>
      </c>
      <c r="B524" s="66" t="n">
        <v>515</v>
      </c>
      <c r="C524" s="8" t="s">
        <v>607</v>
      </c>
      <c r="D524" s="67" t="n">
        <v>41766</v>
      </c>
      <c r="E524" s="4" t="s">
        <v>565</v>
      </c>
      <c r="F524" s="99" t="n">
        <v>118</v>
      </c>
      <c r="G524" s="68" t="n">
        <v>1</v>
      </c>
      <c r="H524" s="68" t="n">
        <v>140</v>
      </c>
      <c r="I524" s="7" t="n">
        <v>3</v>
      </c>
      <c r="J524" s="8" t="n">
        <v>750</v>
      </c>
      <c r="K524" s="32"/>
      <c r="L524" s="31" t="n">
        <v>937.054</v>
      </c>
      <c r="M524" s="31" t="n">
        <v>149.036009384882</v>
      </c>
      <c r="N524" s="31" t="n">
        <v>314.495562582883</v>
      </c>
      <c r="O524" s="95"/>
      <c r="P524" s="33" t="n">
        <v>28.9707232479853</v>
      </c>
      <c r="Q524" s="33" t="n">
        <v>9.8</v>
      </c>
      <c r="R524" s="31" t="n">
        <v>268.795266755075</v>
      </c>
      <c r="S524" s="34" t="s">
        <v>76</v>
      </c>
      <c r="T524" s="35"/>
      <c r="U524" s="35"/>
      <c r="V524" s="35" t="n">
        <v>24.6219666011885</v>
      </c>
      <c r="W524" s="35" t="n">
        <v>23.0721122915101</v>
      </c>
      <c r="X524" s="35" t="n">
        <v>3.66955964544898</v>
      </c>
      <c r="Y524" s="35" t="n">
        <v>7.74349923813773</v>
      </c>
      <c r="Z524" s="35"/>
      <c r="AA524" s="35" t="n">
        <v>0.71331618022417</v>
      </c>
      <c r="AB524" s="35" t="n">
        <v>0.241295272691647</v>
      </c>
      <c r="AC524" s="71" t="n">
        <v>6.61826808060101</v>
      </c>
      <c r="AD524" s="72"/>
      <c r="AE524" s="72"/>
      <c r="AF524" s="72"/>
      <c r="AG524" s="72"/>
      <c r="AH524" s="72"/>
      <c r="AI524" s="73" t="n">
        <v>28.7898454359917</v>
      </c>
      <c r="AJ524" s="42" t="s">
        <v>16</v>
      </c>
      <c r="AK524" s="43" t="n">
        <v>659.602201693361</v>
      </c>
      <c r="AL524" s="74"/>
      <c r="AM524" s="74"/>
      <c r="AN524" s="74"/>
      <c r="AO524" s="78" t="n">
        <v>31.995</v>
      </c>
      <c r="AP524" s="76" t="n">
        <v>1.22325401669488</v>
      </c>
      <c r="AQ524" s="76" t="n">
        <v>1.04862135568513</v>
      </c>
      <c r="AR524" s="76" t="n">
        <v>1.59975</v>
      </c>
      <c r="AS524" s="77" t="n">
        <v>31.1468102504233</v>
      </c>
      <c r="AT524" s="78" t="n">
        <v>31.6399449512721</v>
      </c>
      <c r="AU524" s="78" t="n">
        <v>38.2326618751331</v>
      </c>
      <c r="AV524" s="78" t="n">
        <v>32.7745383867833</v>
      </c>
      <c r="AW524" s="78" t="n">
        <v>50</v>
      </c>
      <c r="AX524" s="78" t="n">
        <v>30.6925</v>
      </c>
      <c r="AY524" s="48" t="n">
        <v>1.28502915562174</v>
      </c>
      <c r="AZ524" s="48" t="n">
        <v>25.1891595961901</v>
      </c>
      <c r="BA524" s="48" t="n">
        <v>-0.567192995001612</v>
      </c>
      <c r="BB524" s="49" t="n">
        <f aca="false">AT524/V524</f>
        <v>1.28502915562174</v>
      </c>
      <c r="BC524" s="49" t="n">
        <f aca="false">AS524/V524</f>
        <v>1.26500091381489</v>
      </c>
      <c r="BD524" s="49" t="n">
        <f aca="false">SUM(AP524:AR524)/V524</f>
        <v>0.157242735119019</v>
      </c>
      <c r="BE524" s="53" t="n">
        <v>6.57</v>
      </c>
      <c r="BF524" s="51" t="n">
        <v>109.342721872368</v>
      </c>
      <c r="BG524" s="51" t="n">
        <v>605.984532283201</v>
      </c>
      <c r="BH524" s="51" t="n">
        <v>228.629423221185</v>
      </c>
      <c r="BI524" s="51" t="n">
        <v>119.300410096351</v>
      </c>
      <c r="BJ524" s="51" t="n">
        <v>8.94219286916315</v>
      </c>
      <c r="BK524" s="51" t="n">
        <v>16.7322791653202</v>
      </c>
      <c r="BL524" s="51" t="n">
        <v>12.7031669673865</v>
      </c>
      <c r="BM524" s="51" t="n">
        <v>7.70799539739235</v>
      </c>
      <c r="BN524" s="52" t="n">
        <f aca="false">(BG524*0.5-BH524*0.25+BI524*0.5)/SUM(BG524:BI524)*1000</f>
        <v>320.24375185093</v>
      </c>
      <c r="BO524" s="93" t="n">
        <v>4.45885714285714</v>
      </c>
      <c r="BP524" s="94" t="s">
        <v>491</v>
      </c>
      <c r="BQ524" s="55" t="n">
        <v>408.856060606061</v>
      </c>
      <c r="BR524" s="56" t="n">
        <v>16.6053373082849</v>
      </c>
      <c r="BS524" s="56"/>
      <c r="BT524" s="56" t="n">
        <v>12.9221482918422</v>
      </c>
      <c r="BU524" s="55" t="n">
        <v>12848.0708333333</v>
      </c>
      <c r="BV524" s="55" t="n">
        <v>521.813348277109</v>
      </c>
      <c r="BW524" s="55"/>
      <c r="BX524" s="55" t="n">
        <v>406.071213243903</v>
      </c>
      <c r="BY524" s="96" t="n">
        <v>0.06283</v>
      </c>
      <c r="BZ524" s="96" t="n">
        <v>0.6952</v>
      </c>
      <c r="CA524" s="97" t="n">
        <v>4.7226</v>
      </c>
      <c r="CB524" s="97"/>
      <c r="CC524" s="97" t="n">
        <v>6.4158</v>
      </c>
      <c r="CD524" s="97" t="n">
        <v>4.6864</v>
      </c>
      <c r="CE524" s="97" t="n">
        <v>103.02</v>
      </c>
      <c r="CF524" s="97" t="n">
        <v>35.1076</v>
      </c>
      <c r="CG524" s="97" t="n">
        <v>0.1592</v>
      </c>
      <c r="CH524" s="63" t="n">
        <v>106624.187094589</v>
      </c>
      <c r="CI524" s="63" t="n">
        <v>2276.8748471452</v>
      </c>
      <c r="CJ524" s="64" t="n">
        <v>309891.340012775</v>
      </c>
      <c r="CK524" s="65" t="n">
        <v>0.734733292983062</v>
      </c>
    </row>
    <row r="525" s="1" customFormat="true" ht="15" hidden="false" customHeight="false" outlineLevel="0" collapsed="false">
      <c r="A525" s="7" t="s">
        <v>488</v>
      </c>
      <c r="B525" s="66" t="n">
        <v>516</v>
      </c>
      <c r="C525" s="8" t="s">
        <v>608</v>
      </c>
      <c r="D525" s="67" t="n">
        <v>41766</v>
      </c>
      <c r="E525" s="4" t="s">
        <v>565</v>
      </c>
      <c r="F525" s="99" t="n">
        <v>121</v>
      </c>
      <c r="G525" s="68" t="n">
        <v>1</v>
      </c>
      <c r="H525" s="68" t="n">
        <v>152</v>
      </c>
      <c r="I525" s="7" t="n">
        <v>2</v>
      </c>
      <c r="J525" s="8" t="n">
        <v>687</v>
      </c>
      <c r="K525" s="32"/>
      <c r="L525" s="31" t="n">
        <v>937.054</v>
      </c>
      <c r="M525" s="31" t="n">
        <v>149.036009384882</v>
      </c>
      <c r="N525" s="31" t="n">
        <v>314.495562582883</v>
      </c>
      <c r="O525" s="95"/>
      <c r="P525" s="33" t="n">
        <v>28.9707232479853</v>
      </c>
      <c r="Q525" s="33" t="n">
        <v>9.8</v>
      </c>
      <c r="R525" s="31" t="n">
        <v>268.795266755075</v>
      </c>
      <c r="S525" s="34" t="s">
        <v>76</v>
      </c>
      <c r="T525" s="35"/>
      <c r="U525" s="35"/>
      <c r="V525" s="35" t="n">
        <v>22.0863810417544</v>
      </c>
      <c r="W525" s="35" t="n">
        <v>20.6961317007001</v>
      </c>
      <c r="X525" s="35" t="n">
        <v>3.29166609221699</v>
      </c>
      <c r="Y525" s="35" t="n">
        <v>6.94606883114647</v>
      </c>
      <c r="Z525" s="35"/>
      <c r="AA525" s="35" t="n">
        <v>0.639858432710217</v>
      </c>
      <c r="AB525" s="35" t="n">
        <v>0.216446534209193</v>
      </c>
      <c r="AC525" s="71" t="n">
        <v>5.93671468377261</v>
      </c>
      <c r="AD525" s="72"/>
      <c r="AE525" s="72"/>
      <c r="AF525" s="72"/>
      <c r="AG525" s="72"/>
      <c r="AH525" s="72"/>
      <c r="AI525" s="73" t="n">
        <v>29.0285752707109</v>
      </c>
      <c r="AJ525" s="42" t="s">
        <v>16</v>
      </c>
      <c r="AK525" s="43" t="n">
        <v>662.401619486715</v>
      </c>
      <c r="AL525" s="74"/>
      <c r="AM525" s="74"/>
      <c r="AN525" s="74"/>
      <c r="AO525" s="78" t="n">
        <v>40.735</v>
      </c>
      <c r="AP525" s="76" t="n">
        <v>1.36245006565795</v>
      </c>
      <c r="AQ525" s="76" t="n">
        <v>1.43700728862974</v>
      </c>
      <c r="AR525" s="76" t="n">
        <v>2.06644023323615</v>
      </c>
      <c r="AS525" s="77" t="n">
        <v>36.7307509848693</v>
      </c>
      <c r="AT525" s="78" t="n">
        <v>38.8469904004029</v>
      </c>
      <c r="AU525" s="78" t="n">
        <v>33.4466690967952</v>
      </c>
      <c r="AV525" s="78" t="n">
        <v>35.2769679300291</v>
      </c>
      <c r="AW525" s="78" t="n">
        <v>50.7288629737609</v>
      </c>
      <c r="AX525" s="78" t="n">
        <v>31.06</v>
      </c>
      <c r="AY525" s="48" t="n">
        <v>1.7588662591197</v>
      </c>
      <c r="AZ525" s="48" t="n">
        <v>26.4496048922195</v>
      </c>
      <c r="BA525" s="48" t="n">
        <v>-4.36322385046506</v>
      </c>
      <c r="BB525" s="49" t="n">
        <f aca="false">AT525/V525</f>
        <v>1.7588662591197</v>
      </c>
      <c r="BC525" s="49" t="n">
        <f aca="false">AS525/V525</f>
        <v>1.6630497733164</v>
      </c>
      <c r="BD525" s="49" t="n">
        <f aca="false">SUM(AP525:AR525)/V525</f>
        <v>0.220312127112397</v>
      </c>
      <c r="BE525" s="53" t="n">
        <v>6.22</v>
      </c>
      <c r="BF525" s="51" t="n">
        <v>122.95034159535</v>
      </c>
      <c r="BG525" s="51" t="n">
        <v>550.470184251448</v>
      </c>
      <c r="BH525" s="51" t="n">
        <v>313.070757510395</v>
      </c>
      <c r="BI525" s="51" t="n">
        <v>97.7500398124611</v>
      </c>
      <c r="BJ525" s="51" t="n">
        <v>7.74974102871593</v>
      </c>
      <c r="BK525" s="51" t="n">
        <v>15.4339263667226</v>
      </c>
      <c r="BL525" s="51" t="n">
        <v>12.6165515346128</v>
      </c>
      <c r="BM525" s="51" t="n">
        <v>2.90879949564502</v>
      </c>
      <c r="BN525" s="52" t="n">
        <f aca="false">(BG525*0.5-BH525*0.25+BI525*0.5)/SUM(BG525:BI525)*1000</f>
        <v>255.741942207489</v>
      </c>
      <c r="BO525" s="93" t="n">
        <v>5.88685714285714</v>
      </c>
      <c r="BP525" s="94" t="s">
        <v>491</v>
      </c>
      <c r="BQ525" s="55" t="n">
        <v>417.008333333333</v>
      </c>
      <c r="BR525" s="56" t="n">
        <v>18.8807904991305</v>
      </c>
      <c r="BS525" s="56"/>
      <c r="BT525" s="56" t="n">
        <v>10.7346368157521</v>
      </c>
      <c r="BU525" s="55" t="n">
        <v>14074.3357142857</v>
      </c>
      <c r="BV525" s="55" t="n">
        <v>637.240464505168</v>
      </c>
      <c r="BW525" s="55"/>
      <c r="BX525" s="55" t="n">
        <v>362.301830057335</v>
      </c>
      <c r="BY525" s="96" t="n">
        <v>0.08858</v>
      </c>
      <c r="BZ525" s="96" t="n">
        <v>0.6402</v>
      </c>
      <c r="CA525" s="97" t="n">
        <v>3.978</v>
      </c>
      <c r="CB525" s="97"/>
      <c r="CC525" s="97" t="n">
        <v>6.3036</v>
      </c>
      <c r="CD525" s="97" t="n">
        <v>6.3731</v>
      </c>
      <c r="CE525" s="97" t="n">
        <v>97.97</v>
      </c>
      <c r="CF525" s="97" t="n">
        <v>40.7131</v>
      </c>
      <c r="CG525" s="97" t="n">
        <v>0.1046</v>
      </c>
      <c r="CH525" s="63" t="n">
        <v>63356.488181153</v>
      </c>
      <c r="CI525" s="63" t="n">
        <v>2307.94652153908</v>
      </c>
      <c r="CJ525" s="64" t="n">
        <v>734659.287682287</v>
      </c>
      <c r="CK525" s="65" t="n">
        <v>0.314151955911457</v>
      </c>
    </row>
    <row r="526" s="1" customFormat="true" ht="15" hidden="false" customHeight="false" outlineLevel="0" collapsed="false">
      <c r="A526" s="7" t="s">
        <v>488</v>
      </c>
      <c r="B526" s="66" t="n">
        <v>517</v>
      </c>
      <c r="C526" s="8" t="s">
        <v>609</v>
      </c>
      <c r="D526" s="67" t="n">
        <v>41766</v>
      </c>
      <c r="E526" s="4" t="s">
        <v>565</v>
      </c>
      <c r="F526" s="99" t="n">
        <v>130</v>
      </c>
      <c r="G526" s="68" t="n">
        <v>1</v>
      </c>
      <c r="H526" s="68" t="n">
        <v>197</v>
      </c>
      <c r="I526" s="7" t="n">
        <v>5</v>
      </c>
      <c r="J526" s="8" t="n">
        <v>750</v>
      </c>
      <c r="K526" s="32"/>
      <c r="L526" s="31" t="n">
        <v>937.054</v>
      </c>
      <c r="M526" s="31" t="n">
        <v>149.036009384882</v>
      </c>
      <c r="N526" s="31" t="n">
        <v>314.495562582883</v>
      </c>
      <c r="O526" s="95"/>
      <c r="P526" s="33" t="n">
        <v>28.9707232479853</v>
      </c>
      <c r="Q526" s="33" t="n">
        <v>9.8</v>
      </c>
      <c r="R526" s="31" t="n">
        <v>268.795266755075</v>
      </c>
      <c r="S526" s="34" t="s">
        <v>76</v>
      </c>
      <c r="T526" s="35"/>
      <c r="U526" s="35"/>
      <c r="V526" s="35" t="n">
        <v>22.687705513711</v>
      </c>
      <c r="W526" s="35" t="n">
        <v>21.259605202445</v>
      </c>
      <c r="X526" s="35" t="n">
        <v>3.38128509186288</v>
      </c>
      <c r="Y526" s="35" t="n">
        <v>7.13518270924932</v>
      </c>
      <c r="Z526" s="35"/>
      <c r="AA526" s="35" t="n">
        <v>0.657279237569513</v>
      </c>
      <c r="AB526" s="35" t="n">
        <v>0.222339514034368</v>
      </c>
      <c r="AC526" s="71" t="n">
        <v>6.09834785561854</v>
      </c>
      <c r="AD526" s="72"/>
      <c r="AE526" s="72"/>
      <c r="AF526" s="72"/>
      <c r="AG526" s="72"/>
      <c r="AH526" s="72"/>
      <c r="AI526" s="73" t="n">
        <v>32.5121112733503</v>
      </c>
      <c r="AJ526" s="42" t="s">
        <v>16</v>
      </c>
      <c r="AK526" s="43" t="n">
        <v>698.573866286164</v>
      </c>
      <c r="AL526" s="74"/>
      <c r="AM526" s="74"/>
      <c r="AN526" s="74"/>
      <c r="AO526" s="78" t="n">
        <v>35.705</v>
      </c>
      <c r="AP526" s="76" t="n">
        <v>0.866846610753707</v>
      </c>
      <c r="AQ526" s="76" t="n">
        <v>1.04529944120505</v>
      </c>
      <c r="AR526" s="76" t="n">
        <v>1.75922594752187</v>
      </c>
      <c r="AS526" s="77" t="n">
        <v>27.2846991613056</v>
      </c>
      <c r="AT526" s="78" t="n">
        <v>28.1315803633888</v>
      </c>
      <c r="AU526" s="78" t="n">
        <v>24.2780173856241</v>
      </c>
      <c r="AV526" s="78" t="n">
        <v>29.2759961127308</v>
      </c>
      <c r="AW526" s="78" t="n">
        <v>49.2711370262391</v>
      </c>
      <c r="AX526" s="78" t="n">
        <v>32.1</v>
      </c>
      <c r="AY526" s="48" t="n">
        <v>1.23994823303696</v>
      </c>
      <c r="AZ526" s="48" t="n">
        <v>23.9694901475916</v>
      </c>
      <c r="BA526" s="48" t="n">
        <v>-1.28178463388054</v>
      </c>
      <c r="BB526" s="49" t="n">
        <f aca="false">AT526/V526</f>
        <v>1.23994823303696</v>
      </c>
      <c r="BC526" s="49" t="n">
        <f aca="false">AS526/V526</f>
        <v>1.20262047410728</v>
      </c>
      <c r="BD526" s="49" t="n">
        <f aca="false">SUM(AP526:AR526)/V526</f>
        <v>0.161822093347513</v>
      </c>
      <c r="BE526" s="53" t="n">
        <v>6.22</v>
      </c>
      <c r="BF526" s="51" t="n">
        <v>128.196909526068</v>
      </c>
      <c r="BG526" s="51" t="n">
        <v>556.311583040457</v>
      </c>
      <c r="BH526" s="51" t="n">
        <v>287.190384532911</v>
      </c>
      <c r="BI526" s="51" t="n">
        <v>111.521162412188</v>
      </c>
      <c r="BJ526" s="51" t="n">
        <v>8.43516466433019</v>
      </c>
      <c r="BK526" s="51" t="n">
        <v>18.2077150825186</v>
      </c>
      <c r="BL526" s="51" t="n">
        <v>14.7631972071943</v>
      </c>
      <c r="BM526" s="51" t="n">
        <v>3.57079306040083</v>
      </c>
      <c r="BN526" s="52" t="n">
        <f aca="false">(BG526*0.5-BH526*0.25+BI526*0.5)/SUM(BG526:BI526)*1000</f>
        <v>274.463275666485</v>
      </c>
      <c r="BO526" s="93" t="n">
        <v>9.82114285714286</v>
      </c>
      <c r="BP526" s="94" t="s">
        <v>491</v>
      </c>
      <c r="BQ526" s="55" t="n">
        <v>355.76746031746</v>
      </c>
      <c r="BR526" s="56" t="n">
        <v>15.6810683258585</v>
      </c>
      <c r="BS526" s="56"/>
      <c r="BT526" s="56" t="n">
        <v>12.646550805957</v>
      </c>
      <c r="BU526" s="55" t="n">
        <v>12711.8077380952</v>
      </c>
      <c r="BV526" s="55" t="n">
        <v>560.294990183693</v>
      </c>
      <c r="BW526" s="55"/>
      <c r="BX526" s="55" t="n">
        <v>451.869662986965</v>
      </c>
      <c r="BY526" s="96" t="n">
        <v>0.11227</v>
      </c>
      <c r="BZ526" s="96" t="n">
        <v>1.0538</v>
      </c>
      <c r="CA526" s="97" t="n">
        <v>3.8454</v>
      </c>
      <c r="CB526" s="97"/>
      <c r="CC526" s="97" t="n">
        <v>7.752</v>
      </c>
      <c r="CD526" s="97" t="n">
        <v>4.7167</v>
      </c>
      <c r="CE526" s="97" t="n">
        <v>111.1</v>
      </c>
      <c r="CF526" s="97" t="n">
        <v>39.0567</v>
      </c>
      <c r="CG526" s="97" t="n">
        <v>0.1319</v>
      </c>
      <c r="CH526" s="63" t="n">
        <v>60446.9338110312</v>
      </c>
      <c r="CI526" s="63" t="n">
        <v>2764.88050861766</v>
      </c>
      <c r="CJ526" s="64" t="n">
        <v>815006.004380112</v>
      </c>
      <c r="CK526" s="65" t="n">
        <v>0.339246642817142</v>
      </c>
    </row>
    <row r="527" s="1" customFormat="true" ht="15" hidden="false" customHeight="false" outlineLevel="0" collapsed="false">
      <c r="A527" s="7" t="s">
        <v>488</v>
      </c>
      <c r="B527" s="66" t="n">
        <v>518</v>
      </c>
      <c r="C527" s="8" t="s">
        <v>610</v>
      </c>
      <c r="D527" s="67" t="n">
        <v>41766</v>
      </c>
      <c r="E527" s="4" t="s">
        <v>565</v>
      </c>
      <c r="F527" s="99" t="n">
        <v>132</v>
      </c>
      <c r="G527" s="68" t="n">
        <v>1</v>
      </c>
      <c r="H527" s="68" t="n">
        <v>170</v>
      </c>
      <c r="I527" s="7" t="n">
        <v>2</v>
      </c>
      <c r="J527" s="8" t="n">
        <v>729</v>
      </c>
      <c r="K527" s="32"/>
      <c r="L527" s="31" t="n">
        <v>937.054</v>
      </c>
      <c r="M527" s="31" t="n">
        <v>149.036009384882</v>
      </c>
      <c r="N527" s="31" t="n">
        <v>314.495562582883</v>
      </c>
      <c r="O527" s="95"/>
      <c r="P527" s="33" t="n">
        <v>28.9707232479853</v>
      </c>
      <c r="Q527" s="33" t="n">
        <v>9.8</v>
      </c>
      <c r="R527" s="31" t="n">
        <v>268.795266755075</v>
      </c>
      <c r="S527" s="34" t="s">
        <v>76</v>
      </c>
      <c r="T527" s="35"/>
      <c r="U527" s="35"/>
      <c r="V527" s="35" t="n">
        <v>24.005928128328</v>
      </c>
      <c r="W527" s="35" t="n">
        <v>22.4948509763622</v>
      </c>
      <c r="X527" s="35" t="n">
        <v>3.57774772982629</v>
      </c>
      <c r="Y527" s="35" t="n">
        <v>7.54975787204275</v>
      </c>
      <c r="Z527" s="35"/>
      <c r="AA527" s="35" t="n">
        <v>0.695469100116815</v>
      </c>
      <c r="AB527" s="35" t="n">
        <v>0.235258095657614</v>
      </c>
      <c r="AC527" s="71" t="n">
        <v>6.45267985495707</v>
      </c>
      <c r="AD527" s="72"/>
      <c r="AE527" s="72"/>
      <c r="AF527" s="72"/>
      <c r="AG527" s="72"/>
      <c r="AH527" s="72"/>
      <c r="AI527" s="73" t="n">
        <v>33.0955763958956</v>
      </c>
      <c r="AJ527" s="42" t="s">
        <v>16</v>
      </c>
      <c r="AK527" s="43" t="n">
        <v>703.887918954167</v>
      </c>
      <c r="AL527" s="74"/>
      <c r="AM527" s="74"/>
      <c r="AN527" s="74"/>
      <c r="AO527" s="78" t="n">
        <v>42.1575</v>
      </c>
      <c r="AP527" s="76" t="n">
        <v>1.18404221225256</v>
      </c>
      <c r="AQ527" s="76" t="n">
        <v>1.31204464285714</v>
      </c>
      <c r="AR527" s="76" t="n">
        <v>2.12938392857143</v>
      </c>
      <c r="AS527" s="77" t="n">
        <v>34.6236331837884</v>
      </c>
      <c r="AT527" s="78" t="n">
        <v>36.0487157691042</v>
      </c>
      <c r="AU527" s="78" t="n">
        <v>28.0861581510421</v>
      </c>
      <c r="AV527" s="78" t="n">
        <v>31.1224489795918</v>
      </c>
      <c r="AW527" s="78" t="n">
        <v>50.5102040816327</v>
      </c>
      <c r="AX527" s="78" t="n">
        <v>35.815</v>
      </c>
      <c r="AY527" s="48" t="n">
        <v>1.50165890593354</v>
      </c>
      <c r="AZ527" s="48" t="n">
        <v>26.3371955347015</v>
      </c>
      <c r="BA527" s="48" t="n">
        <v>-2.33126740637353</v>
      </c>
      <c r="BB527" s="49" t="n">
        <f aca="false">AT527/V527</f>
        <v>1.50165890593354</v>
      </c>
      <c r="BC527" s="49" t="n">
        <f aca="false">AS527/V527</f>
        <v>1.44229512804927</v>
      </c>
      <c r="BD527" s="49" t="n">
        <f aca="false">SUM(AP527:AR527)/V527</f>
        <v>0.192680356241794</v>
      </c>
      <c r="BE527" s="53" t="n">
        <v>6.13</v>
      </c>
      <c r="BF527" s="51" t="n">
        <v>120.14934166477</v>
      </c>
      <c r="BG527" s="51" t="n">
        <v>570.591773436006</v>
      </c>
      <c r="BH527" s="51" t="n">
        <v>280.336197095346</v>
      </c>
      <c r="BI527" s="51" t="n">
        <v>113.394431097771</v>
      </c>
      <c r="BJ527" s="51" t="n">
        <v>8.73879368566044</v>
      </c>
      <c r="BK527" s="51" t="n">
        <v>12.626851591639</v>
      </c>
      <c r="BL527" s="51" t="n">
        <v>12.2344214979076</v>
      </c>
      <c r="BM527" s="51" t="n">
        <v>2.07753159566966</v>
      </c>
      <c r="BN527" s="52" t="n">
        <f aca="false">(BG527*0.5-BH527*0.25+BI527*0.5)/SUM(BG527:BI527)*1000</f>
        <v>281.969030827957</v>
      </c>
      <c r="BO527" s="93" t="n">
        <v>5.1</v>
      </c>
      <c r="BP527" s="94" t="s">
        <v>491</v>
      </c>
      <c r="BQ527" s="55" t="n">
        <v>395.879545454545</v>
      </c>
      <c r="BR527" s="56" t="n">
        <v>16.4909077182228</v>
      </c>
      <c r="BS527" s="56"/>
      <c r="BT527" s="56" t="n">
        <v>10.9817933040998</v>
      </c>
      <c r="BU527" s="55" t="n">
        <v>12513.8489583333</v>
      </c>
      <c r="BV527" s="55" t="n">
        <v>521.281613917959</v>
      </c>
      <c r="BW527" s="55"/>
      <c r="BX527" s="55" t="n">
        <v>347.137164011219</v>
      </c>
      <c r="BY527" s="96" t="n">
        <v>0.08652</v>
      </c>
      <c r="BZ527" s="96" t="n">
        <v>0.9625</v>
      </c>
      <c r="CA527" s="97" t="n">
        <v>4.437</v>
      </c>
      <c r="CB527" s="97"/>
      <c r="CC527" s="97" t="n">
        <v>7.242</v>
      </c>
      <c r="CD527" s="97" t="n">
        <v>6.7266</v>
      </c>
      <c r="CE527" s="97" t="n">
        <v>115.54</v>
      </c>
      <c r="CF527" s="97" t="n">
        <v>40.804</v>
      </c>
      <c r="CG527" s="97" t="n">
        <v>0.1137</v>
      </c>
      <c r="CH527" s="63" t="n">
        <v>81905.5713316324</v>
      </c>
      <c r="CI527" s="63" t="n">
        <v>3278.20786272004</v>
      </c>
      <c r="CJ527" s="64" t="n">
        <v>739973.894790379</v>
      </c>
      <c r="CK527" s="65" t="n">
        <v>0.443016690967011</v>
      </c>
    </row>
    <row r="528" s="1" customFormat="true" ht="15" hidden="false" customHeight="false" outlineLevel="0" collapsed="false">
      <c r="A528" s="7" t="s">
        <v>488</v>
      </c>
      <c r="B528" s="66" t="n">
        <v>519</v>
      </c>
      <c r="C528" s="8" t="s">
        <v>611</v>
      </c>
      <c r="D528" s="67" t="n">
        <v>41766</v>
      </c>
      <c r="E528" s="4" t="s">
        <v>565</v>
      </c>
      <c r="F528" s="99" t="n">
        <v>137</v>
      </c>
      <c r="G528" s="68" t="n">
        <v>1</v>
      </c>
      <c r="H528" s="68" t="n">
        <v>140</v>
      </c>
      <c r="I528" s="7" t="n">
        <v>1</v>
      </c>
      <c r="J528" s="8" t="n">
        <v>792</v>
      </c>
      <c r="K528" s="32"/>
      <c r="L528" s="31" t="n">
        <v>937.054</v>
      </c>
      <c r="M528" s="31" t="n">
        <v>149.036009384882</v>
      </c>
      <c r="N528" s="31" t="n">
        <v>314.495562582883</v>
      </c>
      <c r="O528" s="95"/>
      <c r="P528" s="33" t="n">
        <v>28.9707232479853</v>
      </c>
      <c r="Q528" s="33" t="n">
        <v>9.8</v>
      </c>
      <c r="R528" s="31" t="n">
        <v>268.795266755075</v>
      </c>
      <c r="S528" s="34" t="s">
        <v>76</v>
      </c>
      <c r="T528" s="35"/>
      <c r="U528" s="35"/>
      <c r="V528" s="35" t="n">
        <v>25.9174873635484</v>
      </c>
      <c r="W528" s="35" t="n">
        <v>24.2860852039625</v>
      </c>
      <c r="X528" s="35" t="n">
        <v>3.86263888994637</v>
      </c>
      <c r="Y528" s="35" t="n">
        <v>8.15093476913391</v>
      </c>
      <c r="Z528" s="35"/>
      <c r="AA528" s="35" t="n">
        <v>0.750848353692517</v>
      </c>
      <c r="AB528" s="35" t="n">
        <v>0.253991376162774</v>
      </c>
      <c r="AC528" s="71" t="n">
        <v>6.96649792950628</v>
      </c>
      <c r="AD528" s="72"/>
      <c r="AE528" s="72"/>
      <c r="AF528" s="72"/>
      <c r="AG528" s="72"/>
      <c r="AH528" s="72"/>
      <c r="AI528" s="73" t="n">
        <v>25.632079200813</v>
      </c>
      <c r="AJ528" s="42" t="s">
        <v>16</v>
      </c>
      <c r="AK528" s="43" t="n">
        <v>617.666599606592</v>
      </c>
      <c r="AL528" s="74"/>
      <c r="AM528" s="74"/>
      <c r="AN528" s="74"/>
      <c r="AO528" s="78" t="n">
        <v>40.165</v>
      </c>
      <c r="AP528" s="76" t="n">
        <v>1.479337405813</v>
      </c>
      <c r="AQ528" s="76" t="n">
        <v>1.35151907191448</v>
      </c>
      <c r="AR528" s="76" t="n">
        <v>1.96726530612245</v>
      </c>
      <c r="AS528" s="77" t="n">
        <v>38.2560610871951</v>
      </c>
      <c r="AT528" s="78" t="n">
        <v>39.0876967663165</v>
      </c>
      <c r="AU528" s="78" t="n">
        <v>36.8315051864311</v>
      </c>
      <c r="AV528" s="78" t="n">
        <v>33.6491739552964</v>
      </c>
      <c r="AW528" s="78" t="n">
        <v>48.9795918367347</v>
      </c>
      <c r="AX528" s="78" t="n">
        <v>32.5775</v>
      </c>
      <c r="AY528" s="48" t="n">
        <v>1.50815919066643</v>
      </c>
      <c r="AZ528" s="48" t="n">
        <v>28.3782371815967</v>
      </c>
      <c r="BA528" s="48" t="n">
        <v>-2.46074981804827</v>
      </c>
      <c r="BB528" s="49" t="n">
        <f aca="false">AT528/V528</f>
        <v>1.50815919066643</v>
      </c>
      <c r="BC528" s="49" t="n">
        <f aca="false">AS528/V528</f>
        <v>1.47607137029032</v>
      </c>
      <c r="BD528" s="49" t="n">
        <f aca="false">SUM(AP528:AR528)/V528</f>
        <v>0.185130669364124</v>
      </c>
      <c r="BE528" s="53" t="n">
        <v>6.63</v>
      </c>
      <c r="BF528" s="51" t="n">
        <v>103.697460113078</v>
      </c>
      <c r="BG528" s="51" t="n">
        <v>634.621360624683</v>
      </c>
      <c r="BH528" s="51" t="n">
        <v>220.878716216443</v>
      </c>
      <c r="BI528" s="51" t="n">
        <v>97.6096479257024</v>
      </c>
      <c r="BJ528" s="51" t="n">
        <v>9.55628439138167</v>
      </c>
      <c r="BK528" s="51" t="n">
        <v>14.8409925324986</v>
      </c>
      <c r="BL528" s="51" t="n">
        <v>16.1543953433315</v>
      </c>
      <c r="BM528" s="51" t="n">
        <v>6.33860296595985</v>
      </c>
      <c r="BN528" s="52" t="n">
        <f aca="false">(BG528*0.5-BH528*0.25+BI528*0.5)/SUM(BG528:BI528)*1000</f>
        <v>326.191011530325</v>
      </c>
      <c r="BO528" s="93" t="n">
        <v>3.11828571428571</v>
      </c>
      <c r="BP528" s="94" t="s">
        <v>491</v>
      </c>
      <c r="BQ528" s="55" t="n">
        <v>512.789682539683</v>
      </c>
      <c r="BR528" s="56" t="n">
        <v>19.7854705337252</v>
      </c>
      <c r="BS528" s="56"/>
      <c r="BT528" s="56" t="n">
        <v>13.1189536596481</v>
      </c>
      <c r="BU528" s="55" t="n">
        <v>15455.7395833333</v>
      </c>
      <c r="BV528" s="55" t="n">
        <v>596.344057837606</v>
      </c>
      <c r="BW528" s="55"/>
      <c r="BX528" s="55" t="n">
        <v>395.41187795573</v>
      </c>
      <c r="BY528" s="96" t="n">
        <v>0.07519</v>
      </c>
      <c r="BZ528" s="96" t="n">
        <v>0.5852</v>
      </c>
      <c r="CA528" s="97" t="n">
        <v>3.9882</v>
      </c>
      <c r="CB528" s="97"/>
      <c r="CC528" s="97" t="n">
        <v>5.3244</v>
      </c>
      <c r="CD528" s="97" t="n">
        <v>6.3327</v>
      </c>
      <c r="CE528" s="97" t="n">
        <v>87.87</v>
      </c>
      <c r="CF528" s="97" t="n">
        <v>38.077</v>
      </c>
      <c r="CG528" s="97" t="n">
        <v>0.0955</v>
      </c>
      <c r="CH528" s="63" t="n">
        <v>73628.3488176406</v>
      </c>
      <c r="CI528" s="63" t="n">
        <v>5122.83338156619</v>
      </c>
      <c r="CJ528" s="64" t="n">
        <v>737449.467100478</v>
      </c>
      <c r="CK528" s="65" t="n">
        <v>0.694669073625922</v>
      </c>
    </row>
    <row r="529" s="1" customFormat="true" ht="15" hidden="false" customHeight="false" outlineLevel="0" collapsed="false">
      <c r="A529" s="7" t="s">
        <v>488</v>
      </c>
      <c r="B529" s="66" t="n">
        <v>520</v>
      </c>
      <c r="C529" s="8" t="s">
        <v>612</v>
      </c>
      <c r="D529" s="67" t="n">
        <v>41766</v>
      </c>
      <c r="E529" s="4" t="s">
        <v>565</v>
      </c>
      <c r="F529" s="99" t="n">
        <v>139</v>
      </c>
      <c r="G529" s="68" t="n">
        <v>1</v>
      </c>
      <c r="H529" s="68" t="n">
        <v>171</v>
      </c>
      <c r="I529" s="7" t="n">
        <v>1</v>
      </c>
      <c r="J529" s="8" t="n">
        <v>771</v>
      </c>
      <c r="K529" s="32"/>
      <c r="L529" s="31" t="n">
        <v>937.054</v>
      </c>
      <c r="M529" s="31" t="n">
        <v>149.036009384882</v>
      </c>
      <c r="N529" s="31" t="n">
        <v>314.495562582883</v>
      </c>
      <c r="O529" s="95"/>
      <c r="P529" s="33" t="n">
        <v>28.9707232479853</v>
      </c>
      <c r="Q529" s="33" t="n">
        <v>9.8</v>
      </c>
      <c r="R529" s="31" t="n">
        <v>268.795266755075</v>
      </c>
      <c r="S529" s="34" t="s">
        <v>76</v>
      </c>
      <c r="T529" s="35"/>
      <c r="U529" s="35"/>
      <c r="V529" s="35" t="n">
        <v>28.3280022828536</v>
      </c>
      <c r="W529" s="35" t="n">
        <v>26.5448678511571</v>
      </c>
      <c r="X529" s="35" t="n">
        <v>4.22189241408234</v>
      </c>
      <c r="Y529" s="35" t="n">
        <v>8.90903101479524</v>
      </c>
      <c r="Z529" s="35"/>
      <c r="AA529" s="35" t="n">
        <v>0.820682714304848</v>
      </c>
      <c r="AB529" s="35" t="n">
        <v>0.277614422371966</v>
      </c>
      <c r="AC529" s="71" t="n">
        <v>7.61443293025801</v>
      </c>
      <c r="AD529" s="72"/>
      <c r="AE529" s="72"/>
      <c r="AF529" s="72"/>
      <c r="AG529" s="72"/>
      <c r="AH529" s="72"/>
      <c r="AI529" s="73" t="n">
        <v>31.8179918772654</v>
      </c>
      <c r="AJ529" s="42" t="s">
        <v>16</v>
      </c>
      <c r="AK529" s="43" t="n">
        <v>691.998161360953</v>
      </c>
      <c r="AL529" s="74"/>
      <c r="AM529" s="74"/>
      <c r="AN529" s="74"/>
      <c r="AO529" s="78" t="n">
        <v>33.3</v>
      </c>
      <c r="AP529" s="76" t="n">
        <v>1.38051188631912</v>
      </c>
      <c r="AQ529" s="76" t="n">
        <v>1.16258746355685</v>
      </c>
      <c r="AR529" s="76" t="n">
        <v>1.71111516034985</v>
      </c>
      <c r="AS529" s="77" t="n">
        <v>34.0276782947869</v>
      </c>
      <c r="AT529" s="78" t="n">
        <v>35.0316486039124</v>
      </c>
      <c r="AU529" s="78" t="n">
        <v>41.4568134029767</v>
      </c>
      <c r="AV529" s="78" t="n">
        <v>34.9125364431487</v>
      </c>
      <c r="AW529" s="78" t="n">
        <v>51.3848396501458</v>
      </c>
      <c r="AX529" s="78" t="n">
        <v>31.81</v>
      </c>
      <c r="AY529" s="48" t="n">
        <v>1.23664380756974</v>
      </c>
      <c r="AZ529" s="48" t="n">
        <v>26.6998928976941</v>
      </c>
      <c r="BA529" s="48" t="n">
        <v>1.62810938515947</v>
      </c>
      <c r="BB529" s="49" t="n">
        <f aca="false">AT529/V529</f>
        <v>1.23664380756974</v>
      </c>
      <c r="BC529" s="49" t="n">
        <f aca="false">AS529/V529</f>
        <v>1.20120289298985</v>
      </c>
      <c r="BD529" s="49" t="n">
        <f aca="false">SUM(AP529:AR529)/V529</f>
        <v>0.150177003932283</v>
      </c>
      <c r="BE529" s="53" t="n">
        <v>6.79</v>
      </c>
      <c r="BF529" s="51" t="n">
        <v>104.628260083121</v>
      </c>
      <c r="BG529" s="51" t="n">
        <v>652.814270076922</v>
      </c>
      <c r="BH529" s="51" t="n">
        <v>185.93267141054</v>
      </c>
      <c r="BI529" s="51" t="n">
        <v>110.01569794778</v>
      </c>
      <c r="BJ529" s="51" t="n">
        <v>10.427186169242</v>
      </c>
      <c r="BK529" s="51" t="n">
        <v>15.3381753421812</v>
      </c>
      <c r="BL529" s="51" t="n">
        <v>16.113105255869</v>
      </c>
      <c r="BM529" s="51" t="n">
        <v>9.35889379746613</v>
      </c>
      <c r="BN529" s="52" t="n">
        <f aca="false">(BG529*0.5-BH529*0.25+BI529*0.5)/SUM(BG529:BI529)*1000</f>
        <v>353.019609160713</v>
      </c>
      <c r="BO529" s="93" t="n">
        <v>1.28228571428571</v>
      </c>
      <c r="BP529" s="94" t="s">
        <v>491</v>
      </c>
      <c r="BQ529" s="55" t="n">
        <v>543.127192982456</v>
      </c>
      <c r="BR529" s="56" t="n">
        <v>19.1728024997795</v>
      </c>
      <c r="BS529" s="56"/>
      <c r="BT529" s="56" t="n">
        <v>15.503900462218</v>
      </c>
      <c r="BU529" s="55" t="n">
        <v>15682.8077777778</v>
      </c>
      <c r="BV529" s="55" t="n">
        <v>553.615028027242</v>
      </c>
      <c r="BW529" s="55"/>
      <c r="BX529" s="55" t="n">
        <v>447.675413598043</v>
      </c>
      <c r="BY529" s="96" t="n">
        <v>0.0927</v>
      </c>
      <c r="BZ529" s="96" t="n">
        <v>0.792</v>
      </c>
      <c r="CA529" s="97" t="n">
        <v>4.3962</v>
      </c>
      <c r="CB529" s="97"/>
      <c r="CC529" s="97" t="n">
        <v>6.3648</v>
      </c>
      <c r="CD529" s="97" t="n">
        <v>6.6256</v>
      </c>
      <c r="CE529" s="97" t="n">
        <v>97.97</v>
      </c>
      <c r="CF529" s="97" t="n">
        <v>36.5418</v>
      </c>
      <c r="CG529" s="97" t="n">
        <v>0.0955</v>
      </c>
      <c r="CH529" s="63" t="n">
        <v>88930.0301051144</v>
      </c>
      <c r="CI529" s="63" t="n">
        <v>2681.0231953149</v>
      </c>
      <c r="CJ529" s="64" t="n">
        <v>367107.210834143</v>
      </c>
      <c r="CK529" s="65" t="n">
        <v>0.730310687502723</v>
      </c>
    </row>
    <row r="530" s="1" customFormat="true" ht="15" hidden="false" customHeight="false" outlineLevel="0" collapsed="false">
      <c r="A530" s="7" t="s">
        <v>488</v>
      </c>
      <c r="B530" s="66" t="n">
        <v>521</v>
      </c>
      <c r="C530" s="8" t="s">
        <v>613</v>
      </c>
      <c r="D530" s="67" t="n">
        <v>41766</v>
      </c>
      <c r="E530" s="4" t="s">
        <v>565</v>
      </c>
      <c r="F530" s="99" t="n">
        <v>141</v>
      </c>
      <c r="G530" s="68" t="n">
        <v>1</v>
      </c>
      <c r="H530" s="68" t="n">
        <v>120</v>
      </c>
      <c r="I530" s="7" t="n">
        <v>1</v>
      </c>
      <c r="J530" s="8" t="n">
        <v>635</v>
      </c>
      <c r="K530" s="32"/>
      <c r="L530" s="31" t="n">
        <v>937.054</v>
      </c>
      <c r="M530" s="31" t="n">
        <v>149.036009384882</v>
      </c>
      <c r="N530" s="31" t="n">
        <v>314.495562582883</v>
      </c>
      <c r="O530" s="95"/>
      <c r="P530" s="33" t="n">
        <v>28.9707232479853</v>
      </c>
      <c r="Q530" s="33" t="n">
        <v>9.8</v>
      </c>
      <c r="R530" s="31" t="n">
        <v>268.795266755075</v>
      </c>
      <c r="S530" s="34" t="s">
        <v>76</v>
      </c>
      <c r="T530" s="35"/>
      <c r="U530" s="35"/>
      <c r="V530" s="35" t="n">
        <v>20.2998910014937</v>
      </c>
      <c r="W530" s="35" t="n">
        <v>19.0220940625137</v>
      </c>
      <c r="X530" s="35" t="n">
        <v>3.02541474581071</v>
      </c>
      <c r="Y530" s="35" t="n">
        <v>6.38422564088598</v>
      </c>
      <c r="Z530" s="35"/>
      <c r="AA530" s="35" t="n">
        <v>0.588102524168543</v>
      </c>
      <c r="AB530" s="35" t="n">
        <v>0.198938931814639</v>
      </c>
      <c r="AC530" s="71" t="n">
        <v>5.45651461684546</v>
      </c>
      <c r="AD530" s="72"/>
      <c r="AE530" s="72"/>
      <c r="AF530" s="72"/>
      <c r="AG530" s="72"/>
      <c r="AH530" s="72"/>
      <c r="AI530" s="73" t="n">
        <v>29.1388495892682</v>
      </c>
      <c r="AJ530" s="42" t="s">
        <v>16</v>
      </c>
      <c r="AK530" s="43" t="n">
        <v>663.679241351747</v>
      </c>
      <c r="AL530" s="74"/>
      <c r="AM530" s="74"/>
      <c r="AN530" s="74"/>
      <c r="AO530" s="78" t="n">
        <v>37.2525</v>
      </c>
      <c r="AP530" s="76" t="n">
        <v>1.16396503362808</v>
      </c>
      <c r="AQ530" s="76" t="n">
        <v>1.23179427842566</v>
      </c>
      <c r="AR530" s="76" t="n">
        <v>1.88977696793003</v>
      </c>
      <c r="AS530" s="77" t="n">
        <v>32.3604755044211</v>
      </c>
      <c r="AT530" s="78" t="n">
        <v>33.8908662819805</v>
      </c>
      <c r="AU530" s="78" t="n">
        <v>31.2452864540119</v>
      </c>
      <c r="AV530" s="78" t="n">
        <v>33.0660835762877</v>
      </c>
      <c r="AW530" s="78" t="n">
        <v>50.7288629737609</v>
      </c>
      <c r="AX530" s="78" t="n">
        <v>27.1475</v>
      </c>
      <c r="AY530" s="48" t="n">
        <v>1.66950976630794</v>
      </c>
      <c r="AZ530" s="48" t="n">
        <v>23.836497614157</v>
      </c>
      <c r="BA530" s="48" t="n">
        <v>-3.53660661266329</v>
      </c>
      <c r="BB530" s="49" t="n">
        <f aca="false">AT530/V530</f>
        <v>1.66950976630794</v>
      </c>
      <c r="BC530" s="49" t="n">
        <f aca="false">AS530/V530</f>
        <v>1.59412065326065</v>
      </c>
      <c r="BD530" s="49" t="n">
        <f aca="false">SUM(AP530:AR530)/V530</f>
        <v>0.21111129511328</v>
      </c>
      <c r="BE530" s="53" t="n">
        <v>5.75</v>
      </c>
      <c r="BF530" s="51" t="n">
        <v>139.811214530413</v>
      </c>
      <c r="BG530" s="51" t="n">
        <v>555.842839564971</v>
      </c>
      <c r="BH530" s="51" t="n">
        <v>314.245063878418</v>
      </c>
      <c r="BI530" s="51" t="n">
        <v>93.6282893645966</v>
      </c>
      <c r="BJ530" s="51" t="n">
        <v>7.62708357288307</v>
      </c>
      <c r="BK530" s="51" t="n">
        <v>14.0145852529142</v>
      </c>
      <c r="BL530" s="51" t="n">
        <v>12.0082044193289</v>
      </c>
      <c r="BM530" s="51" t="n">
        <v>2.63393394688726</v>
      </c>
      <c r="BN530" s="52" t="n">
        <f aca="false">(BG530*0.5-BH530*0.25+BI530*0.5)/SUM(BG530:BI530)*1000</f>
        <v>255.442733381806</v>
      </c>
      <c r="BO530" s="93" t="n">
        <v>6.17828571428571</v>
      </c>
      <c r="BP530" s="94" t="s">
        <v>491</v>
      </c>
      <c r="BQ530" s="55" t="n">
        <v>398.826984126984</v>
      </c>
      <c r="BR530" s="56" t="n">
        <v>19.6467549553659</v>
      </c>
      <c r="BS530" s="56"/>
      <c r="BT530" s="56" t="n">
        <v>11.7679784520302</v>
      </c>
      <c r="BU530" s="55" t="n">
        <v>13283.3311111111</v>
      </c>
      <c r="BV530" s="55" t="n">
        <v>654.354799744179</v>
      </c>
      <c r="BW530" s="55"/>
      <c r="BX530" s="55" t="n">
        <v>391.944277865029</v>
      </c>
      <c r="BY530" s="96" t="n">
        <v>0.08858</v>
      </c>
      <c r="BZ530" s="96" t="n">
        <v>0.5511</v>
      </c>
      <c r="CA530" s="97" t="n">
        <v>4.5696</v>
      </c>
      <c r="CB530" s="97"/>
      <c r="CC530" s="97" t="n">
        <v>4.947</v>
      </c>
      <c r="CD530" s="97" t="n">
        <v>6.5751</v>
      </c>
      <c r="CE530" s="97" t="n">
        <v>84.84</v>
      </c>
      <c r="CF530" s="97" t="n">
        <v>39.1577</v>
      </c>
      <c r="CG530" s="97" t="n">
        <v>0.1046</v>
      </c>
      <c r="CH530" s="63" t="n">
        <v>61250.7851647909</v>
      </c>
      <c r="CI530" s="63" t="n">
        <v>3030.83249229767</v>
      </c>
      <c r="CJ530" s="64" t="n">
        <v>307700.566713868</v>
      </c>
      <c r="CK530" s="65" t="n">
        <v>0.984994120961776</v>
      </c>
    </row>
    <row r="531" s="1" customFormat="true" ht="15" hidden="false" customHeight="false" outlineLevel="0" collapsed="false">
      <c r="A531" s="7" t="s">
        <v>488</v>
      </c>
      <c r="B531" s="66" t="n">
        <v>522</v>
      </c>
      <c r="C531" s="8" t="s">
        <v>614</v>
      </c>
      <c r="D531" s="67" t="n">
        <v>41766</v>
      </c>
      <c r="E531" s="4" t="s">
        <v>565</v>
      </c>
      <c r="F531" s="99" t="n">
        <v>154</v>
      </c>
      <c r="G531" s="68" t="n">
        <v>1</v>
      </c>
      <c r="H531" s="68" t="n">
        <v>132</v>
      </c>
      <c r="I531" s="7" t="n">
        <v>6</v>
      </c>
      <c r="J531" s="8" t="n">
        <v>677</v>
      </c>
      <c r="K531" s="32"/>
      <c r="L531" s="31" t="n">
        <v>937.054</v>
      </c>
      <c r="M531" s="31" t="n">
        <v>149.036009384882</v>
      </c>
      <c r="N531" s="31" t="n">
        <v>314.495562582883</v>
      </c>
      <c r="O531" s="95"/>
      <c r="P531" s="33" t="n">
        <v>28.9707232479853</v>
      </c>
      <c r="Q531" s="33" t="n">
        <v>9.8</v>
      </c>
      <c r="R531" s="31" t="n">
        <v>268.795266755075</v>
      </c>
      <c r="S531" s="34" t="s">
        <v>76</v>
      </c>
      <c r="T531" s="35"/>
      <c r="U531" s="35"/>
      <c r="V531" s="35" t="n">
        <v>20.2450684425633</v>
      </c>
      <c r="W531" s="35" t="n">
        <v>18.9707223643777</v>
      </c>
      <c r="X531" s="35" t="n">
        <v>3.01724421040344</v>
      </c>
      <c r="Y531" s="35" t="n">
        <v>6.36698418937291</v>
      </c>
      <c r="Z531" s="35"/>
      <c r="AA531" s="35" t="n">
        <v>0.586514274986022</v>
      </c>
      <c r="AB531" s="35" t="n">
        <v>0.19840167073712</v>
      </c>
      <c r="AC531" s="71" t="n">
        <v>5.44177857249355</v>
      </c>
      <c r="AD531" s="72"/>
      <c r="AE531" s="72"/>
      <c r="AF531" s="72"/>
      <c r="AG531" s="72"/>
      <c r="AH531" s="72"/>
      <c r="AI531" s="73" t="n">
        <v>32.7963498417849</v>
      </c>
      <c r="AJ531" s="42" t="s">
        <v>16</v>
      </c>
      <c r="AK531" s="43" t="n">
        <v>701.186258614851</v>
      </c>
      <c r="AL531" s="74"/>
      <c r="AM531" s="74"/>
      <c r="AN531" s="74"/>
      <c r="AO531" s="78" t="n">
        <v>34.6325</v>
      </c>
      <c r="AP531" s="76" t="n">
        <v>1.22180255846775</v>
      </c>
      <c r="AQ531" s="76" t="n">
        <v>1.1392712585034</v>
      </c>
      <c r="AR531" s="76" t="n">
        <v>1.73835629251701</v>
      </c>
      <c r="AS531" s="77" t="n">
        <v>32.1800383770163</v>
      </c>
      <c r="AT531" s="78" t="n">
        <v>33.0683784309963</v>
      </c>
      <c r="AU531" s="78" t="n">
        <v>35.2790748131885</v>
      </c>
      <c r="AV531" s="78" t="n">
        <v>32.8960155490768</v>
      </c>
      <c r="AW531" s="78" t="n">
        <v>50.1943634596696</v>
      </c>
      <c r="AX531" s="78" t="n">
        <v>27.555</v>
      </c>
      <c r="AY531" s="48" t="n">
        <v>1.63340413122404</v>
      </c>
      <c r="AZ531" s="48" t="n">
        <v>24.4900555909993</v>
      </c>
      <c r="BA531" s="48" t="n">
        <v>-4.24498714843606</v>
      </c>
      <c r="BB531" s="49" t="n">
        <f aca="false">AT531/V531</f>
        <v>1.63340413122404</v>
      </c>
      <c r="BC531" s="49" t="n">
        <f aca="false">AS531/V531</f>
        <v>1.58952480048726</v>
      </c>
      <c r="BD531" s="49" t="n">
        <f aca="false">SUM(AP531:AR531)/V531</f>
        <v>0.202490306274762</v>
      </c>
      <c r="BE531" s="53" t="n">
        <v>5.9</v>
      </c>
      <c r="BF531" s="51" t="n">
        <v>143.233523521668</v>
      </c>
      <c r="BG531" s="51" t="n">
        <v>560.973672482739</v>
      </c>
      <c r="BH531" s="51" t="n">
        <v>277.322722734129</v>
      </c>
      <c r="BI531" s="51" t="n">
        <v>111.234268343053</v>
      </c>
      <c r="BJ531" s="51" t="n">
        <v>10.4326261152042</v>
      </c>
      <c r="BK531" s="51" t="n">
        <v>17.4850471007841</v>
      </c>
      <c r="BL531" s="51" t="n">
        <v>19.2928042533601</v>
      </c>
      <c r="BM531" s="51" t="n">
        <v>3.25885897073045</v>
      </c>
      <c r="BN531" s="52" t="n">
        <f aca="false">(BG531*0.5-BH531*0.25+BI531*0.5)/SUM(BG531:BI531)*1000</f>
        <v>280.952790644163</v>
      </c>
      <c r="BO531" s="93" t="n">
        <v>9.82114285714286</v>
      </c>
      <c r="BP531" s="94" t="s">
        <v>491</v>
      </c>
      <c r="BQ531" s="55" t="n">
        <v>386.484090909091</v>
      </c>
      <c r="BR531" s="56" t="n">
        <v>19.0902832462915</v>
      </c>
      <c r="BS531" s="56"/>
      <c r="BT531" s="56" t="n">
        <v>11.6874219192685</v>
      </c>
      <c r="BU531" s="55" t="n">
        <v>13563.446875</v>
      </c>
      <c r="BV531" s="55" t="n">
        <v>669.963004248687</v>
      </c>
      <c r="BW531" s="55"/>
      <c r="BX531" s="55" t="n">
        <v>410.163652363626</v>
      </c>
      <c r="BY531" s="96" t="n">
        <v>0.06798</v>
      </c>
      <c r="BZ531" s="96" t="n">
        <v>0.6248</v>
      </c>
      <c r="CA531" s="97" t="n">
        <v>4.3554</v>
      </c>
      <c r="CB531" s="97"/>
      <c r="CC531" s="97" t="n">
        <v>7.1808</v>
      </c>
      <c r="CD531" s="97" t="n">
        <v>4.8581</v>
      </c>
      <c r="CE531" s="97" t="n">
        <v>96.96</v>
      </c>
      <c r="CF531" s="97" t="n">
        <v>36.6327</v>
      </c>
      <c r="CG531" s="97" t="n">
        <v>0.0955</v>
      </c>
      <c r="CH531" s="63" t="n">
        <v>70679.3917819875</v>
      </c>
      <c r="CI531" s="63" t="n">
        <v>2673.78267930758</v>
      </c>
      <c r="CJ531" s="64" t="n">
        <v>589362.433321304</v>
      </c>
      <c r="CK531" s="65" t="n">
        <v>0.453673754575719</v>
      </c>
    </row>
    <row r="532" s="1" customFormat="true" ht="15" hidden="false" customHeight="false" outlineLevel="0" collapsed="false">
      <c r="A532" s="7" t="s">
        <v>488</v>
      </c>
      <c r="B532" s="66" t="n">
        <v>523</v>
      </c>
      <c r="C532" s="8" t="s">
        <v>615</v>
      </c>
      <c r="D532" s="67" t="n">
        <v>41766</v>
      </c>
      <c r="E532" s="4" t="s">
        <v>565</v>
      </c>
      <c r="F532" s="99" t="n">
        <v>155</v>
      </c>
      <c r="G532" s="68" t="n">
        <v>1</v>
      </c>
      <c r="H532" s="68" t="n">
        <v>186</v>
      </c>
      <c r="I532" s="7" t="n">
        <v>7</v>
      </c>
      <c r="J532" s="8" t="n">
        <v>708</v>
      </c>
      <c r="K532" s="32"/>
      <c r="L532" s="31" t="n">
        <v>937.054</v>
      </c>
      <c r="M532" s="31" t="n">
        <v>149.036009384882</v>
      </c>
      <c r="N532" s="31" t="n">
        <v>314.495562582883</v>
      </c>
      <c r="O532" s="95"/>
      <c r="P532" s="33" t="n">
        <v>28.9707232479853</v>
      </c>
      <c r="Q532" s="33" t="n">
        <v>9.8</v>
      </c>
      <c r="R532" s="31" t="n">
        <v>268.795266755075</v>
      </c>
      <c r="S532" s="34" t="s">
        <v>76</v>
      </c>
      <c r="T532" s="35"/>
      <c r="U532" s="35"/>
      <c r="V532" s="35" t="n">
        <v>18.6213203394886</v>
      </c>
      <c r="W532" s="35" t="n">
        <v>17.4491827093992</v>
      </c>
      <c r="X532" s="35" t="n">
        <v>2.77524727287492</v>
      </c>
      <c r="Y532" s="35" t="n">
        <v>5.85632261620355</v>
      </c>
      <c r="Z532" s="35"/>
      <c r="AA532" s="35" t="n">
        <v>0.539473118067405</v>
      </c>
      <c r="AB532" s="35" t="n">
        <v>0.182488939326988</v>
      </c>
      <c r="AC532" s="71" t="n">
        <v>5.00532276798455</v>
      </c>
      <c r="AD532" s="72"/>
      <c r="AE532" s="72"/>
      <c r="AF532" s="72"/>
      <c r="AG532" s="72"/>
      <c r="AH532" s="72"/>
      <c r="AI532" s="73" t="n">
        <v>30.0424247107032</v>
      </c>
      <c r="AJ532" s="42" t="s">
        <v>16</v>
      </c>
      <c r="AK532" s="43" t="n">
        <v>673.794638935767</v>
      </c>
      <c r="AL532" s="74"/>
      <c r="AM532" s="74"/>
      <c r="AN532" s="74"/>
      <c r="AO532" s="78" t="n">
        <v>29.505</v>
      </c>
      <c r="AP532" s="76" t="n">
        <v>0.955468777578599</v>
      </c>
      <c r="AQ532" s="76" t="n">
        <v>0.879558673469388</v>
      </c>
      <c r="AR532" s="76" t="n">
        <v>1.43080612244898</v>
      </c>
      <c r="AS532" s="77" t="n">
        <v>26.134031663679</v>
      </c>
      <c r="AT532" s="78" t="n">
        <v>26.1643505874285</v>
      </c>
      <c r="AU532" s="78" t="n">
        <v>32.3832834292018</v>
      </c>
      <c r="AV532" s="78" t="n">
        <v>29.8104956268222</v>
      </c>
      <c r="AW532" s="78" t="n">
        <v>48.4936831875608</v>
      </c>
      <c r="AX532" s="78" t="n">
        <v>23.9675</v>
      </c>
      <c r="AY532" s="48" t="n">
        <v>1.40507494154129</v>
      </c>
      <c r="AZ532" s="48" t="n">
        <v>22.9388280468452</v>
      </c>
      <c r="BA532" s="48" t="n">
        <v>-4.31750770735655</v>
      </c>
      <c r="BB532" s="49" t="n">
        <f aca="false">AT532/V532</f>
        <v>1.40507494154129</v>
      </c>
      <c r="BC532" s="49" t="n">
        <f aca="false">AS532/V532</f>
        <v>1.40344675819033</v>
      </c>
      <c r="BD532" s="49" t="n">
        <f aca="false">SUM(AP532:AR532)/V532</f>
        <v>0.175381418393378</v>
      </c>
      <c r="BE532" s="53" t="n">
        <v>6.36</v>
      </c>
      <c r="BF532" s="51" t="n">
        <v>120.655457051174</v>
      </c>
      <c r="BG532" s="51" t="n">
        <v>545.724782885403</v>
      </c>
      <c r="BH532" s="51" t="n">
        <v>291.12155415749</v>
      </c>
      <c r="BI532" s="51" t="n">
        <v>120.632667146683</v>
      </c>
      <c r="BJ532" s="51" t="n">
        <v>7.31604237858953</v>
      </c>
      <c r="BK532" s="51" t="n">
        <v>18.1449975833641</v>
      </c>
      <c r="BL532" s="51" t="n">
        <v>12.6973064355357</v>
      </c>
      <c r="BM532" s="51" t="n">
        <v>4.36264941293487</v>
      </c>
      <c r="BN532" s="52" t="n">
        <f aca="false">(BG532*0.5-BH532*0.25+BI532*0.5)/SUM(BG532:BI532)*1000</f>
        <v>271.962450703632</v>
      </c>
      <c r="BO532" s="93" t="n">
        <v>3.73028571428571</v>
      </c>
      <c r="BP532" s="94" t="s">
        <v>491</v>
      </c>
      <c r="BQ532" s="55" t="n">
        <v>316.824242424242</v>
      </c>
      <c r="BR532" s="56" t="n">
        <v>17.0140589737013</v>
      </c>
      <c r="BS532" s="56"/>
      <c r="BT532" s="56" t="n">
        <v>12.1090046307693</v>
      </c>
      <c r="BU532" s="55" t="n">
        <v>11151.4270833333</v>
      </c>
      <c r="BV532" s="55" t="n">
        <v>598.852652767348</v>
      </c>
      <c r="BW532" s="55"/>
      <c r="BX532" s="55" t="n">
        <v>426.206912572536</v>
      </c>
      <c r="BY532" s="96" t="n">
        <v>0.03708</v>
      </c>
      <c r="BZ532" s="96" t="n">
        <v>0.781</v>
      </c>
      <c r="CA532" s="97" t="n">
        <v>4.2534</v>
      </c>
      <c r="CB532" s="97"/>
      <c r="CC532" s="97" t="n">
        <v>5.049</v>
      </c>
      <c r="CD532" s="97" t="n">
        <v>3.737</v>
      </c>
      <c r="CE532" s="97" t="n">
        <v>82.82</v>
      </c>
      <c r="CF532" s="97" t="n">
        <v>30.9288</v>
      </c>
      <c r="CG532" s="97" t="n">
        <v>0.6597</v>
      </c>
      <c r="CH532" s="63" t="n">
        <v>66448.451809032</v>
      </c>
      <c r="CI532" s="63" t="n">
        <v>3136.93184616112</v>
      </c>
      <c r="CJ532" s="64" t="n">
        <v>777467.657180481</v>
      </c>
      <c r="CK532" s="65" t="n">
        <v>0.403480687227213</v>
      </c>
    </row>
    <row r="533" s="1" customFormat="true" ht="15" hidden="false" customHeight="false" outlineLevel="0" collapsed="false">
      <c r="A533" s="7" t="s">
        <v>488</v>
      </c>
      <c r="B533" s="66" t="n">
        <v>524</v>
      </c>
      <c r="C533" s="8" t="s">
        <v>616</v>
      </c>
      <c r="D533" s="67" t="n">
        <v>41766</v>
      </c>
      <c r="E533" s="4" t="s">
        <v>565</v>
      </c>
      <c r="F533" s="99" t="n">
        <v>164</v>
      </c>
      <c r="G533" s="68" t="n">
        <v>1</v>
      </c>
      <c r="H533" s="68" t="n">
        <v>205</v>
      </c>
      <c r="I533" s="7" t="n">
        <v>1</v>
      </c>
      <c r="J533" s="8" t="n">
        <v>760</v>
      </c>
      <c r="K533" s="32"/>
      <c r="L533" s="31" t="n">
        <v>937.054</v>
      </c>
      <c r="M533" s="31" t="n">
        <v>149.036009384882</v>
      </c>
      <c r="N533" s="31" t="n">
        <v>314.495562582883</v>
      </c>
      <c r="O533" s="95"/>
      <c r="P533" s="33" t="n">
        <v>28.9707232479853</v>
      </c>
      <c r="Q533" s="33" t="n">
        <v>9.8</v>
      </c>
      <c r="R533" s="31" t="n">
        <v>268.795266755075</v>
      </c>
      <c r="S533" s="34" t="s">
        <v>76</v>
      </c>
      <c r="T533" s="35"/>
      <c r="U533" s="35"/>
      <c r="V533" s="35" t="n">
        <v>24.3294989495038</v>
      </c>
      <c r="W533" s="35" t="n">
        <v>22.7980543086284</v>
      </c>
      <c r="X533" s="35" t="n">
        <v>3.62597143376773</v>
      </c>
      <c r="Y533" s="35" t="n">
        <v>7.65151945948387</v>
      </c>
      <c r="Z533" s="35"/>
      <c r="AA533" s="35" t="n">
        <v>0.704843180828225</v>
      </c>
      <c r="AB533" s="35" t="n">
        <v>0.238429089705138</v>
      </c>
      <c r="AC533" s="71" t="n">
        <v>6.5396541601492</v>
      </c>
      <c r="AD533" s="72"/>
      <c r="AE533" s="72"/>
      <c r="AF533" s="72"/>
      <c r="AG533" s="72"/>
      <c r="AH533" s="72"/>
      <c r="AI533" s="73" t="n">
        <v>33.6282880876819</v>
      </c>
      <c r="AJ533" s="42" t="s">
        <v>16</v>
      </c>
      <c r="AK533" s="43" t="n">
        <v>708.578683088249</v>
      </c>
      <c r="AL533" s="74"/>
      <c r="AM533" s="74"/>
      <c r="AN533" s="74"/>
      <c r="AO533" s="78" t="n">
        <v>35.5175</v>
      </c>
      <c r="AP533" s="76" t="n">
        <v>1.32388888647143</v>
      </c>
      <c r="AQ533" s="76" t="n">
        <v>1.152851797862</v>
      </c>
      <c r="AR533" s="76" t="n">
        <v>1.78018956511176</v>
      </c>
      <c r="AS533" s="77" t="n">
        <v>34.0653332970715</v>
      </c>
      <c r="AT533" s="78" t="n">
        <v>34.6444285086194</v>
      </c>
      <c r="AU533" s="78" t="n">
        <v>37.274270049171</v>
      </c>
      <c r="AV533" s="78" t="n">
        <v>32.4586977648202</v>
      </c>
      <c r="AW533" s="78" t="n">
        <v>50.1214771622935</v>
      </c>
      <c r="AX533" s="78" t="n">
        <v>31.8775</v>
      </c>
      <c r="AY533" s="48" t="n">
        <v>1.42396802254433</v>
      </c>
      <c r="AZ533" s="48" t="n">
        <v>26.6361630242151</v>
      </c>
      <c r="BA533" s="48" t="n">
        <v>-2.30666407471129</v>
      </c>
      <c r="BB533" s="49" t="n">
        <f aca="false">AT533/V533</f>
        <v>1.42396802254433</v>
      </c>
      <c r="BC533" s="49" t="n">
        <f aca="false">AS533/V533</f>
        <v>1.40016583850635</v>
      </c>
      <c r="BD533" s="49" t="n">
        <f aca="false">SUM(AP533:AR533)/V533</f>
        <v>0.174969910324931</v>
      </c>
      <c r="BE533" s="53" t="n">
        <v>6.56</v>
      </c>
      <c r="BF533" s="51" t="n">
        <v>106.36226968203</v>
      </c>
      <c r="BG533" s="51" t="n">
        <v>625.702331715642</v>
      </c>
      <c r="BH533" s="51" t="n">
        <v>217.039211571884</v>
      </c>
      <c r="BI533" s="51" t="n">
        <v>112.654328777125</v>
      </c>
      <c r="BJ533" s="51" t="n">
        <v>9.70823014954814</v>
      </c>
      <c r="BK533" s="51" t="n">
        <v>14.1898987836396</v>
      </c>
      <c r="BL533" s="51" t="n">
        <v>14.1884429278284</v>
      </c>
      <c r="BM533" s="51" t="n">
        <v>6.51755607433328</v>
      </c>
      <c r="BN533" s="52" t="n">
        <f aca="false">(BG533*0.5-BH533*0.25+BI533*0.5)/SUM(BG533:BI533)*1000</f>
        <v>329.620983888972</v>
      </c>
      <c r="BO533" s="93" t="n">
        <v>1.74857142857143</v>
      </c>
      <c r="BP533" s="94" t="s">
        <v>491</v>
      </c>
      <c r="BQ533" s="55" t="n">
        <v>480.927777777778</v>
      </c>
      <c r="BR533" s="56" t="n">
        <v>19.7672701265221</v>
      </c>
      <c r="BS533" s="56"/>
      <c r="BT533" s="56" t="n">
        <v>13.8818216515861</v>
      </c>
      <c r="BU533" s="55" t="n">
        <v>14701.8055555556</v>
      </c>
      <c r="BV533" s="55" t="n">
        <v>604.279010680381</v>
      </c>
      <c r="BW533" s="55"/>
      <c r="BX533" s="55" t="n">
        <v>424.362767360929</v>
      </c>
      <c r="BY533" s="96" t="n">
        <v>0.06592</v>
      </c>
      <c r="BZ533" s="96" t="n">
        <v>0.6754</v>
      </c>
      <c r="CA533" s="97" t="n">
        <v>4.3044</v>
      </c>
      <c r="CB533" s="97"/>
      <c r="CC533" s="97" t="n">
        <v>5.967</v>
      </c>
      <c r="CD533" s="97" t="n">
        <v>5.7469</v>
      </c>
      <c r="CE533" s="97" t="n">
        <v>91.91</v>
      </c>
      <c r="CF533" s="97" t="n">
        <v>37.3599</v>
      </c>
      <c r="CG533" s="97" t="n">
        <v>0.2047</v>
      </c>
      <c r="CH533" s="63" t="n">
        <v>88702.2034457468</v>
      </c>
      <c r="CI533" s="63" t="n">
        <v>2889.70228059862</v>
      </c>
      <c r="CJ533" s="64" t="n">
        <v>426689.953287205</v>
      </c>
      <c r="CK533" s="65" t="n">
        <v>0.677237009762345</v>
      </c>
    </row>
    <row r="534" s="1" customFormat="true" ht="15" hidden="false" customHeight="false" outlineLevel="0" collapsed="false">
      <c r="A534" s="7" t="s">
        <v>488</v>
      </c>
      <c r="B534" s="66" t="n">
        <v>525</v>
      </c>
      <c r="C534" s="8" t="s">
        <v>617</v>
      </c>
      <c r="D534" s="67" t="n">
        <v>41766</v>
      </c>
      <c r="E534" s="4" t="s">
        <v>565</v>
      </c>
      <c r="F534" s="99" t="n">
        <v>169</v>
      </c>
      <c r="G534" s="68" t="n">
        <v>1</v>
      </c>
      <c r="H534" s="68" t="n">
        <v>130</v>
      </c>
      <c r="I534" s="7" t="n">
        <v>1</v>
      </c>
      <c r="J534" s="8" t="n">
        <v>719</v>
      </c>
      <c r="K534" s="32"/>
      <c r="L534" s="31" t="n">
        <v>937.054</v>
      </c>
      <c r="M534" s="31" t="n">
        <v>149.036009384882</v>
      </c>
      <c r="N534" s="31" t="n">
        <v>314.495562582883</v>
      </c>
      <c r="O534" s="95"/>
      <c r="P534" s="33" t="n">
        <v>28.9707232479853</v>
      </c>
      <c r="Q534" s="33" t="n">
        <v>9.8</v>
      </c>
      <c r="R534" s="31" t="n">
        <v>268.795266755075</v>
      </c>
      <c r="S534" s="34" t="s">
        <v>76</v>
      </c>
      <c r="T534" s="35"/>
      <c r="U534" s="35"/>
      <c r="V534" s="35" t="n">
        <v>24.7114882675728</v>
      </c>
      <c r="W534" s="35" t="n">
        <v>23.1559989270822</v>
      </c>
      <c r="X534" s="35" t="n">
        <v>3.68290159736038</v>
      </c>
      <c r="Y534" s="35" t="n">
        <v>7.77165340497061</v>
      </c>
      <c r="Z534" s="35"/>
      <c r="AA534" s="35" t="n">
        <v>0.715909687645688</v>
      </c>
      <c r="AB534" s="35" t="n">
        <v>0.242172585022213</v>
      </c>
      <c r="AC534" s="71" t="n">
        <v>6.64233108079714</v>
      </c>
      <c r="AD534" s="72"/>
      <c r="AE534" s="72"/>
      <c r="AF534" s="72"/>
      <c r="AG534" s="72"/>
      <c r="AH534" s="72"/>
      <c r="AI534" s="73" t="n">
        <v>31.8464601755996</v>
      </c>
      <c r="AJ534" s="42" t="s">
        <v>16</v>
      </c>
      <c r="AK534" s="43" t="n">
        <v>692.273491434735</v>
      </c>
      <c r="AL534" s="74"/>
      <c r="AM534" s="74"/>
      <c r="AN534" s="74"/>
      <c r="AO534" s="78" t="n">
        <v>35.275</v>
      </c>
      <c r="AP534" s="76" t="n">
        <v>1.05331890633337</v>
      </c>
      <c r="AQ534" s="76" t="n">
        <v>1.10212949465501</v>
      </c>
      <c r="AR534" s="76" t="n">
        <v>1.77060617103985</v>
      </c>
      <c r="AS534" s="77" t="n">
        <v>29.9097835950005</v>
      </c>
      <c r="AT534" s="78" t="n">
        <v>30.9011676599421</v>
      </c>
      <c r="AU534" s="78" t="n">
        <v>29.8602099598404</v>
      </c>
      <c r="AV534" s="78" t="n">
        <v>31.2439261418853</v>
      </c>
      <c r="AW534" s="78" t="n">
        <v>50.1943634596696</v>
      </c>
      <c r="AX534" s="78" t="n">
        <v>31.1825</v>
      </c>
      <c r="AY534" s="48" t="n">
        <v>1.25047780713765</v>
      </c>
      <c r="AZ534" s="48" t="n">
        <v>24.2237729478708</v>
      </c>
      <c r="BA534" s="48" t="n">
        <v>0.487715319702033</v>
      </c>
      <c r="BB534" s="49" t="n">
        <f aca="false">AT534/V534</f>
        <v>1.25047780713765</v>
      </c>
      <c r="BC534" s="49" t="n">
        <f aca="false">AS534/V534</f>
        <v>1.21035945998644</v>
      </c>
      <c r="BD534" s="49" t="n">
        <f aca="false">SUM(AP534:AR534)/V534</f>
        <v>0.158875682820776</v>
      </c>
      <c r="BE534" s="53" t="n">
        <v>6.07</v>
      </c>
      <c r="BF534" s="51" t="n">
        <v>114.837125918351</v>
      </c>
      <c r="BG534" s="51" t="n">
        <v>624.62848766392</v>
      </c>
      <c r="BH534" s="51" t="n">
        <v>210.627438227529</v>
      </c>
      <c r="BI534" s="51" t="n">
        <v>118.840493554714</v>
      </c>
      <c r="BJ534" s="51" t="n">
        <v>9.34285109893861</v>
      </c>
      <c r="BK534" s="51" t="n">
        <v>14.3186157475631</v>
      </c>
      <c r="BL534" s="51" t="n">
        <v>17.5673337379229</v>
      </c>
      <c r="BM534" s="51" t="n">
        <v>4.67477996941205</v>
      </c>
      <c r="BN534" s="52" t="n">
        <f aca="false">(BG534*0.5-BH534*0.25+BI534*0.5)/SUM(BG534:BI534)*1000</f>
        <v>334.429125347367</v>
      </c>
      <c r="BO534" s="93" t="n">
        <v>4.05085714285714</v>
      </c>
      <c r="BP534" s="94" t="s">
        <v>491</v>
      </c>
      <c r="BQ534" s="55" t="n">
        <v>425.966829004329</v>
      </c>
      <c r="BR534" s="56" t="n">
        <v>17.2376031905491</v>
      </c>
      <c r="BS534" s="56"/>
      <c r="BT534" s="56" t="n">
        <v>13.7848133666651</v>
      </c>
      <c r="BU534" s="55" t="n">
        <v>13385.7311755952</v>
      </c>
      <c r="BV534" s="55" t="n">
        <v>541.680494135208</v>
      </c>
      <c r="BW534" s="55"/>
      <c r="BX534" s="55" t="n">
        <v>433.178814564586</v>
      </c>
      <c r="BY534" s="96" t="n">
        <v>0.08549</v>
      </c>
      <c r="BZ534" s="96" t="n">
        <v>1.0626</v>
      </c>
      <c r="CA534" s="97" t="n">
        <v>4.0596</v>
      </c>
      <c r="CB534" s="97"/>
      <c r="CC534" s="97" t="n">
        <v>6.5382</v>
      </c>
      <c r="CD534" s="97" t="n">
        <v>5.2823</v>
      </c>
      <c r="CE534" s="97" t="n">
        <v>96.96</v>
      </c>
      <c r="CF534" s="97" t="n">
        <v>35.3298</v>
      </c>
      <c r="CG534" s="97" t="n">
        <v>0.1319</v>
      </c>
      <c r="CH534" s="63" t="n">
        <v>77778.0046391669</v>
      </c>
      <c r="CI534" s="63" t="n">
        <v>3053.24828481325</v>
      </c>
      <c r="CJ534" s="64" t="n">
        <v>413676.86774472</v>
      </c>
      <c r="CK534" s="65" t="n">
        <v>0.738075663127823</v>
      </c>
    </row>
    <row r="535" s="1" customFormat="true" ht="15" hidden="false" customHeight="false" outlineLevel="0" collapsed="false">
      <c r="A535" s="7" t="s">
        <v>488</v>
      </c>
      <c r="B535" s="66" t="n">
        <v>526</v>
      </c>
      <c r="C535" s="8" t="s">
        <v>618</v>
      </c>
      <c r="D535" s="67" t="n">
        <v>41766</v>
      </c>
      <c r="E535" s="4" t="s">
        <v>565</v>
      </c>
      <c r="F535" s="99" t="n">
        <v>170</v>
      </c>
      <c r="G535" s="68" t="n">
        <v>1</v>
      </c>
      <c r="H535" s="68" t="n">
        <v>145</v>
      </c>
      <c r="I535" s="7" t="n">
        <v>1</v>
      </c>
      <c r="J535" s="8" t="n">
        <v>666</v>
      </c>
      <c r="K535" s="32"/>
      <c r="L535" s="31" t="n">
        <v>937.054</v>
      </c>
      <c r="M535" s="31" t="n">
        <v>149.036009384882</v>
      </c>
      <c r="N535" s="31" t="n">
        <v>314.495562582883</v>
      </c>
      <c r="O535" s="95"/>
      <c r="P535" s="33" t="n">
        <v>28.9707232479853</v>
      </c>
      <c r="Q535" s="33" t="n">
        <v>9.8</v>
      </c>
      <c r="R535" s="31" t="n">
        <v>268.795266755075</v>
      </c>
      <c r="S535" s="34" t="s">
        <v>76</v>
      </c>
      <c r="T535" s="35"/>
      <c r="U535" s="35"/>
      <c r="V535" s="35" t="n">
        <v>22.1070954825033</v>
      </c>
      <c r="W535" s="35" t="n">
        <v>20.7155422502616</v>
      </c>
      <c r="X535" s="35" t="n">
        <v>3.29475328980284</v>
      </c>
      <c r="Y535" s="35" t="n">
        <v>6.95258343084337</v>
      </c>
      <c r="Z535" s="35"/>
      <c r="AA535" s="35" t="n">
        <v>0.640458545040388</v>
      </c>
      <c r="AB535" s="35" t="n">
        <v>0.216649535728532</v>
      </c>
      <c r="AC535" s="71" t="n">
        <v>5.94228262739938</v>
      </c>
      <c r="AD535" s="72"/>
      <c r="AE535" s="72"/>
      <c r="AF535" s="72"/>
      <c r="AG535" s="72"/>
      <c r="AH535" s="72"/>
      <c r="AI535" s="73" t="n">
        <v>34.7059246516156</v>
      </c>
      <c r="AJ535" s="42" t="s">
        <v>16</v>
      </c>
      <c r="AK535" s="43" t="n">
        <v>717.62746279276</v>
      </c>
      <c r="AL535" s="74"/>
      <c r="AM535" s="74"/>
      <c r="AN535" s="74"/>
      <c r="AO535" s="78" t="n">
        <v>26.9475</v>
      </c>
      <c r="AP535" s="76" t="n">
        <v>0.885649908029569</v>
      </c>
      <c r="AQ535" s="76" t="n">
        <v>0.92378334548105</v>
      </c>
      <c r="AR535" s="76" t="n">
        <v>1.34868440233236</v>
      </c>
      <c r="AS535" s="77" t="n">
        <v>24.0637486204435</v>
      </c>
      <c r="AT535" s="78" t="n">
        <v>25.204140669666</v>
      </c>
      <c r="AU535" s="78" t="n">
        <v>32.8657540784699</v>
      </c>
      <c r="AV535" s="78" t="n">
        <v>34.2808551992225</v>
      </c>
      <c r="AW535" s="78" t="n">
        <v>50.0485908649174</v>
      </c>
      <c r="AX535" s="78" t="n">
        <v>26.8875</v>
      </c>
      <c r="AY535" s="48" t="n">
        <v>1.1400928127177</v>
      </c>
      <c r="AZ535" s="48" t="n">
        <v>21.4418202523289</v>
      </c>
      <c r="BA535" s="48" t="n">
        <v>0.665275230174313</v>
      </c>
      <c r="BB535" s="49" t="n">
        <f aca="false">AT535/V535</f>
        <v>1.1400928127177</v>
      </c>
      <c r="BC535" s="49" t="n">
        <f aca="false">AS535/V535</f>
        <v>1.08850792450274</v>
      </c>
      <c r="BD535" s="49" t="n">
        <f aca="false">SUM(AP535:AR535)/V535</f>
        <v>0.14285538588018</v>
      </c>
      <c r="BE535" s="53" t="n">
        <v>6.32</v>
      </c>
      <c r="BF535" s="51" t="n">
        <v>123.758159961579</v>
      </c>
      <c r="BG535" s="51" t="n">
        <v>544.866905600353</v>
      </c>
      <c r="BH535" s="51" t="n">
        <v>313.447680192605</v>
      </c>
      <c r="BI535" s="51" t="n">
        <v>99.0107250585035</v>
      </c>
      <c r="BJ535" s="51" t="n">
        <v>8.9561971251724</v>
      </c>
      <c r="BK535" s="51" t="n">
        <v>15.410049081833</v>
      </c>
      <c r="BL535" s="51" t="n">
        <v>16.0532521938598</v>
      </c>
      <c r="BM535" s="51" t="n">
        <v>2.25519074767252</v>
      </c>
      <c r="BN535" s="52" t="n">
        <f aca="false">(BG535*0.5-BH535*0.25+BI535*0.5)/SUM(BG535:BI535)*1000</f>
        <v>254.434822228439</v>
      </c>
      <c r="BO535" s="93" t="n">
        <v>6.35314285714286</v>
      </c>
      <c r="BP535" s="94" t="s">
        <v>491</v>
      </c>
      <c r="BQ535" s="55" t="n">
        <v>320.261688311688</v>
      </c>
      <c r="BR535" s="56" t="n">
        <v>14.486827931112</v>
      </c>
      <c r="BS535" s="56"/>
      <c r="BT535" s="56" t="n">
        <v>12.7067092867457</v>
      </c>
      <c r="BU535" s="55" t="n">
        <v>11293.16875</v>
      </c>
      <c r="BV535" s="55" t="n">
        <v>510.839099552359</v>
      </c>
      <c r="BW535" s="55"/>
      <c r="BX535" s="55" t="n">
        <v>448.067993986072</v>
      </c>
      <c r="BY535" s="96" t="n">
        <v>0.0618</v>
      </c>
      <c r="BZ535" s="96" t="n">
        <v>0.4422</v>
      </c>
      <c r="CA535" s="97" t="n">
        <v>4.9572</v>
      </c>
      <c r="CB535" s="97"/>
      <c r="CC535" s="97" t="n">
        <v>5.7732</v>
      </c>
      <c r="CD535" s="97" t="n">
        <v>5.5247</v>
      </c>
      <c r="CE535" s="97" t="n">
        <v>86.86</v>
      </c>
      <c r="CF535" s="97" t="n">
        <v>37.125</v>
      </c>
      <c r="CG535" s="97" t="n">
        <v>0.141</v>
      </c>
      <c r="CH535" s="63" t="n">
        <v>47210.8730854888</v>
      </c>
      <c r="CI535" s="63" t="n">
        <v>3010.46621284088</v>
      </c>
      <c r="CJ535" s="64" t="n">
        <v>629805.07683838</v>
      </c>
      <c r="CK535" s="65" t="n">
        <v>0.47799967379644</v>
      </c>
    </row>
    <row r="536" s="1" customFormat="true" ht="15" hidden="false" customHeight="false" outlineLevel="0" collapsed="false">
      <c r="A536" s="7" t="s">
        <v>488</v>
      </c>
      <c r="B536" s="66" t="n">
        <v>527</v>
      </c>
      <c r="C536" s="8" t="s">
        <v>619</v>
      </c>
      <c r="D536" s="67" t="n">
        <v>41766</v>
      </c>
      <c r="E536" s="4" t="s">
        <v>565</v>
      </c>
      <c r="F536" s="99" t="n">
        <v>180</v>
      </c>
      <c r="G536" s="68" t="n">
        <v>1</v>
      </c>
      <c r="H536" s="68" t="n">
        <v>124</v>
      </c>
      <c r="I536" s="7" t="n">
        <v>2</v>
      </c>
      <c r="J536" s="8" t="n">
        <v>813</v>
      </c>
      <c r="K536" s="32"/>
      <c r="L536" s="31" t="n">
        <v>937.054</v>
      </c>
      <c r="M536" s="31" t="n">
        <v>149.036009384882</v>
      </c>
      <c r="N536" s="31" t="n">
        <v>314.495562582883</v>
      </c>
      <c r="O536" s="95"/>
      <c r="P536" s="33" t="n">
        <v>28.9707232479853</v>
      </c>
      <c r="Q536" s="33" t="n">
        <v>9.8</v>
      </c>
      <c r="R536" s="31" t="n">
        <v>268.795266755075</v>
      </c>
      <c r="S536" s="34" t="s">
        <v>76</v>
      </c>
      <c r="T536" s="35"/>
      <c r="U536" s="35"/>
      <c r="V536" s="35" t="n">
        <v>27.621907315666</v>
      </c>
      <c r="W536" s="35" t="n">
        <v>25.8832187377741</v>
      </c>
      <c r="X536" s="35" t="n">
        <v>4.11665883792594</v>
      </c>
      <c r="Y536" s="35" t="n">
        <v>8.68696728085262</v>
      </c>
      <c r="Z536" s="35"/>
      <c r="AA536" s="35" t="n">
        <v>0.80022663242366</v>
      </c>
      <c r="AB536" s="35" t="n">
        <v>0.270694691693527</v>
      </c>
      <c r="AC536" s="71" t="n">
        <v>7.4246379451984</v>
      </c>
      <c r="AD536" s="72"/>
      <c r="AE536" s="72"/>
      <c r="AF536" s="72"/>
      <c r="AG536" s="72"/>
      <c r="AH536" s="72"/>
      <c r="AI536" s="73" t="n">
        <v>35.1878794929468</v>
      </c>
      <c r="AJ536" s="42" t="s">
        <v>16</v>
      </c>
      <c r="AK536" s="43" t="n">
        <v>721.49501074754</v>
      </c>
      <c r="AL536" s="74"/>
      <c r="AM536" s="74"/>
      <c r="AN536" s="74"/>
      <c r="AO536" s="78" t="n">
        <v>35.1575</v>
      </c>
      <c r="AP536" s="76" t="n">
        <v>1.19193800784534</v>
      </c>
      <c r="AQ536" s="76" t="n">
        <v>1.1249375</v>
      </c>
      <c r="AR536" s="76" t="n">
        <v>1.7194375</v>
      </c>
      <c r="AS536" s="77" t="n">
        <v>31.94207011768</v>
      </c>
      <c r="AT536" s="78" t="n">
        <v>32.4974425797695</v>
      </c>
      <c r="AU536" s="78" t="n">
        <v>33.9028090121691</v>
      </c>
      <c r="AV536" s="78" t="n">
        <v>31.997084548105</v>
      </c>
      <c r="AW536" s="78" t="n">
        <v>48.9067055393586</v>
      </c>
      <c r="AX536" s="78" t="n">
        <v>33.3175</v>
      </c>
      <c r="AY536" s="48" t="n">
        <v>1.1765097249942</v>
      </c>
      <c r="AZ536" s="48" t="n">
        <v>26.1819792255856</v>
      </c>
      <c r="BA536" s="48" t="n">
        <v>1.43992809008041</v>
      </c>
      <c r="BB536" s="49" t="n">
        <f aca="false">AT536/V536</f>
        <v>1.1765097249942</v>
      </c>
      <c r="BC536" s="49" t="n">
        <f aca="false">AS536/V536</f>
        <v>1.15640349352573</v>
      </c>
      <c r="BD536" s="49" t="n">
        <f aca="false">SUM(AP536:AR536)/V536</f>
        <v>0.146127237403194</v>
      </c>
      <c r="BE536" s="53" t="n">
        <v>5.93</v>
      </c>
      <c r="BF536" s="51" t="n">
        <v>130.459869871345</v>
      </c>
      <c r="BG536" s="51" t="n">
        <v>591.641663569452</v>
      </c>
      <c r="BH536" s="51" t="n">
        <v>254.06548397664</v>
      </c>
      <c r="BI536" s="51" t="n">
        <v>118.348271862912</v>
      </c>
      <c r="BJ536" s="51" t="n">
        <v>7.20072995315647</v>
      </c>
      <c r="BK536" s="51" t="n">
        <v>13.4851063697873</v>
      </c>
      <c r="BL536" s="51" t="n">
        <v>10.8600746529856</v>
      </c>
      <c r="BM536" s="51" t="n">
        <v>4.39866961506531</v>
      </c>
      <c r="BN536" s="52" t="n">
        <f aca="false">(BG536*0.5-BH536*0.25+BI536*0.5)/SUM(BG536:BI536)*1000</f>
        <v>302.346307954689</v>
      </c>
      <c r="BO536" s="93" t="n">
        <v>5.77028571428571</v>
      </c>
      <c r="BP536" s="94" t="s">
        <v>491</v>
      </c>
      <c r="BQ536" s="55" t="n">
        <v>434.353401360544</v>
      </c>
      <c r="BR536" s="56" t="n">
        <v>15.7249604959103</v>
      </c>
      <c r="BS536" s="56"/>
      <c r="BT536" s="56" t="n">
        <v>13.3657717924838</v>
      </c>
      <c r="BU536" s="55" t="n">
        <v>13151.5338095238</v>
      </c>
      <c r="BV536" s="55" t="n">
        <v>476.126925603896</v>
      </c>
      <c r="BW536" s="55"/>
      <c r="BX536" s="55" t="n">
        <v>404.69442409942</v>
      </c>
      <c r="BY536" s="96" t="n">
        <v>0.07725</v>
      </c>
      <c r="BZ536" s="96" t="n">
        <v>0.8415</v>
      </c>
      <c r="CA536" s="97" t="n">
        <v>4.0494</v>
      </c>
      <c r="CB536" s="97"/>
      <c r="CC536" s="97" t="n">
        <v>6.8748</v>
      </c>
      <c r="CD536" s="97" t="n">
        <v>5.959</v>
      </c>
      <c r="CE536" s="97" t="n">
        <v>93.93</v>
      </c>
      <c r="CF536" s="97" t="n">
        <v>31.7948</v>
      </c>
      <c r="CG536" s="97" t="n">
        <v>0.1046</v>
      </c>
      <c r="CH536" s="63" t="n">
        <v>84830.7312357742</v>
      </c>
      <c r="CI536" s="63" t="n">
        <v>2356.03403529747</v>
      </c>
      <c r="CJ536" s="64" t="n">
        <v>451227.431402133</v>
      </c>
      <c r="CK536" s="65" t="n">
        <v>0.522138919607875</v>
      </c>
    </row>
    <row r="537" s="1" customFormat="true" ht="15" hidden="false" customHeight="false" outlineLevel="0" collapsed="false">
      <c r="A537" s="7" t="s">
        <v>488</v>
      </c>
      <c r="B537" s="66" t="n">
        <v>528</v>
      </c>
      <c r="C537" s="8" t="s">
        <v>620</v>
      </c>
      <c r="D537" s="67" t="n">
        <v>41766</v>
      </c>
      <c r="E537" s="4" t="s">
        <v>565</v>
      </c>
      <c r="F537" s="99" t="n">
        <v>192</v>
      </c>
      <c r="G537" s="68" t="n">
        <v>1</v>
      </c>
      <c r="H537" s="68" t="n">
        <v>171</v>
      </c>
      <c r="I537" s="7" t="n">
        <v>2</v>
      </c>
      <c r="J537" s="8" t="n">
        <v>656</v>
      </c>
      <c r="K537" s="32"/>
      <c r="L537" s="31" t="n">
        <v>937.054</v>
      </c>
      <c r="M537" s="31" t="n">
        <v>149.036009384882</v>
      </c>
      <c r="N537" s="31" t="n">
        <v>314.495562582883</v>
      </c>
      <c r="O537" s="95"/>
      <c r="P537" s="33" t="n">
        <v>28.9707232479853</v>
      </c>
      <c r="Q537" s="33" t="n">
        <v>9.8</v>
      </c>
      <c r="R537" s="31" t="n">
        <v>268.795266755075</v>
      </c>
      <c r="S537" s="34" t="s">
        <v>76</v>
      </c>
      <c r="T537" s="35"/>
      <c r="U537" s="35"/>
      <c r="V537" s="35" t="n">
        <v>20.332628275588</v>
      </c>
      <c r="W537" s="35" t="n">
        <v>19.0527706561528</v>
      </c>
      <c r="X537" s="35" t="n">
        <v>3.03029377849985</v>
      </c>
      <c r="Y537" s="35" t="n">
        <v>6.39452136831967</v>
      </c>
      <c r="Z537" s="35"/>
      <c r="AA537" s="35" t="n">
        <v>0.58905094667622</v>
      </c>
      <c r="AB537" s="35" t="n">
        <v>0.199259757100762</v>
      </c>
      <c r="AC537" s="71" t="n">
        <v>5.46531424116845</v>
      </c>
      <c r="AD537" s="72"/>
      <c r="AE537" s="72"/>
      <c r="AF537" s="72"/>
      <c r="AG537" s="72"/>
      <c r="AH537" s="72"/>
      <c r="AI537" s="73" t="n">
        <v>31.3166039971226</v>
      </c>
      <c r="AJ537" s="42" t="s">
        <v>16</v>
      </c>
      <c r="AK537" s="43" t="n">
        <v>687.06696291525</v>
      </c>
      <c r="AL537" s="74"/>
      <c r="AM537" s="74"/>
      <c r="AN537" s="74"/>
      <c r="AO537" s="78" t="n">
        <v>32.79</v>
      </c>
      <c r="AP537" s="76" t="n">
        <v>1.13123906705539</v>
      </c>
      <c r="AQ537" s="76" t="n">
        <v>1.08742346938776</v>
      </c>
      <c r="AR537" s="76" t="n">
        <v>1.63711005830904</v>
      </c>
      <c r="AS537" s="77" t="n">
        <v>30.0845860058309</v>
      </c>
      <c r="AT537" s="78" t="n">
        <v>31.0186807617314</v>
      </c>
      <c r="AU537" s="78" t="n">
        <v>34.4995140913508</v>
      </c>
      <c r="AV537" s="78" t="n">
        <v>33.1632653061225</v>
      </c>
      <c r="AW537" s="78" t="n">
        <v>49.9271137026239</v>
      </c>
      <c r="AX537" s="78" t="n">
        <v>26.8325</v>
      </c>
      <c r="AY537" s="48" t="n">
        <v>1.52556178873213</v>
      </c>
      <c r="AZ537" s="48" t="n">
        <v>23.6310874831367</v>
      </c>
      <c r="BA537" s="48" t="n">
        <v>-3.29845920754875</v>
      </c>
      <c r="BB537" s="49" t="n">
        <f aca="false">AT537/V537</f>
        <v>1.52556178873213</v>
      </c>
      <c r="BC537" s="49" t="n">
        <f aca="false">AS537/V537</f>
        <v>1.47962110938464</v>
      </c>
      <c r="BD537" s="49" t="n">
        <f aca="false">SUM(AP537:AR537)/V537</f>
        <v>0.189634735976635</v>
      </c>
      <c r="BE537" s="53" t="n">
        <v>5.83</v>
      </c>
      <c r="BF537" s="51" t="n">
        <v>147.967178393124</v>
      </c>
      <c r="BG537" s="51" t="n">
        <v>534.938064807531</v>
      </c>
      <c r="BH537" s="51" t="n">
        <v>325.739827455866</v>
      </c>
      <c r="BI537" s="51" t="n">
        <v>102.832162603502</v>
      </c>
      <c r="BJ537" s="51" t="n">
        <v>6.65028955666144</v>
      </c>
      <c r="BK537" s="51" t="n">
        <v>16.1324880613216</v>
      </c>
      <c r="BL537" s="51" t="n">
        <v>11.2062530142355</v>
      </c>
      <c r="BM537" s="51" t="n">
        <v>2.50091450088198</v>
      </c>
      <c r="BN537" s="52" t="n">
        <f aca="false">(BG537*0.5-BH537*0.25+BI537*0.5)/SUM(BG537:BI537)*1000</f>
        <v>246.442842648229</v>
      </c>
      <c r="BO537" s="93" t="n">
        <v>4.95428571428571</v>
      </c>
      <c r="BP537" s="94" t="s">
        <v>491</v>
      </c>
      <c r="BQ537" s="55" t="n">
        <v>305.045562770563</v>
      </c>
      <c r="BR537" s="56" t="n">
        <v>15.0027610122992</v>
      </c>
      <c r="BS537" s="56"/>
      <c r="BT537" s="56" t="n">
        <v>9.83425327188336</v>
      </c>
      <c r="BU537" s="55" t="n">
        <v>11123.9198525433</v>
      </c>
      <c r="BV537" s="55" t="n">
        <v>547.096996107435</v>
      </c>
      <c r="BW537" s="55"/>
      <c r="BX537" s="55" t="n">
        <v>358.620017981782</v>
      </c>
      <c r="BY537" s="96" t="n">
        <v>0.103</v>
      </c>
      <c r="BZ537" s="96" t="n">
        <v>0.7183</v>
      </c>
      <c r="CA537" s="97" t="n">
        <v>4.182</v>
      </c>
      <c r="CB537" s="97"/>
      <c r="CC537" s="97" t="n">
        <v>5.151</v>
      </c>
      <c r="CD537" s="97" t="n">
        <v>3.9693</v>
      </c>
      <c r="CE537" s="97" t="n">
        <v>87.87</v>
      </c>
      <c r="CF537" s="97" t="n">
        <v>34.3588</v>
      </c>
      <c r="CG537" s="97" t="n">
        <v>0.1865</v>
      </c>
      <c r="CH537" s="63" t="n">
        <v>43495.3766268882</v>
      </c>
      <c r="CI537" s="63" t="n">
        <v>1343.21614812729</v>
      </c>
      <c r="CJ537" s="64" t="n">
        <v>2578464.88535125</v>
      </c>
      <c r="CK537" s="65" t="n">
        <v>0.0520936374103194</v>
      </c>
    </row>
    <row r="538" s="1" customFormat="true" ht="15" hidden="false" customHeight="false" outlineLevel="0" collapsed="false">
      <c r="A538" s="7" t="s">
        <v>488</v>
      </c>
      <c r="B538" s="66" t="n">
        <v>529</v>
      </c>
      <c r="C538" s="8" t="s">
        <v>621</v>
      </c>
      <c r="D538" s="67" t="n">
        <v>41800</v>
      </c>
      <c r="E538" s="4" t="s">
        <v>490</v>
      </c>
      <c r="F538" s="7" t="n">
        <v>137</v>
      </c>
      <c r="G538" s="68" t="n">
        <v>1</v>
      </c>
      <c r="H538" s="68" t="n">
        <v>153</v>
      </c>
      <c r="I538" s="7" t="n">
        <v>4</v>
      </c>
      <c r="J538" s="8" t="n">
        <v>677</v>
      </c>
      <c r="K538" s="32"/>
      <c r="L538" s="31" t="n">
        <v>917.038</v>
      </c>
      <c r="M538" s="31" t="n">
        <v>169.233907987351</v>
      </c>
      <c r="N538" s="31" t="n">
        <v>314.495562582883</v>
      </c>
      <c r="O538" s="95"/>
      <c r="P538" s="33" t="n">
        <v>28.868713659084</v>
      </c>
      <c r="Q538" s="33" t="n">
        <v>11</v>
      </c>
      <c r="R538" s="31" t="n">
        <v>238.600428440273</v>
      </c>
      <c r="S538" s="34" t="s">
        <v>76</v>
      </c>
      <c r="T538" s="35"/>
      <c r="U538" s="35"/>
      <c r="V538" s="35" t="n">
        <v>23.9121245485412</v>
      </c>
      <c r="W538" s="35" t="n">
        <v>21.9283268717452</v>
      </c>
      <c r="X538" s="35" t="n">
        <v>4.0467422856299</v>
      </c>
      <c r="Y538" s="35" t="n">
        <v>7.52025706244544</v>
      </c>
      <c r="Z538" s="35"/>
      <c r="AA538" s="35" t="n">
        <v>0.690312276572189</v>
      </c>
      <c r="AB538" s="35" t="n">
        <v>0.263033370033954</v>
      </c>
      <c r="AC538" s="71" t="n">
        <v>5.70544316219912</v>
      </c>
      <c r="AD538" s="72"/>
      <c r="AE538" s="72"/>
      <c r="AF538" s="72"/>
      <c r="AG538" s="72"/>
      <c r="AH538" s="72"/>
      <c r="AI538" s="73" t="n">
        <v>32.470474456751</v>
      </c>
      <c r="AJ538" s="42" t="s">
        <v>16</v>
      </c>
      <c r="AK538" s="43" t="n">
        <v>661.23069699362</v>
      </c>
      <c r="AL538" s="74"/>
      <c r="AM538" s="74"/>
      <c r="AN538" s="74"/>
      <c r="AO538" s="78" t="n">
        <v>42.72</v>
      </c>
      <c r="AP538" s="76" t="n">
        <v>1.12007170771044</v>
      </c>
      <c r="AQ538" s="76" t="n">
        <v>1.13234985422741</v>
      </c>
      <c r="AR538" s="76" t="n">
        <v>1.98758017492711</v>
      </c>
      <c r="AS538" s="77" t="n">
        <v>33.8890756156566</v>
      </c>
      <c r="AT538" s="78" t="n">
        <v>33.1402843856393</v>
      </c>
      <c r="AU538" s="78" t="n">
        <v>26.2189070156938</v>
      </c>
      <c r="AV538" s="78" t="n">
        <v>26.5063168124393</v>
      </c>
      <c r="AW538" s="78" t="n">
        <v>46.5257531584062</v>
      </c>
      <c r="AX538" s="78" t="n">
        <v>38.605</v>
      </c>
      <c r="AY538" s="48" t="n">
        <v>1.38591969602555</v>
      </c>
      <c r="AZ538" s="48" t="n">
        <v>25.2648666298716</v>
      </c>
      <c r="BA538" s="48" t="n">
        <v>-1.35274208133036</v>
      </c>
      <c r="BB538" s="49" t="n">
        <f aca="false">AT538/V538</f>
        <v>1.38591969602555</v>
      </c>
      <c r="BC538" s="49" t="n">
        <f aca="false">AS538/V538</f>
        <v>1.41723398717091</v>
      </c>
      <c r="BD538" s="49" t="n">
        <f aca="false">SUM(AP538:AR538)/V538</f>
        <v>0.177315977434703</v>
      </c>
      <c r="BE538" s="53" t="n">
        <v>5.88</v>
      </c>
      <c r="BF538" s="51" t="n">
        <v>109.58</v>
      </c>
      <c r="BG538" s="51" t="n">
        <v>599.653221390765</v>
      </c>
      <c r="BH538" s="51" t="n">
        <v>280.525643365578</v>
      </c>
      <c r="BI538" s="51" t="n">
        <v>94.2690271947436</v>
      </c>
      <c r="BJ538" s="51" t="n">
        <v>4.6541339660522</v>
      </c>
      <c r="BK538" s="51" t="n">
        <v>12.5022814382187</v>
      </c>
      <c r="BL538" s="51" t="n">
        <v>5.74922431100566</v>
      </c>
      <c r="BM538" s="51" t="n">
        <v>2.64646833363753</v>
      </c>
      <c r="BN538" s="52" t="n">
        <f aca="false">(BG538*0.5-BH538*0.25+BI538*0.5)/SUM(BG538:BI538)*1000</f>
        <v>284.088780670538</v>
      </c>
      <c r="BO538" s="93" t="n">
        <v>10.0542857142857</v>
      </c>
      <c r="BP538" s="94" t="s">
        <v>491</v>
      </c>
      <c r="BQ538" s="55" t="n">
        <v>305.017857142857</v>
      </c>
      <c r="BR538" s="56" t="n">
        <v>12.7557823866163</v>
      </c>
      <c r="BS538" s="56"/>
      <c r="BT538" s="56" t="n">
        <v>9.20383945996041</v>
      </c>
      <c r="BU538" s="55" t="n">
        <v>10538.8095238095</v>
      </c>
      <c r="BV538" s="55" t="n">
        <v>440.73078920344</v>
      </c>
      <c r="BW538" s="55"/>
      <c r="BX538" s="55" t="n">
        <v>318.006007467344</v>
      </c>
      <c r="BY538" s="96" t="n">
        <v>0.0721</v>
      </c>
      <c r="BZ538" s="96" t="n">
        <v>0.7865</v>
      </c>
      <c r="CA538" s="97" t="n">
        <v>4.5696</v>
      </c>
      <c r="CB538" s="97"/>
      <c r="CC538" s="97" t="n">
        <v>8.5884</v>
      </c>
      <c r="CD538" s="97" t="n">
        <v>6.7064</v>
      </c>
      <c r="CE538" s="97" t="n">
        <v>107.06</v>
      </c>
      <c r="CF538" s="97" t="n">
        <v>40.1374</v>
      </c>
      <c r="CG538" s="97" t="n">
        <v>0.1319</v>
      </c>
      <c r="CH538" s="63" t="n">
        <v>26839.198929447</v>
      </c>
      <c r="CI538" s="63" t="n">
        <v>3428.11201218291</v>
      </c>
      <c r="CJ538" s="64" t="n">
        <v>780732.194739441</v>
      </c>
      <c r="CK538" s="65" t="n">
        <v>0.439089361919678</v>
      </c>
    </row>
    <row r="539" s="1" customFormat="true" ht="15" hidden="false" customHeight="false" outlineLevel="0" collapsed="false">
      <c r="A539" s="7" t="s">
        <v>488</v>
      </c>
      <c r="B539" s="66" t="n">
        <v>530</v>
      </c>
      <c r="C539" s="8" t="s">
        <v>622</v>
      </c>
      <c r="D539" s="67" t="n">
        <v>41800</v>
      </c>
      <c r="E539" s="4" t="s">
        <v>490</v>
      </c>
      <c r="F539" s="7" t="n">
        <v>257</v>
      </c>
      <c r="G539" s="68" t="n">
        <v>1</v>
      </c>
      <c r="H539" s="68" t="n">
        <v>183</v>
      </c>
      <c r="I539" s="7" t="n">
        <v>3</v>
      </c>
      <c r="J539" s="8" t="n">
        <v>792</v>
      </c>
      <c r="K539" s="32"/>
      <c r="L539" s="31" t="n">
        <v>917.038</v>
      </c>
      <c r="M539" s="31" t="n">
        <v>169.233907987351</v>
      </c>
      <c r="N539" s="31" t="n">
        <v>314.495562582883</v>
      </c>
      <c r="O539" s="95"/>
      <c r="P539" s="33" t="n">
        <v>28.868713659084</v>
      </c>
      <c r="Q539" s="33" t="n">
        <v>11</v>
      </c>
      <c r="R539" s="31" t="n">
        <v>238.600428440273</v>
      </c>
      <c r="S539" s="34" t="s">
        <v>76</v>
      </c>
      <c r="T539" s="35"/>
      <c r="U539" s="35"/>
      <c r="V539" s="35" t="n">
        <v>29.8099401752562</v>
      </c>
      <c r="W539" s="35" t="n">
        <v>27.3368479184366</v>
      </c>
      <c r="X539" s="35" t="n">
        <v>5.04485267272775</v>
      </c>
      <c r="Y539" s="35" t="n">
        <v>9.37509390597929</v>
      </c>
      <c r="Z539" s="35"/>
      <c r="AA539" s="35" t="n">
        <v>0.860574627113895</v>
      </c>
      <c r="AB539" s="35" t="n">
        <v>0.327909341927819</v>
      </c>
      <c r="AC539" s="71" t="n">
        <v>7.11266449759506</v>
      </c>
      <c r="AD539" s="72"/>
      <c r="AE539" s="72"/>
      <c r="AF539" s="72"/>
      <c r="AG539" s="72"/>
      <c r="AH539" s="72"/>
      <c r="AI539" s="73" t="n">
        <v>32.374713887155</v>
      </c>
      <c r="AJ539" s="42" t="s">
        <v>16</v>
      </c>
      <c r="AK539" s="43" t="n">
        <v>660.228657515199</v>
      </c>
      <c r="AL539" s="74"/>
      <c r="AM539" s="74"/>
      <c r="AN539" s="74"/>
      <c r="AO539" s="78" t="n">
        <v>47.58</v>
      </c>
      <c r="AP539" s="76" t="n">
        <v>1.46281875655831</v>
      </c>
      <c r="AQ539" s="76" t="n">
        <v>1.38832798833819</v>
      </c>
      <c r="AR539" s="76" t="n">
        <v>2.44373469387755</v>
      </c>
      <c r="AS539" s="77" t="n">
        <v>40.9742813483747</v>
      </c>
      <c r="AT539" s="78" t="n">
        <v>41.728590296402</v>
      </c>
      <c r="AU539" s="78" t="n">
        <v>30.74440429925</v>
      </c>
      <c r="AV539" s="78" t="n">
        <v>29.178814382896</v>
      </c>
      <c r="AW539" s="78" t="n">
        <v>51.3605442176871</v>
      </c>
      <c r="AX539" s="78" t="n">
        <v>38.1475</v>
      </c>
      <c r="AY539" s="48" t="n">
        <v>1.39982133647618</v>
      </c>
      <c r="AZ539" s="48" t="n">
        <v>29.5971500641927</v>
      </c>
      <c r="BA539" s="48" t="n">
        <v>0.212790111063491</v>
      </c>
      <c r="BB539" s="49" t="n">
        <f aca="false">AT539/V539</f>
        <v>1.39982133647618</v>
      </c>
      <c r="BC539" s="49" t="n">
        <f aca="false">AS539/V539</f>
        <v>1.37451739612632</v>
      </c>
      <c r="BD539" s="49" t="n">
        <f aca="false">SUM(AP539:AR539)/V539</f>
        <v>0.177621337300404</v>
      </c>
      <c r="BE539" s="53" t="n">
        <v>6.17</v>
      </c>
      <c r="BF539" s="51" t="n">
        <v>108.04</v>
      </c>
      <c r="BG539" s="51" t="n">
        <v>620.233246945576</v>
      </c>
      <c r="BH539" s="51" t="n">
        <v>261.014439096631</v>
      </c>
      <c r="BI539" s="51" t="n">
        <v>92.4657534246575</v>
      </c>
      <c r="BJ539" s="51" t="n">
        <v>5.09070714550167</v>
      </c>
      <c r="BK539" s="51" t="n">
        <v>10.0888559792669</v>
      </c>
      <c r="BL539" s="51" t="n">
        <v>8.79303961495742</v>
      </c>
      <c r="BM539" s="51" t="n">
        <v>2.31395779340985</v>
      </c>
      <c r="BN539" s="52" t="n">
        <f aca="false">(BG539*0.5-BH539*0.25+BI539*0.5)/SUM(BG539:BI539)*1000</f>
        <v>298.954372623574</v>
      </c>
      <c r="BO539" s="93" t="n">
        <v>6.17828571428571</v>
      </c>
      <c r="BP539" s="94" t="s">
        <v>491</v>
      </c>
      <c r="BQ539" s="55" t="n">
        <v>418.377777777778</v>
      </c>
      <c r="BR539" s="56" t="n">
        <v>14.0348412414813</v>
      </c>
      <c r="BS539" s="56"/>
      <c r="BT539" s="56" t="n">
        <v>10.0261661083205</v>
      </c>
      <c r="BU539" s="55" t="n">
        <v>12773.0555555556</v>
      </c>
      <c r="BV539" s="55" t="n">
        <v>428.483099276994</v>
      </c>
      <c r="BW539" s="55"/>
      <c r="BX539" s="55" t="n">
        <v>306.098419928096</v>
      </c>
      <c r="BY539" s="96" t="n">
        <v>0.11227</v>
      </c>
      <c r="BZ539" s="96" t="n">
        <v>0.5522</v>
      </c>
      <c r="CA539" s="97" t="n">
        <v>4.488</v>
      </c>
      <c r="CB539" s="97"/>
      <c r="CC539" s="97" t="n">
        <v>8.4456</v>
      </c>
      <c r="CD539" s="97" t="n">
        <v>6.8175</v>
      </c>
      <c r="CE539" s="97" t="n">
        <v>109.08</v>
      </c>
      <c r="CF539" s="97" t="n">
        <v>35.5608</v>
      </c>
      <c r="CG539" s="97" t="n">
        <v>0.1319</v>
      </c>
      <c r="CH539" s="63" t="n">
        <v>62945.4405063072</v>
      </c>
      <c r="CI539" s="63" t="n">
        <v>4849.33058373611</v>
      </c>
      <c r="CJ539" s="64" t="n">
        <v>1982625.64916434</v>
      </c>
      <c r="CK539" s="65" t="n">
        <v>0.244591337037331</v>
      </c>
    </row>
    <row r="540" s="1" customFormat="true" ht="15" hidden="false" customHeight="false" outlineLevel="0" collapsed="false">
      <c r="A540" s="7" t="s">
        <v>488</v>
      </c>
      <c r="B540" s="66" t="n">
        <v>531</v>
      </c>
      <c r="C540" s="8" t="s">
        <v>623</v>
      </c>
      <c r="D540" s="67" t="n">
        <v>41800</v>
      </c>
      <c r="E540" s="4" t="s">
        <v>490</v>
      </c>
      <c r="F540" s="7" t="n">
        <v>262</v>
      </c>
      <c r="G540" s="68" t="n">
        <v>1</v>
      </c>
      <c r="H540" s="68" t="n">
        <v>144</v>
      </c>
      <c r="I540" s="7" t="n">
        <v>3</v>
      </c>
      <c r="J540" s="8" t="n">
        <v>823</v>
      </c>
      <c r="K540" s="32"/>
      <c r="L540" s="31" t="n">
        <v>917.038</v>
      </c>
      <c r="M540" s="31" t="n">
        <v>169.233907987351</v>
      </c>
      <c r="N540" s="31" t="n">
        <v>314.495562582883</v>
      </c>
      <c r="O540" s="95"/>
      <c r="P540" s="33" t="n">
        <v>28.868713659084</v>
      </c>
      <c r="Q540" s="33" t="n">
        <v>11</v>
      </c>
      <c r="R540" s="31" t="n">
        <v>238.600428440273</v>
      </c>
      <c r="S540" s="34" t="s">
        <v>76</v>
      </c>
      <c r="T540" s="35"/>
      <c r="U540" s="35"/>
      <c r="V540" s="35" t="n">
        <v>29.0570100061137</v>
      </c>
      <c r="W540" s="35" t="n">
        <v>26.6463823419865</v>
      </c>
      <c r="X540" s="35" t="n">
        <v>4.91743135776217</v>
      </c>
      <c r="Y540" s="35" t="n">
        <v>9.13830070884917</v>
      </c>
      <c r="Z540" s="35"/>
      <c r="AA540" s="35" t="n">
        <v>0.838838501655633</v>
      </c>
      <c r="AB540" s="35" t="n">
        <v>0.31962711006725</v>
      </c>
      <c r="AC540" s="71" t="n">
        <v>6.93301503665203</v>
      </c>
      <c r="AD540" s="72"/>
      <c r="AE540" s="72"/>
      <c r="AF540" s="72"/>
      <c r="AG540" s="72"/>
      <c r="AH540" s="72"/>
      <c r="AI540" s="73" t="n">
        <v>28.569269308788</v>
      </c>
      <c r="AJ540" s="42" t="s">
        <v>16</v>
      </c>
      <c r="AK540" s="43" t="n">
        <v>614.970901736841</v>
      </c>
      <c r="AL540" s="74"/>
      <c r="AM540" s="74"/>
      <c r="AN540" s="74"/>
      <c r="AO540" s="78" t="n">
        <v>47.7</v>
      </c>
      <c r="AP540" s="76" t="n">
        <v>1.33895296869817</v>
      </c>
      <c r="AQ540" s="76" t="n">
        <v>1.43354956268222</v>
      </c>
      <c r="AR540" s="76" t="n">
        <v>2.36298104956268</v>
      </c>
      <c r="AS540" s="77" t="n">
        <v>39.1642945304726</v>
      </c>
      <c r="AT540" s="78" t="n">
        <v>40.1416862031262</v>
      </c>
      <c r="AU540" s="78" t="n">
        <v>28.0702928448254</v>
      </c>
      <c r="AV540" s="78" t="n">
        <v>30.0534499514091</v>
      </c>
      <c r="AW540" s="78" t="n">
        <v>49.5383867832848</v>
      </c>
      <c r="AX540" s="78" t="n">
        <v>41.77</v>
      </c>
      <c r="AY540" s="48" t="n">
        <v>1.38148027600501</v>
      </c>
      <c r="AZ540" s="48" t="n">
        <v>29.1627310841835</v>
      </c>
      <c r="BA540" s="48" t="n">
        <v>-0.105721078069802</v>
      </c>
      <c r="BB540" s="49" t="n">
        <f aca="false">AT540/V540</f>
        <v>1.38148027600501</v>
      </c>
      <c r="BC540" s="49" t="n">
        <f aca="false">AS540/V540</f>
        <v>1.34784324065801</v>
      </c>
      <c r="BD540" s="49" t="n">
        <f aca="false">SUM(AP540:AR540)/V540</f>
        <v>0.176738197765791</v>
      </c>
      <c r="BE540" s="53" t="n">
        <v>6.18</v>
      </c>
      <c r="BF540" s="51" t="n">
        <v>104.87</v>
      </c>
      <c r="BG540" s="51" t="n">
        <v>605.988366549061</v>
      </c>
      <c r="BH540" s="51" t="n">
        <v>279.393534852675</v>
      </c>
      <c r="BI540" s="51" t="n">
        <v>83.2459235243635</v>
      </c>
      <c r="BJ540" s="51" t="n">
        <v>6.48421855630781</v>
      </c>
      <c r="BK540" s="51" t="n">
        <v>13.3498617335749</v>
      </c>
      <c r="BL540" s="51" t="n">
        <v>9.63097167922189</v>
      </c>
      <c r="BM540" s="51" t="n">
        <v>1.90712310479641</v>
      </c>
      <c r="BN540" s="52" t="n">
        <f aca="false">(BG540*0.5-BH540*0.25+BI540*0.5)/SUM(BG540:BI540)*1000</f>
        <v>283.668044890726</v>
      </c>
      <c r="BO540" s="93" t="n">
        <v>6.46971428571429</v>
      </c>
      <c r="BP540" s="94" t="s">
        <v>491</v>
      </c>
      <c r="BQ540" s="55" t="n">
        <v>315.383333333333</v>
      </c>
      <c r="BR540" s="56" t="n">
        <v>10.8539499854588</v>
      </c>
      <c r="BS540" s="56"/>
      <c r="BT540" s="56" t="n">
        <v>7.85675349404658</v>
      </c>
      <c r="BU540" s="55" t="n">
        <v>11927.5277777778</v>
      </c>
      <c r="BV540" s="55" t="n">
        <v>410.48710019607</v>
      </c>
      <c r="BW540" s="55"/>
      <c r="BX540" s="55" t="n">
        <v>297.135693737969</v>
      </c>
      <c r="BY540" s="96" t="n">
        <v>0.10918</v>
      </c>
      <c r="BZ540" s="96" t="n">
        <v>0.3608</v>
      </c>
      <c r="CA540" s="97" t="n">
        <v>4.5492</v>
      </c>
      <c r="CB540" s="97"/>
      <c r="CC540" s="97" t="n">
        <v>9.537</v>
      </c>
      <c r="CD540" s="97" t="n">
        <v>7.8578</v>
      </c>
      <c r="CE540" s="97" t="n">
        <v>118.17</v>
      </c>
      <c r="CF540" s="97" t="n">
        <v>43.28</v>
      </c>
      <c r="CG540" s="97" t="n">
        <v>0.141</v>
      </c>
      <c r="CH540" s="63" t="n">
        <v>38990.758478779</v>
      </c>
      <c r="CI540" s="63" t="n">
        <v>6107.99002040136</v>
      </c>
      <c r="CJ540" s="64" t="n">
        <v>3107433.31945776</v>
      </c>
      <c r="CK540" s="65" t="n">
        <v>0.196560614258561</v>
      </c>
    </row>
    <row r="541" s="1" customFormat="true" ht="15" hidden="false" customHeight="false" outlineLevel="0" collapsed="false">
      <c r="A541" s="7" t="s">
        <v>488</v>
      </c>
      <c r="B541" s="66" t="n">
        <v>532</v>
      </c>
      <c r="C541" s="8" t="s">
        <v>624</v>
      </c>
      <c r="D541" s="67" t="n">
        <v>41800</v>
      </c>
      <c r="E541" s="4" t="s">
        <v>490</v>
      </c>
      <c r="F541" s="7" t="n">
        <v>282</v>
      </c>
      <c r="G541" s="68" t="n">
        <v>1</v>
      </c>
      <c r="H541" s="68" t="n">
        <v>181</v>
      </c>
      <c r="I541" s="7" t="n">
        <v>3</v>
      </c>
      <c r="J541" s="8" t="n">
        <v>687</v>
      </c>
      <c r="K541" s="32"/>
      <c r="L541" s="31" t="n">
        <v>917.038</v>
      </c>
      <c r="M541" s="31" t="n">
        <v>169.233907987351</v>
      </c>
      <c r="N541" s="31" t="n">
        <v>314.495562582883</v>
      </c>
      <c r="O541" s="95"/>
      <c r="P541" s="33" t="n">
        <v>28.868713659084</v>
      </c>
      <c r="Q541" s="33" t="n">
        <v>11</v>
      </c>
      <c r="R541" s="31" t="n">
        <v>238.600428440273</v>
      </c>
      <c r="S541" s="34" t="s">
        <v>76</v>
      </c>
      <c r="T541" s="35"/>
      <c r="U541" s="35"/>
      <c r="V541" s="35" t="n">
        <v>20.4249783690593</v>
      </c>
      <c r="W541" s="35" t="n">
        <v>18.7304813136054</v>
      </c>
      <c r="X541" s="35" t="n">
        <v>3.45659890995302</v>
      </c>
      <c r="Y541" s="35" t="n">
        <v>6.42356506292053</v>
      </c>
      <c r="Z541" s="35"/>
      <c r="AA541" s="35" t="n">
        <v>0.589642852029357</v>
      </c>
      <c r="AB541" s="35" t="n">
        <v>0.224674762059653</v>
      </c>
      <c r="AC541" s="71" t="n">
        <v>4.87340858974087</v>
      </c>
      <c r="AD541" s="72"/>
      <c r="AE541" s="72"/>
      <c r="AF541" s="72"/>
      <c r="AG541" s="72"/>
      <c r="AH541" s="72"/>
      <c r="AI541" s="73" t="n">
        <v>28.6319795415539</v>
      </c>
      <c r="AJ541" s="42" t="s">
        <v>16</v>
      </c>
      <c r="AK541" s="43" t="n">
        <v>615.814198803978</v>
      </c>
      <c r="AL541" s="74"/>
      <c r="AM541" s="74"/>
      <c r="AN541" s="74"/>
      <c r="AO541" s="78" t="n">
        <v>40.66</v>
      </c>
      <c r="AP541" s="76" t="n">
        <v>1.22229938529629</v>
      </c>
      <c r="AQ541" s="76" t="n">
        <v>1.20122837706511</v>
      </c>
      <c r="AR541" s="76" t="n">
        <v>1.96977745383868</v>
      </c>
      <c r="AS541" s="77" t="n">
        <v>34.5984907794443</v>
      </c>
      <c r="AT541" s="78" t="n">
        <v>34.8106924421386</v>
      </c>
      <c r="AU541" s="78" t="n">
        <v>30.061470371281</v>
      </c>
      <c r="AV541" s="78" t="n">
        <v>29.5432458697765</v>
      </c>
      <c r="AW541" s="78" t="n">
        <v>48.4450923226433</v>
      </c>
      <c r="AX541" s="78" t="n">
        <v>31.58</v>
      </c>
      <c r="AY541" s="48" t="n">
        <v>1.70431967237093</v>
      </c>
      <c r="AZ541" s="48" t="n">
        <v>25.7709201407273</v>
      </c>
      <c r="BA541" s="48" t="n">
        <v>-5.34594177166792</v>
      </c>
      <c r="BB541" s="49" t="n">
        <f aca="false">AT541/V541</f>
        <v>1.70431967237093</v>
      </c>
      <c r="BC541" s="49" t="n">
        <f aca="false">AS541/V541</f>
        <v>1.69393035107717</v>
      </c>
      <c r="BD541" s="49" t="n">
        <f aca="false">SUM(AP541:AR541)/V541</f>
        <v>0.215094730423571</v>
      </c>
      <c r="BE541" s="53" t="n">
        <v>6.26</v>
      </c>
      <c r="BF541" s="51" t="n">
        <v>103.44</v>
      </c>
      <c r="BG541" s="51" t="n">
        <v>612.529002320186</v>
      </c>
      <c r="BH541" s="51" t="n">
        <v>267.691415313225</v>
      </c>
      <c r="BI541" s="51" t="n">
        <v>93.3874709976798</v>
      </c>
      <c r="BJ541" s="51" t="n">
        <v>6.09048723897912</v>
      </c>
      <c r="BK541" s="51" t="n">
        <v>10.2474864655839</v>
      </c>
      <c r="BL541" s="51" t="n">
        <v>8.02397525135344</v>
      </c>
      <c r="BM541" s="51" t="n">
        <v>2.03016241299304</v>
      </c>
      <c r="BN541" s="52" t="n">
        <f aca="false">(BG541*0.5-BH541*0.25+BI541*0.5)/SUM(BG541:BI541)*1000</f>
        <v>293.7890974084</v>
      </c>
      <c r="BO541" s="93" t="n">
        <v>4.896</v>
      </c>
      <c r="BP541" s="94" t="s">
        <v>491</v>
      </c>
      <c r="BQ541" s="55" t="n">
        <v>317.988888888889</v>
      </c>
      <c r="BR541" s="56" t="n">
        <v>15.5686279389452</v>
      </c>
      <c r="BS541" s="56"/>
      <c r="BT541" s="56" t="n">
        <v>9.1348050435205</v>
      </c>
      <c r="BU541" s="55" t="n">
        <v>11321.3972222222</v>
      </c>
      <c r="BV541" s="55" t="n">
        <v>554.291760689078</v>
      </c>
      <c r="BW541" s="55"/>
      <c r="BX541" s="55" t="n">
        <v>325.227578883711</v>
      </c>
      <c r="BY541" s="96" t="n">
        <v>0.0618</v>
      </c>
      <c r="BZ541" s="96" t="n">
        <v>0.4444</v>
      </c>
      <c r="CA541" s="97" t="n">
        <v>4.6206</v>
      </c>
      <c r="CB541" s="97"/>
      <c r="CC541" s="97" t="n">
        <v>7.4154</v>
      </c>
      <c r="CD541" s="97" t="n">
        <v>7.4437</v>
      </c>
      <c r="CE541" s="97" t="n">
        <v>103.02</v>
      </c>
      <c r="CF541" s="97" t="n">
        <v>36.4716</v>
      </c>
      <c r="CG541" s="97" t="n">
        <v>0.1865</v>
      </c>
      <c r="CH541" s="63" t="n">
        <v>43448.0313408551</v>
      </c>
      <c r="CI541" s="63" t="n">
        <v>5265.43805688396</v>
      </c>
      <c r="CJ541" s="64" t="n">
        <v>739582.069682651</v>
      </c>
      <c r="CK541" s="65" t="n">
        <v>0.711947770602838</v>
      </c>
    </row>
    <row r="542" s="1" customFormat="true" ht="15" hidden="false" customHeight="false" outlineLevel="0" collapsed="false">
      <c r="A542" s="7" t="s">
        <v>488</v>
      </c>
      <c r="B542" s="66" t="n">
        <v>533</v>
      </c>
      <c r="C542" s="8" t="s">
        <v>625</v>
      </c>
      <c r="D542" s="67" t="n">
        <v>41800</v>
      </c>
      <c r="E542" s="4" t="s">
        <v>490</v>
      </c>
      <c r="F542" s="7" t="n">
        <v>288</v>
      </c>
      <c r="G542" s="68" t="n">
        <v>1</v>
      </c>
      <c r="H542" s="68" t="n">
        <v>151</v>
      </c>
      <c r="I542" s="7" t="n">
        <v>3</v>
      </c>
      <c r="J542" s="8" t="n">
        <v>708</v>
      </c>
      <c r="K542" s="32"/>
      <c r="L542" s="31" t="n">
        <v>917.038</v>
      </c>
      <c r="M542" s="31" t="n">
        <v>169.233907987351</v>
      </c>
      <c r="N542" s="31" t="n">
        <v>314.495562582883</v>
      </c>
      <c r="O542" s="95"/>
      <c r="P542" s="33" t="n">
        <v>28.868713659084</v>
      </c>
      <c r="Q542" s="33" t="n">
        <v>11</v>
      </c>
      <c r="R542" s="31" t="n">
        <v>238.600428440273</v>
      </c>
      <c r="S542" s="34" t="s">
        <v>76</v>
      </c>
      <c r="T542" s="35"/>
      <c r="U542" s="35"/>
      <c r="V542" s="35" t="n">
        <v>21.0494563454868</v>
      </c>
      <c r="W542" s="35" t="n">
        <v>19.3031513481525</v>
      </c>
      <c r="X542" s="35" t="n">
        <v>3.56228175835587</v>
      </c>
      <c r="Y542" s="35" t="n">
        <v>6.6199606154377</v>
      </c>
      <c r="Z542" s="35"/>
      <c r="AA542" s="35" t="n">
        <v>0.607670727917246</v>
      </c>
      <c r="AB542" s="35" t="n">
        <v>0.231544019800355</v>
      </c>
      <c r="AC542" s="71" t="n">
        <v>5.02240930246798</v>
      </c>
      <c r="AD542" s="72"/>
      <c r="AE542" s="72"/>
      <c r="AF542" s="72"/>
      <c r="AG542" s="72"/>
      <c r="AH542" s="72"/>
      <c r="AI542" s="73" t="n">
        <v>34.485995052375</v>
      </c>
      <c r="AJ542" s="42" t="s">
        <v>16</v>
      </c>
      <c r="AK542" s="43" t="n">
        <v>681.029937419699</v>
      </c>
      <c r="AL542" s="74"/>
      <c r="AM542" s="74"/>
      <c r="AN542" s="74"/>
      <c r="AO542" s="78" t="n">
        <v>40.12</v>
      </c>
      <c r="AP542" s="76" t="n">
        <v>1.23153401599908</v>
      </c>
      <c r="AQ542" s="76" t="n">
        <v>1.25058211856171</v>
      </c>
      <c r="AR542" s="76" t="n">
        <v>1.89195626822157</v>
      </c>
      <c r="AS542" s="77" t="n">
        <v>34.5210102399862</v>
      </c>
      <c r="AT542" s="78" t="n">
        <v>34.8902168020201</v>
      </c>
      <c r="AU542" s="78" t="n">
        <v>30.6962616151316</v>
      </c>
      <c r="AV542" s="78" t="n">
        <v>31.1710398445092</v>
      </c>
      <c r="AW542" s="78" t="n">
        <v>47.1574344023324</v>
      </c>
      <c r="AX542" s="78" t="n">
        <v>38.975</v>
      </c>
      <c r="AY542" s="48" t="n">
        <v>1.65753529351844</v>
      </c>
      <c r="AZ542" s="48" t="n">
        <v>25.9227140576027</v>
      </c>
      <c r="BA542" s="48" t="n">
        <v>-4.87325771211592</v>
      </c>
      <c r="BB542" s="49" t="n">
        <f aca="false">AT542/V542</f>
        <v>1.65753529351844</v>
      </c>
      <c r="BC542" s="49" t="n">
        <f aca="false">AS542/V542</f>
        <v>1.63999533638254</v>
      </c>
      <c r="BD542" s="49" t="n">
        <f aca="false">SUM(AP542:AR542)/V542</f>
        <v>0.20779978024089</v>
      </c>
      <c r="BE542" s="53" t="n">
        <v>5.75</v>
      </c>
      <c r="BF542" s="51" t="n">
        <v>135.07</v>
      </c>
      <c r="BG542" s="51" t="n">
        <v>583.549270748501</v>
      </c>
      <c r="BH542" s="51" t="n">
        <v>287.554601317835</v>
      </c>
      <c r="BI542" s="51" t="n">
        <v>94.4695343155401</v>
      </c>
      <c r="BJ542" s="51" t="n">
        <v>5.70074776042052</v>
      </c>
      <c r="BK542" s="51" t="n">
        <v>16.65802917006</v>
      </c>
      <c r="BL542" s="51" t="n">
        <v>9.47656770563412</v>
      </c>
      <c r="BM542" s="51" t="n">
        <v>2.59124898200933</v>
      </c>
      <c r="BN542" s="52" t="n">
        <f aca="false">(BG542*0.5-BH542*0.25+BI542*0.5)/SUM(BG542:BI542)*1000</f>
        <v>276.644686397792</v>
      </c>
      <c r="BO542" s="93" t="n">
        <v>8.24742857142857</v>
      </c>
      <c r="BP542" s="94" t="s">
        <v>491</v>
      </c>
      <c r="BQ542" s="55" t="n">
        <v>271.229166666667</v>
      </c>
      <c r="BR542" s="56" t="n">
        <v>12.8853288282108</v>
      </c>
      <c r="BS542" s="56"/>
      <c r="BT542" s="56" t="n">
        <v>7.77378851515084</v>
      </c>
      <c r="BU542" s="55" t="n">
        <v>9231.14583333333</v>
      </c>
      <c r="BV542" s="55" t="n">
        <v>438.545570100321</v>
      </c>
      <c r="BW542" s="55"/>
      <c r="BX542" s="55" t="n">
        <v>264.576912368136</v>
      </c>
      <c r="BY542" s="96" t="n">
        <v>0.04944</v>
      </c>
      <c r="BZ542" s="96" t="n">
        <v>0.7403</v>
      </c>
      <c r="CA542" s="97" t="n">
        <v>4.4166</v>
      </c>
      <c r="CB542" s="97"/>
      <c r="CC542" s="97" t="n">
        <v>9.9348</v>
      </c>
      <c r="CD542" s="97" t="n">
        <v>6.3428</v>
      </c>
      <c r="CE542" s="97" t="n">
        <v>108.12</v>
      </c>
      <c r="CF542" s="97" t="n">
        <v>37.4205</v>
      </c>
      <c r="CG542" s="97" t="n">
        <v>0.3412</v>
      </c>
      <c r="CH542" s="63" t="n">
        <v>38591.8603226041</v>
      </c>
      <c r="CI542" s="63" t="n">
        <v>4870.64613700739</v>
      </c>
      <c r="CJ542" s="64" t="n">
        <v>1305668.44461493</v>
      </c>
      <c r="CK542" s="65" t="n">
        <v>0.373038511966479</v>
      </c>
    </row>
    <row r="543" s="1" customFormat="true" ht="15" hidden="false" customHeight="false" outlineLevel="0" collapsed="false">
      <c r="A543" s="7" t="s">
        <v>488</v>
      </c>
      <c r="B543" s="66" t="n">
        <v>534</v>
      </c>
      <c r="C543" s="8" t="s">
        <v>626</v>
      </c>
      <c r="D543" s="67" t="n">
        <v>41800</v>
      </c>
      <c r="E543" s="4" t="s">
        <v>490</v>
      </c>
      <c r="F543" s="7" t="n">
        <v>289</v>
      </c>
      <c r="G543" s="68" t="n">
        <v>1</v>
      </c>
      <c r="H543" s="68" t="n">
        <v>121</v>
      </c>
      <c r="I543" s="7" t="n">
        <v>3</v>
      </c>
      <c r="J543" s="8" t="n">
        <v>719</v>
      </c>
      <c r="K543" s="32"/>
      <c r="L543" s="31" t="n">
        <v>917.038</v>
      </c>
      <c r="M543" s="31" t="n">
        <v>169.233907987351</v>
      </c>
      <c r="N543" s="31" t="n">
        <v>314.495562582883</v>
      </c>
      <c r="O543" s="95"/>
      <c r="P543" s="33" t="n">
        <v>28.868713659084</v>
      </c>
      <c r="Q543" s="33" t="n">
        <v>11</v>
      </c>
      <c r="R543" s="31" t="n">
        <v>238.600428440273</v>
      </c>
      <c r="S543" s="34" t="s">
        <v>76</v>
      </c>
      <c r="T543" s="35"/>
      <c r="U543" s="35"/>
      <c r="V543" s="35" t="n">
        <v>22.9237601636906</v>
      </c>
      <c r="W543" s="35" t="n">
        <v>21.0219591729905</v>
      </c>
      <c r="X543" s="35" t="n">
        <v>3.87947751826611</v>
      </c>
      <c r="Y543" s="35" t="n">
        <v>7.20942084919495</v>
      </c>
      <c r="Z543" s="35"/>
      <c r="AA543" s="35" t="n">
        <v>0.661779468155099</v>
      </c>
      <c r="AB543" s="35" t="n">
        <v>0.252161361800597</v>
      </c>
      <c r="AC543" s="71" t="n">
        <v>5.46961899651865</v>
      </c>
      <c r="AD543" s="72"/>
      <c r="AE543" s="72"/>
      <c r="AF543" s="72"/>
      <c r="AG543" s="72"/>
      <c r="AH543" s="72"/>
      <c r="AI543" s="73" t="n">
        <v>31.7347537901569</v>
      </c>
      <c r="AJ543" s="42" t="s">
        <v>16</v>
      </c>
      <c r="AK543" s="43" t="n">
        <v>653.376860185005</v>
      </c>
      <c r="AL543" s="74"/>
      <c r="AM543" s="74"/>
      <c r="AN543" s="74"/>
      <c r="AO543" s="78" t="n">
        <v>40.54</v>
      </c>
      <c r="AP543" s="76" t="n">
        <v>1.05618460964547</v>
      </c>
      <c r="AQ543" s="76" t="n">
        <v>1.25776433430515</v>
      </c>
      <c r="AR543" s="76" t="n">
        <v>2.06245772594752</v>
      </c>
      <c r="AS543" s="77" t="n">
        <v>32.058769144682</v>
      </c>
      <c r="AT543" s="78" t="n">
        <v>33.7076421104388</v>
      </c>
      <c r="AU543" s="78" t="n">
        <v>26.0529010766025</v>
      </c>
      <c r="AV543" s="78" t="n">
        <v>31.025267249757</v>
      </c>
      <c r="AW543" s="78" t="n">
        <v>50.8746355685131</v>
      </c>
      <c r="AX543" s="78" t="n">
        <v>30.1</v>
      </c>
      <c r="AY543" s="48" t="n">
        <v>1.47042378168958</v>
      </c>
      <c r="AZ543" s="48" t="n">
        <v>24.912751134327</v>
      </c>
      <c r="BA543" s="48" t="n">
        <v>-1.9889909706364</v>
      </c>
      <c r="BB543" s="49" t="n">
        <f aca="false">AT543/V543</f>
        <v>1.47042378168958</v>
      </c>
      <c r="BC543" s="49" t="n">
        <f aca="false">AS543/V543</f>
        <v>1.39849522572918</v>
      </c>
      <c r="BD543" s="49" t="n">
        <f aca="false">SUM(AP543:AR543)/V543</f>
        <v>0.190911379226084</v>
      </c>
      <c r="BE543" s="53" t="n">
        <v>5.99</v>
      </c>
      <c r="BF543" s="51" t="n">
        <v>120.24</v>
      </c>
      <c r="BG543" s="51" t="n">
        <v>568.862275449102</v>
      </c>
      <c r="BH543" s="51" t="n">
        <v>310.878243512974</v>
      </c>
      <c r="BI543" s="51" t="n">
        <v>86.3273453093813</v>
      </c>
      <c r="BJ543" s="51" t="n">
        <v>5.57218895542249</v>
      </c>
      <c r="BK543" s="51" t="n">
        <v>16.1343978709248</v>
      </c>
      <c r="BL543" s="51" t="n">
        <v>9.98003992015968</v>
      </c>
      <c r="BM543" s="51" t="n">
        <v>2.24550898203593</v>
      </c>
      <c r="BN543" s="52" t="n">
        <f aca="false">(BG543*0.5-BH543*0.25+BI543*0.5)/SUM(BG543:BI543)*1000</f>
        <v>258.651859504132</v>
      </c>
      <c r="BO543" s="93" t="n">
        <v>8.21828571428572</v>
      </c>
      <c r="BP543" s="94" t="s">
        <v>491</v>
      </c>
      <c r="BQ543" s="55" t="n">
        <v>261.811111111111</v>
      </c>
      <c r="BR543" s="56" t="n">
        <v>11.4209496715028</v>
      </c>
      <c r="BS543" s="56"/>
      <c r="BT543" s="56" t="n">
        <v>7.7671143609903</v>
      </c>
      <c r="BU543" s="55" t="n">
        <v>10398.5888888889</v>
      </c>
      <c r="BV543" s="55" t="n">
        <v>453.616196236402</v>
      </c>
      <c r="BW543" s="55"/>
      <c r="BX543" s="55" t="n">
        <v>308.493511792347</v>
      </c>
      <c r="BY543" s="96" t="n">
        <v>0.10094</v>
      </c>
      <c r="BZ543" s="96" t="n">
        <v>0.4774</v>
      </c>
      <c r="CA543" s="97" t="n">
        <v>4.4472</v>
      </c>
      <c r="CB543" s="97"/>
      <c r="CC543" s="97" t="n">
        <v>6.5688</v>
      </c>
      <c r="CD543" s="97" t="n">
        <v>7.7972</v>
      </c>
      <c r="CE543" s="97" t="n">
        <v>101</v>
      </c>
      <c r="CF543" s="97" t="n">
        <v>38.2992</v>
      </c>
      <c r="CG543" s="97" t="n">
        <v>0.1501</v>
      </c>
      <c r="CH543" s="63" t="n">
        <v>32863.965903203</v>
      </c>
      <c r="CI543" s="63" t="n">
        <v>4369.11083333817</v>
      </c>
      <c r="CJ543" s="64" t="n">
        <v>1681987.50256222</v>
      </c>
      <c r="CK543" s="65" t="n">
        <v>0.259758816678637</v>
      </c>
    </row>
    <row r="544" s="1" customFormat="true" ht="15" hidden="false" customHeight="false" outlineLevel="0" collapsed="false">
      <c r="A544" s="7" t="s">
        <v>488</v>
      </c>
      <c r="B544" s="66" t="n">
        <v>535</v>
      </c>
      <c r="C544" s="8" t="s">
        <v>627</v>
      </c>
      <c r="D544" s="67" t="n">
        <v>41800</v>
      </c>
      <c r="E544" s="4" t="s">
        <v>490</v>
      </c>
      <c r="F544" s="7" t="n">
        <v>290</v>
      </c>
      <c r="G544" s="68" t="n">
        <v>1</v>
      </c>
      <c r="H544" s="68" t="n">
        <v>135</v>
      </c>
      <c r="I544" s="7" t="n">
        <v>3</v>
      </c>
      <c r="J544" s="8" t="n">
        <v>646</v>
      </c>
      <c r="K544" s="32"/>
      <c r="L544" s="31" t="n">
        <v>917.038</v>
      </c>
      <c r="M544" s="31" t="n">
        <v>169.233907987351</v>
      </c>
      <c r="N544" s="31" t="n">
        <v>314.495562582883</v>
      </c>
      <c r="O544" s="95"/>
      <c r="P544" s="33" t="n">
        <v>28.868713659084</v>
      </c>
      <c r="Q544" s="33" t="n">
        <v>11</v>
      </c>
      <c r="R544" s="31" t="n">
        <v>238.600428440273</v>
      </c>
      <c r="S544" s="34" t="s">
        <v>76</v>
      </c>
      <c r="T544" s="35"/>
      <c r="U544" s="35"/>
      <c r="V544" s="35" t="n">
        <v>27.4149245912167</v>
      </c>
      <c r="W544" s="35" t="n">
        <v>25.1405276172801</v>
      </c>
      <c r="X544" s="35" t="n">
        <v>4.63953482575012</v>
      </c>
      <c r="Y544" s="35" t="n">
        <v>8.62187213248199</v>
      </c>
      <c r="Z544" s="35"/>
      <c r="AA544" s="35" t="n">
        <v>0.791433608009213</v>
      </c>
      <c r="AB544" s="35" t="n">
        <v>0.301564170503383</v>
      </c>
      <c r="AC544" s="71" t="n">
        <v>6.54121275312208</v>
      </c>
      <c r="AD544" s="72"/>
      <c r="AE544" s="72"/>
      <c r="AF544" s="72"/>
      <c r="AG544" s="72"/>
      <c r="AH544" s="72"/>
      <c r="AI544" s="73" t="n">
        <v>27.9650901897332</v>
      </c>
      <c r="AJ544" s="42" t="s">
        <v>16</v>
      </c>
      <c r="AK544" s="43" t="n">
        <v>606.652439689309</v>
      </c>
      <c r="AL544" s="74"/>
      <c r="AM544" s="74"/>
      <c r="AN544" s="74"/>
      <c r="AO544" s="78" t="n">
        <v>40.92</v>
      </c>
      <c r="AP544" s="76" t="n">
        <v>1.32306704229043</v>
      </c>
      <c r="AQ544" s="76" t="n">
        <v>1.29639650145773</v>
      </c>
      <c r="AR544" s="76" t="n">
        <v>1.95751895043732</v>
      </c>
      <c r="AS544" s="77" t="n">
        <v>36.2140056343565</v>
      </c>
      <c r="AT544" s="78" t="n">
        <v>36.7104046163165</v>
      </c>
      <c r="AU544" s="78" t="n">
        <v>32.3330166737642</v>
      </c>
      <c r="AV544" s="78" t="n">
        <v>31.6812439261419</v>
      </c>
      <c r="AW544" s="78" t="n">
        <v>47.8377065111759</v>
      </c>
      <c r="AX544" s="78" t="n">
        <v>31.595</v>
      </c>
      <c r="AY544" s="48" t="n">
        <v>1.33906640866989</v>
      </c>
      <c r="AZ544" s="48" t="n">
        <v>25.559960363785</v>
      </c>
      <c r="BA544" s="48" t="n">
        <v>1.85496422743168</v>
      </c>
      <c r="BB544" s="49" t="n">
        <f aca="false">AT544/V544</f>
        <v>1.33906640866989</v>
      </c>
      <c r="BC544" s="49" t="n">
        <f aca="false">AS544/V544</f>
        <v>1.32095952020087</v>
      </c>
      <c r="BD544" s="49" t="n">
        <f aca="false">SUM(AP544:AR544)/V544</f>
        <v>0.166952218998694</v>
      </c>
      <c r="BE544" s="53" t="n">
        <v>6.19</v>
      </c>
      <c r="BF544" s="51" t="n">
        <v>109.66</v>
      </c>
      <c r="BG544" s="51" t="n">
        <v>600.310049243115</v>
      </c>
      <c r="BH544" s="51" t="n">
        <v>291.081524712748</v>
      </c>
      <c r="BI544" s="51" t="n">
        <v>83.1661499179281</v>
      </c>
      <c r="BJ544" s="51" t="n">
        <v>5.01550246215575</v>
      </c>
      <c r="BK544" s="51" t="n">
        <v>10.7605325551705</v>
      </c>
      <c r="BL544" s="51" t="n">
        <v>8.02480393944921</v>
      </c>
      <c r="BM544" s="51" t="n">
        <v>1.64143716943279</v>
      </c>
      <c r="BN544" s="52" t="n">
        <f aca="false">(BG544*0.5-BH544*0.25+BI544*0.5)/SUM(BG544:BI544)*1000</f>
        <v>275.989519977543</v>
      </c>
      <c r="BO544" s="93" t="n">
        <v>7.37314285714286</v>
      </c>
      <c r="BP544" s="94" t="s">
        <v>491</v>
      </c>
      <c r="BQ544" s="55" t="n">
        <v>375.222222222222</v>
      </c>
      <c r="BR544" s="56" t="n">
        <v>13.6867865885882</v>
      </c>
      <c r="BS544" s="56"/>
      <c r="BT544" s="56" t="n">
        <v>10.221141012852</v>
      </c>
      <c r="BU544" s="55" t="n">
        <v>13106.0694444444</v>
      </c>
      <c r="BV544" s="55" t="n">
        <v>478.063304563801</v>
      </c>
      <c r="BW544" s="55"/>
      <c r="BX544" s="55" t="n">
        <v>357.012394208787</v>
      </c>
      <c r="BY544" s="96" t="n">
        <v>0.07828</v>
      </c>
      <c r="BZ544" s="96" t="n">
        <v>0.4026</v>
      </c>
      <c r="CA544" s="97" t="n">
        <v>4.7328</v>
      </c>
      <c r="CB544" s="97"/>
      <c r="CC544" s="97" t="n">
        <v>7.395</v>
      </c>
      <c r="CD544" s="97" t="n">
        <v>5.7772</v>
      </c>
      <c r="CE544" s="97" t="n">
        <v>99.99</v>
      </c>
      <c r="CF544" s="97" t="n">
        <v>37.8378</v>
      </c>
      <c r="CG544" s="97" t="n">
        <v>0.141</v>
      </c>
      <c r="CH544" s="63" t="n">
        <v>43076.5501519751</v>
      </c>
      <c r="CI544" s="63" t="n">
        <v>4071.64698342797</v>
      </c>
      <c r="CJ544" s="64" t="n">
        <v>2264581.40273633</v>
      </c>
      <c r="CK544" s="65" t="n">
        <v>0.179796892198625</v>
      </c>
    </row>
    <row r="545" s="1" customFormat="true" ht="15" hidden="false" customHeight="false" outlineLevel="0" collapsed="false">
      <c r="A545" s="7" t="s">
        <v>488</v>
      </c>
      <c r="B545" s="66" t="n">
        <v>536</v>
      </c>
      <c r="C545" s="8" t="s">
        <v>628</v>
      </c>
      <c r="D545" s="67" t="n">
        <v>41800</v>
      </c>
      <c r="E545" s="4" t="s">
        <v>490</v>
      </c>
      <c r="F545" s="7" t="n">
        <v>298</v>
      </c>
      <c r="G545" s="68" t="n">
        <v>1</v>
      </c>
      <c r="H545" s="68" t="n">
        <v>138</v>
      </c>
      <c r="I545" s="7" t="n">
        <v>3</v>
      </c>
      <c r="J545" s="8" t="n">
        <v>656</v>
      </c>
      <c r="K545" s="32"/>
      <c r="L545" s="31" t="n">
        <v>917.038</v>
      </c>
      <c r="M545" s="31" t="n">
        <v>169.233907987351</v>
      </c>
      <c r="N545" s="31" t="n">
        <v>314.495562582883</v>
      </c>
      <c r="O545" s="95"/>
      <c r="P545" s="33" t="n">
        <v>28.868713659084</v>
      </c>
      <c r="Q545" s="33" t="n">
        <v>11</v>
      </c>
      <c r="R545" s="31" t="n">
        <v>238.600428440273</v>
      </c>
      <c r="S545" s="34" t="s">
        <v>76</v>
      </c>
      <c r="T545" s="35"/>
      <c r="U545" s="35"/>
      <c r="V545" s="35" t="n">
        <v>24.5578403739373</v>
      </c>
      <c r="W545" s="35" t="n">
        <v>22.5204728208347</v>
      </c>
      <c r="X545" s="35" t="n">
        <v>4.15601929821095</v>
      </c>
      <c r="Y545" s="35" t="n">
        <v>7.72333182422204</v>
      </c>
      <c r="Z545" s="35"/>
      <c r="AA545" s="35" t="n">
        <v>0.708953261840686</v>
      </c>
      <c r="AB545" s="35" t="n">
        <v>0.27013624411331</v>
      </c>
      <c r="AC545" s="71" t="n">
        <v>5.85951123478928</v>
      </c>
      <c r="AD545" s="72"/>
      <c r="AE545" s="72"/>
      <c r="AF545" s="72"/>
      <c r="AG545" s="72"/>
      <c r="AH545" s="72"/>
      <c r="AI545" s="73" t="n">
        <v>29.7757851268425</v>
      </c>
      <c r="AJ545" s="42" t="s">
        <v>16</v>
      </c>
      <c r="AK545" s="43" t="n">
        <v>630.572293790378</v>
      </c>
      <c r="AL545" s="74"/>
      <c r="AM545" s="74"/>
      <c r="AN545" s="74"/>
      <c r="AO545" s="78" t="n">
        <v>36.26</v>
      </c>
      <c r="AP545" s="76" t="n">
        <v>1.30428732849072</v>
      </c>
      <c r="AQ545" s="76" t="n">
        <v>1.11792857142857</v>
      </c>
      <c r="AR545" s="76" t="n">
        <v>1.83590476190476</v>
      </c>
      <c r="AS545" s="77" t="n">
        <v>34.0683099273608</v>
      </c>
      <c r="AT545" s="78" t="n">
        <v>34.4345614240989</v>
      </c>
      <c r="AU545" s="78" t="n">
        <v>35.9704172225791</v>
      </c>
      <c r="AV545" s="78" t="n">
        <v>30.8309037900875</v>
      </c>
      <c r="AW545" s="78" t="n">
        <v>50.6316812439262</v>
      </c>
      <c r="AX545" s="78" t="n">
        <v>27.6575</v>
      </c>
      <c r="AY545" s="48" t="n">
        <v>1.40218198749446</v>
      </c>
      <c r="AZ545" s="48" t="n">
        <v>24.937741632651</v>
      </c>
      <c r="BA545" s="48" t="n">
        <v>-0.379901258713691</v>
      </c>
      <c r="BB545" s="49" t="n">
        <f aca="false">AT545/V545</f>
        <v>1.40218198749446</v>
      </c>
      <c r="BC545" s="49" t="n">
        <f aca="false">AS545/V545</f>
        <v>1.38726815585611</v>
      </c>
      <c r="BD545" s="49" t="n">
        <f aca="false">SUM(AP545:AR545)/V545</f>
        <v>0.173391495220529</v>
      </c>
      <c r="BE545" s="53" t="n">
        <v>6.11</v>
      </c>
      <c r="BF545" s="51" t="n">
        <v>107.05</v>
      </c>
      <c r="BG545" s="51" t="n">
        <v>633.348902382064</v>
      </c>
      <c r="BH545" s="51" t="n">
        <v>247.361046240075</v>
      </c>
      <c r="BI545" s="51" t="n">
        <v>93.6011209715086</v>
      </c>
      <c r="BJ545" s="51" t="n">
        <v>5.13778608127044</v>
      </c>
      <c r="BK545" s="51" t="n">
        <v>9.24801494628678</v>
      </c>
      <c r="BL545" s="51" t="n">
        <v>8.59411489957964</v>
      </c>
      <c r="BM545" s="51" t="n">
        <v>2.70901447921532</v>
      </c>
      <c r="BN545" s="52" t="n">
        <f aca="false">(BG545*0.5-BH545*0.25+BI545*0.5)/SUM(BG545:BI545)*1000</f>
        <v>309.587727708533</v>
      </c>
      <c r="BO545" s="93" t="n">
        <v>5.27485714285714</v>
      </c>
      <c r="BP545" s="94" t="s">
        <v>491</v>
      </c>
      <c r="BQ545" s="55" t="n">
        <v>358.888888888889</v>
      </c>
      <c r="BR545" s="56" t="n">
        <v>14.6140248256427</v>
      </c>
      <c r="BS545" s="56"/>
      <c r="BT545" s="56" t="n">
        <v>10.4223452846918</v>
      </c>
      <c r="BU545" s="55" t="n">
        <v>12159.3555555556</v>
      </c>
      <c r="BV545" s="55" t="n">
        <v>495.131305131376</v>
      </c>
      <c r="BW545" s="55"/>
      <c r="BX545" s="55" t="n">
        <v>353.114866363475</v>
      </c>
      <c r="BY545" s="96" t="n">
        <v>0.07725</v>
      </c>
      <c r="BZ545" s="96" t="n">
        <v>0.891</v>
      </c>
      <c r="CA545" s="97" t="n">
        <v>4.4676</v>
      </c>
      <c r="CB545" s="97"/>
      <c r="CC545" s="97" t="n">
        <v>7.905</v>
      </c>
      <c r="CD545" s="97" t="n">
        <v>7.171</v>
      </c>
      <c r="CE545" s="97" t="n">
        <v>102.01</v>
      </c>
      <c r="CF545" s="97" t="n">
        <v>32.5809</v>
      </c>
      <c r="CG545" s="97" t="n">
        <v>0.1137</v>
      </c>
      <c r="CH545" s="63" t="n">
        <v>45123.4874991724</v>
      </c>
      <c r="CI545" s="63" t="n">
        <v>2433.69187937365</v>
      </c>
      <c r="CJ545" s="64" t="n">
        <v>2446991.23475941</v>
      </c>
      <c r="CK545" s="65" t="n">
        <v>0.0994565017153784</v>
      </c>
    </row>
    <row r="546" s="1" customFormat="true" ht="15" hidden="false" customHeight="false" outlineLevel="0" collapsed="false">
      <c r="A546" s="7" t="s">
        <v>488</v>
      </c>
      <c r="B546" s="66" t="n">
        <v>537</v>
      </c>
      <c r="C546" s="8" t="s">
        <v>629</v>
      </c>
      <c r="D546" s="67" t="n">
        <v>41800</v>
      </c>
      <c r="E546" s="4" t="s">
        <v>490</v>
      </c>
      <c r="F546" s="7" t="n">
        <v>303</v>
      </c>
      <c r="G546" s="68" t="n">
        <v>1</v>
      </c>
      <c r="H546" s="68" t="n">
        <v>157</v>
      </c>
      <c r="I546" s="7" t="n">
        <v>3</v>
      </c>
      <c r="J546" s="8" t="n">
        <v>792</v>
      </c>
      <c r="K546" s="32"/>
      <c r="L546" s="31" t="n">
        <v>917.038</v>
      </c>
      <c r="M546" s="31" t="n">
        <v>169.233907987351</v>
      </c>
      <c r="N546" s="31" t="n">
        <v>314.495562582883</v>
      </c>
      <c r="O546" s="95"/>
      <c r="P546" s="33" t="n">
        <v>28.868713659084</v>
      </c>
      <c r="Q546" s="33" t="n">
        <v>11</v>
      </c>
      <c r="R546" s="31" t="n">
        <v>238.600428440273</v>
      </c>
      <c r="S546" s="34" t="s">
        <v>76</v>
      </c>
      <c r="T546" s="35"/>
      <c r="U546" s="35"/>
      <c r="V546" s="35" t="n">
        <v>30.011022198328</v>
      </c>
      <c r="W546" s="35" t="n">
        <v>27.5212477747103</v>
      </c>
      <c r="X546" s="35" t="n">
        <v>5.07888256931818</v>
      </c>
      <c r="Y546" s="35" t="n">
        <v>9.43833330995054</v>
      </c>
      <c r="Z546" s="35"/>
      <c r="AA546" s="35" t="n">
        <v>0.866379606459943</v>
      </c>
      <c r="AB546" s="35" t="n">
        <v>0.330121244181608</v>
      </c>
      <c r="AC546" s="71" t="n">
        <v>7.16064275445161</v>
      </c>
      <c r="AD546" s="72"/>
      <c r="AE546" s="72"/>
      <c r="AF546" s="72"/>
      <c r="AG546" s="72"/>
      <c r="AH546" s="72"/>
      <c r="AI546" s="73" t="n">
        <v>31.9316528585912</v>
      </c>
      <c r="AJ546" s="42" t="s">
        <v>16</v>
      </c>
      <c r="AK546" s="43" t="n">
        <v>655.514230700387</v>
      </c>
      <c r="AL546" s="74"/>
      <c r="AM546" s="74"/>
      <c r="AN546" s="74"/>
      <c r="AO546" s="78" t="n">
        <v>41.96</v>
      </c>
      <c r="AP546" s="76" t="n">
        <v>1.62000133824021</v>
      </c>
      <c r="AQ546" s="76" t="n">
        <v>1.38643343051506</v>
      </c>
      <c r="AR546" s="76" t="n">
        <v>2.03683381924198</v>
      </c>
      <c r="AS546" s="77" t="n">
        <v>41.0840200736032</v>
      </c>
      <c r="AT546" s="78" t="n">
        <v>41.4508100774927</v>
      </c>
      <c r="AU546" s="78" t="n">
        <v>38.6082301773168</v>
      </c>
      <c r="AV546" s="78" t="n">
        <v>33.041788143829</v>
      </c>
      <c r="AW546" s="78" t="n">
        <v>48.5422740524781</v>
      </c>
      <c r="AX546" s="78" t="n">
        <v>34.845</v>
      </c>
      <c r="AY546" s="48" t="n">
        <v>1.38118621230443</v>
      </c>
      <c r="AZ546" s="48" t="n">
        <v>29.5367901062999</v>
      </c>
      <c r="BA546" s="48" t="n">
        <v>0.4742320920281</v>
      </c>
      <c r="BB546" s="49" t="n">
        <f aca="false">AT546/V546</f>
        <v>1.38118621230443</v>
      </c>
      <c r="BC546" s="49" t="n">
        <f aca="false">AS546/V546</f>
        <v>1.36896436922739</v>
      </c>
      <c r="BD546" s="49" t="n">
        <f aca="false">SUM(AP546:AR546)/V546</f>
        <v>0.16804721127687</v>
      </c>
      <c r="BE546" s="53" t="n">
        <v>6.54</v>
      </c>
      <c r="BF546" s="51" t="n">
        <v>96.54</v>
      </c>
      <c r="BG546" s="51" t="n">
        <v>626.372488087839</v>
      </c>
      <c r="BH546" s="51" t="n">
        <v>232.753262896209</v>
      </c>
      <c r="BI546" s="51" t="n">
        <v>109.902631033768</v>
      </c>
      <c r="BJ546" s="51" t="n">
        <v>7.0437124507976</v>
      </c>
      <c r="BK546" s="51" t="n">
        <v>9.94406463642014</v>
      </c>
      <c r="BL546" s="51" t="n">
        <v>10.7727366894551</v>
      </c>
      <c r="BM546" s="51" t="n">
        <v>3.21110420551067</v>
      </c>
      <c r="BN546" s="52" t="n">
        <f aca="false">(BG546*0.5-BH546*0.25+BI546*0.5)/SUM(BG546:BI546)*1000</f>
        <v>319.855692143239</v>
      </c>
      <c r="BO546" s="93" t="n">
        <v>7.22742857142857</v>
      </c>
      <c r="BP546" s="94" t="s">
        <v>491</v>
      </c>
      <c r="BQ546" s="55" t="n">
        <v>431.416666666667</v>
      </c>
      <c r="BR546" s="56" t="n">
        <v>14.3752739848596</v>
      </c>
      <c r="BS546" s="56"/>
      <c r="BT546" s="56" t="n">
        <v>10.4079188286098</v>
      </c>
      <c r="BU546" s="55" t="n">
        <v>12952.05</v>
      </c>
      <c r="BV546" s="55" t="n">
        <v>431.576435964304</v>
      </c>
      <c r="BW546" s="55"/>
      <c r="BX546" s="55" t="n">
        <v>312.467958425565</v>
      </c>
      <c r="BY546" s="96" t="n">
        <v>0.0618</v>
      </c>
      <c r="BZ546" s="96" t="n">
        <v>1.0912</v>
      </c>
      <c r="CA546" s="97" t="n">
        <v>4.1106</v>
      </c>
      <c r="CB546" s="97"/>
      <c r="CC546" s="97" t="n">
        <v>8.4762</v>
      </c>
      <c r="CD546" s="97" t="n">
        <v>6.3226</v>
      </c>
      <c r="CE546" s="97" t="n">
        <v>101</v>
      </c>
      <c r="CF546" s="97" t="n">
        <v>37.975</v>
      </c>
      <c r="CG546" s="97" t="n">
        <v>0.1137</v>
      </c>
      <c r="CH546" s="63" t="n">
        <v>72381.9918399883</v>
      </c>
      <c r="CI546" s="63" t="n">
        <v>3211.89451035013</v>
      </c>
      <c r="CJ546" s="64" t="n">
        <v>2110371.42942175</v>
      </c>
      <c r="CK546" s="65" t="n">
        <v>0.152195697192044</v>
      </c>
    </row>
    <row r="547" s="1" customFormat="true" ht="15" hidden="false" customHeight="false" outlineLevel="0" collapsed="false">
      <c r="A547" s="7" t="s">
        <v>488</v>
      </c>
      <c r="B547" s="66" t="n">
        <v>538</v>
      </c>
      <c r="C547" s="8" t="s">
        <v>630</v>
      </c>
      <c r="D547" s="67" t="n">
        <v>41800</v>
      </c>
      <c r="E547" s="4" t="s">
        <v>490</v>
      </c>
      <c r="F547" s="7" t="n">
        <v>310</v>
      </c>
      <c r="G547" s="68" t="n">
        <v>1</v>
      </c>
      <c r="H547" s="68" t="n">
        <v>156</v>
      </c>
      <c r="I547" s="7" t="n">
        <v>2</v>
      </c>
      <c r="J547" s="8" t="n">
        <v>666</v>
      </c>
      <c r="K547" s="32"/>
      <c r="L547" s="31" t="n">
        <v>917.038</v>
      </c>
      <c r="M547" s="31" t="n">
        <v>169.233907987351</v>
      </c>
      <c r="N547" s="31" t="n">
        <v>314.495562582883</v>
      </c>
      <c r="O547" s="95"/>
      <c r="P547" s="33" t="n">
        <v>28.868713659084</v>
      </c>
      <c r="Q547" s="33" t="n">
        <v>11</v>
      </c>
      <c r="R547" s="31" t="n">
        <v>238.600428440273</v>
      </c>
      <c r="S547" s="34" t="s">
        <v>76</v>
      </c>
      <c r="T547" s="35"/>
      <c r="U547" s="35"/>
      <c r="V547" s="35"/>
      <c r="W547" s="35"/>
      <c r="X547" s="35"/>
      <c r="Y547" s="35"/>
      <c r="Z547" s="35"/>
      <c r="AA547" s="35"/>
      <c r="AB547" s="35"/>
      <c r="AC547" s="71"/>
      <c r="AD547" s="72"/>
      <c r="AE547" s="72"/>
      <c r="AF547" s="72"/>
      <c r="AG547" s="72"/>
      <c r="AH547" s="72"/>
      <c r="AI547" s="73" t="n">
        <v>27.3341503658502</v>
      </c>
      <c r="AJ547" s="42" t="s">
        <v>16</v>
      </c>
      <c r="AK547" s="43" t="n">
        <v>597.573004729541</v>
      </c>
      <c r="AL547" s="74"/>
      <c r="AM547" s="74"/>
      <c r="AN547" s="74"/>
      <c r="AO547" s="78" t="n">
        <v>40.18</v>
      </c>
      <c r="AP547" s="76" t="n">
        <v>1.11411058074781</v>
      </c>
      <c r="AQ547" s="76" t="n">
        <v>1.20169047619048</v>
      </c>
      <c r="AR547" s="76" t="n">
        <v>1.91040476190476</v>
      </c>
      <c r="AS547" s="77" t="n">
        <v>32.7836587112172</v>
      </c>
      <c r="AT547" s="78" t="n">
        <v>33.1787151364189</v>
      </c>
      <c r="AU547" s="78" t="n">
        <v>27.7279885701297</v>
      </c>
      <c r="AV547" s="78" t="n">
        <v>29.907677356657</v>
      </c>
      <c r="AW547" s="78" t="n">
        <v>47.5461613216715</v>
      </c>
      <c r="AX547" s="78" t="n">
        <v>36.225</v>
      </c>
      <c r="AY547" s="48"/>
      <c r="AZ547" s="48"/>
      <c r="BA547" s="48"/>
      <c r="BB547" s="49"/>
      <c r="BC547" s="49"/>
      <c r="BD547" s="49"/>
      <c r="BE547" s="53" t="n">
        <v>5.81</v>
      </c>
      <c r="BF547" s="51" t="n">
        <v>139.75</v>
      </c>
      <c r="BG547" s="51" t="n">
        <v>579.033989266547</v>
      </c>
      <c r="BH547" s="51" t="n">
        <v>302.397137745975</v>
      </c>
      <c r="BI547" s="51" t="n">
        <v>90.0894454382826</v>
      </c>
      <c r="BJ547" s="51" t="n">
        <v>4.50805008944544</v>
      </c>
      <c r="BK547" s="51" t="n">
        <v>13.5957066189624</v>
      </c>
      <c r="BL547" s="51" t="n">
        <v>8.01431127012522</v>
      </c>
      <c r="BM547" s="51" t="n">
        <v>2.3613595706619</v>
      </c>
      <c r="BN547" s="52" t="n">
        <f aca="false">(BG547*0.5-BH547*0.25+BI547*0.5)/SUM(BG547:BI547)*1000</f>
        <v>266.553730573764</v>
      </c>
      <c r="BO547" s="93" t="n">
        <v>8.27657142857143</v>
      </c>
      <c r="BP547" s="94" t="s">
        <v>491</v>
      </c>
      <c r="BQ547" s="55" t="n">
        <v>323.382352941176</v>
      </c>
      <c r="BR547" s="56"/>
      <c r="BS547" s="56"/>
      <c r="BT547" s="56" t="n">
        <v>9.74668101557111</v>
      </c>
      <c r="BU547" s="55" t="n">
        <v>12461.0147058824</v>
      </c>
      <c r="BV547" s="55"/>
      <c r="BW547" s="55"/>
      <c r="BX547" s="55" t="n">
        <v>375.572551699098</v>
      </c>
      <c r="BY547" s="96" t="n">
        <v>0.07107</v>
      </c>
      <c r="BZ547" s="96" t="n">
        <v>0.5566</v>
      </c>
      <c r="CA547" s="97" t="n">
        <v>4.3452</v>
      </c>
      <c r="CB547" s="97"/>
      <c r="CC547" s="97" t="n">
        <v>8.6802</v>
      </c>
      <c r="CD547" s="97" t="n">
        <v>6.161</v>
      </c>
      <c r="CE547" s="97" t="n">
        <v>102.01</v>
      </c>
      <c r="CF547" s="97" t="n">
        <v>35.4915</v>
      </c>
      <c r="CG547" s="97" t="n">
        <v>0.4322</v>
      </c>
      <c r="CH547" s="63" t="n">
        <v>4652.08082889393</v>
      </c>
      <c r="CI547" s="63" t="n">
        <v>2116.27485376725</v>
      </c>
      <c r="CJ547" s="64" t="n">
        <v>3204371.50164016</v>
      </c>
      <c r="CK547" s="65" t="n">
        <v>0.0660433677145122</v>
      </c>
    </row>
    <row r="548" s="1" customFormat="true" ht="15" hidden="false" customHeight="false" outlineLevel="0" collapsed="false">
      <c r="A548" s="7" t="s">
        <v>488</v>
      </c>
      <c r="B548" s="66" t="n">
        <v>539</v>
      </c>
      <c r="C548" s="8" t="s">
        <v>631</v>
      </c>
      <c r="D548" s="67" t="n">
        <v>41800</v>
      </c>
      <c r="E548" s="4" t="s">
        <v>490</v>
      </c>
      <c r="F548" s="7" t="n">
        <v>361</v>
      </c>
      <c r="G548" s="68" t="n">
        <v>1</v>
      </c>
      <c r="H548" s="68" t="n">
        <v>157</v>
      </c>
      <c r="I548" s="7" t="n">
        <v>2</v>
      </c>
      <c r="J548" s="8" t="n">
        <v>687</v>
      </c>
      <c r="K548" s="32"/>
      <c r="L548" s="31" t="n">
        <v>917.038</v>
      </c>
      <c r="M548" s="31" t="n">
        <v>169.233907987351</v>
      </c>
      <c r="N548" s="31" t="n">
        <v>314.495562582883</v>
      </c>
      <c r="O548" s="95"/>
      <c r="P548" s="33" t="n">
        <v>28.868713659084</v>
      </c>
      <c r="Q548" s="33" t="n">
        <v>11</v>
      </c>
      <c r="R548" s="31" t="n">
        <v>238.600428440273</v>
      </c>
      <c r="S548" s="34" t="s">
        <v>76</v>
      </c>
      <c r="T548" s="35"/>
      <c r="U548" s="35"/>
      <c r="V548" s="35" t="n">
        <v>29.8219105878129</v>
      </c>
      <c r="W548" s="35" t="n">
        <v>27.3478252416268</v>
      </c>
      <c r="X548" s="35" t="n">
        <v>5.04687847242493</v>
      </c>
      <c r="Y548" s="35" t="n">
        <v>9.37885854761065</v>
      </c>
      <c r="Z548" s="35"/>
      <c r="AA548" s="35" t="n">
        <v>0.860920197526375</v>
      </c>
      <c r="AB548" s="35" t="n">
        <v>0.328041016465942</v>
      </c>
      <c r="AC548" s="71" t="n">
        <v>7.11552064315968</v>
      </c>
      <c r="AD548" s="72"/>
      <c r="AE548" s="72"/>
      <c r="AF548" s="72"/>
      <c r="AG548" s="72"/>
      <c r="AH548" s="72"/>
      <c r="AI548" s="73" t="n">
        <v>33.3751505755063</v>
      </c>
      <c r="AJ548" s="42" t="s">
        <v>16</v>
      </c>
      <c r="AK548" s="43" t="n">
        <v>670.413471989762</v>
      </c>
      <c r="AL548" s="74"/>
      <c r="AM548" s="74"/>
      <c r="AN548" s="74"/>
      <c r="AO548" s="78" t="n">
        <v>36.7</v>
      </c>
      <c r="AP548" s="76" t="n">
        <v>1.60214653045758</v>
      </c>
      <c r="AQ548" s="76" t="n">
        <v>1.19212585034014</v>
      </c>
      <c r="AR548" s="76" t="n">
        <v>1.85194120505345</v>
      </c>
      <c r="AS548" s="77" t="n">
        <v>38.7121979568637</v>
      </c>
      <c r="AT548" s="78" t="n">
        <v>38.7268965688983</v>
      </c>
      <c r="AU548" s="78" t="n">
        <v>43.655218813558</v>
      </c>
      <c r="AV548" s="78" t="n">
        <v>32.4829931972789</v>
      </c>
      <c r="AW548" s="78" t="n">
        <v>50.4616132167153</v>
      </c>
      <c r="AX548" s="78" t="n">
        <v>40.0275</v>
      </c>
      <c r="AY548" s="48" t="n">
        <v>1.29860548186086</v>
      </c>
      <c r="AZ548" s="48" t="n">
        <v>27.207901883619</v>
      </c>
      <c r="BA548" s="48" t="n">
        <v>2.61400870419386</v>
      </c>
      <c r="BB548" s="49" t="n">
        <f aca="false">AT548/V548</f>
        <v>1.29860548186086</v>
      </c>
      <c r="BC548" s="49" t="n">
        <f aca="false">AS548/V548</f>
        <v>1.2981126022383</v>
      </c>
      <c r="BD548" s="49" t="n">
        <f aca="false">SUM(AP548:AR548)/V548</f>
        <v>0.155798655896645</v>
      </c>
      <c r="BE548" s="53" t="n">
        <v>6.31</v>
      </c>
      <c r="BF548" s="51" t="n">
        <v>112.57</v>
      </c>
      <c r="BG548" s="51" t="n">
        <v>629.652660566759</v>
      </c>
      <c r="BH548" s="51" t="n">
        <v>248.556453762104</v>
      </c>
      <c r="BI548" s="51" t="n">
        <v>95.0519676645643</v>
      </c>
      <c r="BJ548" s="51" t="n">
        <v>5.06351603446744</v>
      </c>
      <c r="BK548" s="51" t="n">
        <v>9.77169761037577</v>
      </c>
      <c r="BL548" s="51" t="n">
        <v>8.88336146397797</v>
      </c>
      <c r="BM548" s="51" t="n">
        <v>3.02034289775251</v>
      </c>
      <c r="BN548" s="52" t="n">
        <f aca="false">(BG548*0.5-BH548*0.25+BI548*0.5)/SUM(BG548:BI548)*1000</f>
        <v>308.461117196057</v>
      </c>
      <c r="BO548" s="93" t="n">
        <v>9.64628571428571</v>
      </c>
      <c r="BP548" s="94" t="s">
        <v>491</v>
      </c>
      <c r="BQ548" s="55" t="n">
        <v>423.90625</v>
      </c>
      <c r="BR548" s="56" t="n">
        <v>14.2145906028313</v>
      </c>
      <c r="BS548" s="56"/>
      <c r="BT548" s="56" t="n">
        <v>10.946042351879</v>
      </c>
      <c r="BU548" s="55" t="n">
        <v>13122.4375</v>
      </c>
      <c r="BV548" s="55" t="n">
        <v>440.02671999703</v>
      </c>
      <c r="BW548" s="55"/>
      <c r="BX548" s="55" t="n">
        <v>338.845574074187</v>
      </c>
      <c r="BY548" s="96" t="n">
        <v>0.09064</v>
      </c>
      <c r="BZ548" s="96" t="n">
        <v>0.8184</v>
      </c>
      <c r="CA548" s="97" t="n">
        <v>4.06</v>
      </c>
      <c r="CB548" s="97"/>
      <c r="CC548" s="97" t="n">
        <v>11.067</v>
      </c>
      <c r="CD548" s="97" t="n">
        <v>7.5447</v>
      </c>
      <c r="CE548" s="97" t="n">
        <v>121.2</v>
      </c>
      <c r="CF548" s="97" t="n">
        <v>35.2638</v>
      </c>
      <c r="CG548" s="97" t="n">
        <v>0.1683</v>
      </c>
      <c r="CH548" s="63" t="n">
        <v>72648.9107788905</v>
      </c>
      <c r="CI548" s="63" t="n">
        <v>2425.15872479374</v>
      </c>
      <c r="CJ548" s="64" t="n">
        <v>2083067.55927041</v>
      </c>
      <c r="CK548" s="65" t="n">
        <v>0.116422470985202</v>
      </c>
    </row>
    <row r="549" s="1" customFormat="true" ht="15" hidden="false" customHeight="false" outlineLevel="0" collapsed="false">
      <c r="A549" s="7" t="s">
        <v>488</v>
      </c>
      <c r="B549" s="66" t="n">
        <v>540</v>
      </c>
      <c r="C549" s="8" t="s">
        <v>632</v>
      </c>
      <c r="D549" s="67" t="n">
        <v>41800</v>
      </c>
      <c r="E549" s="4" t="s">
        <v>490</v>
      </c>
      <c r="F549" s="7" t="n">
        <v>366</v>
      </c>
      <c r="G549" s="68" t="n">
        <v>1</v>
      </c>
      <c r="H549" s="68" t="n">
        <v>130</v>
      </c>
      <c r="I549" s="7" t="n">
        <v>2</v>
      </c>
      <c r="J549" s="8" t="n">
        <v>708</v>
      </c>
      <c r="K549" s="32"/>
      <c r="L549" s="31" t="n">
        <v>917.038</v>
      </c>
      <c r="M549" s="31" t="n">
        <v>169.233907987351</v>
      </c>
      <c r="N549" s="31" t="n">
        <v>314.495562582883</v>
      </c>
      <c r="O549" s="95"/>
      <c r="P549" s="33" t="n">
        <v>28.868713659084</v>
      </c>
      <c r="Q549" s="33" t="n">
        <v>11</v>
      </c>
      <c r="R549" s="31" t="n">
        <v>238.600428440273</v>
      </c>
      <c r="S549" s="34" t="s">
        <v>76</v>
      </c>
      <c r="T549" s="35"/>
      <c r="U549" s="35"/>
      <c r="V549" s="35" t="n">
        <v>21.5981816283351</v>
      </c>
      <c r="W549" s="35" t="n">
        <v>19.8063532840851</v>
      </c>
      <c r="X549" s="35" t="n">
        <v>3.65514468238375</v>
      </c>
      <c r="Y549" s="35" t="n">
        <v>6.79253228197052</v>
      </c>
      <c r="Z549" s="35"/>
      <c r="AA549" s="35" t="n">
        <v>0.623511720985292</v>
      </c>
      <c r="AB549" s="35" t="n">
        <v>0.237579997911686</v>
      </c>
      <c r="AC549" s="71" t="n">
        <v>5.15333539005159</v>
      </c>
      <c r="AD549" s="72"/>
      <c r="AE549" s="72"/>
      <c r="AF549" s="72"/>
      <c r="AG549" s="72"/>
      <c r="AH549" s="72"/>
      <c r="AI549" s="73" t="n">
        <v>36.0133121734164</v>
      </c>
      <c r="AJ549" s="42" t="s">
        <v>16</v>
      </c>
      <c r="AK549" s="43" t="n">
        <v>694.557391804696</v>
      </c>
      <c r="AL549" s="74"/>
      <c r="AM549" s="74"/>
      <c r="AN549" s="74"/>
      <c r="AO549" s="78" t="n">
        <v>38.76</v>
      </c>
      <c r="AP549" s="76" t="n">
        <v>1.14251870688605</v>
      </c>
      <c r="AQ549" s="76" t="n">
        <v>1.1855889212828</v>
      </c>
      <c r="AR549" s="76" t="n">
        <v>1.98131778425656</v>
      </c>
      <c r="AS549" s="77" t="n">
        <v>32.6417806032908</v>
      </c>
      <c r="AT549" s="78" t="n">
        <v>33.7653014396125</v>
      </c>
      <c r="AU549" s="78" t="n">
        <v>29.4767468236856</v>
      </c>
      <c r="AV549" s="78" t="n">
        <v>30.5879494655005</v>
      </c>
      <c r="AW549" s="78" t="n">
        <v>51.1175898931001</v>
      </c>
      <c r="AX549" s="78" t="n">
        <v>31.085</v>
      </c>
      <c r="AY549" s="48" t="n">
        <v>1.56334000799934</v>
      </c>
      <c r="AZ549" s="48" t="n">
        <v>25.0735117340767</v>
      </c>
      <c r="BA549" s="48" t="n">
        <v>-3.47533010574169</v>
      </c>
      <c r="BB549" s="49" t="n">
        <f aca="false">AT549/V549</f>
        <v>1.56334000799934</v>
      </c>
      <c r="BC549" s="49" t="n">
        <f aca="false">AS549/V549</f>
        <v>1.51132077528543</v>
      </c>
      <c r="BD549" s="49" t="n">
        <f aca="false">SUM(AP549:AR549)/V549</f>
        <v>0.199527232735732</v>
      </c>
      <c r="BE549" s="53" t="n">
        <v>5.89</v>
      </c>
      <c r="BF549" s="51" t="n">
        <v>118.99</v>
      </c>
      <c r="BG549" s="51" t="n">
        <v>606.941759811749</v>
      </c>
      <c r="BH549" s="51" t="n">
        <v>281.536263551559</v>
      </c>
      <c r="BI549" s="51" t="n">
        <v>84.8810824439029</v>
      </c>
      <c r="BJ549" s="51" t="n">
        <v>5.21052189259602</v>
      </c>
      <c r="BK549" s="51" t="n">
        <v>11.3454912177494</v>
      </c>
      <c r="BL549" s="51" t="n">
        <v>8.74023027145138</v>
      </c>
      <c r="BM549" s="51" t="n">
        <v>1.34465081099252</v>
      </c>
      <c r="BN549" s="52" t="n">
        <f aca="false">(BG549*0.5-BH549*0.25+BI549*0.5)/SUM(BG549:BI549)*1000</f>
        <v>283.068554653773</v>
      </c>
      <c r="BO549" s="93" t="n">
        <v>8.24742857142857</v>
      </c>
      <c r="BP549" s="94" t="s">
        <v>491</v>
      </c>
      <c r="BQ549" s="55" t="n">
        <v>265.223684210526</v>
      </c>
      <c r="BR549" s="56" t="n">
        <v>12.2799080392293</v>
      </c>
      <c r="BS549" s="56"/>
      <c r="BT549" s="56" t="n">
        <v>7.85491830081439</v>
      </c>
      <c r="BU549" s="55" t="n">
        <v>10942.5131578947</v>
      </c>
      <c r="BV549" s="55" t="n">
        <v>506.640482342229</v>
      </c>
      <c r="BW549" s="55"/>
      <c r="BX549" s="55" t="n">
        <v>324.075683952204</v>
      </c>
      <c r="BY549" s="96" t="n">
        <v>0.07416</v>
      </c>
      <c r="BZ549" s="96" t="n">
        <v>0.5137</v>
      </c>
      <c r="CA549" s="97" t="n">
        <v>4.5854</v>
      </c>
      <c r="CB549" s="97"/>
      <c r="CC549" s="97" t="n">
        <v>8.0784</v>
      </c>
      <c r="CD549" s="97" t="n">
        <v>6.08</v>
      </c>
      <c r="CE549" s="97" t="n">
        <v>105.04</v>
      </c>
      <c r="CF549" s="97" t="n">
        <v>37.1579</v>
      </c>
      <c r="CG549" s="97" t="n">
        <v>0.2775</v>
      </c>
      <c r="CH549" s="63" t="n">
        <v>17239.4272459271</v>
      </c>
      <c r="CI549" s="63" t="n">
        <v>2970.07437033898</v>
      </c>
      <c r="CJ549" s="63" t="n">
        <v>1022487.97053379</v>
      </c>
      <c r="CK549" s="85" t="n">
        <v>0.290475238431261</v>
      </c>
    </row>
    <row r="550" s="1" customFormat="true" ht="15" hidden="false" customHeight="false" outlineLevel="0" collapsed="false">
      <c r="A550" s="7" t="s">
        <v>488</v>
      </c>
      <c r="B550" s="66" t="n">
        <v>541</v>
      </c>
      <c r="C550" s="8" t="s">
        <v>633</v>
      </c>
      <c r="D550" s="67" t="n">
        <v>41800</v>
      </c>
      <c r="E550" s="4" t="s">
        <v>490</v>
      </c>
      <c r="F550" s="7" t="n">
        <v>367</v>
      </c>
      <c r="G550" s="68" t="n">
        <v>1</v>
      </c>
      <c r="H550" s="68" t="n">
        <v>130</v>
      </c>
      <c r="I550" s="7" t="n">
        <v>2</v>
      </c>
      <c r="J550" s="8" t="n">
        <v>677</v>
      </c>
      <c r="K550" s="32"/>
      <c r="L550" s="31" t="n">
        <v>917.038</v>
      </c>
      <c r="M550" s="31" t="n">
        <v>169.233907987351</v>
      </c>
      <c r="N550" s="31" t="n">
        <v>314.495562582883</v>
      </c>
      <c r="O550" s="95"/>
      <c r="P550" s="33" t="n">
        <v>28.868713659084</v>
      </c>
      <c r="Q550" s="33" t="n">
        <v>11</v>
      </c>
      <c r="R550" s="31" t="n">
        <v>238.600428440273</v>
      </c>
      <c r="S550" s="34" t="s">
        <v>76</v>
      </c>
      <c r="T550" s="35"/>
      <c r="U550" s="35"/>
      <c r="V550" s="35" t="n">
        <v>19.8049167369683</v>
      </c>
      <c r="W550" s="35" t="n">
        <v>18.1618612346359</v>
      </c>
      <c r="X550" s="35" t="n">
        <v>3.35166345676123</v>
      </c>
      <c r="Y550" s="35" t="n">
        <v>6.22855843109999</v>
      </c>
      <c r="Z550" s="35"/>
      <c r="AA550" s="35" t="n">
        <v>0.571742470321536</v>
      </c>
      <c r="AB550" s="35" t="n">
        <v>0.217854084106651</v>
      </c>
      <c r="AC550" s="71" t="n">
        <v>4.72546161866457</v>
      </c>
      <c r="AD550" s="72"/>
      <c r="AE550" s="72"/>
      <c r="AF550" s="72"/>
      <c r="AG550" s="72"/>
      <c r="AH550" s="72"/>
      <c r="AI550" s="73" t="n">
        <v>32.8554492448207</v>
      </c>
      <c r="AJ550" s="42" t="s">
        <v>16</v>
      </c>
      <c r="AK550" s="43" t="n">
        <v>665.200134138052</v>
      </c>
      <c r="AL550" s="74"/>
      <c r="AM550" s="74"/>
      <c r="AN550" s="74"/>
      <c r="AO550" s="78" t="n">
        <v>33.66</v>
      </c>
      <c r="AP550" s="76" t="n">
        <v>1.12825782735454</v>
      </c>
      <c r="AQ550" s="76" t="n">
        <v>1.02141253644315</v>
      </c>
      <c r="AR550" s="76" t="n">
        <v>1.70508017492711</v>
      </c>
      <c r="AS550" s="77" t="n">
        <v>30.3878674103182</v>
      </c>
      <c r="AT550" s="78" t="n">
        <v>30.8373395741713</v>
      </c>
      <c r="AU550" s="78" t="n">
        <v>33.5192462077999</v>
      </c>
      <c r="AV550" s="78" t="n">
        <v>30.3449951409135</v>
      </c>
      <c r="AW550" s="78" t="n">
        <v>50.6559766763848</v>
      </c>
      <c r="AX550" s="78" t="n">
        <v>36.6875</v>
      </c>
      <c r="AY550" s="48" t="n">
        <v>1.55705474472456</v>
      </c>
      <c r="AZ550" s="48" t="n">
        <v>23.8141696912468</v>
      </c>
      <c r="BA550" s="48" t="n">
        <v>-4.00925295427857</v>
      </c>
      <c r="BB550" s="49" t="n">
        <f aca="false">AT550/V550</f>
        <v>1.55705474472456</v>
      </c>
      <c r="BC550" s="49" t="n">
        <f aca="false">AS550/V550</f>
        <v>1.53435976600677</v>
      </c>
      <c r="BD550" s="49" t="n">
        <f aca="false">SUM(AP550:AR550)/V550</f>
        <v>0.194636038612041</v>
      </c>
      <c r="BE550" s="53" t="n">
        <v>6.26</v>
      </c>
      <c r="BF550" s="51" t="n">
        <v>96.99</v>
      </c>
      <c r="BG550" s="51" t="n">
        <v>645.633570471183</v>
      </c>
      <c r="BH550" s="51" t="n">
        <v>216.517166718218</v>
      </c>
      <c r="BI550" s="51" t="n">
        <v>109.908237962677</v>
      </c>
      <c r="BJ550" s="51" t="n">
        <v>6.70172182699247</v>
      </c>
      <c r="BK550" s="51" t="n">
        <v>8.86689349417466</v>
      </c>
      <c r="BL550" s="51" t="n">
        <v>9.89792762140427</v>
      </c>
      <c r="BM550" s="51" t="n">
        <v>2.47448190535107</v>
      </c>
      <c r="BN550" s="52" t="n">
        <f aca="false">(BG550*0.5-BH550*0.25+BI550*0.5)/SUM(BG550:BI550)*1000</f>
        <v>332.944420873992</v>
      </c>
      <c r="BO550" s="93" t="n">
        <v>4.19657142857143</v>
      </c>
      <c r="BP550" s="94" t="s">
        <v>491</v>
      </c>
      <c r="BQ550" s="55" t="n">
        <v>323.62037037037</v>
      </c>
      <c r="BR550" s="56" t="n">
        <v>16.3404054997259</v>
      </c>
      <c r="BS550" s="56"/>
      <c r="BT550" s="56" t="n">
        <v>10.4944322318073</v>
      </c>
      <c r="BU550" s="55" t="n">
        <v>9795.61111111111</v>
      </c>
      <c r="BV550" s="55" t="n">
        <v>494.605013553348</v>
      </c>
      <c r="BW550" s="55"/>
      <c r="BX550" s="55" t="n">
        <v>317.654222004149</v>
      </c>
      <c r="BY550" s="96" t="n">
        <v>0.12566</v>
      </c>
      <c r="BZ550" s="96" t="n">
        <v>0.5148</v>
      </c>
      <c r="CA550" s="97" t="n">
        <v>5.6459</v>
      </c>
      <c r="CB550" s="97"/>
      <c r="CC550" s="97" t="n">
        <v>9.9654</v>
      </c>
      <c r="CD550" s="97" t="n">
        <v>8.57</v>
      </c>
      <c r="CE550" s="97" t="n">
        <v>140.39</v>
      </c>
      <c r="CF550" s="97" t="n">
        <v>46.1267</v>
      </c>
      <c r="CG550" s="97" t="n">
        <v>0.1228</v>
      </c>
      <c r="CH550" s="63" t="n">
        <v>77566.4939175723</v>
      </c>
      <c r="CI550" s="63" t="n">
        <v>4530.94117179263</v>
      </c>
      <c r="CJ550" s="64" t="n">
        <v>577981.110763802</v>
      </c>
      <c r="CK550" s="65" t="n">
        <v>0.78392547566217</v>
      </c>
    </row>
    <row r="551" s="1" customFormat="true" ht="15" hidden="false" customHeight="false" outlineLevel="0" collapsed="false">
      <c r="A551" s="7" t="s">
        <v>488</v>
      </c>
      <c r="B551" s="66" t="n">
        <v>542</v>
      </c>
      <c r="C551" s="8" t="s">
        <v>634</v>
      </c>
      <c r="D551" s="67" t="n">
        <v>41800</v>
      </c>
      <c r="E551" s="4" t="s">
        <v>490</v>
      </c>
      <c r="F551" s="7" t="n">
        <v>368</v>
      </c>
      <c r="G551" s="68" t="n">
        <v>1</v>
      </c>
      <c r="H551" s="68" t="n">
        <v>166</v>
      </c>
      <c r="I551" s="7" t="n">
        <v>2</v>
      </c>
      <c r="J551" s="8" t="n">
        <v>760</v>
      </c>
      <c r="K551" s="32"/>
      <c r="L551" s="31" t="n">
        <v>917.038</v>
      </c>
      <c r="M551" s="31" t="n">
        <v>169.233907987351</v>
      </c>
      <c r="N551" s="31" t="n">
        <v>314.495562582883</v>
      </c>
      <c r="O551" s="95"/>
      <c r="P551" s="33" t="n">
        <v>28.868713659084</v>
      </c>
      <c r="Q551" s="33" t="n">
        <v>11</v>
      </c>
      <c r="R551" s="31" t="n">
        <v>238.600428440273</v>
      </c>
      <c r="S551" s="34" t="s">
        <v>76</v>
      </c>
      <c r="T551" s="35"/>
      <c r="U551" s="35"/>
      <c r="V551" s="35" t="n">
        <v>27.3318608973492</v>
      </c>
      <c r="W551" s="35" t="n">
        <v>25.0643550535834</v>
      </c>
      <c r="X551" s="35" t="n">
        <v>4.62547763222508</v>
      </c>
      <c r="Y551" s="35" t="n">
        <v>8.59574896934895</v>
      </c>
      <c r="Z551" s="35"/>
      <c r="AA551" s="35" t="n">
        <v>0.789035666015489</v>
      </c>
      <c r="AB551" s="35" t="n">
        <v>0.300650469870842</v>
      </c>
      <c r="AC551" s="71" t="n">
        <v>6.52139372017748</v>
      </c>
      <c r="AD551" s="72"/>
      <c r="AE551" s="72"/>
      <c r="AF551" s="72"/>
      <c r="AG551" s="72"/>
      <c r="AH551" s="72"/>
      <c r="AI551" s="73" t="n">
        <v>32.3119513437589</v>
      </c>
      <c r="AJ551" s="42" t="s">
        <v>16</v>
      </c>
      <c r="AK551" s="43" t="n">
        <v>659.568687666872</v>
      </c>
      <c r="AL551" s="74"/>
      <c r="AM551" s="74"/>
      <c r="AN551" s="74"/>
      <c r="AO551" s="78" t="n">
        <v>37.92</v>
      </c>
      <c r="AP551" s="76" t="n">
        <v>1.11016901877427</v>
      </c>
      <c r="AQ551" s="76" t="n">
        <v>1.20043148688047</v>
      </c>
      <c r="AR551" s="76" t="n">
        <v>1.9669387755102</v>
      </c>
      <c r="AS551" s="77" t="n">
        <v>31.8205352816141</v>
      </c>
      <c r="AT551" s="78" t="n">
        <v>33.4038301746817</v>
      </c>
      <c r="AU551" s="78" t="n">
        <v>29.2766091448911</v>
      </c>
      <c r="AV551" s="78" t="n">
        <v>31.6569484936832</v>
      </c>
      <c r="AW551" s="78" t="n">
        <v>51.8707482993197</v>
      </c>
      <c r="AX551" s="78" t="n">
        <v>32.4775</v>
      </c>
      <c r="AY551" s="48" t="n">
        <v>1.22215718498411</v>
      </c>
      <c r="AZ551" s="48" t="n">
        <v>25.7141785128358</v>
      </c>
      <c r="BA551" s="48" t="n">
        <v>1.61768238451343</v>
      </c>
      <c r="BB551" s="49" t="n">
        <f aca="false">AT551/V551</f>
        <v>1.22215718498411</v>
      </c>
      <c r="BC551" s="49" t="n">
        <f aca="false">AS551/V551</f>
        <v>1.16422864147901</v>
      </c>
      <c r="BD551" s="49" t="n">
        <f aca="false">SUM(AP551:AR551)/V551</f>
        <v>0.156503770351758</v>
      </c>
      <c r="BE551" s="53" t="n">
        <v>6.2</v>
      </c>
      <c r="BF551" s="51" t="n">
        <v>107.05</v>
      </c>
      <c r="BG551" s="51" t="n">
        <v>601.961700140121</v>
      </c>
      <c r="BH551" s="51" t="n">
        <v>273.423633815974</v>
      </c>
      <c r="BI551" s="51" t="n">
        <v>93.2274638019617</v>
      </c>
      <c r="BJ551" s="51" t="n">
        <v>6.07192900513779</v>
      </c>
      <c r="BK551" s="51" t="n">
        <v>12.0504437178888</v>
      </c>
      <c r="BL551" s="51" t="n">
        <v>11.2097150864082</v>
      </c>
      <c r="BM551" s="51" t="n">
        <v>2.05511443250817</v>
      </c>
      <c r="BN551" s="52" t="n">
        <f aca="false">(BG551*0.5-BH551*0.25+BI551*0.5)/SUM(BG551:BI551)*1000</f>
        <v>288.287202237439</v>
      </c>
      <c r="BO551" s="93" t="n">
        <v>8.16</v>
      </c>
      <c r="BP551" s="94" t="s">
        <v>491</v>
      </c>
      <c r="BQ551" s="55" t="n">
        <v>388.59375</v>
      </c>
      <c r="BR551" s="56" t="n">
        <v>14.2176104093113</v>
      </c>
      <c r="BS551" s="56"/>
      <c r="BT551" s="56" t="n">
        <v>11.6332093645516</v>
      </c>
      <c r="BU551" s="55" t="n">
        <v>12878.03125</v>
      </c>
      <c r="BV551" s="55" t="n">
        <v>471.172866654278</v>
      </c>
      <c r="BW551" s="55"/>
      <c r="BX551" s="55" t="n">
        <v>385.525587414848</v>
      </c>
      <c r="BY551" s="96" t="n">
        <v>0.05047</v>
      </c>
      <c r="BZ551" s="96" t="n">
        <v>0.4928</v>
      </c>
      <c r="CA551" s="97" t="n">
        <v>4.2016</v>
      </c>
      <c r="CB551" s="97"/>
      <c r="CC551" s="97" t="n">
        <v>8.415</v>
      </c>
      <c r="CD551" s="97" t="n">
        <v>4.67</v>
      </c>
      <c r="CE551" s="97" t="n">
        <v>96.96</v>
      </c>
      <c r="CF551" s="97" t="n">
        <v>34.6228</v>
      </c>
      <c r="CG551" s="97" t="n">
        <v>0.1592</v>
      </c>
      <c r="CH551" s="63" t="n">
        <v>34263.9531666106</v>
      </c>
      <c r="CI551" s="63" t="n">
        <v>5465.85226317393</v>
      </c>
      <c r="CJ551" s="64" t="n">
        <v>1273765.94044503</v>
      </c>
      <c r="CK551" s="65" t="n">
        <v>0.42910962600117</v>
      </c>
    </row>
    <row r="552" s="1" customFormat="true" ht="15" hidden="false" customHeight="false" outlineLevel="0" collapsed="false">
      <c r="A552" s="7" t="s">
        <v>488</v>
      </c>
      <c r="B552" s="66" t="n">
        <v>543</v>
      </c>
      <c r="C552" s="8" t="s">
        <v>635</v>
      </c>
      <c r="D552" s="67" t="n">
        <v>41800</v>
      </c>
      <c r="E552" s="4" t="s">
        <v>490</v>
      </c>
      <c r="F552" s="7" t="n">
        <v>369</v>
      </c>
      <c r="G552" s="68" t="n">
        <v>1</v>
      </c>
      <c r="H552" s="68" t="n">
        <v>151</v>
      </c>
      <c r="I552" s="7" t="n">
        <v>2</v>
      </c>
      <c r="J552" s="8" t="n">
        <v>813</v>
      </c>
      <c r="K552" s="32"/>
      <c r="L552" s="31" t="n">
        <v>917.038</v>
      </c>
      <c r="M552" s="31" t="n">
        <v>169.233907987351</v>
      </c>
      <c r="N552" s="31" t="n">
        <v>314.495562582883</v>
      </c>
      <c r="O552" s="95"/>
      <c r="P552" s="33" t="n">
        <v>28.868713659084</v>
      </c>
      <c r="Q552" s="33" t="n">
        <v>11</v>
      </c>
      <c r="R552" s="31" t="n">
        <v>238.600428440273</v>
      </c>
      <c r="S552" s="34" t="s">
        <v>76</v>
      </c>
      <c r="T552" s="35"/>
      <c r="U552" s="35"/>
      <c r="V552" s="35" t="n">
        <v>25.0403368426404</v>
      </c>
      <c r="W552" s="35" t="n">
        <v>22.9629404175012</v>
      </c>
      <c r="X552" s="35" t="n">
        <v>4.23767406119967</v>
      </c>
      <c r="Y552" s="35" t="n">
        <v>7.87507482259107</v>
      </c>
      <c r="Z552" s="35"/>
      <c r="AA552" s="35" t="n">
        <v>0.722882314237195</v>
      </c>
      <c r="AB552" s="35" t="n">
        <v>0.275443705269044</v>
      </c>
      <c r="AC552" s="71" t="n">
        <v>5.97463509894276</v>
      </c>
      <c r="AD552" s="72"/>
      <c r="AE552" s="72"/>
      <c r="AF552" s="72"/>
      <c r="AG552" s="72"/>
      <c r="AH552" s="72"/>
      <c r="AI552" s="73" t="n">
        <v>33.1397189487887</v>
      </c>
      <c r="AJ552" s="42" t="s">
        <v>16</v>
      </c>
      <c r="AK552" s="43" t="n">
        <v>668.072019047643</v>
      </c>
      <c r="AL552" s="74"/>
      <c r="AM552" s="74"/>
      <c r="AN552" s="74"/>
      <c r="AO552" s="78" t="n">
        <v>40.24</v>
      </c>
      <c r="AP552" s="76" t="n">
        <v>1.48575012750198</v>
      </c>
      <c r="AQ552" s="76" t="n">
        <v>1.23868027210884</v>
      </c>
      <c r="AR552" s="76" t="n">
        <v>1.99929057337221</v>
      </c>
      <c r="AS552" s="77" t="n">
        <v>38.3822519125297</v>
      </c>
      <c r="AT552" s="78" t="n">
        <v>38.4654543159032</v>
      </c>
      <c r="AU552" s="78" t="n">
        <v>36.9222198683395</v>
      </c>
      <c r="AV552" s="78" t="n">
        <v>30.7823129251701</v>
      </c>
      <c r="AW552" s="78" t="n">
        <v>49.6841593780369</v>
      </c>
      <c r="AX552" s="78" t="n">
        <v>34.71</v>
      </c>
      <c r="AY552" s="48" t="n">
        <v>1.53613965169996</v>
      </c>
      <c r="AZ552" s="48" t="n">
        <v>28.7883770528437</v>
      </c>
      <c r="BA552" s="48" t="n">
        <v>-3.74804021020331</v>
      </c>
      <c r="BB552" s="49" t="n">
        <f aca="false">AT552/V552</f>
        <v>1.53613965169996</v>
      </c>
      <c r="BC552" s="49" t="n">
        <f aca="false">AS552/V552</f>
        <v>1.53281691671055</v>
      </c>
      <c r="BD552" s="49" t="n">
        <f aca="false">SUM(AP552:AR552)/V552</f>
        <v>0.188644466033666</v>
      </c>
      <c r="BE552" s="53" t="n">
        <v>6.14</v>
      </c>
      <c r="BF552" s="51" t="n">
        <v>116.88</v>
      </c>
      <c r="BG552" s="51" t="n">
        <v>612.936344969199</v>
      </c>
      <c r="BH552" s="51" t="n">
        <v>260.523613963039</v>
      </c>
      <c r="BI552" s="51" t="n">
        <v>99.9315537303217</v>
      </c>
      <c r="BJ552" s="51" t="n">
        <v>5.81793292265571</v>
      </c>
      <c r="BK552" s="51" t="n">
        <v>9.75359342915811</v>
      </c>
      <c r="BL552" s="51" t="n">
        <v>9.06913073237508</v>
      </c>
      <c r="BM552" s="51" t="n">
        <v>1.9678302532512</v>
      </c>
      <c r="BN552" s="52" t="n">
        <f aca="false">(BG552*0.5-BH552*0.25+BI552*0.5)/SUM(BG552:BI552)*1000</f>
        <v>299.266063109783</v>
      </c>
      <c r="BO552" s="93" t="n">
        <v>6.528</v>
      </c>
      <c r="BP552" s="94" t="s">
        <v>491</v>
      </c>
      <c r="BQ552" s="55" t="n">
        <v>385.989583333333</v>
      </c>
      <c r="BR552" s="56" t="n">
        <v>15.4147121006793</v>
      </c>
      <c r="BS552" s="56"/>
      <c r="BT552" s="56" t="n">
        <v>10.0347075108833</v>
      </c>
      <c r="BU552" s="55" t="n">
        <v>12537.4895833333</v>
      </c>
      <c r="BV552" s="55" t="n">
        <v>500.691730391727</v>
      </c>
      <c r="BW552" s="55"/>
      <c r="BX552" s="55" t="n">
        <v>325.941544336571</v>
      </c>
      <c r="BY552" s="96" t="n">
        <v>0.08755</v>
      </c>
      <c r="BZ552" s="96" t="n">
        <v>0.6523</v>
      </c>
      <c r="CA552" s="97" t="n">
        <v>4.2016</v>
      </c>
      <c r="CB552" s="97"/>
      <c r="CC552" s="97" t="n">
        <v>9.2004</v>
      </c>
      <c r="CD552" s="97" t="n">
        <v>5.42</v>
      </c>
      <c r="CE552" s="97" t="n">
        <v>110.09</v>
      </c>
      <c r="CF552" s="97" t="n">
        <v>38.3396</v>
      </c>
      <c r="CG552" s="97" t="n">
        <v>0.1046</v>
      </c>
      <c r="CH552" s="63" t="n">
        <v>49137.1002336484</v>
      </c>
      <c r="CI552" s="63" t="n">
        <v>3288.91550482483</v>
      </c>
      <c r="CJ552" s="64" t="n">
        <v>804013.17948657</v>
      </c>
      <c r="CK552" s="65" t="n">
        <v>0.409062387127172</v>
      </c>
    </row>
    <row r="553" s="1" customFormat="true" ht="15" hidden="false" customHeight="false" outlineLevel="0" collapsed="false">
      <c r="A553" s="7" t="s">
        <v>488</v>
      </c>
      <c r="B553" s="66" t="n">
        <v>544</v>
      </c>
      <c r="C553" s="8" t="s">
        <v>636</v>
      </c>
      <c r="D553" s="67" t="n">
        <v>41800</v>
      </c>
      <c r="E553" s="4" t="s">
        <v>490</v>
      </c>
      <c r="F553" s="7" t="n">
        <v>376</v>
      </c>
      <c r="G553" s="68" t="n">
        <v>1</v>
      </c>
      <c r="H553" s="68" t="n">
        <v>190</v>
      </c>
      <c r="I553" s="7" t="n">
        <v>2</v>
      </c>
      <c r="J553" s="8" t="n">
        <v>823</v>
      </c>
      <c r="K553" s="32"/>
      <c r="L553" s="31" t="n">
        <v>917.038</v>
      </c>
      <c r="M553" s="31" t="n">
        <v>169.233907987351</v>
      </c>
      <c r="N553" s="31" t="n">
        <v>314.495562582883</v>
      </c>
      <c r="O553" s="95"/>
      <c r="P553" s="33" t="n">
        <v>28.868713659084</v>
      </c>
      <c r="Q553" s="33" t="n">
        <v>11</v>
      </c>
      <c r="R553" s="31" t="n">
        <v>238.600428440273</v>
      </c>
      <c r="S553" s="34" t="s">
        <v>76</v>
      </c>
      <c r="T553" s="35"/>
      <c r="U553" s="35"/>
      <c r="V553" s="35" t="n">
        <v>25.8394136593276</v>
      </c>
      <c r="W553" s="35" t="n">
        <v>23.6957242233224</v>
      </c>
      <c r="X553" s="35" t="n">
        <v>4.37290495366974</v>
      </c>
      <c r="Y553" s="35" t="n">
        <v>8.12638093560205</v>
      </c>
      <c r="Z553" s="35"/>
      <c r="AA553" s="35" t="n">
        <v>0.74595063404975</v>
      </c>
      <c r="AB553" s="35" t="n">
        <v>0.284233550252603</v>
      </c>
      <c r="AC553" s="71" t="n">
        <v>6.16529516976101</v>
      </c>
      <c r="AD553" s="72"/>
      <c r="AE553" s="72"/>
      <c r="AF553" s="72"/>
      <c r="AG553" s="72"/>
      <c r="AH553" s="72"/>
      <c r="AI553" s="73" t="n">
        <v>33.1931604980071</v>
      </c>
      <c r="AJ553" s="42" t="s">
        <v>16</v>
      </c>
      <c r="AK553" s="43" t="n">
        <v>668.606428705081</v>
      </c>
      <c r="AL553" s="74"/>
      <c r="AM553" s="74"/>
      <c r="AN553" s="74"/>
      <c r="AO553" s="78" t="n">
        <v>30.76</v>
      </c>
      <c r="AP553" s="76" t="n">
        <v>0.773991764471357</v>
      </c>
      <c r="AQ553" s="76" t="n">
        <v>1.02010204081633</v>
      </c>
      <c r="AR553" s="76" t="n">
        <v>1.55967249757046</v>
      </c>
      <c r="AS553" s="77" t="n">
        <v>23.9138764670703</v>
      </c>
      <c r="AT553" s="78" t="n">
        <v>25.7210411072686</v>
      </c>
      <c r="AU553" s="78" t="n">
        <v>25.162281029628</v>
      </c>
      <c r="AV553" s="78" t="n">
        <v>33.1632653061225</v>
      </c>
      <c r="AW553" s="78" t="n">
        <v>50.7045675413022</v>
      </c>
      <c r="AX553" s="78" t="n">
        <v>34.59</v>
      </c>
      <c r="AY553" s="48" t="n">
        <v>0.995418914932838</v>
      </c>
      <c r="AZ553" s="48" t="n">
        <v>23.7057966397456</v>
      </c>
      <c r="BA553" s="48" t="n">
        <v>2.13361701958195</v>
      </c>
      <c r="BB553" s="49" t="n">
        <f aca="false">AT553/V553</f>
        <v>0.995418914932838</v>
      </c>
      <c r="BC553" s="49" t="n">
        <f aca="false">AS553/V553</f>
        <v>0.925480615866756</v>
      </c>
      <c r="BD553" s="49" t="n">
        <f aca="false">SUM(AP553:AR553)/V553</f>
        <v>0.129792662754462</v>
      </c>
      <c r="BE553" s="53" t="n">
        <v>6.51</v>
      </c>
      <c r="BF553" s="51" t="n">
        <v>100.15</v>
      </c>
      <c r="BG553" s="51" t="n">
        <v>609.385921118323</v>
      </c>
      <c r="BH553" s="51" t="n">
        <v>240.738891662506</v>
      </c>
      <c r="BI553" s="51" t="n">
        <v>112.930604093859</v>
      </c>
      <c r="BJ553" s="51" t="n">
        <v>6.29056415376935</v>
      </c>
      <c r="BK553" s="51" t="n">
        <v>16.6749875187219</v>
      </c>
      <c r="BL553" s="51" t="n">
        <v>9.58562156764853</v>
      </c>
      <c r="BM553" s="51" t="n">
        <v>4.39340988517224</v>
      </c>
      <c r="BN553" s="52" t="n">
        <f aca="false">(BG553*0.5-BH553*0.25+BI553*0.5)/SUM(BG553:BI553)*1000</f>
        <v>312.519440124417</v>
      </c>
      <c r="BO553" s="93" t="n">
        <v>5.916</v>
      </c>
      <c r="BP553" s="94" t="s">
        <v>491</v>
      </c>
      <c r="BQ553" s="55" t="n">
        <v>316.524509803922</v>
      </c>
      <c r="BR553" s="56" t="n">
        <v>12.2496784941427</v>
      </c>
      <c r="BS553" s="56"/>
      <c r="BT553" s="56" t="n">
        <v>12.3060535723989</v>
      </c>
      <c r="BU553" s="55" t="n">
        <v>11776.0539215686</v>
      </c>
      <c r="BV553" s="55" t="n">
        <v>455.739982215799</v>
      </c>
      <c r="BW553" s="55"/>
      <c r="BX553" s="55" t="n">
        <v>457.837374173816</v>
      </c>
      <c r="BY553" s="96" t="n">
        <v>0.07416</v>
      </c>
      <c r="BZ553" s="96" t="n">
        <v>0.8679</v>
      </c>
      <c r="CA553" s="97" t="n">
        <v>4.0905</v>
      </c>
      <c r="CB553" s="97"/>
      <c r="CC553" s="97" t="n">
        <v>8.4558</v>
      </c>
      <c r="CD553" s="97" t="n">
        <v>6.38</v>
      </c>
      <c r="CE553" s="97" t="n">
        <v>108.07</v>
      </c>
      <c r="CF553" s="97" t="n">
        <v>38.1982</v>
      </c>
      <c r="CG553" s="97" t="n">
        <v>0.0955</v>
      </c>
      <c r="CH553" s="63" t="n">
        <v>53213.5008193621</v>
      </c>
      <c r="CI553" s="63" t="n">
        <v>2911.38470613823</v>
      </c>
      <c r="CJ553" s="64" t="n">
        <v>714344.428176322</v>
      </c>
      <c r="CK553" s="65" t="n">
        <v>0.407560357623397</v>
      </c>
    </row>
    <row r="554" s="1" customFormat="true" ht="15" hidden="false" customHeight="false" outlineLevel="0" collapsed="false">
      <c r="A554" s="7" t="s">
        <v>488</v>
      </c>
      <c r="B554" s="66" t="n">
        <v>545</v>
      </c>
      <c r="C554" s="8" t="s">
        <v>637</v>
      </c>
      <c r="D554" s="67" t="n">
        <v>41800</v>
      </c>
      <c r="E554" s="4" t="s">
        <v>490</v>
      </c>
      <c r="F554" s="7" t="n">
        <v>378</v>
      </c>
      <c r="G554" s="68" t="n">
        <v>1</v>
      </c>
      <c r="H554" s="68" t="n">
        <v>128</v>
      </c>
      <c r="I554" s="7" t="n">
        <v>2</v>
      </c>
      <c r="J554" s="8" t="n">
        <v>750</v>
      </c>
      <c r="K554" s="32"/>
      <c r="L554" s="31" t="n">
        <v>917.038</v>
      </c>
      <c r="M554" s="31" t="n">
        <v>169.233907987351</v>
      </c>
      <c r="N554" s="31" t="n">
        <v>314.495562582883</v>
      </c>
      <c r="O554" s="95"/>
      <c r="P554" s="33" t="n">
        <v>28.868713659084</v>
      </c>
      <c r="Q554" s="33" t="n">
        <v>11</v>
      </c>
      <c r="R554" s="31" t="n">
        <v>238.600428440273</v>
      </c>
      <c r="S554" s="34" t="s">
        <v>76</v>
      </c>
      <c r="T554" s="35"/>
      <c r="U554" s="35"/>
      <c r="V554" s="35" t="n">
        <v>23.8810201364831</v>
      </c>
      <c r="W554" s="35" t="n">
        <v>21.8998029439202</v>
      </c>
      <c r="X554" s="35" t="n">
        <v>4.04147836442166</v>
      </c>
      <c r="Y554" s="35" t="n">
        <v>7.51047486287641</v>
      </c>
      <c r="Z554" s="35"/>
      <c r="AA554" s="35" t="n">
        <v>0.68941433220695</v>
      </c>
      <c r="AB554" s="35" t="n">
        <v>0.262691221501314</v>
      </c>
      <c r="AC554" s="71" t="n">
        <v>5.69802163615567</v>
      </c>
      <c r="AD554" s="72"/>
      <c r="AE554" s="72"/>
      <c r="AF554" s="72"/>
      <c r="AG554" s="72"/>
      <c r="AH554" s="72"/>
      <c r="AI554" s="73" t="n">
        <v>33.3949035096654</v>
      </c>
      <c r="AJ554" s="42" t="s">
        <v>16</v>
      </c>
      <c r="AK554" s="43" t="n">
        <v>670.608420928172</v>
      </c>
      <c r="AL554" s="74"/>
      <c r="AM554" s="74"/>
      <c r="AN554" s="74"/>
      <c r="AO554" s="78" t="n">
        <v>36.44</v>
      </c>
      <c r="AP554" s="76" t="n">
        <v>0.866490804384172</v>
      </c>
      <c r="AQ554" s="76" t="n">
        <v>1.10665694849368</v>
      </c>
      <c r="AR554" s="76" t="n">
        <v>1.77419241982507</v>
      </c>
      <c r="AS554" s="77" t="n">
        <v>27.5733620657626</v>
      </c>
      <c r="AT554" s="78" t="n">
        <v>28.6838046450215</v>
      </c>
      <c r="AU554" s="78" t="n">
        <v>23.7785621400706</v>
      </c>
      <c r="AV554" s="78" t="n">
        <v>30.3692905733722</v>
      </c>
      <c r="AW554" s="78" t="n">
        <v>48.6880466472303</v>
      </c>
      <c r="AX554" s="78" t="n">
        <v>37.2125</v>
      </c>
      <c r="AY554" s="48" t="n">
        <v>1.20111303793095</v>
      </c>
      <c r="AZ554" s="48" t="n">
        <v>23.7740363473502</v>
      </c>
      <c r="BA554" s="48" t="n">
        <v>0.106983789132972</v>
      </c>
      <c r="BB554" s="49" t="n">
        <f aca="false">AT554/V554</f>
        <v>1.20111303793095</v>
      </c>
      <c r="BC554" s="49" t="n">
        <f aca="false">AS554/V554</f>
        <v>1.15461407880305</v>
      </c>
      <c r="BD554" s="49" t="n">
        <f aca="false">SUM(AP554:AR554)/V554</f>
        <v>0.156917089441171</v>
      </c>
      <c r="BE554" s="53" t="n">
        <v>6.29</v>
      </c>
      <c r="BF554" s="51" t="n">
        <v>109.15</v>
      </c>
      <c r="BG554" s="51" t="n">
        <v>581.676591846083</v>
      </c>
      <c r="BH554" s="51" t="n">
        <v>288.043976179569</v>
      </c>
      <c r="BI554" s="51" t="n">
        <v>91.3421896472744</v>
      </c>
      <c r="BJ554" s="51" t="n">
        <v>5.68025652771415</v>
      </c>
      <c r="BK554" s="51" t="n">
        <v>19.5144296839212</v>
      </c>
      <c r="BL554" s="51" t="n">
        <v>9.98625744388456</v>
      </c>
      <c r="BM554" s="51" t="n">
        <v>3.75629867155291</v>
      </c>
      <c r="BN554" s="52" t="n">
        <f aca="false">(BG554*0.5-BH554*0.25+BI554*0.5)/SUM(BG554:BI554)*1000</f>
        <v>275.214489990467</v>
      </c>
      <c r="BO554" s="93" t="n">
        <v>10.7828571428571</v>
      </c>
      <c r="BP554" s="94" t="s">
        <v>491</v>
      </c>
      <c r="BQ554" s="55" t="n">
        <v>304.573529411765</v>
      </c>
      <c r="BR554" s="56" t="n">
        <v>12.7537905697113</v>
      </c>
      <c r="BS554" s="56"/>
      <c r="BT554" s="56" t="n">
        <v>10.6183099899416</v>
      </c>
      <c r="BU554" s="55" t="n">
        <v>11601.8970588235</v>
      </c>
      <c r="BV554" s="55" t="n">
        <v>485.82083146018</v>
      </c>
      <c r="BW554" s="55"/>
      <c r="BX554" s="55" t="n">
        <v>404.475529045175</v>
      </c>
      <c r="BY554" s="96" t="n">
        <v>0.08755</v>
      </c>
      <c r="BZ554" s="96" t="n">
        <v>0.6204</v>
      </c>
      <c r="CA554" s="97" t="n">
        <v>4.9793</v>
      </c>
      <c r="CB554" s="97"/>
      <c r="CC554" s="97" t="n">
        <v>9.74</v>
      </c>
      <c r="CD554" s="97" t="n">
        <v>5.53</v>
      </c>
      <c r="CE554" s="97" t="n">
        <v>128.27</v>
      </c>
      <c r="CF554" s="97" t="n">
        <v>42.1473</v>
      </c>
      <c r="CG554" s="97" t="n">
        <v>0.1228</v>
      </c>
      <c r="CH554" s="63" t="n">
        <v>15925.0954660076</v>
      </c>
      <c r="CI554" s="63" t="n">
        <v>2530.56271048233</v>
      </c>
      <c r="CJ554" s="64" t="n">
        <v>3762935.22532103</v>
      </c>
      <c r="CK554" s="65" t="n">
        <v>0.0672497016013992</v>
      </c>
    </row>
    <row r="555" s="1" customFormat="true" ht="15" hidden="false" customHeight="false" outlineLevel="0" collapsed="false">
      <c r="A555" s="7" t="s">
        <v>488</v>
      </c>
      <c r="B555" s="66" t="n">
        <v>546</v>
      </c>
      <c r="C555" s="8" t="s">
        <v>638</v>
      </c>
      <c r="D555" s="67" t="n">
        <v>41800</v>
      </c>
      <c r="E555" s="4" t="s">
        <v>490</v>
      </c>
      <c r="F555" s="7" t="n">
        <v>388</v>
      </c>
      <c r="G555" s="68" t="n">
        <v>1</v>
      </c>
      <c r="H555" s="68" t="n">
        <v>137</v>
      </c>
      <c r="I555" s="7" t="n">
        <v>2</v>
      </c>
      <c r="J555" s="8" t="n">
        <v>604</v>
      </c>
      <c r="K555" s="32"/>
      <c r="L555" s="31" t="n">
        <v>917.038</v>
      </c>
      <c r="M555" s="31" t="n">
        <v>169.233907987351</v>
      </c>
      <c r="N555" s="31" t="n">
        <v>314.495562582883</v>
      </c>
      <c r="O555" s="95"/>
      <c r="P555" s="33" t="n">
        <v>28.868713659084</v>
      </c>
      <c r="Q555" s="33" t="n">
        <v>11</v>
      </c>
      <c r="R555" s="31" t="n">
        <v>238.600428440273</v>
      </c>
      <c r="S555" s="34" t="s">
        <v>76</v>
      </c>
      <c r="T555" s="35"/>
      <c r="U555" s="35"/>
      <c r="V555" s="35" t="n">
        <v>20.5982350637196</v>
      </c>
      <c r="W555" s="35" t="n">
        <v>18.8893642863633</v>
      </c>
      <c r="X555" s="35" t="n">
        <v>3.48591981747534</v>
      </c>
      <c r="Y555" s="35" t="n">
        <v>6.47805352457895</v>
      </c>
      <c r="Z555" s="35"/>
      <c r="AA555" s="35" t="n">
        <v>0.594644549937023</v>
      </c>
      <c r="AB555" s="35" t="n">
        <v>0.226580585700915</v>
      </c>
      <c r="AC555" s="71" t="n">
        <v>4.91474771131695</v>
      </c>
      <c r="AD555" s="72"/>
      <c r="AE555" s="72"/>
      <c r="AF555" s="72"/>
      <c r="AG555" s="72"/>
      <c r="AH555" s="72"/>
      <c r="AI555" s="73" t="n">
        <v>26.7818136514399</v>
      </c>
      <c r="AJ555" s="42" t="s">
        <v>16</v>
      </c>
      <c r="AK555" s="43" t="n">
        <v>589.273521832283</v>
      </c>
      <c r="AL555" s="74"/>
      <c r="AM555" s="74"/>
      <c r="AN555" s="74"/>
      <c r="AO555" s="78" t="n">
        <v>40.64</v>
      </c>
      <c r="AP555" s="76" t="n">
        <v>1.00521472688454</v>
      </c>
      <c r="AQ555" s="76" t="n">
        <v>1.21051117589893</v>
      </c>
      <c r="AR555" s="76" t="n">
        <v>2.03101263362488</v>
      </c>
      <c r="AS555" s="77" t="n">
        <v>31.3342209032681</v>
      </c>
      <c r="AT555" s="78" t="n">
        <v>32.5567807186585</v>
      </c>
      <c r="AU555" s="78" t="n">
        <v>24.7346143426315</v>
      </c>
      <c r="AV555" s="78" t="n">
        <v>29.7862001943635</v>
      </c>
      <c r="AW555" s="78" t="n">
        <v>49.9757045675413</v>
      </c>
      <c r="AX555" s="78" t="n">
        <v>29.56</v>
      </c>
      <c r="AY555" s="48" t="n">
        <v>1.58056166549929</v>
      </c>
      <c r="AZ555" s="48" t="n">
        <v>23.1796101181839</v>
      </c>
      <c r="BA555" s="48" t="n">
        <v>-2.58137505446435</v>
      </c>
      <c r="BB555" s="49" t="n">
        <f aca="false">AT555/V555</f>
        <v>1.58056166549929</v>
      </c>
      <c r="BC555" s="49" t="n">
        <f aca="false">AS555/V555</f>
        <v>1.52120901651706</v>
      </c>
      <c r="BD555" s="49" t="n">
        <f aca="false">SUM(AP555:AR555)/V555</f>
        <v>0.20617002006586</v>
      </c>
      <c r="BE555" s="53" t="n">
        <v>6.78</v>
      </c>
      <c r="BF555" s="51" t="n">
        <v>80.07</v>
      </c>
      <c r="BG555" s="51" t="n">
        <v>587.111277632072</v>
      </c>
      <c r="BH555" s="51" t="n">
        <v>296.740352191832</v>
      </c>
      <c r="BI555" s="51" t="n">
        <v>82.9274384913201</v>
      </c>
      <c r="BJ555" s="51" t="n">
        <v>5.86986386911453</v>
      </c>
      <c r="BK555" s="51" t="n">
        <v>15.2366679155739</v>
      </c>
      <c r="BL555" s="51" t="n">
        <v>10.2410390907956</v>
      </c>
      <c r="BM555" s="51" t="n">
        <v>1.87336080929187</v>
      </c>
      <c r="BN555" s="52" t="n">
        <f aca="false">(BG555*0.5-BH555*0.25+BI555*0.5)/SUM(BG555:BI555)*1000</f>
        <v>269.797183826379</v>
      </c>
      <c r="BO555" s="93" t="n">
        <v>4.66285714285714</v>
      </c>
      <c r="BP555" s="94" t="s">
        <v>491</v>
      </c>
      <c r="BQ555" s="55" t="n">
        <v>258.885416666667</v>
      </c>
      <c r="BR555" s="56" t="n">
        <v>12.5683300470073</v>
      </c>
      <c r="BS555" s="56"/>
      <c r="BT555" s="56" t="n">
        <v>7.95181252421245</v>
      </c>
      <c r="BU555" s="55" t="n">
        <v>10916.8489583333</v>
      </c>
      <c r="BV555" s="55" t="n">
        <v>529.989531848852</v>
      </c>
      <c r="BW555" s="55"/>
      <c r="BX555" s="55" t="n">
        <v>335.317212493213</v>
      </c>
      <c r="BY555" s="96" t="n">
        <v>0.15141</v>
      </c>
      <c r="BZ555" s="96" t="n">
        <v>0.3278</v>
      </c>
      <c r="CA555" s="97" t="n">
        <v>4.3452</v>
      </c>
      <c r="CB555" s="97"/>
      <c r="CC555" s="97" t="n">
        <v>6.6402</v>
      </c>
      <c r="CD555" s="97" t="n">
        <v>8.5446</v>
      </c>
      <c r="CE555" s="97" t="n">
        <v>98.98</v>
      </c>
      <c r="CF555" s="97" t="n">
        <v>37.5046</v>
      </c>
      <c r="CG555" s="97" t="n">
        <v>0.1137</v>
      </c>
      <c r="CH555" s="63" t="n">
        <v>40940.1514126061</v>
      </c>
      <c r="CI555" s="63" t="n">
        <v>2596.84297775168</v>
      </c>
      <c r="CJ555" s="64" t="n">
        <v>2162943.47817882</v>
      </c>
      <c r="CK555" s="65" t="n">
        <v>0.12006060278275</v>
      </c>
    </row>
    <row r="556" s="1" customFormat="true" ht="15" hidden="false" customHeight="false" outlineLevel="0" collapsed="false">
      <c r="A556" s="7" t="s">
        <v>488</v>
      </c>
      <c r="B556" s="66" t="n">
        <v>547</v>
      </c>
      <c r="C556" s="8" t="s">
        <v>639</v>
      </c>
      <c r="D556" s="67" t="n">
        <v>41800</v>
      </c>
      <c r="E556" s="4" t="s">
        <v>490</v>
      </c>
      <c r="F556" s="7" t="n">
        <v>389</v>
      </c>
      <c r="G556" s="68" t="n">
        <v>1</v>
      </c>
      <c r="H556" s="68" t="n">
        <v>168</v>
      </c>
      <c r="I556" s="7" t="n">
        <v>2</v>
      </c>
      <c r="J556" s="8" t="n">
        <v>740</v>
      </c>
      <c r="K556" s="32"/>
      <c r="L556" s="31" t="n">
        <v>917.038</v>
      </c>
      <c r="M556" s="31" t="n">
        <v>169.233907987351</v>
      </c>
      <c r="N556" s="31" t="n">
        <v>314.495562582883</v>
      </c>
      <c r="O556" s="95"/>
      <c r="P556" s="33" t="n">
        <v>28.868713659084</v>
      </c>
      <c r="Q556" s="33" t="n">
        <v>11</v>
      </c>
      <c r="R556" s="31" t="n">
        <v>238.600428440273</v>
      </c>
      <c r="S556" s="34" t="s">
        <v>76</v>
      </c>
      <c r="T556" s="35"/>
      <c r="U556" s="35"/>
      <c r="V556" s="35" t="n">
        <v>25.1162302976723</v>
      </c>
      <c r="W556" s="35" t="n">
        <v>23.0325375997168</v>
      </c>
      <c r="X556" s="35" t="n">
        <v>4.25051780718538</v>
      </c>
      <c r="Y556" s="35" t="n">
        <v>7.89894297742769</v>
      </c>
      <c r="Z556" s="35"/>
      <c r="AA556" s="35" t="n">
        <v>0.72507326065911</v>
      </c>
      <c r="AB556" s="35" t="n">
        <v>0.276278533274395</v>
      </c>
      <c r="AC556" s="71" t="n">
        <v>5.99274330982918</v>
      </c>
      <c r="AD556" s="72"/>
      <c r="AE556" s="72"/>
      <c r="AF556" s="72"/>
      <c r="AG556" s="72"/>
      <c r="AH556" s="72"/>
      <c r="AI556" s="73" t="n">
        <v>32.4935202863981</v>
      </c>
      <c r="AJ556" s="42" t="s">
        <v>16</v>
      </c>
      <c r="AK556" s="43" t="n">
        <v>661.470967040631</v>
      </c>
      <c r="AL556" s="74"/>
      <c r="AM556" s="74"/>
      <c r="AN556" s="74"/>
      <c r="AO556" s="78" t="n">
        <v>40.36</v>
      </c>
      <c r="AP556" s="76" t="n">
        <v>1.23143312362539</v>
      </c>
      <c r="AQ556" s="76" t="n">
        <v>1.35219727891156</v>
      </c>
      <c r="AR556" s="76" t="n">
        <v>2.14645383867833</v>
      </c>
      <c r="AS556" s="77" t="n">
        <v>34.6154968543809</v>
      </c>
      <c r="AT556" s="78" t="n">
        <v>37.0142870306535</v>
      </c>
      <c r="AU556" s="78" t="n">
        <v>30.5112270472099</v>
      </c>
      <c r="AV556" s="78" t="n">
        <v>33.5034013605442</v>
      </c>
      <c r="AW556" s="78" t="n">
        <v>53.1827016520894</v>
      </c>
      <c r="AX556" s="78" t="n">
        <v>27.8</v>
      </c>
      <c r="AY556" s="48" t="n">
        <v>1.47371984537361</v>
      </c>
      <c r="AZ556" s="48" t="n">
        <v>26.4798683287961</v>
      </c>
      <c r="BA556" s="48" t="n">
        <v>-1.36363803112381</v>
      </c>
      <c r="BB556" s="49" t="n">
        <f aca="false">AT556/V556</f>
        <v>1.47371984537361</v>
      </c>
      <c r="BC556" s="49" t="n">
        <f aca="false">AS556/V556</f>
        <v>1.37821227326415</v>
      </c>
      <c r="BD556" s="49" t="n">
        <f aca="false">SUM(AP556:AR556)/V556</f>
        <v>0.188327793827152</v>
      </c>
      <c r="BE556" s="53" t="n">
        <v>6.04</v>
      </c>
      <c r="BF556" s="51" t="n">
        <v>111.6</v>
      </c>
      <c r="BG556" s="51" t="n">
        <v>616.935483870968</v>
      </c>
      <c r="BH556" s="51" t="n">
        <v>265.05376344086</v>
      </c>
      <c r="BI556" s="51" t="n">
        <v>90.2329749103943</v>
      </c>
      <c r="BJ556" s="51" t="n">
        <v>6.00358422939068</v>
      </c>
      <c r="BK556" s="51" t="n">
        <v>11.2007168458781</v>
      </c>
      <c r="BL556" s="51" t="n">
        <v>8.69175627240143</v>
      </c>
      <c r="BM556" s="51" t="n">
        <v>1.88172043010753</v>
      </c>
      <c r="BN556" s="52" t="n">
        <f aca="false">(BG556*0.5-BH556*0.25+BI556*0.5)/SUM(BG556:BI556)*1000</f>
        <v>295.529953917051</v>
      </c>
      <c r="BO556" s="93" t="n">
        <v>6.03257142857143</v>
      </c>
      <c r="BP556" s="94" t="s">
        <v>491</v>
      </c>
      <c r="BQ556" s="55" t="n">
        <v>286.942156862745</v>
      </c>
      <c r="BR556" s="56" t="n">
        <v>11.4245710228791</v>
      </c>
      <c r="BS556" s="56"/>
      <c r="BT556" s="56" t="n">
        <v>7.75220002549592</v>
      </c>
      <c r="BU556" s="55" t="n">
        <v>10463.1068627451</v>
      </c>
      <c r="BV556" s="55" t="n">
        <v>416.587471079002</v>
      </c>
      <c r="BW556" s="55"/>
      <c r="BX556" s="55" t="n">
        <v>282.677520009505</v>
      </c>
      <c r="BY556" s="96" t="n">
        <v>0.10403</v>
      </c>
      <c r="BZ556" s="96" t="n">
        <v>0.3421</v>
      </c>
      <c r="CA556" s="97" t="n">
        <v>4.3962</v>
      </c>
      <c r="CB556" s="97"/>
      <c r="CC556" s="97" t="n">
        <v>7.3542</v>
      </c>
      <c r="CD556" s="97" t="n">
        <v>9.0698</v>
      </c>
      <c r="CE556" s="97" t="n">
        <v>103.02</v>
      </c>
      <c r="CF556" s="97" t="n">
        <v>39.7536</v>
      </c>
      <c r="CG556" s="97" t="n">
        <v>0.1137</v>
      </c>
      <c r="CH556" s="63" t="n">
        <v>66686.003579781</v>
      </c>
      <c r="CI556" s="63" t="n">
        <v>2093.20402033474</v>
      </c>
      <c r="CJ556" s="64" t="n">
        <v>3359076.83667644</v>
      </c>
      <c r="CK556" s="65" t="n">
        <v>0.0623148597697994</v>
      </c>
    </row>
    <row r="557" s="1" customFormat="true" ht="15" hidden="false" customHeight="false" outlineLevel="0" collapsed="false">
      <c r="A557" s="7" t="s">
        <v>488</v>
      </c>
      <c r="B557" s="66" t="n">
        <v>548</v>
      </c>
      <c r="C557" s="8" t="s">
        <v>640</v>
      </c>
      <c r="D557" s="67" t="n">
        <v>41800</v>
      </c>
      <c r="E557" s="4" t="s">
        <v>490</v>
      </c>
      <c r="F557" s="7" t="n">
        <v>395</v>
      </c>
      <c r="G557" s="68" t="n">
        <v>1</v>
      </c>
      <c r="H557" s="68" t="n">
        <v>167</v>
      </c>
      <c r="I557" s="7" t="n">
        <v>2</v>
      </c>
      <c r="J557" s="8" t="n">
        <v>719</v>
      </c>
      <c r="K557" s="32"/>
      <c r="L557" s="31" t="n">
        <v>917.038</v>
      </c>
      <c r="M557" s="31" t="n">
        <v>169.233907987351</v>
      </c>
      <c r="N557" s="31" t="n">
        <v>314.495562582883</v>
      </c>
      <c r="O557" s="95"/>
      <c r="P557" s="33" t="n">
        <v>28.868713659084</v>
      </c>
      <c r="Q557" s="33" t="n">
        <v>11</v>
      </c>
      <c r="R557" s="31" t="n">
        <v>238.600428440273</v>
      </c>
      <c r="S557" s="34" t="s">
        <v>76</v>
      </c>
      <c r="T557" s="35"/>
      <c r="U557" s="35"/>
      <c r="V557" s="35" t="n">
        <v>19.4463138705237</v>
      </c>
      <c r="W557" s="35" t="n">
        <v>17.8330087791973</v>
      </c>
      <c r="X557" s="35" t="n">
        <v>3.29097569225735</v>
      </c>
      <c r="Y557" s="35" t="n">
        <v>6.11577942087367</v>
      </c>
      <c r="Z557" s="35"/>
      <c r="AA557" s="35" t="n">
        <v>0.561390066852822</v>
      </c>
      <c r="AB557" s="35" t="n">
        <v>0.213909452575761</v>
      </c>
      <c r="AC557" s="71" t="n">
        <v>4.63989882109099</v>
      </c>
      <c r="AD557" s="72"/>
      <c r="AE557" s="72"/>
      <c r="AF557" s="72"/>
      <c r="AG557" s="72"/>
      <c r="AH557" s="72"/>
      <c r="AI557" s="73" t="n">
        <v>29.6949987129253</v>
      </c>
      <c r="AJ557" s="42" t="s">
        <v>16</v>
      </c>
      <c r="AK557" s="43" t="n">
        <v>629.567251160982</v>
      </c>
      <c r="AL557" s="74"/>
      <c r="AM557" s="74"/>
      <c r="AN557" s="74"/>
      <c r="AO557" s="78" t="n">
        <v>26.42</v>
      </c>
      <c r="AP557" s="76" t="n">
        <v>1.0834427192804</v>
      </c>
      <c r="AQ557" s="76" t="n">
        <v>0.862051992225462</v>
      </c>
      <c r="AR557" s="76" t="n">
        <v>1.34154033041788</v>
      </c>
      <c r="AS557" s="77" t="n">
        <v>26.819640789206</v>
      </c>
      <c r="AT557" s="78" t="n">
        <v>27.0998361227412</v>
      </c>
      <c r="AU557" s="78" t="n">
        <v>41.0084299500531</v>
      </c>
      <c r="AV557" s="78" t="n">
        <v>32.6287657920311</v>
      </c>
      <c r="AW557" s="78" t="n">
        <v>50.7774538386783</v>
      </c>
      <c r="AX557" s="78" t="n">
        <v>34.39</v>
      </c>
      <c r="AY557" s="48" t="n">
        <v>1.3935718770753</v>
      </c>
      <c r="AZ557" s="48" t="n">
        <v>23.2989779259974</v>
      </c>
      <c r="BA557" s="48" t="n">
        <v>-3.85266405547373</v>
      </c>
      <c r="BB557" s="49" t="n">
        <f aca="false">AT557/V557</f>
        <v>1.3935718770753</v>
      </c>
      <c r="BC557" s="49" t="n">
        <f aca="false">AS557/V557</f>
        <v>1.37916321662681</v>
      </c>
      <c r="BD557" s="49" t="n">
        <f aca="false">SUM(AP557:AR557)/V557</f>
        <v>0.169031265452635</v>
      </c>
      <c r="BE557" s="53" t="n">
        <v>6.32</v>
      </c>
      <c r="BF557" s="51" t="n">
        <v>105.61</v>
      </c>
      <c r="BG557" s="51" t="n">
        <v>642.836852570779</v>
      </c>
      <c r="BH557" s="51" t="n">
        <v>198.750118360004</v>
      </c>
      <c r="BI557" s="51" t="n">
        <v>125.650980020831</v>
      </c>
      <c r="BJ557" s="51" t="n">
        <v>6.15472019695105</v>
      </c>
      <c r="BK557" s="51" t="n">
        <v>11.0784963545119</v>
      </c>
      <c r="BL557" s="51" t="n">
        <v>10.0369283211817</v>
      </c>
      <c r="BM557" s="51" t="n">
        <v>5.49190417574093</v>
      </c>
      <c r="BN557" s="52" t="n">
        <f aca="false">(BG557*0.5-BH557*0.25+BI557*0.5)/SUM(BG557:BI557)*1000</f>
        <v>345.888399412628</v>
      </c>
      <c r="BO557" s="93" t="n">
        <v>3.40971428571429</v>
      </c>
      <c r="BP557" s="94" t="s">
        <v>491</v>
      </c>
      <c r="BQ557" s="55" t="n">
        <v>359.578125</v>
      </c>
      <c r="BR557" s="56" t="n">
        <v>18.4908115437261</v>
      </c>
      <c r="BS557" s="56"/>
      <c r="BT557" s="56" t="n">
        <v>13.2686457353982</v>
      </c>
      <c r="BU557" s="55" t="n">
        <v>11287.5677083333</v>
      </c>
      <c r="BV557" s="55" t="n">
        <v>580.447676793018</v>
      </c>
      <c r="BW557" s="55"/>
      <c r="BX557" s="55" t="n">
        <v>416.51793233027</v>
      </c>
      <c r="BY557" s="96" t="n">
        <v>0.09888</v>
      </c>
      <c r="BZ557" s="96" t="n">
        <v>0.88</v>
      </c>
      <c r="CA557" s="97" t="n">
        <v>4.1922</v>
      </c>
      <c r="CB557" s="97"/>
      <c r="CC557" s="97" t="n">
        <v>7.242</v>
      </c>
      <c r="CD557" s="97" t="n">
        <v>7.8578</v>
      </c>
      <c r="CE557" s="97" t="n">
        <v>97.85</v>
      </c>
      <c r="CF557" s="97" t="n">
        <v>40.7636</v>
      </c>
      <c r="CG557" s="97" t="n">
        <v>0.1319</v>
      </c>
      <c r="CH557" s="63" t="n">
        <v>118020.392764174</v>
      </c>
      <c r="CI557" s="63" t="n">
        <v>2583.64807982287</v>
      </c>
      <c r="CJ557" s="64" t="n">
        <v>316719.118677126</v>
      </c>
      <c r="CK557" s="65" t="n">
        <v>0.815753747552173</v>
      </c>
    </row>
    <row r="558" s="1" customFormat="true" ht="15" hidden="false" customHeight="false" outlineLevel="0" collapsed="false">
      <c r="A558" s="7" t="s">
        <v>488</v>
      </c>
      <c r="B558" s="66" t="n">
        <v>549</v>
      </c>
      <c r="C558" s="8" t="s">
        <v>641</v>
      </c>
      <c r="D558" s="67" t="n">
        <v>41800</v>
      </c>
      <c r="E558" s="4" t="s">
        <v>490</v>
      </c>
      <c r="F558" s="7" t="n">
        <v>424</v>
      </c>
      <c r="G558" s="68" t="n">
        <v>1</v>
      </c>
      <c r="H558" s="68" t="n">
        <v>162</v>
      </c>
      <c r="I558" s="7" t="n">
        <v>1</v>
      </c>
      <c r="J558" s="8" t="n">
        <v>687</v>
      </c>
      <c r="K558" s="32"/>
      <c r="L558" s="31" t="n">
        <v>917.038</v>
      </c>
      <c r="M558" s="31" t="n">
        <v>169.233907987351</v>
      </c>
      <c r="N558" s="31" t="n">
        <v>314.495562582883</v>
      </c>
      <c r="O558" s="95"/>
      <c r="P558" s="33" t="n">
        <v>28.868713659084</v>
      </c>
      <c r="Q558" s="33" t="n">
        <v>11</v>
      </c>
      <c r="R558" s="31" t="n">
        <v>238.600428440273</v>
      </c>
      <c r="S558" s="34" t="s">
        <v>76</v>
      </c>
      <c r="T558" s="35"/>
      <c r="U558" s="35"/>
      <c r="V558" s="35" t="n">
        <v>20.0879199402573</v>
      </c>
      <c r="W558" s="35" t="n">
        <v>18.4213859261736</v>
      </c>
      <c r="X558" s="35" t="n">
        <v>3.39955719482677</v>
      </c>
      <c r="Y558" s="35" t="n">
        <v>6.31756168273111</v>
      </c>
      <c r="Z558" s="35"/>
      <c r="AA558" s="35" t="n">
        <v>0.579912408761889</v>
      </c>
      <c r="AB558" s="35" t="n">
        <v>0.22096711934283</v>
      </c>
      <c r="AC558" s="71" t="n">
        <v>4.79298630421929</v>
      </c>
      <c r="AD558" s="72"/>
      <c r="AE558" s="72"/>
      <c r="AF558" s="72"/>
      <c r="AG558" s="72"/>
      <c r="AH558" s="72"/>
      <c r="AI558" s="73" t="n">
        <v>30.1997285400281</v>
      </c>
      <c r="AJ558" s="42" t="s">
        <v>16</v>
      </c>
      <c r="AK558" s="43" t="n">
        <v>635.758315329885</v>
      </c>
      <c r="AL558" s="74"/>
      <c r="AM558" s="74"/>
      <c r="AN558" s="74"/>
      <c r="AO558" s="78" t="n">
        <v>40.14</v>
      </c>
      <c r="AP558" s="76" t="n">
        <v>1.47445185349335</v>
      </c>
      <c r="AQ558" s="76" t="n">
        <v>1.18781632653061</v>
      </c>
      <c r="AR558" s="76" t="n">
        <v>2.04210787172012</v>
      </c>
      <c r="AS558" s="77" t="n">
        <v>38.1727778024002</v>
      </c>
      <c r="AT558" s="78" t="n">
        <v>38.1605169710467</v>
      </c>
      <c r="AU558" s="78" t="n">
        <v>36.7327317761173</v>
      </c>
      <c r="AV558" s="78" t="n">
        <v>29.5918367346939</v>
      </c>
      <c r="AW558" s="78" t="n">
        <v>50.8746355685131</v>
      </c>
      <c r="AX558" s="78" t="n">
        <v>26.5175</v>
      </c>
      <c r="AY558" s="48" t="n">
        <v>1.89967488343933</v>
      </c>
      <c r="AZ558" s="48" t="n">
        <v>27.0317981413436</v>
      </c>
      <c r="BA558" s="48" t="n">
        <v>-6.94387820108635</v>
      </c>
      <c r="BB558" s="49" t="n">
        <f aca="false">AT558/V558</f>
        <v>1.89967488343933</v>
      </c>
      <c r="BC558" s="49" t="n">
        <f aca="false">AS558/V558</f>
        <v>1.90028524187315</v>
      </c>
      <c r="BD558" s="49" t="n">
        <f aca="false">SUM(AP558:AR558)/V558</f>
        <v>0.23418930709278</v>
      </c>
      <c r="BE558" s="53" t="n">
        <v>5.77</v>
      </c>
      <c r="BF558" s="51" t="n">
        <v>110.4</v>
      </c>
      <c r="BG558" s="51" t="n">
        <v>566.032608695652</v>
      </c>
      <c r="BH558" s="51" t="n">
        <v>303.713768115942</v>
      </c>
      <c r="BI558" s="51" t="n">
        <v>100</v>
      </c>
      <c r="BJ558" s="51" t="n">
        <v>4.52898550724638</v>
      </c>
      <c r="BK558" s="51" t="n">
        <v>16.1231884057971</v>
      </c>
      <c r="BL558" s="51" t="n">
        <v>6.15942028985507</v>
      </c>
      <c r="BM558" s="51" t="n">
        <v>3.44202898550725</v>
      </c>
      <c r="BN558" s="52" t="n">
        <f aca="false">(BG558*0.5-BH558*0.25+BI558*0.5)/SUM(BG558:BI558)*1000</f>
        <v>265.108350457687</v>
      </c>
      <c r="BO558" s="93" t="n">
        <v>7.48971428571429</v>
      </c>
      <c r="BP558" s="94" t="s">
        <v>491</v>
      </c>
      <c r="BQ558" s="55" t="n">
        <v>243.067777777778</v>
      </c>
      <c r="BR558" s="56" t="n">
        <v>12.1001964613896</v>
      </c>
      <c r="BS558" s="56"/>
      <c r="BT558" s="56" t="n">
        <v>6.36961438342669</v>
      </c>
      <c r="BU558" s="55" t="n">
        <v>9634.14777777778</v>
      </c>
      <c r="BV558" s="55" t="n">
        <v>479.5990727975</v>
      </c>
      <c r="BW558" s="55"/>
      <c r="BX558" s="55" t="n">
        <v>252.463764709672</v>
      </c>
      <c r="BY558" s="96" t="n">
        <v>0.08137</v>
      </c>
      <c r="BZ558" s="96" t="n">
        <v>0.5929</v>
      </c>
      <c r="CA558" s="97" t="n">
        <v>4.52</v>
      </c>
      <c r="CB558" s="97"/>
      <c r="CC558" s="97" t="n">
        <v>7.7418</v>
      </c>
      <c r="CD558" s="97" t="n">
        <v>8.1204</v>
      </c>
      <c r="CE558" s="97" t="n">
        <v>109.18</v>
      </c>
      <c r="CF558" s="97" t="n">
        <v>38.709</v>
      </c>
      <c r="CG558" s="97" t="n">
        <v>0.2047</v>
      </c>
      <c r="CH558" s="63" t="n">
        <v>32800.625844519</v>
      </c>
      <c r="CI558" s="63" t="n">
        <v>3072.97727264388</v>
      </c>
      <c r="CJ558" s="64" t="n">
        <v>680534.272130099</v>
      </c>
      <c r="CK558" s="65" t="n">
        <v>0.451553639323019</v>
      </c>
    </row>
    <row r="559" s="1" customFormat="true" ht="15" hidden="false" customHeight="false" outlineLevel="0" collapsed="false">
      <c r="A559" s="7" t="s">
        <v>488</v>
      </c>
      <c r="B559" s="66" t="n">
        <v>550</v>
      </c>
      <c r="C559" s="8" t="s">
        <v>642</v>
      </c>
      <c r="D559" s="67" t="n">
        <v>41800</v>
      </c>
      <c r="E559" s="4" t="s">
        <v>490</v>
      </c>
      <c r="F559" s="7" t="n">
        <v>454</v>
      </c>
      <c r="G559" s="68" t="n">
        <v>1</v>
      </c>
      <c r="H559" s="68" t="n">
        <v>169</v>
      </c>
      <c r="I559" s="7" t="n">
        <v>1</v>
      </c>
      <c r="J559" s="8" t="n">
        <v>614</v>
      </c>
      <c r="K559" s="32"/>
      <c r="L559" s="31" t="n">
        <v>917.038</v>
      </c>
      <c r="M559" s="31" t="n">
        <v>169.233907987351</v>
      </c>
      <c r="N559" s="31" t="n">
        <v>314.495562582883</v>
      </c>
      <c r="O559" s="95"/>
      <c r="P559" s="33" t="n">
        <v>28.868713659084</v>
      </c>
      <c r="Q559" s="33" t="n">
        <v>11</v>
      </c>
      <c r="R559" s="31" t="n">
        <v>238.600428440273</v>
      </c>
      <c r="S559" s="34" t="s">
        <v>76</v>
      </c>
      <c r="T559" s="35"/>
      <c r="U559" s="35"/>
      <c r="V559" s="35" t="n">
        <v>18.7540459051205</v>
      </c>
      <c r="W559" s="35" t="n">
        <v>17.1981727487399</v>
      </c>
      <c r="X559" s="35" t="n">
        <v>3.17382047909772</v>
      </c>
      <c r="Y559" s="35" t="n">
        <v>5.89806421763609</v>
      </c>
      <c r="Z559" s="35"/>
      <c r="AA559" s="35" t="n">
        <v>0.541405181184241</v>
      </c>
      <c r="AB559" s="35" t="n">
        <v>0.206294504956326</v>
      </c>
      <c r="AC559" s="71" t="n">
        <v>4.47472338795031</v>
      </c>
      <c r="AD559" s="72"/>
      <c r="AE559" s="72"/>
      <c r="AF559" s="72"/>
      <c r="AG559" s="72"/>
      <c r="AH559" s="72"/>
      <c r="AI559" s="73" t="n">
        <v>36.2327262479012</v>
      </c>
      <c r="AJ559" s="42" t="s">
        <v>16</v>
      </c>
      <c r="AK559" s="43" t="n">
        <v>696.407056848581</v>
      </c>
      <c r="AL559" s="74"/>
      <c r="AM559" s="74"/>
      <c r="AN559" s="74"/>
      <c r="AO559" s="78" t="n">
        <v>28.9</v>
      </c>
      <c r="AP559" s="76" t="n">
        <v>1.04476386955582</v>
      </c>
      <c r="AQ559" s="76" t="n">
        <v>0.885396015549077</v>
      </c>
      <c r="AR559" s="76" t="n">
        <v>1.30808309037901</v>
      </c>
      <c r="AS559" s="77" t="n">
        <v>27.2314580433373</v>
      </c>
      <c r="AT559" s="78" t="n">
        <v>26.6480777373071</v>
      </c>
      <c r="AU559" s="78" t="n">
        <v>36.1509989465682</v>
      </c>
      <c r="AV559" s="78" t="n">
        <v>30.6365403304179</v>
      </c>
      <c r="AW559" s="78" t="n">
        <v>45.2623906705539</v>
      </c>
      <c r="AX559" s="78" t="n">
        <v>35.065</v>
      </c>
      <c r="AY559" s="48" t="n">
        <v>1.42092420334917</v>
      </c>
      <c r="AZ559" s="48" t="n">
        <v>21.9641906603883</v>
      </c>
      <c r="BA559" s="48" t="n">
        <v>-3.21014475526781</v>
      </c>
      <c r="BB559" s="49" t="n">
        <f aca="false">AT559/V559</f>
        <v>1.42092420334917</v>
      </c>
      <c r="BC559" s="49" t="n">
        <f aca="false">AS559/V559</f>
        <v>1.45203110737306</v>
      </c>
      <c r="BD559" s="49" t="n">
        <f aca="false">SUM(AP559:AR559)/V559</f>
        <v>0.172669033224439</v>
      </c>
      <c r="BE559" s="53" t="n">
        <v>5.94</v>
      </c>
      <c r="BF559" s="51" t="n">
        <v>98.26</v>
      </c>
      <c r="BG559" s="51" t="n">
        <v>594.341542845512</v>
      </c>
      <c r="BH559" s="51" t="n">
        <v>301.038062283737</v>
      </c>
      <c r="BI559" s="51" t="n">
        <v>81.9255037655201</v>
      </c>
      <c r="BJ559" s="51" t="n">
        <v>3.96906167311215</v>
      </c>
      <c r="BK559" s="51" t="n">
        <v>9.97353958884592</v>
      </c>
      <c r="BL559" s="51" t="n">
        <v>7.53104009769998</v>
      </c>
      <c r="BM559" s="51" t="n">
        <v>1.22124974557297</v>
      </c>
      <c r="BN559" s="52" t="n">
        <f aca="false">(BG559*0.5-BH559*0.25+BI559*0.5)/SUM(BG559:BI559)*1000</f>
        <v>268.978444236176</v>
      </c>
      <c r="BO559" s="93" t="n">
        <v>3.75942857142857</v>
      </c>
      <c r="BP559" s="94" t="s">
        <v>491</v>
      </c>
      <c r="BQ559" s="55" t="n">
        <v>273.372549019608</v>
      </c>
      <c r="BR559" s="56" t="n">
        <v>14.5767238921478</v>
      </c>
      <c r="BS559" s="56"/>
      <c r="BT559" s="56" t="n">
        <v>10.2586217180269</v>
      </c>
      <c r="BU559" s="55" t="n">
        <v>10124.7549019608</v>
      </c>
      <c r="BV559" s="55" t="n">
        <v>539.870433995064</v>
      </c>
      <c r="BW559" s="55"/>
      <c r="BX559" s="55" t="n">
        <v>379.943161445608</v>
      </c>
      <c r="BY559" s="96" t="n">
        <v>0.05459</v>
      </c>
      <c r="BZ559" s="96" t="n">
        <v>0.3267</v>
      </c>
      <c r="CA559" s="97" t="n">
        <v>4.25</v>
      </c>
      <c r="CB559" s="97"/>
      <c r="CC559" s="97" t="n">
        <v>4.95</v>
      </c>
      <c r="CD559" s="97" t="n">
        <v>6.1509</v>
      </c>
      <c r="CE559" s="97" t="n">
        <v>95.79</v>
      </c>
      <c r="CF559" s="97" t="n">
        <v>29.6109</v>
      </c>
      <c r="CG559" s="97" t="n">
        <v>0.5778</v>
      </c>
      <c r="CH559" s="63" t="n">
        <v>9536.24070706019</v>
      </c>
      <c r="CI559" s="63" t="n">
        <v>5969.19350469553</v>
      </c>
      <c r="CJ559" s="64" t="n">
        <v>1846008.91224564</v>
      </c>
      <c r="CK559" s="65" t="n">
        <v>0.323356700235759</v>
      </c>
    </row>
    <row r="560" s="1" customFormat="true" ht="15" hidden="false" customHeight="false" outlineLevel="0" collapsed="false">
      <c r="A560" s="7" t="s">
        <v>488</v>
      </c>
      <c r="B560" s="66" t="n">
        <v>551</v>
      </c>
      <c r="C560" s="8" t="s">
        <v>643</v>
      </c>
      <c r="D560" s="67" t="n">
        <v>41800</v>
      </c>
      <c r="E560" s="4" t="s">
        <v>490</v>
      </c>
      <c r="F560" s="7" t="n">
        <v>461</v>
      </c>
      <c r="G560" s="68" t="n">
        <v>1</v>
      </c>
      <c r="H560" s="68" t="n">
        <v>174</v>
      </c>
      <c r="I560" s="7" t="n">
        <v>1</v>
      </c>
      <c r="J560" s="8" t="n">
        <v>646</v>
      </c>
      <c r="K560" s="32"/>
      <c r="L560" s="31" t="n">
        <v>917.038</v>
      </c>
      <c r="M560" s="31" t="n">
        <v>169.233907987351</v>
      </c>
      <c r="N560" s="31" t="n">
        <v>314.495562582883</v>
      </c>
      <c r="O560" s="95"/>
      <c r="P560" s="33" t="n">
        <v>28.868713659084</v>
      </c>
      <c r="Q560" s="33" t="n">
        <v>11</v>
      </c>
      <c r="R560" s="31" t="n">
        <v>238.600428440273</v>
      </c>
      <c r="S560" s="34" t="s">
        <v>76</v>
      </c>
      <c r="T560" s="35"/>
      <c r="U560" s="35"/>
      <c r="V560" s="35" t="n">
        <v>18.7931961175281</v>
      </c>
      <c r="W560" s="35" t="n">
        <v>17.2340749812257</v>
      </c>
      <c r="X560" s="35" t="n">
        <v>3.18044602254199</v>
      </c>
      <c r="Y560" s="35" t="n">
        <v>5.91037678571245</v>
      </c>
      <c r="Z560" s="35"/>
      <c r="AA560" s="35" t="n">
        <v>0.542535397455927</v>
      </c>
      <c r="AB560" s="35" t="n">
        <v>0.206725157292809</v>
      </c>
      <c r="AC560" s="71" t="n">
        <v>4.48406464540429</v>
      </c>
      <c r="AD560" s="72"/>
      <c r="AE560" s="72"/>
      <c r="AF560" s="72"/>
      <c r="AG560" s="72"/>
      <c r="AH560" s="72"/>
      <c r="AI560" s="73" t="n">
        <v>33.5716316841443</v>
      </c>
      <c r="AJ560" s="42" t="s">
        <v>16</v>
      </c>
      <c r="AK560" s="43" t="n">
        <v>672.342407914738</v>
      </c>
      <c r="AL560" s="74"/>
      <c r="AM560" s="74"/>
      <c r="AN560" s="74"/>
      <c r="AO560" s="78" t="n">
        <v>28.88</v>
      </c>
      <c r="AP560" s="76" t="n">
        <v>1.01256476131578</v>
      </c>
      <c r="AQ560" s="76" t="n">
        <v>0.834965986394558</v>
      </c>
      <c r="AR560" s="76" t="n">
        <v>1.47838095238095</v>
      </c>
      <c r="AS560" s="77" t="n">
        <v>26.7404714197367</v>
      </c>
      <c r="AT560" s="78" t="n">
        <v>26.7635809495298</v>
      </c>
      <c r="AU560" s="78" t="n">
        <v>35.0611066937598</v>
      </c>
      <c r="AV560" s="78" t="n">
        <v>28.9115646258503</v>
      </c>
      <c r="AW560" s="78" t="n">
        <v>51.1904761904762</v>
      </c>
      <c r="AX560" s="78" t="n">
        <v>34.2775</v>
      </c>
      <c r="AY560" s="48" t="n">
        <v>1.42411012912103</v>
      </c>
      <c r="AZ560" s="48" t="n">
        <v>22.257662918221</v>
      </c>
      <c r="BA560" s="48" t="n">
        <v>-3.46446680069287</v>
      </c>
      <c r="BB560" s="49" t="n">
        <f aca="false">AT560/V560</f>
        <v>1.42411012912103</v>
      </c>
      <c r="BC560" s="49" t="n">
        <f aca="false">AS560/V560</f>
        <v>1.42288045378276</v>
      </c>
      <c r="BD560" s="49" t="n">
        <f aca="false">SUM(AP560:AR560)/V560</f>
        <v>0.176974245322182</v>
      </c>
      <c r="BE560" s="53" t="n">
        <v>5.85</v>
      </c>
      <c r="BF560" s="51" t="n">
        <v>124.46</v>
      </c>
      <c r="BG560" s="51" t="n">
        <v>587.819379720392</v>
      </c>
      <c r="BH560" s="51" t="n">
        <v>276.072633777921</v>
      </c>
      <c r="BI560" s="51" t="n">
        <v>104.85296480797</v>
      </c>
      <c r="BJ560" s="51" t="n">
        <v>6.1867266591676</v>
      </c>
      <c r="BK560" s="51" t="n">
        <v>12.7751888156838</v>
      </c>
      <c r="BL560" s="51" t="n">
        <v>10.2844287321228</v>
      </c>
      <c r="BM560" s="51" t="n">
        <v>2.00867748674273</v>
      </c>
      <c r="BN560" s="52" t="n">
        <f aca="false">(BG560*0.5-BH560*0.25+BI560*0.5)/SUM(BG560:BI560)*1000</f>
        <v>286.26524010948</v>
      </c>
      <c r="BO560" s="93" t="n">
        <v>8.88857142857143</v>
      </c>
      <c r="BP560" s="94" t="s">
        <v>491</v>
      </c>
      <c r="BQ560" s="55" t="n">
        <v>343.36568627451</v>
      </c>
      <c r="BR560" s="56" t="n">
        <v>18.2707445890089</v>
      </c>
      <c r="BS560" s="56"/>
      <c r="BT560" s="56" t="n">
        <v>12.8295868524478</v>
      </c>
      <c r="BU560" s="55" t="n">
        <v>10033.2490196078</v>
      </c>
      <c r="BV560" s="55" t="n">
        <v>533.876673071591</v>
      </c>
      <c r="BW560" s="55"/>
      <c r="BX560" s="55" t="n">
        <v>374.884401251399</v>
      </c>
      <c r="BY560" s="96" t="n">
        <v>0.02987</v>
      </c>
      <c r="BZ560" s="96" t="n">
        <v>0.8569</v>
      </c>
      <c r="CA560" s="97" t="n">
        <v>4.55</v>
      </c>
      <c r="CB560" s="97"/>
      <c r="CC560" s="97" t="n">
        <v>7.53</v>
      </c>
      <c r="CD560" s="97" t="n">
        <v>4.5955</v>
      </c>
      <c r="CE560" s="97" t="n">
        <v>103</v>
      </c>
      <c r="CF560" s="97" t="n">
        <v>37.5507</v>
      </c>
      <c r="CG560" s="97" t="n">
        <v>0.1592</v>
      </c>
      <c r="CH560" s="63" t="n">
        <v>69948.128474226</v>
      </c>
      <c r="CI560" s="63" t="n">
        <v>3686.80719006091</v>
      </c>
      <c r="CJ560" s="64" t="n">
        <v>1119350.58799266</v>
      </c>
      <c r="CK560" s="65" t="n">
        <v>0.329370192825153</v>
      </c>
    </row>
    <row r="561" s="1" customFormat="true" ht="15" hidden="false" customHeight="false" outlineLevel="0" collapsed="false">
      <c r="A561" s="7" t="s">
        <v>488</v>
      </c>
      <c r="B561" s="66" t="n">
        <v>552</v>
      </c>
      <c r="C561" s="8" t="s">
        <v>644</v>
      </c>
      <c r="D561" s="67" t="n">
        <v>41800</v>
      </c>
      <c r="E561" s="4" t="s">
        <v>490</v>
      </c>
      <c r="F561" s="7" t="n">
        <v>465</v>
      </c>
      <c r="G561" s="68" t="n">
        <v>1</v>
      </c>
      <c r="H561" s="68" t="n">
        <v>154</v>
      </c>
      <c r="I561" s="7" t="n">
        <v>1</v>
      </c>
      <c r="J561" s="8" t="n">
        <v>698</v>
      </c>
      <c r="K561" s="32"/>
      <c r="L561" s="31" t="n">
        <v>917.038</v>
      </c>
      <c r="M561" s="31" t="n">
        <v>169.233907987351</v>
      </c>
      <c r="N561" s="31" t="n">
        <v>314.495562582883</v>
      </c>
      <c r="O561" s="95"/>
      <c r="P561" s="33" t="n">
        <v>28.868713659084</v>
      </c>
      <c r="Q561" s="33" t="n">
        <v>11</v>
      </c>
      <c r="R561" s="31" t="n">
        <v>238.600428440273</v>
      </c>
      <c r="S561" s="34" t="s">
        <v>76</v>
      </c>
      <c r="T561" s="35"/>
      <c r="U561" s="35"/>
      <c r="V561" s="35" t="n">
        <v>25.3064320575376</v>
      </c>
      <c r="W561" s="35" t="n">
        <v>23.2069598411801</v>
      </c>
      <c r="X561" s="35" t="n">
        <v>4.28270639431346</v>
      </c>
      <c r="Y561" s="35" t="n">
        <v>7.95876058690077</v>
      </c>
      <c r="Z561" s="35"/>
      <c r="AA561" s="35" t="n">
        <v>0.730564140802115</v>
      </c>
      <c r="AB561" s="35" t="n">
        <v>0.278370752632913</v>
      </c>
      <c r="AC561" s="71" t="n">
        <v>6.03812553122313</v>
      </c>
      <c r="AD561" s="72"/>
      <c r="AE561" s="72"/>
      <c r="AF561" s="72"/>
      <c r="AG561" s="72"/>
      <c r="AH561" s="72"/>
      <c r="AI561" s="73" t="n">
        <v>33.238581031871</v>
      </c>
      <c r="AJ561" s="42" t="s">
        <v>16</v>
      </c>
      <c r="AK561" s="43" t="n">
        <v>669.05927814871</v>
      </c>
      <c r="AL561" s="74"/>
      <c r="AM561" s="74"/>
      <c r="AN561" s="74"/>
      <c r="AO561" s="78" t="n">
        <v>35.38</v>
      </c>
      <c r="AP561" s="76" t="n">
        <v>1.26589953474578</v>
      </c>
      <c r="AQ561" s="76" t="n">
        <v>1.19652478134111</v>
      </c>
      <c r="AR561" s="76" t="n">
        <v>1.84464237123421</v>
      </c>
      <c r="AS561" s="77" t="n">
        <v>33.1404930211867</v>
      </c>
      <c r="AT561" s="78" t="n">
        <v>34.612293856507</v>
      </c>
      <c r="AU561" s="78" t="n">
        <v>35.7800886021984</v>
      </c>
      <c r="AV561" s="78" t="n">
        <v>33.8192419825073</v>
      </c>
      <c r="AW561" s="78" t="n">
        <v>52.1379980563654</v>
      </c>
      <c r="AX561" s="78" t="n">
        <v>26.9225</v>
      </c>
      <c r="AY561" s="48" t="n">
        <v>1.36772713663512</v>
      </c>
      <c r="AZ561" s="48" t="n">
        <v>25.2891205829211</v>
      </c>
      <c r="BA561" s="48" t="n">
        <v>0.0173114746164984</v>
      </c>
      <c r="BB561" s="49" t="n">
        <f aca="false">AT561/V561</f>
        <v>1.36772713663512</v>
      </c>
      <c r="BC561" s="49" t="n">
        <f aca="false">AS561/V561</f>
        <v>1.30956797646691</v>
      </c>
      <c r="BD561" s="49" t="n">
        <f aca="false">SUM(AP561:AR561)/V561</f>
        <v>0.170196520691989</v>
      </c>
      <c r="BE561" s="53" t="n">
        <v>5.96</v>
      </c>
      <c r="BF561" s="51" t="n">
        <v>127.72</v>
      </c>
      <c r="BG561" s="51" t="n">
        <v>611.650485436893</v>
      </c>
      <c r="BH561" s="51" t="n">
        <v>240.526150955215</v>
      </c>
      <c r="BI561" s="51" t="n">
        <v>122.846852489821</v>
      </c>
      <c r="BJ561" s="51" t="n">
        <v>4.30629502035703</v>
      </c>
      <c r="BK561" s="51" t="n">
        <v>10.2568117757595</v>
      </c>
      <c r="BL561" s="51" t="n">
        <v>6.57688694018165</v>
      </c>
      <c r="BM561" s="51" t="n">
        <v>3.83651738177263</v>
      </c>
      <c r="BN561" s="52" t="n">
        <f aca="false">(BG561*0.5-BH561*0.25+BI561*0.5)/SUM(BG561:BI561)*1000</f>
        <v>314.984341122621</v>
      </c>
      <c r="BO561" s="93" t="n">
        <v>9.23828571428571</v>
      </c>
      <c r="BP561" s="94" t="s">
        <v>491</v>
      </c>
      <c r="BQ561" s="55" t="n">
        <v>330.702941176471</v>
      </c>
      <c r="BR561" s="56" t="n">
        <v>13.0679402147475</v>
      </c>
      <c r="BS561" s="56"/>
      <c r="BT561" s="56" t="n">
        <v>9.55449363013829</v>
      </c>
      <c r="BU561" s="55" t="n">
        <v>11140.5529411765</v>
      </c>
      <c r="BV561" s="55" t="n">
        <v>440.226141553536</v>
      </c>
      <c r="BW561" s="55"/>
      <c r="BX561" s="55" t="n">
        <v>321.866935123171</v>
      </c>
      <c r="BY561" s="96" t="n">
        <v>0.07725</v>
      </c>
      <c r="BZ561" s="96" t="n">
        <v>1.2177</v>
      </c>
      <c r="CA561" s="97" t="n">
        <v>4</v>
      </c>
      <c r="CB561" s="97"/>
      <c r="CC561" s="97" t="n">
        <v>8.47</v>
      </c>
      <c r="CD561" s="97" t="n">
        <v>7.4437</v>
      </c>
      <c r="CE561" s="97" t="n">
        <v>114.33</v>
      </c>
      <c r="CF561" s="97" t="n">
        <v>41.4216</v>
      </c>
      <c r="CG561" s="97" t="n">
        <v>0.0864</v>
      </c>
      <c r="CH561" s="63" t="n">
        <v>48037.4895592826</v>
      </c>
      <c r="CI561" s="63" t="n">
        <v>2262.51938754436</v>
      </c>
      <c r="CJ561" s="63" t="n">
        <v>943868.541670633</v>
      </c>
      <c r="CK561" s="85" t="n">
        <v>0.239707044747962</v>
      </c>
    </row>
    <row r="562" s="1" customFormat="true" ht="15" hidden="false" customHeight="false" outlineLevel="0" collapsed="false">
      <c r="A562" s="7" t="s">
        <v>488</v>
      </c>
      <c r="B562" s="66" t="n">
        <v>553</v>
      </c>
      <c r="C562" s="8" t="s">
        <v>645</v>
      </c>
      <c r="D562" s="67" t="n">
        <v>41800</v>
      </c>
      <c r="E562" s="4" t="s">
        <v>490</v>
      </c>
      <c r="F562" s="7" t="n">
        <v>468</v>
      </c>
      <c r="G562" s="68" t="n">
        <v>1</v>
      </c>
      <c r="H562" s="68" t="n">
        <v>188</v>
      </c>
      <c r="I562" s="7" t="n">
        <v>1</v>
      </c>
      <c r="J562" s="8" t="n">
        <v>802</v>
      </c>
      <c r="K562" s="32"/>
      <c r="L562" s="31" t="n">
        <v>917.038</v>
      </c>
      <c r="M562" s="31" t="n">
        <v>169.233907987351</v>
      </c>
      <c r="N562" s="31" t="n">
        <v>314.495562582883</v>
      </c>
      <c r="O562" s="95"/>
      <c r="P562" s="33" t="n">
        <v>28.868713659084</v>
      </c>
      <c r="Q562" s="33" t="n">
        <v>11</v>
      </c>
      <c r="R562" s="31" t="n">
        <v>238.600428440273</v>
      </c>
      <c r="S562" s="34" t="s">
        <v>76</v>
      </c>
      <c r="T562" s="35"/>
      <c r="U562" s="35"/>
      <c r="V562" s="35" t="n">
        <v>22.4226110722637</v>
      </c>
      <c r="W562" s="35" t="n">
        <v>20.5623864124865</v>
      </c>
      <c r="X562" s="35" t="n">
        <v>3.79466609903962</v>
      </c>
      <c r="Y562" s="35" t="n">
        <v>7.05181168374874</v>
      </c>
      <c r="Z562" s="35"/>
      <c r="AA562" s="35" t="n">
        <v>0.647311938534185</v>
      </c>
      <c r="AB562" s="35" t="n">
        <v>0.2466487217949</v>
      </c>
      <c r="AC562" s="71" t="n">
        <v>5.35004460859173</v>
      </c>
      <c r="AD562" s="72"/>
      <c r="AE562" s="72"/>
      <c r="AF562" s="72"/>
      <c r="AG562" s="72"/>
      <c r="AH562" s="72"/>
      <c r="AI562" s="73" t="n">
        <v>32.8481996826334</v>
      </c>
      <c r="AJ562" s="42" t="s">
        <v>16</v>
      </c>
      <c r="AK562" s="43" t="n">
        <v>665.126244169307</v>
      </c>
      <c r="AL562" s="74"/>
      <c r="AM562" s="74"/>
      <c r="AN562" s="74"/>
      <c r="AO562" s="78" t="n">
        <v>28.7</v>
      </c>
      <c r="AP562" s="76" t="n">
        <v>0.92640620954264</v>
      </c>
      <c r="AQ562" s="76" t="n">
        <v>0.889727891156463</v>
      </c>
      <c r="AR562" s="76" t="n">
        <v>1.51797619047619</v>
      </c>
      <c r="AS562" s="77" t="n">
        <v>25.3760931431396</v>
      </c>
      <c r="AT562" s="78" t="n">
        <v>26.3420984018935</v>
      </c>
      <c r="AU562" s="78" t="n">
        <v>32.2789620049701</v>
      </c>
      <c r="AV562" s="78" t="n">
        <v>31.0009718172983</v>
      </c>
      <c r="AW562" s="78" t="n">
        <v>52.891156462585</v>
      </c>
      <c r="AX562" s="78" t="n">
        <v>35.045</v>
      </c>
      <c r="AY562" s="48" t="n">
        <v>1.17480066514101</v>
      </c>
      <c r="AZ562" s="48" t="n">
        <v>23.9598278152829</v>
      </c>
      <c r="BA562" s="48" t="n">
        <v>-1.53721674301922</v>
      </c>
      <c r="BB562" s="49" t="n">
        <f aca="false">AT562/V562</f>
        <v>1.17480066514101</v>
      </c>
      <c r="BC562" s="49" t="n">
        <f aca="false">AS562/V562</f>
        <v>1.13171891807593</v>
      </c>
      <c r="BD562" s="49" t="n">
        <f aca="false">SUM(AP562:AR562)/V562</f>
        <v>0.148694114188134</v>
      </c>
      <c r="BE562" s="53" t="n">
        <v>6.21</v>
      </c>
      <c r="BF562" s="51" t="n">
        <v>119</v>
      </c>
      <c r="BG562" s="51" t="n">
        <v>591.512605042017</v>
      </c>
      <c r="BH562" s="51" t="n">
        <v>260.252100840336</v>
      </c>
      <c r="BI562" s="51" t="n">
        <v>107.983193277311</v>
      </c>
      <c r="BJ562" s="51" t="n">
        <v>6.38655462184874</v>
      </c>
      <c r="BK562" s="51" t="n">
        <v>17.2268907563025</v>
      </c>
      <c r="BL562" s="51" t="n">
        <v>13.1932773109244</v>
      </c>
      <c r="BM562" s="51" t="n">
        <v>3.4453781512605</v>
      </c>
      <c r="BN562" s="52" t="n">
        <f aca="false">(BG562*0.5-BH562*0.25+BI562*0.5)/SUM(BG562:BI562)*1000</f>
        <v>296.62463882322</v>
      </c>
      <c r="BO562" s="93" t="n">
        <v>14.1342857142857</v>
      </c>
      <c r="BP562" s="94" t="s">
        <v>491</v>
      </c>
      <c r="BQ562" s="55" t="n">
        <v>367.651960784314</v>
      </c>
      <c r="BR562" s="56" t="n">
        <v>16.396482978697</v>
      </c>
      <c r="BS562" s="56"/>
      <c r="BT562" s="56" t="n">
        <v>13.9568213274113</v>
      </c>
      <c r="BU562" s="55" t="n">
        <v>12124.6794117647</v>
      </c>
      <c r="BV562" s="55" t="n">
        <v>540.734501110921</v>
      </c>
      <c r="BW562" s="55"/>
      <c r="BX562" s="55" t="n">
        <v>460.277659994359</v>
      </c>
      <c r="BY562" s="96" t="n">
        <v>0.10197</v>
      </c>
      <c r="BZ562" s="96" t="n">
        <v>0.4301</v>
      </c>
      <c r="CA562" s="97" t="n">
        <v>4.6206</v>
      </c>
      <c r="CB562" s="97"/>
      <c r="CC562" s="97" t="n">
        <v>7.3644</v>
      </c>
      <c r="CD562" s="97" t="n">
        <v>7.1306</v>
      </c>
      <c r="CE562" s="97" t="n">
        <v>98.88</v>
      </c>
      <c r="CF562" s="97" t="n">
        <v>36.7943</v>
      </c>
      <c r="CG562" s="97" t="n">
        <v>0.1228</v>
      </c>
      <c r="CH562" s="63" t="n">
        <v>23923.6775298708</v>
      </c>
      <c r="CI562" s="63" t="n">
        <v>2462.54108402803</v>
      </c>
      <c r="CJ562" s="64" t="n">
        <v>4023897.43965091</v>
      </c>
      <c r="CK562" s="65" t="n">
        <v>0.0611979087678157</v>
      </c>
    </row>
    <row r="563" s="1" customFormat="true" ht="15" hidden="false" customHeight="false" outlineLevel="0" collapsed="false">
      <c r="A563" s="7" t="s">
        <v>488</v>
      </c>
      <c r="B563" s="66" t="n">
        <v>554</v>
      </c>
      <c r="C563" s="8" t="s">
        <v>646</v>
      </c>
      <c r="D563" s="67" t="n">
        <v>41800</v>
      </c>
      <c r="E563" s="4" t="s">
        <v>490</v>
      </c>
      <c r="F563" s="7" t="n">
        <v>472</v>
      </c>
      <c r="G563" s="68" t="n">
        <v>1</v>
      </c>
      <c r="H563" s="68" t="n">
        <v>175</v>
      </c>
      <c r="I563" s="7" t="n">
        <v>1</v>
      </c>
      <c r="J563" s="8" t="n">
        <v>646</v>
      </c>
      <c r="K563" s="32"/>
      <c r="L563" s="31" t="n">
        <v>917.038</v>
      </c>
      <c r="M563" s="31" t="n">
        <v>169.233907987351</v>
      </c>
      <c r="N563" s="31" t="n">
        <v>314.495562582883</v>
      </c>
      <c r="O563" s="95"/>
      <c r="P563" s="33" t="n">
        <v>28.868713659084</v>
      </c>
      <c r="Q563" s="33" t="n">
        <v>11</v>
      </c>
      <c r="R563" s="31" t="n">
        <v>238.600428440273</v>
      </c>
      <c r="S563" s="34" t="s">
        <v>76</v>
      </c>
      <c r="T563" s="35"/>
      <c r="U563" s="35"/>
      <c r="V563" s="35" t="n">
        <v>22.1848346690367</v>
      </c>
      <c r="W563" s="35" t="n">
        <v>20.344336415224</v>
      </c>
      <c r="X563" s="35" t="n">
        <v>3.75442626909434</v>
      </c>
      <c r="Y563" s="35" t="n">
        <v>6.97703206004692</v>
      </c>
      <c r="Z563" s="35"/>
      <c r="AA563" s="35" t="n">
        <v>0.640447639634538</v>
      </c>
      <c r="AB563" s="35" t="n">
        <v>0.244033181359403</v>
      </c>
      <c r="AC563" s="71" t="n">
        <v>5.29331105690878</v>
      </c>
      <c r="AD563" s="72"/>
      <c r="AE563" s="72"/>
      <c r="AF563" s="72"/>
      <c r="AG563" s="72"/>
      <c r="AH563" s="72"/>
      <c r="AI563" s="73" t="n">
        <v>33.7203988137137</v>
      </c>
      <c r="AJ563" s="42" t="s">
        <v>16</v>
      </c>
      <c r="AK563" s="43" t="n">
        <v>673.78796256922</v>
      </c>
      <c r="AL563" s="74"/>
      <c r="AM563" s="74"/>
      <c r="AN563" s="74"/>
      <c r="AO563" s="78" t="n">
        <v>33.36</v>
      </c>
      <c r="AP563" s="76" t="n">
        <v>1.01328662365692</v>
      </c>
      <c r="AQ563" s="76" t="n">
        <v>0.99934110787172</v>
      </c>
      <c r="AR563" s="76" t="n">
        <v>1.65422157434402</v>
      </c>
      <c r="AS563" s="77" t="n">
        <v>28.5432993548538</v>
      </c>
      <c r="AT563" s="78" t="n">
        <v>28.995002973314</v>
      </c>
      <c r="AU563" s="78" t="n">
        <v>30.3742992702914</v>
      </c>
      <c r="AV563" s="78" t="n">
        <v>29.9562682215743</v>
      </c>
      <c r="AW563" s="78" t="n">
        <v>49.5869776482021</v>
      </c>
      <c r="AX563" s="78" t="n">
        <v>41.3425</v>
      </c>
      <c r="AY563" s="48" t="n">
        <v>1.30697403906202</v>
      </c>
      <c r="AZ563" s="48" t="n">
        <v>22.9281151466062</v>
      </c>
      <c r="BA563" s="48" t="n">
        <v>-0.743280477569563</v>
      </c>
      <c r="BB563" s="49" t="n">
        <f aca="false">AT563/V563</f>
        <v>1.30697403906202</v>
      </c>
      <c r="BC563" s="49" t="n">
        <f aca="false">AS563/V563</f>
        <v>1.28661312020917</v>
      </c>
      <c r="BD563" s="49" t="n">
        <f aca="false">SUM(AP563:AR563)/V563</f>
        <v>0.165286303034319</v>
      </c>
      <c r="BE563" s="53" t="n">
        <v>5.91</v>
      </c>
      <c r="BF563" s="51" t="n">
        <v>126.31</v>
      </c>
      <c r="BG563" s="51" t="n">
        <v>623.941097300293</v>
      </c>
      <c r="BH563" s="51" t="n">
        <v>212.968094370992</v>
      </c>
      <c r="BI563" s="51" t="n">
        <v>131.50186050194</v>
      </c>
      <c r="BJ563" s="51" t="n">
        <v>6.25445332911092</v>
      </c>
      <c r="BK563" s="51" t="n">
        <v>10.4504789802866</v>
      </c>
      <c r="BL563" s="51" t="n">
        <v>11.9547145910854</v>
      </c>
      <c r="BM563" s="51" t="n">
        <v>2.92930092629245</v>
      </c>
      <c r="BN563" s="52" t="n">
        <f aca="false">(BG563*0.5-BH563*0.25+BI563*0.5)/SUM(BG563:BI563)*1000</f>
        <v>335.063767168084</v>
      </c>
      <c r="BO563" s="93" t="n">
        <v>8.42228571428572</v>
      </c>
      <c r="BP563" s="94" t="s">
        <v>491</v>
      </c>
      <c r="BQ563" s="55" t="n">
        <v>312.552941176471</v>
      </c>
      <c r="BR563" s="56" t="n">
        <v>14.0885855513136</v>
      </c>
      <c r="BS563" s="56"/>
      <c r="BT563" s="56" t="n">
        <v>10.7795450638213</v>
      </c>
      <c r="BU563" s="55" t="n">
        <v>10652.8176470588</v>
      </c>
      <c r="BV563" s="55" t="n">
        <v>480.184675972679</v>
      </c>
      <c r="BW563" s="55"/>
      <c r="BX563" s="55" t="n">
        <v>367.401847030791</v>
      </c>
      <c r="BY563" s="96" t="n">
        <v>0.0721</v>
      </c>
      <c r="BZ563" s="96" t="n">
        <v>0.8437</v>
      </c>
      <c r="CA563" s="97" t="n">
        <v>4.641</v>
      </c>
      <c r="CB563" s="97"/>
      <c r="CC563" s="97" t="n">
        <v>6.936</v>
      </c>
      <c r="CD563" s="97" t="n">
        <v>6.4034</v>
      </c>
      <c r="CE563" s="97" t="n">
        <v>111.24</v>
      </c>
      <c r="CF563" s="97" t="n">
        <v>37.4205</v>
      </c>
      <c r="CG563" s="97" t="n">
        <v>0.141</v>
      </c>
      <c r="CH563" s="63" t="n">
        <v>77788.9078840774</v>
      </c>
      <c r="CI563" s="63" t="n">
        <v>2056.28820250101</v>
      </c>
      <c r="CJ563" s="64" t="n">
        <v>3271406.37050817</v>
      </c>
      <c r="CK563" s="65" t="n">
        <v>0.0628563978183361</v>
      </c>
    </row>
    <row r="564" s="1" customFormat="true" ht="15" hidden="false" customHeight="false" outlineLevel="0" collapsed="false">
      <c r="A564" s="7" t="s">
        <v>488</v>
      </c>
      <c r="B564" s="66" t="n">
        <v>555</v>
      </c>
      <c r="C564" s="8" t="s">
        <v>647</v>
      </c>
      <c r="D564" s="67" t="n">
        <v>41800</v>
      </c>
      <c r="E564" s="4" t="s">
        <v>490</v>
      </c>
      <c r="F564" s="7" t="n">
        <v>476</v>
      </c>
      <c r="G564" s="68" t="n">
        <v>1</v>
      </c>
      <c r="H564" s="68" t="n">
        <v>175</v>
      </c>
      <c r="I564" s="7" t="n">
        <v>1</v>
      </c>
      <c r="J564" s="8" t="n">
        <v>666</v>
      </c>
      <c r="K564" s="32"/>
      <c r="L564" s="31" t="n">
        <v>917.038</v>
      </c>
      <c r="M564" s="31" t="n">
        <v>169.233907987351</v>
      </c>
      <c r="N564" s="31" t="n">
        <v>314.495562582883</v>
      </c>
      <c r="O564" s="95"/>
      <c r="P564" s="33" t="n">
        <v>28.868713659084</v>
      </c>
      <c r="Q564" s="33" t="n">
        <v>11</v>
      </c>
      <c r="R564" s="31" t="n">
        <v>238.600428440273</v>
      </c>
      <c r="S564" s="34" t="s">
        <v>76</v>
      </c>
      <c r="T564" s="35"/>
      <c r="U564" s="35"/>
      <c r="V564" s="35" t="n">
        <v>28.1675855273717</v>
      </c>
      <c r="W564" s="35" t="n">
        <v>25.8307462968499</v>
      </c>
      <c r="X564" s="35" t="n">
        <v>4.76691057736506</v>
      </c>
      <c r="Y564" s="35" t="n">
        <v>8.85858065703223</v>
      </c>
      <c r="Z564" s="35"/>
      <c r="AA564" s="35" t="n">
        <v>0.813161961057451</v>
      </c>
      <c r="AB564" s="35" t="n">
        <v>0.309843440801089</v>
      </c>
      <c r="AC564" s="71" t="n">
        <v>6.72079797495893</v>
      </c>
      <c r="AD564" s="72"/>
      <c r="AE564" s="72"/>
      <c r="AF564" s="72"/>
      <c r="AG564" s="72"/>
      <c r="AH564" s="72"/>
      <c r="AI564" s="73" t="n">
        <v>31.2988888489689</v>
      </c>
      <c r="AJ564" s="42" t="s">
        <v>16</v>
      </c>
      <c r="AK564" s="43" t="n">
        <v>648.549823826658</v>
      </c>
      <c r="AL564" s="74"/>
      <c r="AM564" s="74"/>
      <c r="AN564" s="74"/>
      <c r="AO564" s="78" t="n">
        <v>32.72</v>
      </c>
      <c r="AP564" s="76" t="n">
        <v>1.21646725090204</v>
      </c>
      <c r="AQ564" s="76" t="n">
        <v>1.0731778425656</v>
      </c>
      <c r="AR564" s="76" t="n">
        <v>1.72026433430515</v>
      </c>
      <c r="AS564" s="77" t="n">
        <v>31.3350087635307</v>
      </c>
      <c r="AT564" s="78" t="n">
        <v>32.3860113340901</v>
      </c>
      <c r="AU564" s="78" t="n">
        <v>37.1780944652214</v>
      </c>
      <c r="AV564" s="78" t="n">
        <v>32.798833819242</v>
      </c>
      <c r="AW564" s="78" t="n">
        <v>52.575315840622</v>
      </c>
      <c r="AX564" s="78" t="n">
        <v>38.1775</v>
      </c>
      <c r="AY564" s="48" t="n">
        <v>1.14976171112072</v>
      </c>
      <c r="AZ564" s="48" t="n">
        <v>24.2481495590699</v>
      </c>
      <c r="BA564" s="48" t="n">
        <v>3.91943596830185</v>
      </c>
      <c r="BB564" s="49" t="n">
        <f aca="false">AT564/V564</f>
        <v>1.14976171112072</v>
      </c>
      <c r="BC564" s="49" t="n">
        <f aca="false">AS564/V564</f>
        <v>1.11244922760884</v>
      </c>
      <c r="BD564" s="49" t="n">
        <f aca="false">SUM(AP564:AR564)/V564</f>
        <v>0.142359004248915</v>
      </c>
      <c r="BE564" s="53" t="n">
        <v>6.41</v>
      </c>
      <c r="BF564" s="51" t="n">
        <v>106.48</v>
      </c>
      <c r="BG564" s="51" t="n">
        <v>631.480090157776</v>
      </c>
      <c r="BH564" s="51" t="n">
        <v>234.785875281743</v>
      </c>
      <c r="BI564" s="51" t="n">
        <v>104.80841472577</v>
      </c>
      <c r="BJ564" s="51" t="n">
        <v>5.35311795642374</v>
      </c>
      <c r="BK564" s="51" t="n">
        <v>10.5184072126221</v>
      </c>
      <c r="BL564" s="51" t="n">
        <v>9.20360631104433</v>
      </c>
      <c r="BM564" s="51" t="n">
        <v>3.85048835462059</v>
      </c>
      <c r="BN564" s="52" t="n">
        <f aca="false">(BG564*0.5-BH564*0.25+BI564*0.5)/SUM(BG564:BI564)*1000</f>
        <v>318.665377176015</v>
      </c>
      <c r="BO564" s="93" t="n">
        <v>5.62457142857143</v>
      </c>
      <c r="BP564" s="94" t="s">
        <v>491</v>
      </c>
      <c r="BQ564" s="55" t="n">
        <v>327.933333333333</v>
      </c>
      <c r="BR564" s="56" t="n">
        <v>11.6422237544878</v>
      </c>
      <c r="BS564" s="56"/>
      <c r="BT564" s="56" t="n">
        <v>10.1257709679162</v>
      </c>
      <c r="BU564" s="55" t="n">
        <v>11290.5450980392</v>
      </c>
      <c r="BV564" s="55" t="n">
        <v>400.834678821431</v>
      </c>
      <c r="BW564" s="55"/>
      <c r="BX564" s="55" t="n">
        <v>348.624132239297</v>
      </c>
      <c r="BY564" s="96" t="n">
        <v>0.07828</v>
      </c>
      <c r="BZ564" s="96" t="n">
        <v>0.5357</v>
      </c>
      <c r="CA564" s="97" t="n">
        <v>4.539</v>
      </c>
      <c r="CB564" s="97"/>
      <c r="CC564" s="97" t="n">
        <v>7.6806</v>
      </c>
      <c r="CD564" s="97" t="n">
        <v>7.1508</v>
      </c>
      <c r="CE564" s="97" t="n">
        <v>108.15</v>
      </c>
      <c r="CF564" s="97" t="n">
        <v>37.3902</v>
      </c>
      <c r="CG564" s="97" t="n">
        <v>0.0955</v>
      </c>
      <c r="CH564" s="63" t="n">
        <v>35008.2093937432</v>
      </c>
      <c r="CI564" s="63" t="n">
        <v>7272.38813833996</v>
      </c>
      <c r="CJ564" s="64" t="n">
        <v>3982903.1939601</v>
      </c>
      <c r="CK564" s="65" t="n">
        <v>0.18259013046986</v>
      </c>
    </row>
    <row r="565" s="1" customFormat="true" ht="15" hidden="false" customHeight="false" outlineLevel="0" collapsed="false">
      <c r="A565" s="7" t="s">
        <v>488</v>
      </c>
      <c r="B565" s="66" t="n">
        <v>556</v>
      </c>
      <c r="C565" s="8" t="s">
        <v>648</v>
      </c>
      <c r="D565" s="67" t="n">
        <v>41800</v>
      </c>
      <c r="E565" s="4" t="s">
        <v>490</v>
      </c>
      <c r="F565" s="7" t="n">
        <v>477</v>
      </c>
      <c r="G565" s="68" t="n">
        <v>1</v>
      </c>
      <c r="H565" s="68" t="n">
        <v>189</v>
      </c>
      <c r="I565" s="7" t="n">
        <v>1</v>
      </c>
      <c r="J565" s="8" t="n">
        <v>656</v>
      </c>
      <c r="K565" s="32"/>
      <c r="L565" s="31" t="n">
        <v>917.038</v>
      </c>
      <c r="M565" s="31" t="n">
        <v>169.233907987351</v>
      </c>
      <c r="N565" s="31" t="n">
        <v>314.495562582883</v>
      </c>
      <c r="O565" s="95"/>
      <c r="P565" s="33" t="n">
        <v>28.868713659084</v>
      </c>
      <c r="Q565" s="33" t="n">
        <v>11</v>
      </c>
      <c r="R565" s="31" t="n">
        <v>238.600428440273</v>
      </c>
      <c r="S565" s="34" t="s">
        <v>76</v>
      </c>
      <c r="T565" s="35"/>
      <c r="U565" s="35"/>
      <c r="V565" s="35" t="n">
        <v>22.6614901367083</v>
      </c>
      <c r="W565" s="35" t="n">
        <v>20.7814475919867</v>
      </c>
      <c r="X565" s="35" t="n">
        <v>3.83509253665196</v>
      </c>
      <c r="Y565" s="35" t="n">
        <v>7.12693808951054</v>
      </c>
      <c r="Z565" s="35"/>
      <c r="AA565" s="35" t="n">
        <v>0.654208069844788</v>
      </c>
      <c r="AB565" s="35" t="n">
        <v>0.249276391503792</v>
      </c>
      <c r="AC565" s="71" t="n">
        <v>5.40704125571364</v>
      </c>
      <c r="AD565" s="72"/>
      <c r="AE565" s="72"/>
      <c r="AF565" s="72"/>
      <c r="AG565" s="72"/>
      <c r="AH565" s="72"/>
      <c r="AI565" s="73" t="n">
        <v>31.7819105491368</v>
      </c>
      <c r="AJ565" s="42" t="s">
        <v>16</v>
      </c>
      <c r="AK565" s="43" t="n">
        <v>653.891166077215</v>
      </c>
      <c r="AL565" s="74"/>
      <c r="AM565" s="74"/>
      <c r="AN565" s="74"/>
      <c r="AO565" s="78" t="n">
        <v>33.92</v>
      </c>
      <c r="AP565" s="76" t="n">
        <v>1.15749808266815</v>
      </c>
      <c r="AQ565" s="76" t="n">
        <v>1.07874829931973</v>
      </c>
      <c r="AR565" s="76" t="n">
        <v>1.72566763848397</v>
      </c>
      <c r="AS565" s="77" t="n">
        <v>30.9304712400223</v>
      </c>
      <c r="AT565" s="78" t="n">
        <v>31.7460420860676</v>
      </c>
      <c r="AU565" s="78" t="n">
        <v>34.124353852245</v>
      </c>
      <c r="AV565" s="78" t="n">
        <v>31.8027210884354</v>
      </c>
      <c r="AW565" s="78" t="n">
        <v>50.8746355685131</v>
      </c>
      <c r="AX565" s="78" t="n">
        <v>35.4625</v>
      </c>
      <c r="AY565" s="48" t="n">
        <v>1.40088060822812</v>
      </c>
      <c r="AZ565" s="48" t="n">
        <v>23.986874565359</v>
      </c>
      <c r="BA565" s="48" t="n">
        <v>-1.32538442865071</v>
      </c>
      <c r="BB565" s="49" t="n">
        <f aca="false">AT565/V565</f>
        <v>1.40088060822812</v>
      </c>
      <c r="BC565" s="49" t="n">
        <f aca="false">AS565/V565</f>
        <v>1.36489132239011</v>
      </c>
      <c r="BD565" s="49" t="n">
        <f aca="false">SUM(AP565:AR565)/V565</f>
        <v>0.174830251522344</v>
      </c>
      <c r="BE565" s="53" t="n">
        <v>6.15</v>
      </c>
      <c r="BF565" s="51" t="n">
        <v>110.81</v>
      </c>
      <c r="BG565" s="51" t="n">
        <v>670.517101344644</v>
      </c>
      <c r="BH565" s="51" t="n">
        <v>204.403934662937</v>
      </c>
      <c r="BI565" s="51" t="n">
        <v>95.9299702192943</v>
      </c>
      <c r="BJ565" s="51" t="n">
        <v>6.31711939355654</v>
      </c>
      <c r="BK565" s="51" t="n">
        <v>8.75372258821406</v>
      </c>
      <c r="BL565" s="51" t="n">
        <v>11.1903257828716</v>
      </c>
      <c r="BM565" s="51" t="n">
        <v>2.88782600848299</v>
      </c>
      <c r="BN565" s="52" t="n">
        <f aca="false">(BG565*0.5-BH565*0.25+BI565*0.5)/SUM(BG565:BI565)*1000</f>
        <v>342.094255437814</v>
      </c>
      <c r="BO565" s="93" t="n">
        <v>8.04342857142857</v>
      </c>
      <c r="BP565" s="94" t="s">
        <v>491</v>
      </c>
      <c r="BQ565" s="55" t="n">
        <v>392.357291666667</v>
      </c>
      <c r="BR565" s="56" t="n">
        <v>17.3138345845627</v>
      </c>
      <c r="BS565" s="56"/>
      <c r="BT565" s="56" t="n">
        <v>12.3592506619545</v>
      </c>
      <c r="BU565" s="55" t="n">
        <v>12000.4208333333</v>
      </c>
      <c r="BV565" s="55" t="n">
        <v>529.551267853052</v>
      </c>
      <c r="BW565" s="55"/>
      <c r="BX565" s="55" t="n">
        <v>378.013133126915</v>
      </c>
      <c r="BY565" s="96" t="n">
        <v>0.08652</v>
      </c>
      <c r="BZ565" s="96" t="n">
        <v>0.6281</v>
      </c>
      <c r="CA565" s="97" t="n">
        <v>4.3044</v>
      </c>
      <c r="CB565" s="97"/>
      <c r="CC565" s="97" t="n">
        <v>8.4048</v>
      </c>
      <c r="CD565" s="97" t="n">
        <v>7.7366</v>
      </c>
      <c r="CE565" s="97" t="n">
        <v>104.03</v>
      </c>
      <c r="CF565" s="97" t="n">
        <v>37.2791</v>
      </c>
      <c r="CG565" s="97" t="n">
        <v>0.1228</v>
      </c>
      <c r="CH565" s="63" t="n">
        <v>22730.2718521486</v>
      </c>
      <c r="CI565" s="63" t="n">
        <v>1302.56780570265</v>
      </c>
      <c r="CJ565" s="63" t="n">
        <v>161259.201532827</v>
      </c>
      <c r="CK565" s="85" t="n">
        <v>0.807747894892984</v>
      </c>
    </row>
    <row r="566" s="1" customFormat="true" ht="15" hidden="false" customHeight="false" outlineLevel="0" collapsed="false">
      <c r="A566" s="7" t="s">
        <v>488</v>
      </c>
      <c r="B566" s="66" t="n">
        <v>557</v>
      </c>
      <c r="C566" s="8" t="s">
        <v>649</v>
      </c>
      <c r="D566" s="67" t="n">
        <v>41800</v>
      </c>
      <c r="E566" s="4" t="s">
        <v>490</v>
      </c>
      <c r="F566" s="7" t="n">
        <v>478</v>
      </c>
      <c r="G566" s="68" t="n">
        <v>1</v>
      </c>
      <c r="H566" s="68" t="n">
        <v>186</v>
      </c>
      <c r="I566" s="7" t="n">
        <v>1</v>
      </c>
      <c r="J566" s="8" t="n">
        <v>677</v>
      </c>
      <c r="K566" s="32"/>
      <c r="L566" s="31" t="n">
        <v>917.038</v>
      </c>
      <c r="M566" s="31" t="n">
        <v>169.233907987351</v>
      </c>
      <c r="N566" s="31" t="n">
        <v>314.495562582883</v>
      </c>
      <c r="O566" s="95"/>
      <c r="P566" s="33" t="n">
        <v>28.868713659084</v>
      </c>
      <c r="Q566" s="33" t="n">
        <v>11</v>
      </c>
      <c r="R566" s="31" t="n">
        <v>238.600428440273</v>
      </c>
      <c r="S566" s="34" t="s">
        <v>76</v>
      </c>
      <c r="T566" s="35"/>
      <c r="U566" s="35"/>
      <c r="V566" s="35" t="n">
        <v>22.4739291806098</v>
      </c>
      <c r="W566" s="35" t="n">
        <v>20.6094470679281</v>
      </c>
      <c r="X566" s="35" t="n">
        <v>3.80335086306556</v>
      </c>
      <c r="Y566" s="35" t="n">
        <v>7.06795100110374</v>
      </c>
      <c r="Z566" s="35"/>
      <c r="AA566" s="35" t="n">
        <v>0.648793426309555</v>
      </c>
      <c r="AB566" s="35" t="n">
        <v>0.247213220986708</v>
      </c>
      <c r="AC566" s="71" t="n">
        <v>5.36228913122986</v>
      </c>
      <c r="AD566" s="72"/>
      <c r="AE566" s="72"/>
      <c r="AF566" s="72"/>
      <c r="AG566" s="72"/>
      <c r="AH566" s="72"/>
      <c r="AI566" s="73" t="n">
        <v>32.9624944433968</v>
      </c>
      <c r="AJ566" s="42" t="s">
        <v>16</v>
      </c>
      <c r="AK566" s="43" t="n">
        <v>666.28739160232</v>
      </c>
      <c r="AL566" s="74"/>
      <c r="AM566" s="74"/>
      <c r="AN566" s="74"/>
      <c r="AO566" s="78" t="n">
        <v>27.38</v>
      </c>
      <c r="AP566" s="76" t="n">
        <v>1.25685390729975</v>
      </c>
      <c r="AQ566" s="76" t="n">
        <v>0.974531098153547</v>
      </c>
      <c r="AR566" s="76" t="n">
        <v>1.39893440233236</v>
      </c>
      <c r="AS566" s="77" t="n">
        <v>29.8048086094962</v>
      </c>
      <c r="AT566" s="78" t="n">
        <v>30.3905408405966</v>
      </c>
      <c r="AU566" s="78" t="n">
        <v>45.9040871913714</v>
      </c>
      <c r="AV566" s="78" t="n">
        <v>35.5928085519922</v>
      </c>
      <c r="AW566" s="78" t="n">
        <v>51.0932944606414</v>
      </c>
      <c r="AX566" s="78" t="n">
        <v>39.31</v>
      </c>
      <c r="AY566" s="48" t="n">
        <v>1.35225756904214</v>
      </c>
      <c r="AZ566" s="48" t="n">
        <v>23.8628314842258</v>
      </c>
      <c r="BA566" s="48" t="n">
        <v>-1.38890230361601</v>
      </c>
      <c r="BB566" s="49" t="n">
        <f aca="false">AT566/V566</f>
        <v>1.35225756904214</v>
      </c>
      <c r="BC566" s="49" t="n">
        <f aca="false">AS566/V566</f>
        <v>1.32619482645747</v>
      </c>
      <c r="BD566" s="49" t="n">
        <f aca="false">SUM(AP566:AR566)/V566</f>
        <v>0.161534699989971</v>
      </c>
      <c r="BE566" s="53" t="n">
        <v>6.13</v>
      </c>
      <c r="BF566" s="51" t="n">
        <v>115.68</v>
      </c>
      <c r="BG566" s="51" t="n">
        <v>651.711618257261</v>
      </c>
      <c r="BH566" s="51" t="n">
        <v>173.409405255878</v>
      </c>
      <c r="BI566" s="51" t="n">
        <v>141.770401106501</v>
      </c>
      <c r="BJ566" s="51" t="n">
        <v>7.3478561549101</v>
      </c>
      <c r="BK566" s="51" t="n">
        <v>9.33609958506224</v>
      </c>
      <c r="BL566" s="51" t="n">
        <v>11.8430152143845</v>
      </c>
      <c r="BM566" s="51" t="n">
        <v>4.58160442600277</v>
      </c>
      <c r="BN566" s="52" t="n">
        <f aca="false">(BG566*0.5-BH566*0.25+BI566*0.5)/SUM(BG566:BI566)*1000</f>
        <v>365.489494859186</v>
      </c>
      <c r="BO566" s="93" t="n">
        <v>6.12</v>
      </c>
      <c r="BP566" s="94" t="s">
        <v>491</v>
      </c>
      <c r="BQ566" s="55" t="n">
        <v>305.570833333333</v>
      </c>
      <c r="BR566" s="56" t="n">
        <v>13.5966804414858</v>
      </c>
      <c r="BS566" s="56"/>
      <c r="BT566" s="56" t="n">
        <v>10.0548007663339</v>
      </c>
      <c r="BU566" s="55" t="n">
        <v>7961.42777777778</v>
      </c>
      <c r="BV566" s="55" t="n">
        <v>354.251707113449</v>
      </c>
      <c r="BW566" s="55"/>
      <c r="BX566" s="55" t="n">
        <v>261.970585503456</v>
      </c>
      <c r="BY566" s="96" t="n">
        <v>0.13493</v>
      </c>
      <c r="BZ566" s="96" t="n">
        <v>1.0153</v>
      </c>
      <c r="CA566" s="97" t="n">
        <v>4.1616</v>
      </c>
      <c r="CB566" s="97"/>
      <c r="CC566" s="97" t="n">
        <v>7.5786</v>
      </c>
      <c r="CD566" s="97" t="n">
        <v>6.9286</v>
      </c>
      <c r="CE566" s="97" t="n">
        <v>105.06</v>
      </c>
      <c r="CF566" s="97" t="n">
        <v>36.9963</v>
      </c>
      <c r="CG566" s="97" t="n">
        <v>0.1501</v>
      </c>
      <c r="CH566" s="63" t="n">
        <v>80471.1482118152</v>
      </c>
      <c r="CI566" s="63" t="n">
        <v>3812.63267240458</v>
      </c>
      <c r="CJ566" s="64" t="n">
        <v>1632309.22431505</v>
      </c>
      <c r="CK566" s="65" t="n">
        <v>0.233572941671296</v>
      </c>
    </row>
    <row r="567" s="1" customFormat="true" ht="15" hidden="false" customHeight="false" outlineLevel="0" collapsed="false">
      <c r="A567" s="7" t="s">
        <v>488</v>
      </c>
      <c r="B567" s="66" t="n">
        <v>558</v>
      </c>
      <c r="C567" s="8" t="s">
        <v>650</v>
      </c>
      <c r="D567" s="67" t="n">
        <v>41800</v>
      </c>
      <c r="E567" s="4" t="s">
        <v>490</v>
      </c>
      <c r="F567" s="7" t="n">
        <v>479</v>
      </c>
      <c r="G567" s="68" t="n">
        <v>1</v>
      </c>
      <c r="H567" s="68" t="n">
        <v>132</v>
      </c>
      <c r="I567" s="7" t="n">
        <v>1</v>
      </c>
      <c r="J567" s="8" t="n">
        <v>656</v>
      </c>
      <c r="K567" s="32"/>
      <c r="L567" s="31" t="n">
        <v>917.038</v>
      </c>
      <c r="M567" s="31" t="n">
        <v>169.233907987351</v>
      </c>
      <c r="N567" s="31" t="n">
        <v>314.495562582883</v>
      </c>
      <c r="O567" s="95"/>
      <c r="P567" s="33" t="n">
        <v>28.868713659084</v>
      </c>
      <c r="Q567" s="33" t="n">
        <v>11</v>
      </c>
      <c r="R567" s="31" t="n">
        <v>238.600428440273</v>
      </c>
      <c r="S567" s="34" t="s">
        <v>76</v>
      </c>
      <c r="T567" s="35"/>
      <c r="U567" s="35"/>
      <c r="V567" s="35" t="n">
        <v>18.4998474594584</v>
      </c>
      <c r="W567" s="35" t="n">
        <v>16.9650631145268</v>
      </c>
      <c r="X567" s="35" t="n">
        <v>3.13080148273401</v>
      </c>
      <c r="Y567" s="35" t="n">
        <v>5.81811993445989</v>
      </c>
      <c r="Z567" s="35"/>
      <c r="AA567" s="35" t="n">
        <v>0.534066799043837</v>
      </c>
      <c r="AB567" s="35" t="n">
        <v>0.203498322054043</v>
      </c>
      <c r="AC567" s="71" t="n">
        <v>4.41407152990649</v>
      </c>
      <c r="AD567" s="72"/>
      <c r="AE567" s="72"/>
      <c r="AF567" s="72"/>
      <c r="AG567" s="72"/>
      <c r="AH567" s="72"/>
      <c r="AI567" s="73" t="n">
        <v>35.5314935085964</v>
      </c>
      <c r="AJ567" s="42" t="s">
        <v>16</v>
      </c>
      <c r="AK567" s="43" t="n">
        <v>690.415490209025</v>
      </c>
      <c r="AL567" s="74"/>
      <c r="AM567" s="74"/>
      <c r="AN567" s="74"/>
      <c r="AO567" s="78" t="n">
        <v>32.66</v>
      </c>
      <c r="AP567" s="76" t="n">
        <v>1.06258850952021</v>
      </c>
      <c r="AQ567" s="76" t="n">
        <v>1.01011127308066</v>
      </c>
      <c r="AR567" s="76" t="n">
        <v>1.71234888241011</v>
      </c>
      <c r="AS567" s="77" t="n">
        <v>29.0028276428032</v>
      </c>
      <c r="AT567" s="78" t="n">
        <v>29.9809379739615</v>
      </c>
      <c r="AU567" s="78" t="n">
        <v>32.5348594464241</v>
      </c>
      <c r="AV567" s="78" t="n">
        <v>30.9280855199223</v>
      </c>
      <c r="AW567" s="78" t="n">
        <v>52.4295432458698</v>
      </c>
      <c r="AX567" s="78" t="n">
        <v>36.975</v>
      </c>
      <c r="AY567" s="48" t="n">
        <v>1.62060460442517</v>
      </c>
      <c r="AZ567" s="48" t="n">
        <v>23.0276786312784</v>
      </c>
      <c r="BA567" s="48" t="n">
        <v>-4.52783117181996</v>
      </c>
      <c r="BB567" s="49" t="n">
        <f aca="false">AT567/V567</f>
        <v>1.62060460442517</v>
      </c>
      <c r="BC567" s="49" t="n">
        <f aca="false">AS567/V567</f>
        <v>1.56773333976734</v>
      </c>
      <c r="BD567" s="49" t="n">
        <f aca="false">SUM(AP567:AR567)/V567</f>
        <v>0.204598912142694</v>
      </c>
      <c r="BE567" s="53" t="n">
        <v>6.13</v>
      </c>
      <c r="BF567" s="51" t="n">
        <v>104.93</v>
      </c>
      <c r="BG567" s="51" t="n">
        <v>645.573239302392</v>
      </c>
      <c r="BH567" s="51" t="n">
        <v>206.42332983894</v>
      </c>
      <c r="BI567" s="51" t="n">
        <v>114.743162108072</v>
      </c>
      <c r="BJ567" s="51" t="n">
        <v>6.3852091870771</v>
      </c>
      <c r="BK567" s="51" t="n">
        <v>11.2455922996283</v>
      </c>
      <c r="BL567" s="51" t="n">
        <v>11.6267988182598</v>
      </c>
      <c r="BM567" s="51" t="n">
        <v>4.00266844563042</v>
      </c>
      <c r="BN567" s="52" t="n">
        <f aca="false">(BG567*0.5-BH567*0.25+BI567*0.5)/SUM(BG567:BI567)*1000</f>
        <v>339.856072555205</v>
      </c>
      <c r="BO567" s="93" t="n">
        <v>10.9868571428571</v>
      </c>
      <c r="BP567" s="94" t="s">
        <v>491</v>
      </c>
      <c r="BQ567" s="55" t="n">
        <v>352.402083333333</v>
      </c>
      <c r="BR567" s="56" t="n">
        <v>19.048918327873</v>
      </c>
      <c r="BS567" s="56"/>
      <c r="BT567" s="56" t="n">
        <v>11.7542047430069</v>
      </c>
      <c r="BU567" s="55" t="n">
        <v>11699.1291666667</v>
      </c>
      <c r="BV567" s="55" t="n">
        <v>632.390574695536</v>
      </c>
      <c r="BW567" s="55"/>
      <c r="BX567" s="55" t="n">
        <v>390.218917661194</v>
      </c>
      <c r="BY567" s="96" t="n">
        <v>0.1236</v>
      </c>
      <c r="BZ567" s="96" t="n">
        <v>1.3882</v>
      </c>
      <c r="CA567" s="97" t="n">
        <v>4.3248</v>
      </c>
      <c r="CB567" s="97"/>
      <c r="CC567" s="97" t="n">
        <v>8.1396</v>
      </c>
      <c r="CD567" s="97" t="n">
        <v>7.5548</v>
      </c>
      <c r="CE567" s="97" t="n">
        <v>108.15</v>
      </c>
      <c r="CF567" s="97" t="n">
        <v>39.0163</v>
      </c>
      <c r="CG567" s="97" t="n">
        <v>0.1228</v>
      </c>
      <c r="CH567" s="63" t="n">
        <v>62945.4405063072</v>
      </c>
      <c r="CI567" s="63" t="n">
        <v>6456.92102484453</v>
      </c>
      <c r="CJ567" s="64" t="n">
        <v>1770875.28102746</v>
      </c>
      <c r="CK567" s="65" t="n">
        <v>0.364617491362702</v>
      </c>
    </row>
    <row r="568" s="1" customFormat="true" ht="15" hidden="false" customHeight="false" outlineLevel="0" collapsed="false">
      <c r="A568" s="7" t="s">
        <v>488</v>
      </c>
      <c r="B568" s="66" t="n">
        <v>559</v>
      </c>
      <c r="C568" s="8" t="s">
        <v>651</v>
      </c>
      <c r="D568" s="67" t="n">
        <v>41800</v>
      </c>
      <c r="E568" s="4" t="s">
        <v>490</v>
      </c>
      <c r="F568" s="7" t="n">
        <v>480</v>
      </c>
      <c r="G568" s="68" t="n">
        <v>1</v>
      </c>
      <c r="H568" s="68" t="n">
        <v>129</v>
      </c>
      <c r="I568" s="7" t="n">
        <v>1</v>
      </c>
      <c r="J568" s="8" t="n">
        <v>635</v>
      </c>
      <c r="K568" s="32"/>
      <c r="L568" s="31" t="n">
        <v>917.038</v>
      </c>
      <c r="M568" s="31" t="n">
        <v>169.233907987351</v>
      </c>
      <c r="N568" s="31" t="n">
        <v>314.495562582883</v>
      </c>
      <c r="O568" s="95"/>
      <c r="P568" s="33" t="n">
        <v>28.868713659084</v>
      </c>
      <c r="Q568" s="33" t="n">
        <v>11</v>
      </c>
      <c r="R568" s="31" t="n">
        <v>238.600428440273</v>
      </c>
      <c r="S568" s="34" t="s">
        <v>76</v>
      </c>
      <c r="T568" s="35"/>
      <c r="U568" s="35"/>
      <c r="V568" s="35" t="n">
        <v>16.8905365258405</v>
      </c>
      <c r="W568" s="35" t="n">
        <v>15.4892638345837</v>
      </c>
      <c r="X568" s="35" t="n">
        <v>2.85845150427108</v>
      </c>
      <c r="Y568" s="35" t="n">
        <v>5.31199878702095</v>
      </c>
      <c r="Z568" s="35"/>
      <c r="AA568" s="35" t="n">
        <v>0.487608062512789</v>
      </c>
      <c r="AB568" s="35" t="n">
        <v>0.185795901784246</v>
      </c>
      <c r="AC568" s="71" t="n">
        <v>4.03008925165164</v>
      </c>
      <c r="AD568" s="72"/>
      <c r="AE568" s="72"/>
      <c r="AF568" s="72"/>
      <c r="AG568" s="72"/>
      <c r="AH568" s="72"/>
      <c r="AI568" s="73" t="n">
        <v>35.9748465653579</v>
      </c>
      <c r="AJ568" s="42" t="s">
        <v>16</v>
      </c>
      <c r="AK568" s="43" t="n">
        <v>694.230801512508</v>
      </c>
      <c r="AL568" s="74"/>
      <c r="AM568" s="74"/>
      <c r="AN568" s="74"/>
      <c r="AO568" s="78" t="n">
        <v>26.24</v>
      </c>
      <c r="AP568" s="76" t="n">
        <v>1.04237748488039</v>
      </c>
      <c r="AQ568" s="76" t="n">
        <v>0.84534110787172</v>
      </c>
      <c r="AR568" s="76" t="n">
        <v>1.32857531584062</v>
      </c>
      <c r="AS568" s="77" t="n">
        <v>26.1316622732059</v>
      </c>
      <c r="AT568" s="78" t="n">
        <v>26.4006739507702</v>
      </c>
      <c r="AU568" s="78" t="n">
        <v>39.7247517103808</v>
      </c>
      <c r="AV568" s="78" t="n">
        <v>32.2157434402332</v>
      </c>
      <c r="AW568" s="78" t="n">
        <v>50.6316812439261</v>
      </c>
      <c r="AX568" s="78" t="n">
        <v>42.6875</v>
      </c>
      <c r="AY568" s="48" t="n">
        <v>1.56304531299999</v>
      </c>
      <c r="AZ568" s="48" t="n">
        <v>21.6503388724118</v>
      </c>
      <c r="BA568" s="48" t="n">
        <v>-4.75980234657131</v>
      </c>
      <c r="BB568" s="49" t="n">
        <f aca="false">AT568/V568</f>
        <v>1.56304531299999</v>
      </c>
      <c r="BC568" s="49" t="n">
        <f aca="false">AS568/V568</f>
        <v>1.54711854376133</v>
      </c>
      <c r="BD568" s="49" t="n">
        <f aca="false">SUM(AP568:AR568)/V568</f>
        <v>0.190419878236087</v>
      </c>
      <c r="BE568" s="53" t="n">
        <v>5.92</v>
      </c>
      <c r="BF568" s="51" t="n">
        <v>124.93</v>
      </c>
      <c r="BG568" s="51" t="n">
        <v>606.819819098695</v>
      </c>
      <c r="BH568" s="51" t="n">
        <v>253.582005923317</v>
      </c>
      <c r="BI568" s="51" t="n">
        <v>111.66253101737</v>
      </c>
      <c r="BJ568" s="51" t="n">
        <v>5.44304810693989</v>
      </c>
      <c r="BK568" s="51" t="n">
        <v>10.3257824381654</v>
      </c>
      <c r="BL568" s="51" t="n">
        <v>10.1656927879613</v>
      </c>
      <c r="BM568" s="51" t="n">
        <v>2.00112062755143</v>
      </c>
      <c r="BN568" s="52" t="n">
        <f aca="false">(BG568*0.5-BH568*0.25+BI568*0.5)/SUM(BG568:BI568)*1000</f>
        <v>304.347826086957</v>
      </c>
      <c r="BO568" s="93" t="n">
        <v>6.96514285714286</v>
      </c>
      <c r="BP568" s="94" t="s">
        <v>491</v>
      </c>
      <c r="BQ568" s="55" t="n">
        <v>306.332633053221</v>
      </c>
      <c r="BR568" s="56" t="n">
        <v>18.1363470949883</v>
      </c>
      <c r="BS568" s="56"/>
      <c r="BT568" s="56" t="n">
        <v>11.6032126158766</v>
      </c>
      <c r="BU568" s="55" t="n">
        <v>10120.5649859944</v>
      </c>
      <c r="BV568" s="55" t="n">
        <v>599.18552442139</v>
      </c>
      <c r="BW568" s="55"/>
      <c r="BX568" s="55" t="n">
        <v>383.344948120127</v>
      </c>
      <c r="BY568" s="96" t="n">
        <v>0.0824</v>
      </c>
      <c r="BZ568" s="96" t="n">
        <v>0.6281</v>
      </c>
      <c r="CA568" s="97" t="n">
        <v>4.1922</v>
      </c>
      <c r="CB568" s="97"/>
      <c r="CC568" s="97" t="n">
        <v>8.466</v>
      </c>
      <c r="CD568" s="97" t="n">
        <v>5.9792</v>
      </c>
      <c r="CE568" s="97" t="n">
        <v>98.88</v>
      </c>
      <c r="CF568" s="97" t="n">
        <v>36.1883</v>
      </c>
      <c r="CG568" s="97" t="n">
        <v>0.1319</v>
      </c>
      <c r="CH568" s="63" t="n">
        <v>47811.6901969848</v>
      </c>
      <c r="CI568" s="63" t="n">
        <v>4868.35752072975</v>
      </c>
      <c r="CJ568" s="64" t="n">
        <v>708070.869767995</v>
      </c>
      <c r="CK568" s="65" t="n">
        <v>0.687552295764533</v>
      </c>
    </row>
    <row r="569" s="1" customFormat="true" ht="15" hidden="false" customHeight="false" outlineLevel="0" collapsed="false">
      <c r="A569" s="7" t="s">
        <v>488</v>
      </c>
      <c r="B569" s="66" t="n">
        <v>560</v>
      </c>
      <c r="C569" s="8" t="s">
        <v>652</v>
      </c>
      <c r="D569" s="67" t="n">
        <v>41800</v>
      </c>
      <c r="E569" s="4" t="s">
        <v>490</v>
      </c>
      <c r="F569" s="7" t="n">
        <v>484</v>
      </c>
      <c r="G569" s="68" t="n">
        <v>1</v>
      </c>
      <c r="H569" s="68" t="n">
        <v>167</v>
      </c>
      <c r="I569" s="7" t="n">
        <v>1</v>
      </c>
      <c r="J569" s="8" t="n">
        <v>604</v>
      </c>
      <c r="K569" s="32"/>
      <c r="L569" s="31" t="n">
        <v>917.038</v>
      </c>
      <c r="M569" s="31" t="n">
        <v>169.233907987351</v>
      </c>
      <c r="N569" s="31" t="n">
        <v>314.495562582883</v>
      </c>
      <c r="O569" s="95"/>
      <c r="P569" s="33" t="n">
        <v>28.868713659084</v>
      </c>
      <c r="Q569" s="33" t="n">
        <v>11</v>
      </c>
      <c r="R569" s="31" t="n">
        <v>238.600428440273</v>
      </c>
      <c r="S569" s="34" t="s">
        <v>76</v>
      </c>
      <c r="T569" s="35"/>
      <c r="U569" s="35"/>
      <c r="V569" s="35" t="n">
        <v>17.9616780934754</v>
      </c>
      <c r="W569" s="35" t="n">
        <v>16.4715413554845</v>
      </c>
      <c r="X569" s="35" t="n">
        <v>3.03972497776963</v>
      </c>
      <c r="Y569" s="35" t="n">
        <v>5.64886805694019</v>
      </c>
      <c r="Z569" s="35"/>
      <c r="AA569" s="35" t="n">
        <v>0.518530541717183</v>
      </c>
      <c r="AB569" s="35" t="n">
        <v>0.197578459028229</v>
      </c>
      <c r="AC569" s="71" t="n">
        <v>4.2856640886095</v>
      </c>
      <c r="AD569" s="72"/>
      <c r="AE569" s="72"/>
      <c r="AF569" s="72"/>
      <c r="AG569" s="72"/>
      <c r="AH569" s="72"/>
      <c r="AI569" s="73" t="n">
        <v>32.0690531587611</v>
      </c>
      <c r="AJ569" s="42" t="s">
        <v>16</v>
      </c>
      <c r="AK569" s="43" t="n">
        <v>656.990184725961</v>
      </c>
      <c r="AL569" s="74"/>
      <c r="AM569" s="74"/>
      <c r="AN569" s="74"/>
      <c r="AO569" s="78" t="n">
        <v>35.88</v>
      </c>
      <c r="AP569" s="76" t="n">
        <v>1.01238785746511</v>
      </c>
      <c r="AQ569" s="76" t="n">
        <v>1.07308746355685</v>
      </c>
      <c r="AR569" s="76" t="n">
        <v>1.71990379008746</v>
      </c>
      <c r="AS569" s="77" t="n">
        <v>29.5378178619767</v>
      </c>
      <c r="AT569" s="78" t="n">
        <v>29.9149988047886</v>
      </c>
      <c r="AU569" s="78" t="n">
        <v>28.2159380564412</v>
      </c>
      <c r="AV569" s="78" t="n">
        <v>29.907677356657</v>
      </c>
      <c r="AW569" s="78" t="n">
        <v>47.9348882410107</v>
      </c>
      <c r="AX569" s="78" t="n">
        <v>34.41</v>
      </c>
      <c r="AY569" s="48" t="n">
        <v>1.66549019802639</v>
      </c>
      <c r="AZ569" s="48" t="n">
        <v>22.6664373451459</v>
      </c>
      <c r="BA569" s="48" t="n">
        <v>-4.70475925167045</v>
      </c>
      <c r="BB569" s="49" t="n">
        <f aca="false">AT569/V569</f>
        <v>1.66549019802639</v>
      </c>
      <c r="BC569" s="49" t="n">
        <f aca="false">AS569/V569</f>
        <v>1.6444909940072</v>
      </c>
      <c r="BD569" s="49" t="n">
        <f aca="false">SUM(AP569:AR569)/V569</f>
        <v>0.211861001589363</v>
      </c>
      <c r="BE569" s="53" t="n">
        <v>6.06</v>
      </c>
      <c r="BF569" s="51" t="n">
        <v>124.52</v>
      </c>
      <c r="BG569" s="51" t="n">
        <v>592.916800513974</v>
      </c>
      <c r="BH569" s="51" t="n">
        <v>255.621586893672</v>
      </c>
      <c r="BI569" s="51" t="n">
        <v>118.695791840668</v>
      </c>
      <c r="BJ569" s="51" t="n">
        <v>6.10343719884356</v>
      </c>
      <c r="BK569" s="51" t="n">
        <v>13.732733697398</v>
      </c>
      <c r="BL569" s="51" t="n">
        <v>9.95823964021844</v>
      </c>
      <c r="BM569" s="51" t="n">
        <v>2.97141021522647</v>
      </c>
      <c r="BN569" s="52" t="n">
        <f aca="false">(BG569*0.5-BH569*0.25+BI569*0.5)/SUM(BG569:BI569)*1000</f>
        <v>301.789272666888</v>
      </c>
      <c r="BO569" s="93" t="n">
        <v>15.3</v>
      </c>
      <c r="BP569" s="94" t="s">
        <v>491</v>
      </c>
      <c r="BQ569" s="55" t="n">
        <v>269.05462962963</v>
      </c>
      <c r="BR569" s="56" t="n">
        <v>14.9793704257156</v>
      </c>
      <c r="BS569" s="56"/>
      <c r="BT569" s="56" t="n">
        <v>8.99397093028</v>
      </c>
      <c r="BU569" s="55" t="n">
        <v>9430.11944444445</v>
      </c>
      <c r="BV569" s="55" t="n">
        <v>525.013275227883</v>
      </c>
      <c r="BW569" s="55"/>
      <c r="BX569" s="55" t="n">
        <v>315.230480401521</v>
      </c>
      <c r="BY569" s="96" t="n">
        <v>0.07725</v>
      </c>
      <c r="BZ569" s="96" t="n">
        <v>0.6765</v>
      </c>
      <c r="CA569" s="97" t="n">
        <v>4.2738</v>
      </c>
      <c r="CB569" s="97"/>
      <c r="CC569" s="97" t="n">
        <v>9.0576</v>
      </c>
      <c r="CD569" s="97" t="n">
        <v>6.7771</v>
      </c>
      <c r="CE569" s="97" t="n">
        <v>100.94</v>
      </c>
      <c r="CF569" s="97" t="n">
        <v>36.2186</v>
      </c>
      <c r="CG569" s="97" t="n">
        <v>0.1228</v>
      </c>
      <c r="CH569" s="63" t="n">
        <v>81421.6821326176</v>
      </c>
      <c r="CI569" s="63" t="n">
        <v>2424.33999510783</v>
      </c>
      <c r="CJ569" s="64" t="n">
        <v>1540768.13823498</v>
      </c>
      <c r="CK569" s="65" t="n">
        <v>0.157346192132777</v>
      </c>
    </row>
    <row r="570" s="1" customFormat="true" ht="15" hidden="false" customHeight="false" outlineLevel="0" collapsed="false">
      <c r="A570" s="7" t="s">
        <v>488</v>
      </c>
      <c r="B570" s="66" t="n">
        <v>561</v>
      </c>
      <c r="C570" s="8" t="s">
        <v>653</v>
      </c>
      <c r="D570" s="67" t="n">
        <v>41800</v>
      </c>
      <c r="E570" s="4" t="s">
        <v>490</v>
      </c>
      <c r="F570" s="7" t="n">
        <v>487</v>
      </c>
      <c r="G570" s="68" t="n">
        <v>1</v>
      </c>
      <c r="H570" s="68" t="n">
        <v>145</v>
      </c>
      <c r="I570" s="7" t="n">
        <v>1</v>
      </c>
      <c r="J570" s="8" t="n">
        <v>635</v>
      </c>
      <c r="K570" s="32"/>
      <c r="L570" s="31" t="n">
        <v>917.038</v>
      </c>
      <c r="M570" s="31" t="n">
        <v>169.233907987351</v>
      </c>
      <c r="N570" s="31" t="n">
        <v>314.495562582883</v>
      </c>
      <c r="O570" s="95"/>
      <c r="P570" s="33" t="n">
        <v>28.868713659084</v>
      </c>
      <c r="Q570" s="33" t="n">
        <v>11</v>
      </c>
      <c r="R570" s="31" t="n">
        <v>238.600428440273</v>
      </c>
      <c r="S570" s="34" t="s">
        <v>76</v>
      </c>
      <c r="T570" s="35"/>
      <c r="U570" s="35"/>
      <c r="V570" s="35" t="n">
        <v>24.8015885459868</v>
      </c>
      <c r="W570" s="35" t="n">
        <v>22.7439991570346</v>
      </c>
      <c r="X570" s="35" t="n">
        <v>4.19726975393166</v>
      </c>
      <c r="Y570" s="35" t="n">
        <v>7.7999895427193</v>
      </c>
      <c r="Z570" s="35"/>
      <c r="AA570" s="35" t="n">
        <v>0.715989958024509</v>
      </c>
      <c r="AB570" s="35" t="n">
        <v>0.272817474005855</v>
      </c>
      <c r="AC570" s="71" t="n">
        <v>5.91766965307182</v>
      </c>
      <c r="AD570" s="72"/>
      <c r="AE570" s="72"/>
      <c r="AF570" s="72"/>
      <c r="AG570" s="72"/>
      <c r="AH570" s="72"/>
      <c r="AI570" s="73" t="n">
        <v>32.2893721556182</v>
      </c>
      <c r="AJ570" s="42" t="s">
        <v>16</v>
      </c>
      <c r="AK570" s="43" t="n">
        <v>659.330632166347</v>
      </c>
      <c r="AL570" s="74"/>
      <c r="AM570" s="74"/>
      <c r="AN570" s="74"/>
      <c r="AO570" s="78" t="n">
        <v>31.26</v>
      </c>
      <c r="AP570" s="76" t="n">
        <v>1.07514644467826</v>
      </c>
      <c r="AQ570" s="76" t="n">
        <v>0.934913994169097</v>
      </c>
      <c r="AR570" s="76" t="n">
        <v>1.63590962099125</v>
      </c>
      <c r="AS570" s="77" t="n">
        <v>28.6311966701739</v>
      </c>
      <c r="AT570" s="78" t="n">
        <v>29.1426925545429</v>
      </c>
      <c r="AU570" s="78" t="n">
        <v>34.3936802520236</v>
      </c>
      <c r="AV570" s="78" t="n">
        <v>29.907677356657</v>
      </c>
      <c r="AW570" s="78" t="n">
        <v>52.332361516035</v>
      </c>
      <c r="AX570" s="78" t="n">
        <v>30.9975</v>
      </c>
      <c r="AY570" s="48" t="n">
        <v>1.17503330484283</v>
      </c>
      <c r="AZ570" s="48" t="n">
        <v>22.6836454370048</v>
      </c>
      <c r="BA570" s="48" t="n">
        <v>2.11794310898198</v>
      </c>
      <c r="BB570" s="49" t="n">
        <f aca="false">AT570/V570</f>
        <v>1.17503330484283</v>
      </c>
      <c r="BC570" s="49" t="n">
        <f aca="false">AS570/V570</f>
        <v>1.15440979181984</v>
      </c>
      <c r="BD570" s="49" t="n">
        <f aca="false">SUM(AP570:AR570)/V570</f>
        <v>0.147005505436811</v>
      </c>
      <c r="BE570" s="53" t="n">
        <v>6.05</v>
      </c>
      <c r="BF570" s="51" t="n">
        <v>118.16</v>
      </c>
      <c r="BG570" s="51" t="n">
        <v>644.549763033175</v>
      </c>
      <c r="BH570" s="51" t="n">
        <v>203.029790115098</v>
      </c>
      <c r="BI570" s="51" t="n">
        <v>115.436696005416</v>
      </c>
      <c r="BJ570" s="51" t="n">
        <v>6.26269465132024</v>
      </c>
      <c r="BK570" s="51" t="n">
        <v>11.7637102234259</v>
      </c>
      <c r="BL570" s="51" t="n">
        <v>13.7102234258632</v>
      </c>
      <c r="BM570" s="51" t="n">
        <v>5.24712254570075</v>
      </c>
      <c r="BN570" s="52" t="n">
        <f aca="false">(BG570*0.5-BH570*0.25+BI570*0.5)/SUM(BG570:BI570)*1000</f>
        <v>341.879778539415</v>
      </c>
      <c r="BO570" s="93" t="n">
        <v>5.85771428571429</v>
      </c>
      <c r="BP570" s="94" t="s">
        <v>491</v>
      </c>
      <c r="BQ570" s="55" t="n">
        <v>350.627450980392</v>
      </c>
      <c r="BR570" s="56" t="n">
        <v>14.137298114202</v>
      </c>
      <c r="BS570" s="56"/>
      <c r="BT570" s="56" t="n">
        <v>12.0314020512746</v>
      </c>
      <c r="BU570" s="55" t="n">
        <v>11232.8480392157</v>
      </c>
      <c r="BV570" s="55" t="n">
        <v>452.908410216865</v>
      </c>
      <c r="BW570" s="55"/>
      <c r="BX570" s="55" t="n">
        <v>385.443040933589</v>
      </c>
      <c r="BY570" s="96" t="n">
        <v>0.06695</v>
      </c>
      <c r="BZ570" s="96" t="n">
        <v>0.9328</v>
      </c>
      <c r="CA570" s="97" t="n">
        <v>4.0596</v>
      </c>
      <c r="CB570" s="97"/>
      <c r="CC570" s="97" t="n">
        <v>6.3954</v>
      </c>
      <c r="CD570" s="97" t="n">
        <v>6.6761</v>
      </c>
      <c r="CE570" s="97" t="n">
        <v>99.91</v>
      </c>
      <c r="CF570" s="97" t="n">
        <v>36.3802</v>
      </c>
      <c r="CG570" s="97" t="n">
        <v>0.141</v>
      </c>
      <c r="CH570" s="63" t="n">
        <v>74388.5266029965</v>
      </c>
      <c r="CI570" s="63" t="n">
        <v>2632.4643577756</v>
      </c>
      <c r="CJ570" s="64" t="n">
        <v>512332.043205956</v>
      </c>
      <c r="CK570" s="65" t="n">
        <v>0.513819971380816</v>
      </c>
    </row>
    <row r="571" s="1" customFormat="true" ht="15" hidden="false" customHeight="false" outlineLevel="0" collapsed="false">
      <c r="A571" s="7" t="s">
        <v>488</v>
      </c>
      <c r="B571" s="66" t="n">
        <v>562</v>
      </c>
      <c r="C571" s="8" t="s">
        <v>654</v>
      </c>
      <c r="D571" s="67" t="n">
        <v>41800</v>
      </c>
      <c r="E571" s="4" t="s">
        <v>490</v>
      </c>
      <c r="F571" s="7" t="n">
        <v>488</v>
      </c>
      <c r="G571" s="68" t="n">
        <v>1</v>
      </c>
      <c r="H571" s="68" t="n">
        <v>154</v>
      </c>
      <c r="I571" s="7" t="n">
        <v>1</v>
      </c>
      <c r="J571" s="8" t="n">
        <v>666</v>
      </c>
      <c r="K571" s="32"/>
      <c r="L571" s="31" t="n">
        <v>917.038</v>
      </c>
      <c r="M571" s="31" t="n">
        <v>169.233907987351</v>
      </c>
      <c r="N571" s="31" t="n">
        <v>314.495562582883</v>
      </c>
      <c r="O571" s="95"/>
      <c r="P571" s="33" t="n">
        <v>28.868713659084</v>
      </c>
      <c r="Q571" s="33" t="n">
        <v>11</v>
      </c>
      <c r="R571" s="31" t="n">
        <v>238.600428440273</v>
      </c>
      <c r="S571" s="34" t="s">
        <v>76</v>
      </c>
      <c r="T571" s="35"/>
      <c r="U571" s="35"/>
      <c r="V571" s="35" t="n">
        <v>27.6824421878738</v>
      </c>
      <c r="W571" s="35" t="n">
        <v>25.3858514190834</v>
      </c>
      <c r="X571" s="35" t="n">
        <v>4.68480787408779</v>
      </c>
      <c r="Y571" s="35" t="n">
        <v>8.70600522954349</v>
      </c>
      <c r="Z571" s="35"/>
      <c r="AA571" s="35" t="n">
        <v>0.799156496905874</v>
      </c>
      <c r="AB571" s="35" t="n">
        <v>0.304506864066612</v>
      </c>
      <c r="AC571" s="71" t="n">
        <v>6.60504256629978</v>
      </c>
      <c r="AD571" s="72"/>
      <c r="AE571" s="72"/>
      <c r="AF571" s="72"/>
      <c r="AG571" s="72"/>
      <c r="AH571" s="72"/>
      <c r="AI571" s="73" t="n">
        <v>33.5414503345534</v>
      </c>
      <c r="AJ571" s="42" t="s">
        <v>16</v>
      </c>
      <c r="AK571" s="43" t="n">
        <v>672.047574261625</v>
      </c>
      <c r="AL571" s="74"/>
      <c r="AM571" s="74"/>
      <c r="AN571" s="74"/>
      <c r="AO571" s="78" t="n">
        <v>28.74</v>
      </c>
      <c r="AP571" s="76" t="n">
        <v>1.2372049672136</v>
      </c>
      <c r="AQ571" s="76" t="n">
        <v>1.02223906705539</v>
      </c>
      <c r="AR571" s="76" t="n">
        <v>1.47121428571429</v>
      </c>
      <c r="AS571" s="77" t="n">
        <v>30.0540745082041</v>
      </c>
      <c r="AT571" s="78" t="n">
        <v>30.9082604945019</v>
      </c>
      <c r="AU571" s="78" t="n">
        <v>43.0481895342242</v>
      </c>
      <c r="AV571" s="78" t="n">
        <v>35.5685131195335</v>
      </c>
      <c r="AW571" s="78" t="n">
        <v>51.1904761904762</v>
      </c>
      <c r="AX571" s="78" t="n">
        <v>24.615</v>
      </c>
      <c r="AY571" s="48" t="n">
        <v>1.11652939739692</v>
      </c>
      <c r="AZ571" s="48" t="n">
        <v>23.6979464718209</v>
      </c>
      <c r="BA571" s="48" t="n">
        <v>3.9844957160529</v>
      </c>
      <c r="BB571" s="49" t="n">
        <f aca="false">AT571/V571</f>
        <v>1.11652939739692</v>
      </c>
      <c r="BC571" s="49" t="n">
        <f aca="false">AS571/V571</f>
        <v>1.08567279953967</v>
      </c>
      <c r="BD571" s="49" t="n">
        <f aca="false">SUM(AP571:AR571)/V571</f>
        <v>0.134766228162394</v>
      </c>
      <c r="BE571" s="53" t="n">
        <v>6.42</v>
      </c>
      <c r="BF571" s="51" t="n">
        <v>103.31</v>
      </c>
      <c r="BG571" s="51" t="n">
        <v>665.956828961378</v>
      </c>
      <c r="BH571" s="51" t="n">
        <v>187.590746297551</v>
      </c>
      <c r="BI571" s="51" t="n">
        <v>114.993708256703</v>
      </c>
      <c r="BJ571" s="51" t="n">
        <v>7.06611170264253</v>
      </c>
      <c r="BK571" s="51" t="n">
        <v>9.67960507211306</v>
      </c>
      <c r="BL571" s="51" t="n">
        <v>10.357177427161</v>
      </c>
      <c r="BM571" s="51" t="n">
        <v>4.35582228245088</v>
      </c>
      <c r="BN571" s="52" t="n">
        <f aca="false">(BG571*0.5-BH571*0.25+BI571*0.5)/SUM(BG571:BI571)*1000</f>
        <v>354.737157705377</v>
      </c>
      <c r="BO571" s="93" t="n">
        <v>8.27657142857143</v>
      </c>
      <c r="BP571" s="94" t="s">
        <v>491</v>
      </c>
      <c r="BQ571" s="55" t="n">
        <v>345.328125</v>
      </c>
      <c r="BR571" s="56" t="n">
        <v>12.4746264313078</v>
      </c>
      <c r="BS571" s="56"/>
      <c r="BT571" s="56" t="n">
        <v>11.1726806839042</v>
      </c>
      <c r="BU571" s="55" t="n">
        <v>10854.2395833333</v>
      </c>
      <c r="BV571" s="55" t="n">
        <v>392.098338349931</v>
      </c>
      <c r="BW571" s="55"/>
      <c r="BX571" s="55" t="n">
        <v>351.176009574015</v>
      </c>
      <c r="BY571" s="96" t="n">
        <v>0.07725</v>
      </c>
      <c r="BZ571" s="96" t="n">
        <v>0.4961</v>
      </c>
      <c r="CA571" s="97" t="n">
        <v>4.539</v>
      </c>
      <c r="CB571" s="97"/>
      <c r="CC571" s="97" t="n">
        <v>6.1608</v>
      </c>
      <c r="CD571" s="97" t="n">
        <v>7.7063</v>
      </c>
      <c r="CE571" s="97" t="n">
        <v>97.85</v>
      </c>
      <c r="CF571" s="97" t="n">
        <v>35.5212</v>
      </c>
      <c r="CG571" s="97" t="n">
        <v>0.3685</v>
      </c>
      <c r="CH571" s="63" t="n">
        <v>94362.571361057</v>
      </c>
      <c r="CI571" s="63" t="n">
        <v>2234.80333184935</v>
      </c>
      <c r="CJ571" s="64" t="n">
        <v>1828886.27544332</v>
      </c>
      <c r="CK571" s="65" t="n">
        <v>0.122194767485345</v>
      </c>
    </row>
    <row r="572" s="1" customFormat="true" ht="15" hidden="false" customHeight="false" outlineLevel="0" collapsed="false">
      <c r="A572" s="7" t="s">
        <v>488</v>
      </c>
      <c r="B572" s="66" t="n">
        <v>563</v>
      </c>
      <c r="C572" s="8" t="s">
        <v>655</v>
      </c>
      <c r="D572" s="67" t="n">
        <v>41800</v>
      </c>
      <c r="E572" s="4" t="s">
        <v>490</v>
      </c>
      <c r="F572" s="7" t="n">
        <v>490</v>
      </c>
      <c r="G572" s="68" t="n">
        <v>1</v>
      </c>
      <c r="H572" s="68" t="n">
        <v>162</v>
      </c>
      <c r="I572" s="7" t="n">
        <v>1</v>
      </c>
      <c r="J572" s="8" t="n">
        <v>729</v>
      </c>
      <c r="K572" s="32"/>
      <c r="L572" s="31" t="n">
        <v>917.038</v>
      </c>
      <c r="M572" s="31" t="n">
        <v>169.233907987351</v>
      </c>
      <c r="N572" s="31" t="n">
        <v>314.495562582883</v>
      </c>
      <c r="O572" s="95"/>
      <c r="P572" s="33" t="n">
        <v>28.868713659084</v>
      </c>
      <c r="Q572" s="33" t="n">
        <v>11</v>
      </c>
      <c r="R572" s="31" t="n">
        <v>238.600428440273</v>
      </c>
      <c r="S572" s="34" t="s">
        <v>76</v>
      </c>
      <c r="T572" s="35"/>
      <c r="U572" s="35"/>
      <c r="V572" s="35" t="n">
        <v>16.5912189692565</v>
      </c>
      <c r="W572" s="35" t="n">
        <v>15.214778261129</v>
      </c>
      <c r="X572" s="35" t="n">
        <v>2.80779682444114</v>
      </c>
      <c r="Y572" s="35" t="n">
        <v>5.21786474367212</v>
      </c>
      <c r="Z572" s="35"/>
      <c r="AA572" s="35" t="n">
        <v>0.478967149678628</v>
      </c>
      <c r="AB572" s="35" t="n">
        <v>0.182503408661821</v>
      </c>
      <c r="AC572" s="71" t="n">
        <v>3.95867195441099</v>
      </c>
      <c r="AD572" s="72"/>
      <c r="AE572" s="72"/>
      <c r="AF572" s="72"/>
      <c r="AG572" s="72"/>
      <c r="AH572" s="72"/>
      <c r="AI572" s="73" t="n">
        <v>35.2523929874184</v>
      </c>
      <c r="AJ572" s="42" t="s">
        <v>16</v>
      </c>
      <c r="AK572" s="43" t="n">
        <v>687.964445309403</v>
      </c>
      <c r="AL572" s="74"/>
      <c r="AM572" s="74"/>
      <c r="AN572" s="74"/>
      <c r="AO572" s="78" t="n">
        <v>31.2</v>
      </c>
      <c r="AP572" s="76" t="n">
        <v>1.03830628663729</v>
      </c>
      <c r="AQ572" s="76" t="n">
        <v>0.902040816326531</v>
      </c>
      <c r="AR572" s="76" t="n">
        <v>1.58198250728863</v>
      </c>
      <c r="AS572" s="77" t="n">
        <v>28.0545942995594</v>
      </c>
      <c r="AT572" s="78" t="n">
        <v>28.1555252241606</v>
      </c>
      <c r="AU572" s="78" t="n">
        <v>33.2790476486311</v>
      </c>
      <c r="AV572" s="78" t="n">
        <v>28.9115646258503</v>
      </c>
      <c r="AW572" s="78" t="n">
        <v>50.7045675413023</v>
      </c>
      <c r="AX572" s="78" t="n">
        <v>36.8075</v>
      </c>
      <c r="AY572" s="48" t="n">
        <v>1.69701365983613</v>
      </c>
      <c r="AZ572" s="48" t="n">
        <v>23.8774196270409</v>
      </c>
      <c r="BA572" s="48" t="n">
        <v>-7.28620065778438</v>
      </c>
      <c r="BB572" s="49" t="n">
        <f aca="false">AT572/V572</f>
        <v>1.69701365983613</v>
      </c>
      <c r="BC572" s="49" t="n">
        <f aca="false">AS572/V572</f>
        <v>1.69093026567514</v>
      </c>
      <c r="BD572" s="49" t="n">
        <f aca="false">SUM(AP572:AR572)/V572</f>
        <v>0.212300833156342</v>
      </c>
      <c r="BE572" s="53" t="n">
        <v>5.86</v>
      </c>
      <c r="BF572" s="51" t="n">
        <v>110.97</v>
      </c>
      <c r="BG572" s="51" t="n">
        <v>608.813192754799</v>
      </c>
      <c r="BH572" s="51" t="n">
        <v>250.2478147247</v>
      </c>
      <c r="BI572" s="51" t="n">
        <v>111.74191222853</v>
      </c>
      <c r="BJ572" s="51" t="n">
        <v>6.03766783815446</v>
      </c>
      <c r="BK572" s="51" t="n">
        <v>10.3631612147427</v>
      </c>
      <c r="BL572" s="51" t="n">
        <v>10.8137334414707</v>
      </c>
      <c r="BM572" s="51" t="n">
        <v>1.98251779760296</v>
      </c>
      <c r="BN572" s="52" t="n">
        <f aca="false">(BG572*0.5-BH572*0.25+BI572*0.5)/SUM(BG572:BI572)*1000</f>
        <v>306.669451406294</v>
      </c>
      <c r="BO572" s="93" t="n">
        <v>9.06342857142857</v>
      </c>
      <c r="BP572" s="94" t="s">
        <v>491</v>
      </c>
      <c r="BQ572" s="55" t="n">
        <v>292.333333333333</v>
      </c>
      <c r="BR572" s="56" t="n">
        <v>17.6197622293471</v>
      </c>
      <c r="BS572" s="56"/>
      <c r="BT572" s="56" t="n">
        <v>10.3828051867588</v>
      </c>
      <c r="BU572" s="55" t="n">
        <v>9188.43020833334</v>
      </c>
      <c r="BV572" s="55" t="n">
        <v>553.812846744985</v>
      </c>
      <c r="BW572" s="55"/>
      <c r="BX572" s="55" t="n">
        <v>326.345544442149</v>
      </c>
      <c r="BY572" s="96" t="n">
        <v>0.08343</v>
      </c>
      <c r="BZ572" s="96" t="n">
        <v>0.7227</v>
      </c>
      <c r="CA572" s="97" t="n">
        <v>4.4676</v>
      </c>
      <c r="CB572" s="97"/>
      <c r="CC572" s="97" t="n">
        <v>7.3134</v>
      </c>
      <c r="CD572" s="97" t="n">
        <v>8.4133</v>
      </c>
      <c r="CE572" s="97" t="n">
        <v>101.97</v>
      </c>
      <c r="CF572" s="97" t="n">
        <v>36.432</v>
      </c>
      <c r="CG572" s="97" t="n">
        <v>0.1046</v>
      </c>
      <c r="CH572" s="63" t="n">
        <v>101873.966797665</v>
      </c>
      <c r="CI572" s="63" t="n">
        <v>1648.46360364899</v>
      </c>
      <c r="CJ572" s="64" t="n">
        <v>1976148.62957505</v>
      </c>
      <c r="CK572" s="65" t="n">
        <v>0.0834179969551925</v>
      </c>
    </row>
    <row r="573" s="1" customFormat="true" ht="15" hidden="false" customHeight="false" outlineLevel="0" collapsed="false">
      <c r="A573" s="7" t="s">
        <v>488</v>
      </c>
      <c r="B573" s="66" t="n">
        <v>564</v>
      </c>
      <c r="C573" s="8" t="s">
        <v>656</v>
      </c>
      <c r="D573" s="67" t="n">
        <v>41800</v>
      </c>
      <c r="E573" s="4" t="s">
        <v>490</v>
      </c>
      <c r="F573" s="7" t="n">
        <v>492</v>
      </c>
      <c r="G573" s="68" t="n">
        <v>1</v>
      </c>
      <c r="H573" s="68" t="n">
        <v>142</v>
      </c>
      <c r="I573" s="7" t="n">
        <v>1</v>
      </c>
      <c r="J573" s="8" t="n">
        <v>583</v>
      </c>
      <c r="K573" s="32"/>
      <c r="L573" s="31" t="n">
        <v>917.038</v>
      </c>
      <c r="M573" s="31" t="n">
        <v>169.233907987351</v>
      </c>
      <c r="N573" s="31" t="n">
        <v>314.495562582883</v>
      </c>
      <c r="O573" s="95"/>
      <c r="P573" s="33" t="n">
        <v>28.868713659084</v>
      </c>
      <c r="Q573" s="33" t="n">
        <v>11</v>
      </c>
      <c r="R573" s="31" t="n">
        <v>238.600428440273</v>
      </c>
      <c r="S573" s="34" t="s">
        <v>76</v>
      </c>
      <c r="T573" s="35"/>
      <c r="U573" s="35"/>
      <c r="V573" s="35" t="n">
        <v>23.1211406021857</v>
      </c>
      <c r="W573" s="35" t="n">
        <v>21.2029645355472</v>
      </c>
      <c r="X573" s="35" t="n">
        <v>3.9128809812329</v>
      </c>
      <c r="Y573" s="35" t="n">
        <v>7.27149612124233</v>
      </c>
      <c r="Z573" s="35"/>
      <c r="AA573" s="35" t="n">
        <v>0.667477587515919</v>
      </c>
      <c r="AB573" s="35" t="n">
        <v>0.254332546624043</v>
      </c>
      <c r="AC573" s="71" t="n">
        <v>5.51671405370931</v>
      </c>
      <c r="AD573" s="72"/>
      <c r="AE573" s="72"/>
      <c r="AF573" s="72"/>
      <c r="AG573" s="72"/>
      <c r="AH573" s="72"/>
      <c r="AI573" s="73" t="n">
        <v>31.7242762661355</v>
      </c>
      <c r="AJ573" s="42" t="s">
        <v>16</v>
      </c>
      <c r="AK573" s="43" t="n">
        <v>653.262381536435</v>
      </c>
      <c r="AL573" s="74"/>
      <c r="AM573" s="74"/>
      <c r="AN573" s="74"/>
      <c r="AO573" s="78" t="n">
        <v>29.82</v>
      </c>
      <c r="AP573" s="76" t="n">
        <v>1.12461776408677</v>
      </c>
      <c r="AQ573" s="76" t="n">
        <v>0.970816326530612</v>
      </c>
      <c r="AR573" s="76" t="n">
        <v>1.51273469387755</v>
      </c>
      <c r="AS573" s="77" t="n">
        <v>28.7972664613015</v>
      </c>
      <c r="AT573" s="78" t="n">
        <v>29.3644972303499</v>
      </c>
      <c r="AU573" s="78" t="n">
        <v>37.7135400431511</v>
      </c>
      <c r="AV573" s="78" t="n">
        <v>32.555879494655</v>
      </c>
      <c r="AW573" s="78" t="n">
        <v>50.7288629737609</v>
      </c>
      <c r="AX573" s="78" t="n">
        <v>32.1225</v>
      </c>
      <c r="AY573" s="48" t="n">
        <v>1.2700280550854</v>
      </c>
      <c r="AZ573" s="48" t="n">
        <v>21.9742337982511</v>
      </c>
      <c r="BA573" s="48" t="n">
        <v>1.14690680393462</v>
      </c>
      <c r="BB573" s="49" t="n">
        <f aca="false">AT573/V573</f>
        <v>1.2700280550854</v>
      </c>
      <c r="BC573" s="49" t="n">
        <f aca="false">AS573/V573</f>
        <v>1.24549506258265</v>
      </c>
      <c r="BD573" s="49" t="n">
        <f aca="false">SUM(AP573:AR573)/V573</f>
        <v>0.156054964872876</v>
      </c>
      <c r="BE573" s="53" t="n">
        <v>5.72</v>
      </c>
      <c r="BF573" s="51" t="n">
        <v>149.93</v>
      </c>
      <c r="BG573" s="51" t="n">
        <v>606.28293203495</v>
      </c>
      <c r="BH573" s="51" t="n">
        <v>252.317748282532</v>
      </c>
      <c r="BI573" s="51" t="n">
        <v>110.85173080771</v>
      </c>
      <c r="BJ573" s="51" t="n">
        <v>5.73601013806443</v>
      </c>
      <c r="BK573" s="51" t="n">
        <v>12.3390915760688</v>
      </c>
      <c r="BL573" s="51" t="n">
        <v>8.53731741479357</v>
      </c>
      <c r="BM573" s="51" t="n">
        <v>3.93516974588141</v>
      </c>
      <c r="BN573" s="52" t="n">
        <f aca="false">(BG573*0.5-BH573*0.25+BI573*0.5)/SUM(BG573:BI573)*1000</f>
        <v>304.798761609907</v>
      </c>
      <c r="BO573" s="93" t="n">
        <v>9.96685714285714</v>
      </c>
      <c r="BP573" s="94" t="s">
        <v>491</v>
      </c>
      <c r="BQ573" s="55" t="n">
        <v>300.96875</v>
      </c>
      <c r="BR573" s="56" t="n">
        <v>13.0170373156914</v>
      </c>
      <c r="BS573" s="56"/>
      <c r="BT573" s="56" t="n">
        <v>10.2494092658577</v>
      </c>
      <c r="BU573" s="55" t="n">
        <v>9897.759375</v>
      </c>
      <c r="BV573" s="55" t="n">
        <v>428.082660163588</v>
      </c>
      <c r="BW573" s="55"/>
      <c r="BX573" s="55" t="n">
        <v>337.065514773061</v>
      </c>
      <c r="BY573" s="96" t="n">
        <v>0.05665</v>
      </c>
      <c r="BZ573" s="96" t="n">
        <v>0.7579</v>
      </c>
      <c r="CA573" s="97" t="n">
        <v>4.182</v>
      </c>
      <c r="CB573" s="97"/>
      <c r="CC573" s="97" t="n">
        <v>8.5272</v>
      </c>
      <c r="CD573" s="97" t="n">
        <v>6.4539</v>
      </c>
      <c r="CE573" s="97" t="n">
        <v>96.82</v>
      </c>
      <c r="CF573" s="97" t="n">
        <v>38.3901</v>
      </c>
      <c r="CG573" s="97" t="n">
        <v>0.0682</v>
      </c>
      <c r="CH573" s="63" t="n">
        <v>83108.7289865315</v>
      </c>
      <c r="CI573" s="63" t="n">
        <v>1157.25839559493</v>
      </c>
      <c r="CJ573" s="64" t="n">
        <v>2961548.13310574</v>
      </c>
      <c r="CK573" s="65" t="n">
        <v>0.039076129901739</v>
      </c>
    </row>
    <row r="574" s="1" customFormat="true" ht="15" hidden="false" customHeight="false" outlineLevel="0" collapsed="false">
      <c r="A574" s="7" t="s">
        <v>488</v>
      </c>
      <c r="B574" s="66" t="n">
        <v>565</v>
      </c>
      <c r="C574" s="8" t="s">
        <v>657</v>
      </c>
      <c r="D574" s="67" t="n">
        <v>41800</v>
      </c>
      <c r="E574" s="4" t="s">
        <v>490</v>
      </c>
      <c r="F574" s="7" t="n">
        <v>493</v>
      </c>
      <c r="G574" s="68" t="n">
        <v>1</v>
      </c>
      <c r="H574" s="68" t="n">
        <v>142</v>
      </c>
      <c r="I574" s="7" t="n">
        <v>1</v>
      </c>
      <c r="J574" s="8" t="n">
        <v>677</v>
      </c>
      <c r="K574" s="32"/>
      <c r="L574" s="31" t="n">
        <v>917.038</v>
      </c>
      <c r="M574" s="31" t="n">
        <v>169.233907987351</v>
      </c>
      <c r="N574" s="31" t="n">
        <v>314.495562582883</v>
      </c>
      <c r="O574" s="95"/>
      <c r="P574" s="33" t="n">
        <v>28.868713659084</v>
      </c>
      <c r="Q574" s="33" t="n">
        <v>11</v>
      </c>
      <c r="R574" s="31" t="n">
        <v>238.600428440273</v>
      </c>
      <c r="S574" s="34" t="s">
        <v>76</v>
      </c>
      <c r="T574" s="35"/>
      <c r="U574" s="35"/>
      <c r="V574" s="35" t="n">
        <v>18.7137052787027</v>
      </c>
      <c r="W574" s="35" t="n">
        <v>17.161178861371</v>
      </c>
      <c r="X574" s="35" t="n">
        <v>3.16699347723838</v>
      </c>
      <c r="Y574" s="35" t="n">
        <v>5.88537726963587</v>
      </c>
      <c r="Z574" s="35"/>
      <c r="AA574" s="35" t="n">
        <v>0.540240599191356</v>
      </c>
      <c r="AB574" s="35" t="n">
        <v>0.20585075806573</v>
      </c>
      <c r="AC574" s="71" t="n">
        <v>4.46509809720347</v>
      </c>
      <c r="AD574" s="72"/>
      <c r="AE574" s="72"/>
      <c r="AF574" s="72"/>
      <c r="AG574" s="72"/>
      <c r="AH574" s="72"/>
      <c r="AI574" s="73" t="n">
        <v>29.2623030014556</v>
      </c>
      <c r="AJ574" s="42" t="s">
        <v>16</v>
      </c>
      <c r="AK574" s="43" t="n">
        <v>624.089737589936</v>
      </c>
      <c r="AL574" s="74"/>
      <c r="AM574" s="74"/>
      <c r="AN574" s="74"/>
      <c r="AO574" s="78" t="n">
        <v>34.72</v>
      </c>
      <c r="AP574" s="76" t="n">
        <v>1.04808576640696</v>
      </c>
      <c r="AQ574" s="76" t="n">
        <v>1.05442176870748</v>
      </c>
      <c r="AR574" s="76" t="n">
        <v>1.63899319727891</v>
      </c>
      <c r="AS574" s="77" t="n">
        <v>29.6092864961044</v>
      </c>
      <c r="AT574" s="78" t="n">
        <v>29.7727207449366</v>
      </c>
      <c r="AU574" s="78" t="n">
        <v>30.1868020278502</v>
      </c>
      <c r="AV574" s="78" t="n">
        <v>30.3692905733722</v>
      </c>
      <c r="AW574" s="78" t="n">
        <v>47.2060252672498</v>
      </c>
      <c r="AX574" s="78" t="n">
        <v>35.665</v>
      </c>
      <c r="AY574" s="48" t="n">
        <v>1.59095808668205</v>
      </c>
      <c r="AZ574" s="48" t="n">
        <v>23.622123711289</v>
      </c>
      <c r="BA574" s="48" t="n">
        <v>-4.90841843258624</v>
      </c>
      <c r="BB574" s="49" t="n">
        <f aca="false">AT574/V574</f>
        <v>1.59095808668205</v>
      </c>
      <c r="BC574" s="49" t="n">
        <f aca="false">AS574/V574</f>
        <v>1.58222468800989</v>
      </c>
      <c r="BD574" s="49" t="n">
        <f aca="false">SUM(AP574:AR574)/V574</f>
        <v>0.199933721124239</v>
      </c>
      <c r="BE574" s="53" t="n">
        <v>6.17</v>
      </c>
      <c r="BF574" s="51" t="n">
        <v>121.87</v>
      </c>
      <c r="BG574" s="51" t="n">
        <v>652.17034545007</v>
      </c>
      <c r="BH574" s="51" t="n">
        <v>198.244030524329</v>
      </c>
      <c r="BI574" s="51" t="n">
        <v>118.979240173956</v>
      </c>
      <c r="BJ574" s="51" t="n">
        <v>5.74382538770821</v>
      </c>
      <c r="BK574" s="51" t="n">
        <v>10.0106671042915</v>
      </c>
      <c r="BL574" s="51" t="n">
        <v>11.3235414786248</v>
      </c>
      <c r="BM574" s="51" t="n">
        <v>3.52834988102076</v>
      </c>
      <c r="BN574" s="52" t="n">
        <f aca="false">(BG574*0.5-BH574*0.25+BI574*0.5)/SUM(BG574:BI574)*1000</f>
        <v>346.622651091925</v>
      </c>
      <c r="BO574" s="93" t="n">
        <v>11.7445714285714</v>
      </c>
      <c r="BP574" s="94" t="s">
        <v>491</v>
      </c>
      <c r="BQ574" s="55" t="n">
        <v>344.427450980392</v>
      </c>
      <c r="BR574" s="56" t="n">
        <v>18.4050911271094</v>
      </c>
      <c r="BS574" s="56"/>
      <c r="BT574" s="56" t="n">
        <v>11.5685581419014</v>
      </c>
      <c r="BU574" s="55" t="n">
        <v>11109.9862745098</v>
      </c>
      <c r="BV574" s="55" t="n">
        <v>593.681802136406</v>
      </c>
      <c r="BW574" s="55"/>
      <c r="BX574" s="55" t="n">
        <v>373.159926151502</v>
      </c>
      <c r="BY574" s="96" t="n">
        <v>0.07622</v>
      </c>
      <c r="BZ574" s="96" t="n">
        <v>0.6787</v>
      </c>
      <c r="CA574" s="97" t="n">
        <v>4.5186</v>
      </c>
      <c r="CB574" s="97"/>
      <c r="CC574" s="97" t="n">
        <v>7.3644</v>
      </c>
      <c r="CD574" s="97" t="n">
        <v>6.7064</v>
      </c>
      <c r="CE574" s="97" t="n">
        <v>116.39</v>
      </c>
      <c r="CF574" s="97" t="n">
        <v>40.7333</v>
      </c>
      <c r="CG574" s="97" t="n">
        <v>0.1137</v>
      </c>
      <c r="CH574" s="63" t="n">
        <v>85526.2931995196</v>
      </c>
      <c r="CI574" s="63" t="n">
        <v>1141.79282785229</v>
      </c>
      <c r="CJ574" s="64" t="n">
        <v>2162449.24873771</v>
      </c>
      <c r="CK574" s="65" t="n">
        <v>0.0528009075134961</v>
      </c>
    </row>
    <row r="575" s="1" customFormat="true" ht="15" hidden="false" customHeight="false" outlineLevel="0" collapsed="false">
      <c r="A575" s="7" t="s">
        <v>488</v>
      </c>
      <c r="B575" s="66" t="n">
        <v>566</v>
      </c>
      <c r="C575" s="8" t="s">
        <v>658</v>
      </c>
      <c r="D575" s="67" t="n">
        <v>41800</v>
      </c>
      <c r="E575" s="4" t="s">
        <v>490</v>
      </c>
      <c r="F575" s="7" t="n">
        <v>501</v>
      </c>
      <c r="G575" s="68" t="n">
        <v>1</v>
      </c>
      <c r="H575" s="68" t="n">
        <v>172</v>
      </c>
      <c r="I575" s="7" t="n">
        <v>1</v>
      </c>
      <c r="J575" s="8" t="n">
        <v>677</v>
      </c>
      <c r="K575" s="32"/>
      <c r="L575" s="31" t="n">
        <v>917.038</v>
      </c>
      <c r="M575" s="31" t="n">
        <v>169.233907987351</v>
      </c>
      <c r="N575" s="31" t="n">
        <v>314.495562582883</v>
      </c>
      <c r="O575" s="95"/>
      <c r="P575" s="33" t="n">
        <v>28.868713659084</v>
      </c>
      <c r="Q575" s="33" t="n">
        <v>11</v>
      </c>
      <c r="R575" s="31" t="n">
        <v>238.600428440273</v>
      </c>
      <c r="S575" s="34" t="s">
        <v>76</v>
      </c>
      <c r="T575" s="35"/>
      <c r="U575" s="35"/>
      <c r="V575" s="35" t="n">
        <v>17.3239501784509</v>
      </c>
      <c r="W575" s="35" t="n">
        <v>15.8867206237463</v>
      </c>
      <c r="X575" s="35" t="n">
        <v>2.93179979047741</v>
      </c>
      <c r="Y575" s="35" t="n">
        <v>5.44830545752976</v>
      </c>
      <c r="Z575" s="35"/>
      <c r="AA575" s="35" t="n">
        <v>0.500120157145936</v>
      </c>
      <c r="AB575" s="35" t="n">
        <v>0.19056345196296</v>
      </c>
      <c r="AC575" s="71" t="n">
        <v>4.13350193485634</v>
      </c>
      <c r="AD575" s="72"/>
      <c r="AE575" s="72"/>
      <c r="AF575" s="72"/>
      <c r="AG575" s="72"/>
      <c r="AH575" s="72"/>
      <c r="AI575" s="73" t="n">
        <v>29.9638780541956</v>
      </c>
      <c r="AJ575" s="42" t="s">
        <v>16</v>
      </c>
      <c r="AK575" s="43" t="n">
        <v>632.891310660646</v>
      </c>
      <c r="AL575" s="74"/>
      <c r="AM575" s="74"/>
      <c r="AN575" s="74"/>
      <c r="AO575" s="78" t="n">
        <v>27.82</v>
      </c>
      <c r="AP575" s="76" t="n">
        <v>0.862597489007648</v>
      </c>
      <c r="AQ575" s="76" t="n">
        <v>0.882048104956268</v>
      </c>
      <c r="AR575" s="76" t="n">
        <v>1.43290573372206</v>
      </c>
      <c r="AS575" s="77" t="n">
        <v>24.0669623351147</v>
      </c>
      <c r="AT575" s="78" t="n">
        <v>25.0506951607317</v>
      </c>
      <c r="AU575" s="78" t="n">
        <v>31.006379906817</v>
      </c>
      <c r="AV575" s="78" t="n">
        <v>31.7055393586006</v>
      </c>
      <c r="AW575" s="78" t="n">
        <v>51.5063168124393</v>
      </c>
      <c r="AX575" s="78" t="n">
        <v>41.4325</v>
      </c>
      <c r="AY575" s="48" t="n">
        <v>1.44601519299519</v>
      </c>
      <c r="AZ575" s="48" t="n">
        <v>21.7040712730293</v>
      </c>
      <c r="BA575" s="48" t="n">
        <v>-4.3801210945784</v>
      </c>
      <c r="BB575" s="49" t="n">
        <f aca="false">AT575/V575</f>
        <v>1.44601519299519</v>
      </c>
      <c r="BC575" s="49" t="n">
        <f aca="false">AS575/V575</f>
        <v>1.38923063661609</v>
      </c>
      <c r="BD575" s="49" t="n">
        <f aca="false">SUM(AP575:AR575)/V575</f>
        <v>0.183419560490222</v>
      </c>
      <c r="BE575" s="53" t="n">
        <v>6.04</v>
      </c>
      <c r="BF575" s="51" t="n">
        <v>106.57</v>
      </c>
      <c r="BG575" s="51" t="n">
        <v>607.581871070658</v>
      </c>
      <c r="BH575" s="51" t="n">
        <v>263.582621750962</v>
      </c>
      <c r="BI575" s="51" t="n">
        <v>100.028150511401</v>
      </c>
      <c r="BJ575" s="51" t="n">
        <v>6.00544243220419</v>
      </c>
      <c r="BK575" s="51" t="n">
        <v>10.4156892183541</v>
      </c>
      <c r="BL575" s="51" t="n">
        <v>10.6033592943605</v>
      </c>
      <c r="BM575" s="51" t="n">
        <v>1.78286572206062</v>
      </c>
      <c r="BN575" s="52" t="n">
        <f aca="false">(BG575*0.5-BH575*0.25+BI575*0.5)/SUM(BG575:BI575)*1000</f>
        <v>296.449275362319</v>
      </c>
      <c r="BO575" s="93" t="n">
        <v>13.2308571428571</v>
      </c>
      <c r="BP575" s="94" t="s">
        <v>491</v>
      </c>
      <c r="BQ575" s="55" t="n">
        <v>249.467647058824</v>
      </c>
      <c r="BR575" s="56" t="n">
        <v>14.4001595761418</v>
      </c>
      <c r="BS575" s="56"/>
      <c r="BT575" s="56" t="n">
        <v>9.95851194779926</v>
      </c>
      <c r="BU575" s="55" t="n">
        <v>9131.48725490196</v>
      </c>
      <c r="BV575" s="55" t="n">
        <v>527.101911564057</v>
      </c>
      <c r="BW575" s="55"/>
      <c r="BX575" s="55" t="n">
        <v>364.520313560642</v>
      </c>
      <c r="BY575" s="96" t="n">
        <v>0.0927</v>
      </c>
      <c r="BZ575" s="96" t="n">
        <v>0.5071</v>
      </c>
      <c r="CA575" s="97" t="n">
        <v>4.335</v>
      </c>
      <c r="CB575" s="97"/>
      <c r="CC575" s="97" t="n">
        <v>8.5578</v>
      </c>
      <c r="CD575" s="97" t="n">
        <v>6.0095</v>
      </c>
      <c r="CE575" s="97" t="n">
        <v>116.39</v>
      </c>
      <c r="CF575" s="97" t="n">
        <v>38.8547</v>
      </c>
      <c r="CG575" s="97" t="n">
        <v>0.1137</v>
      </c>
      <c r="CH575" s="63" t="n">
        <v>61441.1228664147</v>
      </c>
      <c r="CI575" s="63" t="n">
        <v>1807.02828296763</v>
      </c>
      <c r="CJ575" s="64" t="n">
        <v>3379324.1577419</v>
      </c>
      <c r="CK575" s="65" t="n">
        <v>0.053473067353654</v>
      </c>
    </row>
    <row r="576" s="1" customFormat="true" ht="15" hidden="false" customHeight="false" outlineLevel="0" collapsed="false">
      <c r="A576" s="7" t="s">
        <v>488</v>
      </c>
      <c r="B576" s="66" t="n">
        <v>567</v>
      </c>
      <c r="C576" s="8" t="s">
        <v>659</v>
      </c>
      <c r="D576" s="67" t="n">
        <v>41800</v>
      </c>
      <c r="E576" s="4" t="s">
        <v>490</v>
      </c>
      <c r="F576" s="7" t="n">
        <v>504</v>
      </c>
      <c r="G576" s="68" t="n">
        <v>1</v>
      </c>
      <c r="H576" s="68" t="n">
        <v>151</v>
      </c>
      <c r="I576" s="7" t="n">
        <v>1</v>
      </c>
      <c r="J576" s="8" t="n">
        <v>614</v>
      </c>
      <c r="K576" s="32"/>
      <c r="L576" s="31" t="n">
        <v>917.038</v>
      </c>
      <c r="M576" s="31" t="n">
        <v>169.233907987351</v>
      </c>
      <c r="N576" s="31" t="n">
        <v>314.495562582883</v>
      </c>
      <c r="O576" s="95"/>
      <c r="P576" s="33" t="n">
        <v>28.868713659084</v>
      </c>
      <c r="Q576" s="33" t="n">
        <v>11</v>
      </c>
      <c r="R576" s="31" t="n">
        <v>238.600428440273</v>
      </c>
      <c r="S576" s="34" t="s">
        <v>76</v>
      </c>
      <c r="T576" s="35"/>
      <c r="U576" s="35"/>
      <c r="V576" s="35" t="n">
        <v>16.5893462150376</v>
      </c>
      <c r="W576" s="35" t="n">
        <v>15.2130608743457</v>
      </c>
      <c r="X576" s="35" t="n">
        <v>2.80747989092598</v>
      </c>
      <c r="Y576" s="35" t="n">
        <v>5.21727577078047</v>
      </c>
      <c r="Z576" s="35"/>
      <c r="AA576" s="35" t="n">
        <v>0.478913085673329</v>
      </c>
      <c r="AB576" s="35" t="n">
        <v>0.182482808365414</v>
      </c>
      <c r="AC576" s="71" t="n">
        <v>3.958225114452</v>
      </c>
      <c r="AD576" s="72"/>
      <c r="AE576" s="72"/>
      <c r="AF576" s="72"/>
      <c r="AG576" s="72"/>
      <c r="AH576" s="72"/>
      <c r="AI576" s="73" t="n">
        <v>27.611726114102</v>
      </c>
      <c r="AJ576" s="42" t="s">
        <v>16</v>
      </c>
      <c r="AK576" s="43" t="n">
        <v>601.618531396991</v>
      </c>
      <c r="AL576" s="74"/>
      <c r="AM576" s="74"/>
      <c r="AN576" s="74"/>
      <c r="AO576" s="78" t="n">
        <v>26.82</v>
      </c>
      <c r="AP576" s="76" t="n">
        <v>0.896290028480426</v>
      </c>
      <c r="AQ576" s="76" t="n">
        <v>0.809291545189505</v>
      </c>
      <c r="AR576" s="76" t="n">
        <v>1.40355393586006</v>
      </c>
      <c r="AS576" s="77" t="n">
        <v>24.1723504272064</v>
      </c>
      <c r="AT576" s="78" t="n">
        <v>24.7397196125833</v>
      </c>
      <c r="AU576" s="78" t="n">
        <v>33.4187184370032</v>
      </c>
      <c r="AV576" s="78" t="n">
        <v>30.1749271137026</v>
      </c>
      <c r="AW576" s="78" t="n">
        <v>52.332361516035</v>
      </c>
      <c r="AX576" s="78" t="n">
        <v>35.66</v>
      </c>
      <c r="AY576" s="48" t="n">
        <v>1.49130166384482</v>
      </c>
      <c r="AZ576" s="48" t="n">
        <v>20.767577966072</v>
      </c>
      <c r="BA576" s="48" t="n">
        <v>-4.17823175103441</v>
      </c>
      <c r="BB576" s="49" t="n">
        <f aca="false">AT576/V576</f>
        <v>1.49130166384482</v>
      </c>
      <c r="BC576" s="49" t="n">
        <f aca="false">AS576/V576</f>
        <v>1.45710084736764</v>
      </c>
      <c r="BD576" s="49" t="n">
        <f aca="false">SUM(AP576:AR576)/V576</f>
        <v>0.187417603396069</v>
      </c>
      <c r="BE576" s="53" t="n">
        <v>5.91</v>
      </c>
      <c r="BF576" s="51" t="n">
        <v>146.6</v>
      </c>
      <c r="BG576" s="51" t="n">
        <v>607.435197817189</v>
      </c>
      <c r="BH576" s="51" t="n">
        <v>251.432469304229</v>
      </c>
      <c r="BI576" s="51" t="n">
        <v>106.75306957708</v>
      </c>
      <c r="BJ576" s="51" t="n">
        <v>6.54843110504775</v>
      </c>
      <c r="BK576" s="51" t="n">
        <v>12.2783083219645</v>
      </c>
      <c r="BL576" s="51" t="n">
        <v>12.8240109140518</v>
      </c>
      <c r="BM576" s="51" t="n">
        <v>2.72851296043656</v>
      </c>
      <c r="BN576" s="52" t="n">
        <f aca="false">(BG576*0.5-BH576*0.25+BI576*0.5)/SUM(BG576:BI576)*1000</f>
        <v>304.711782989545</v>
      </c>
      <c r="BO576" s="93" t="n">
        <v>9.67542857142857</v>
      </c>
      <c r="BP576" s="94" t="s">
        <v>491</v>
      </c>
      <c r="BQ576" s="55" t="n">
        <v>231.415625</v>
      </c>
      <c r="BR576" s="56" t="n">
        <v>13.949653108706</v>
      </c>
      <c r="BS576" s="56"/>
      <c r="BT576" s="56" t="n">
        <v>9.35401163084707</v>
      </c>
      <c r="BU576" s="55" t="n">
        <v>7975.04375</v>
      </c>
      <c r="BV576" s="55" t="n">
        <v>480.732853882508</v>
      </c>
      <c r="BW576" s="55"/>
      <c r="BX576" s="55" t="n">
        <v>322.357887433116</v>
      </c>
      <c r="BY576" s="96" t="n">
        <v>0.07313</v>
      </c>
      <c r="BZ576" s="96" t="n">
        <v>0.5082</v>
      </c>
      <c r="CA576" s="97" t="n">
        <v>4.4574</v>
      </c>
      <c r="CB576" s="97"/>
      <c r="CC576" s="97" t="n">
        <v>7.5072</v>
      </c>
      <c r="CD576" s="97" t="n">
        <v>7.2013</v>
      </c>
      <c r="CE576" s="97" t="n">
        <v>103</v>
      </c>
      <c r="CF576" s="97" t="n">
        <v>37.2892</v>
      </c>
      <c r="CG576" s="97" t="n">
        <v>0.1137</v>
      </c>
      <c r="CH576" s="63" t="n">
        <v>72380.3006129045</v>
      </c>
      <c r="CI576" s="63" t="n">
        <v>1540.57676285854</v>
      </c>
      <c r="CJ576" s="64" t="n">
        <v>2722155.88584151</v>
      </c>
      <c r="CK576" s="65" t="n">
        <v>0.056593994887339</v>
      </c>
    </row>
    <row r="577" s="1" customFormat="true" ht="15" hidden="false" customHeight="false" outlineLevel="0" collapsed="false">
      <c r="A577" s="7" t="s">
        <v>488</v>
      </c>
      <c r="B577" s="66" t="n">
        <v>568</v>
      </c>
      <c r="C577" s="8" t="s">
        <v>660</v>
      </c>
      <c r="D577" s="67" t="n">
        <v>41800</v>
      </c>
      <c r="E577" s="4" t="s">
        <v>490</v>
      </c>
      <c r="F577" s="7" t="n">
        <v>508</v>
      </c>
      <c r="G577" s="68" t="n">
        <v>1</v>
      </c>
      <c r="H577" s="68" t="n">
        <v>157</v>
      </c>
      <c r="I577" s="7" t="n">
        <v>1</v>
      </c>
      <c r="J577" s="8" t="n">
        <v>666</v>
      </c>
      <c r="K577" s="32"/>
      <c r="L577" s="31" t="n">
        <v>917.038</v>
      </c>
      <c r="M577" s="31" t="n">
        <v>169.233907987351</v>
      </c>
      <c r="N577" s="31" t="n">
        <v>314.495562582883</v>
      </c>
      <c r="O577" s="95"/>
      <c r="P577" s="33" t="n">
        <v>28.868713659084</v>
      </c>
      <c r="Q577" s="33" t="n">
        <v>11</v>
      </c>
      <c r="R577" s="31" t="n">
        <v>238.600428440273</v>
      </c>
      <c r="S577" s="34" t="s">
        <v>76</v>
      </c>
      <c r="T577" s="35"/>
      <c r="U577" s="35"/>
      <c r="V577" s="35" t="n">
        <v>19.4522956287716</v>
      </c>
      <c r="W577" s="35" t="n">
        <v>17.8384942788174</v>
      </c>
      <c r="X577" s="35" t="n">
        <v>3.29198800858228</v>
      </c>
      <c r="Y577" s="35" t="n">
        <v>6.11766065729907</v>
      </c>
      <c r="Z577" s="35"/>
      <c r="AA577" s="35" t="n">
        <v>0.561562752518857</v>
      </c>
      <c r="AB577" s="35" t="n">
        <v>0.213975251916487</v>
      </c>
      <c r="AC577" s="71" t="n">
        <v>4.64132607117176</v>
      </c>
      <c r="AD577" s="72"/>
      <c r="AE577" s="72"/>
      <c r="AF577" s="72"/>
      <c r="AG577" s="72"/>
      <c r="AH577" s="72"/>
      <c r="AI577" s="73" t="n">
        <v>30.201842201605</v>
      </c>
      <c r="AJ577" s="42" t="s">
        <v>16</v>
      </c>
      <c r="AK577" s="43" t="n">
        <v>635.783806611127</v>
      </c>
      <c r="AL577" s="74"/>
      <c r="AM577" s="74"/>
      <c r="AN577" s="74"/>
      <c r="AO577" s="78" t="n">
        <v>28.18</v>
      </c>
      <c r="AP577" s="76" t="n">
        <v>1.19102035147392</v>
      </c>
      <c r="AQ577" s="76" t="n">
        <v>0.913316812439262</v>
      </c>
      <c r="AR577" s="76" t="n">
        <v>1.41653109815355</v>
      </c>
      <c r="AS577" s="77" t="n">
        <v>29.1373052721088</v>
      </c>
      <c r="AT577" s="78" t="n">
        <v>29.2137250592169</v>
      </c>
      <c r="AU577" s="78" t="n">
        <v>42.2647392290249</v>
      </c>
      <c r="AV577" s="78" t="n">
        <v>32.4101068999028</v>
      </c>
      <c r="AW577" s="78" t="n">
        <v>50.2672497570457</v>
      </c>
      <c r="AX577" s="78" t="n">
        <v>39.13</v>
      </c>
      <c r="AY577" s="48" t="n">
        <v>1.50181375076407</v>
      </c>
      <c r="AZ577" s="48" t="n">
        <v>23.3728258976273</v>
      </c>
      <c r="BA577" s="48" t="n">
        <v>-3.92053026885572</v>
      </c>
      <c r="BB577" s="49" t="n">
        <f aca="false">AT577/V577</f>
        <v>1.50181375076407</v>
      </c>
      <c r="BC577" s="49" t="n">
        <f aca="false">AS577/V577</f>
        <v>1.49788517654504</v>
      </c>
      <c r="BD577" s="49" t="n">
        <f aca="false">SUM(AP577:AR577)/V577</f>
        <v>0.181000141539031</v>
      </c>
      <c r="BE577" s="53" t="n">
        <v>6.22</v>
      </c>
      <c r="BF577" s="51" t="n">
        <v>128.81</v>
      </c>
      <c r="BG577" s="51" t="n">
        <v>599.021815076469</v>
      </c>
      <c r="BH577" s="51" t="n">
        <v>276.376057759491</v>
      </c>
      <c r="BI577" s="51" t="n">
        <v>96.653986491732</v>
      </c>
      <c r="BJ577" s="51" t="n">
        <v>5.82252930673084</v>
      </c>
      <c r="BK577" s="51" t="n">
        <v>10.946355096654</v>
      </c>
      <c r="BL577" s="51" t="n">
        <v>9.47131433894884</v>
      </c>
      <c r="BM577" s="51" t="n">
        <v>1.70794192997438</v>
      </c>
      <c r="BN577" s="52" t="n">
        <f aca="false">(BG577*0.5-BH577*0.25+BI577*0.5)/SUM(BG577:BI577)*1000</f>
        <v>286.758246146474</v>
      </c>
      <c r="BO577" s="93" t="n">
        <v>12.2108571428571</v>
      </c>
      <c r="BP577" s="94" t="s">
        <v>491</v>
      </c>
      <c r="BQ577" s="55" t="n">
        <v>297.153221288515</v>
      </c>
      <c r="BR577" s="56" t="n">
        <v>15.2759975973736</v>
      </c>
      <c r="BS577" s="56"/>
      <c r="BT577" s="56" t="n">
        <v>10.1716991135564</v>
      </c>
      <c r="BU577" s="55" t="n">
        <v>10250.618907563</v>
      </c>
      <c r="BV577" s="55" t="n">
        <v>526.961912526226</v>
      </c>
      <c r="BW577" s="55"/>
      <c r="BX577" s="55" t="n">
        <v>350.883664674217</v>
      </c>
      <c r="BY577" s="96" t="n">
        <v>0.08549</v>
      </c>
      <c r="BZ577" s="96" t="n">
        <v>0.6226</v>
      </c>
      <c r="CA577" s="97" t="n">
        <v>4.2942</v>
      </c>
      <c r="CB577" s="97"/>
      <c r="CC577" s="97" t="n">
        <v>9.0882</v>
      </c>
      <c r="CD577" s="97" t="n">
        <v>7.0801</v>
      </c>
      <c r="CE577" s="97" t="n">
        <v>99.91</v>
      </c>
      <c r="CF577" s="97" t="n">
        <v>35.2187</v>
      </c>
      <c r="CG577" s="97" t="n">
        <v>0.141</v>
      </c>
      <c r="CH577" s="63" t="n">
        <v>47402.8996725672</v>
      </c>
      <c r="CI577" s="63" t="n">
        <v>1868.59503989432</v>
      </c>
      <c r="CJ577" s="64" t="n">
        <v>3434850.36240171</v>
      </c>
      <c r="CK577" s="65" t="n">
        <v>0.0544010609704629</v>
      </c>
    </row>
    <row r="578" s="1" customFormat="true" ht="15" hidden="false" customHeight="false" outlineLevel="0" collapsed="false">
      <c r="A578" s="7" t="s">
        <v>488</v>
      </c>
      <c r="B578" s="66" t="n">
        <v>569</v>
      </c>
      <c r="C578" s="8" t="s">
        <v>661</v>
      </c>
      <c r="D578" s="67" t="n">
        <v>41800</v>
      </c>
      <c r="E578" s="4" t="s">
        <v>490</v>
      </c>
      <c r="F578" s="7" t="n">
        <v>509</v>
      </c>
      <c r="G578" s="68" t="n">
        <v>1</v>
      </c>
      <c r="H578" s="68" t="n">
        <v>192</v>
      </c>
      <c r="I578" s="7" t="n">
        <v>1</v>
      </c>
      <c r="J578" s="8" t="n">
        <v>563</v>
      </c>
      <c r="K578" s="32"/>
      <c r="L578" s="31" t="n">
        <v>917.038</v>
      </c>
      <c r="M578" s="31" t="n">
        <v>169.233907987351</v>
      </c>
      <c r="N578" s="31" t="n">
        <v>314.495562582883</v>
      </c>
      <c r="O578" s="95"/>
      <c r="P578" s="33" t="n">
        <v>28.868713659084</v>
      </c>
      <c r="Q578" s="33" t="n">
        <v>11</v>
      </c>
      <c r="R578" s="31" t="n">
        <v>238.600428440273</v>
      </c>
      <c r="S578" s="34" t="s">
        <v>76</v>
      </c>
      <c r="T578" s="35"/>
      <c r="U578" s="35"/>
      <c r="V578" s="35" t="n">
        <v>15.2839642587911</v>
      </c>
      <c r="W578" s="35" t="n">
        <v>14.0159760159533</v>
      </c>
      <c r="X578" s="35" t="n">
        <v>2.58656500105421</v>
      </c>
      <c r="Y578" s="35" t="n">
        <v>4.80673893806518</v>
      </c>
      <c r="Z578" s="35"/>
      <c r="AA578" s="35" t="n">
        <v>0.441228387762714</v>
      </c>
      <c r="AB578" s="35" t="n">
        <v>0.168123606846702</v>
      </c>
      <c r="AC578" s="71" t="n">
        <v>3.64676042041338</v>
      </c>
      <c r="AD578" s="72"/>
      <c r="AE578" s="72"/>
      <c r="AF578" s="72"/>
      <c r="AG578" s="72"/>
      <c r="AH578" s="72"/>
      <c r="AI578" s="73" t="n">
        <v>29.8788615826234</v>
      </c>
      <c r="AJ578" s="42" t="s">
        <v>16</v>
      </c>
      <c r="AK578" s="43" t="n">
        <v>631.846749931154</v>
      </c>
      <c r="AL578" s="74"/>
      <c r="AM578" s="74"/>
      <c r="AN578" s="74"/>
      <c r="AO578" s="78" t="n">
        <v>24.5</v>
      </c>
      <c r="AP578" s="76" t="n">
        <v>0.952427005618495</v>
      </c>
      <c r="AQ578" s="76" t="n">
        <v>0.792857142857143</v>
      </c>
      <c r="AR578" s="76" t="n">
        <v>1.23333333333333</v>
      </c>
      <c r="AS578" s="77" t="n">
        <v>24.0864050842774</v>
      </c>
      <c r="AT578" s="78" t="n">
        <v>24.3858536642244</v>
      </c>
      <c r="AU578" s="78" t="n">
        <v>38.8745716578978</v>
      </c>
      <c r="AV578" s="78" t="n">
        <v>32.3615160349854</v>
      </c>
      <c r="AW578" s="78" t="n">
        <v>50.3401360544218</v>
      </c>
      <c r="AX578" s="78" t="n">
        <v>40.7825</v>
      </c>
      <c r="AY578" s="48" t="n">
        <v>1.59551888837989</v>
      </c>
      <c r="AZ578" s="48" t="n">
        <v>20.0968349016615</v>
      </c>
      <c r="BA578" s="48" t="n">
        <v>-4.81287064287037</v>
      </c>
      <c r="BB578" s="49" t="n">
        <f aca="false">AT578/V578</f>
        <v>1.59551888837989</v>
      </c>
      <c r="BC578" s="49" t="n">
        <f aca="false">AS578/V578</f>
        <v>1.57592655128222</v>
      </c>
      <c r="BD578" s="49" t="n">
        <f aca="false">SUM(AP578:AR578)/V578</f>
        <v>0.194885137872245</v>
      </c>
      <c r="BE578" s="53" t="n">
        <v>6.4</v>
      </c>
      <c r="BF578" s="51" t="n">
        <v>113.52</v>
      </c>
      <c r="BG578" s="51" t="n">
        <v>642.882311486963</v>
      </c>
      <c r="BH578" s="51" t="n">
        <v>186.134601832276</v>
      </c>
      <c r="BI578" s="51" t="n">
        <v>135.042283298097</v>
      </c>
      <c r="BJ578" s="51" t="n">
        <v>7.66384778012685</v>
      </c>
      <c r="BK578" s="51" t="n">
        <v>11.7159971811135</v>
      </c>
      <c r="BL578" s="51" t="n">
        <v>12.4207188160677</v>
      </c>
      <c r="BM578" s="51" t="n">
        <v>4.14023960535589</v>
      </c>
      <c r="BN578" s="52" t="n">
        <f aca="false">(BG578*0.5-BH578*0.25+BI578*0.5)/SUM(BG578:BI578)*1000</f>
        <v>355.194627192982</v>
      </c>
      <c r="BO578" s="93" t="n">
        <v>12.9977142857143</v>
      </c>
      <c r="BP578" s="94" t="s">
        <v>491</v>
      </c>
      <c r="BQ578" s="55" t="n">
        <v>335.654166666667</v>
      </c>
      <c r="BR578" s="56" t="n">
        <v>21.9611980886179</v>
      </c>
      <c r="BS578" s="56"/>
      <c r="BT578" s="56" t="n">
        <v>13.7642984038362</v>
      </c>
      <c r="BU578" s="55" t="n">
        <v>10174.3333333333</v>
      </c>
      <c r="BV578" s="55" t="n">
        <v>665.686804879907</v>
      </c>
      <c r="BW578" s="55"/>
      <c r="BX578" s="55" t="n">
        <v>417.222766667371</v>
      </c>
      <c r="BY578" s="96" t="n">
        <v>0.09064</v>
      </c>
      <c r="BZ578" s="96" t="n">
        <v>0.792</v>
      </c>
      <c r="CA578" s="97" t="n">
        <v>3.9372</v>
      </c>
      <c r="CB578" s="97"/>
      <c r="CC578" s="97" t="n">
        <v>9.2514</v>
      </c>
      <c r="CD578" s="97" t="n">
        <v>4.4945</v>
      </c>
      <c r="CE578" s="97" t="n">
        <v>113.3</v>
      </c>
      <c r="CF578" s="97" t="n">
        <v>39.1981</v>
      </c>
      <c r="CG578" s="97" t="n">
        <v>0.1228</v>
      </c>
      <c r="CH578" s="63" t="n">
        <v>90800.8046394861</v>
      </c>
      <c r="CI578" s="63" t="n">
        <v>1576.10555136422</v>
      </c>
      <c r="CJ578" s="64" t="n">
        <v>311967.850221331</v>
      </c>
      <c r="CK578" s="65" t="n">
        <v>0.505214095056918</v>
      </c>
    </row>
    <row r="579" s="1" customFormat="true" ht="15" hidden="false" customHeight="false" outlineLevel="0" collapsed="false">
      <c r="A579" s="7" t="s">
        <v>488</v>
      </c>
      <c r="B579" s="66" t="n">
        <v>570</v>
      </c>
      <c r="C579" s="8" t="s">
        <v>662</v>
      </c>
      <c r="D579" s="67" t="n">
        <v>41800</v>
      </c>
      <c r="E579" s="4" t="s">
        <v>490</v>
      </c>
      <c r="F579" s="7" t="n">
        <v>512</v>
      </c>
      <c r="G579" s="68" t="n">
        <v>1</v>
      </c>
      <c r="H579" s="68" t="n">
        <v>158</v>
      </c>
      <c r="I579" s="7" t="n">
        <v>1</v>
      </c>
      <c r="J579" s="8" t="n">
        <v>604</v>
      </c>
      <c r="K579" s="32"/>
      <c r="L579" s="31" t="n">
        <v>917.038</v>
      </c>
      <c r="M579" s="31" t="n">
        <v>169.233907987351</v>
      </c>
      <c r="N579" s="31" t="n">
        <v>314.495562582883</v>
      </c>
      <c r="O579" s="95"/>
      <c r="P579" s="33" t="n">
        <v>28.868713659084</v>
      </c>
      <c r="Q579" s="33" t="n">
        <v>11</v>
      </c>
      <c r="R579" s="31" t="n">
        <v>238.600428440273</v>
      </c>
      <c r="S579" s="34" t="s">
        <v>76</v>
      </c>
      <c r="T579" s="35"/>
      <c r="U579" s="35"/>
      <c r="V579" s="35" t="n">
        <v>17.0434947621452</v>
      </c>
      <c r="W579" s="35" t="n">
        <v>15.6295323496881</v>
      </c>
      <c r="X579" s="35" t="n">
        <v>2.88433722435978</v>
      </c>
      <c r="Y579" s="35" t="n">
        <v>5.36010347359928</v>
      </c>
      <c r="Z579" s="35"/>
      <c r="AA579" s="35" t="n">
        <v>0.492023770038468</v>
      </c>
      <c r="AB579" s="35" t="n">
        <v>0.187478442383598</v>
      </c>
      <c r="AC579" s="71" t="n">
        <v>4.06658515236741</v>
      </c>
      <c r="AD579" s="72"/>
      <c r="AE579" s="72"/>
      <c r="AF579" s="72"/>
      <c r="AG579" s="72"/>
      <c r="AH579" s="72"/>
      <c r="AI579" s="73" t="n">
        <v>30.6560371321472</v>
      </c>
      <c r="AJ579" s="42" t="s">
        <v>16</v>
      </c>
      <c r="AK579" s="43" t="n">
        <v>641.179975331354</v>
      </c>
      <c r="AL579" s="74"/>
      <c r="AM579" s="74"/>
      <c r="AN579" s="74"/>
      <c r="AO579" s="78" t="n">
        <v>30.98</v>
      </c>
      <c r="AP579" s="76" t="n">
        <v>1.27313224718459</v>
      </c>
      <c r="AQ579" s="76" t="n">
        <v>0.928045189504373</v>
      </c>
      <c r="AR579" s="76" t="n">
        <v>1.63104130223518</v>
      </c>
      <c r="AS579" s="77" t="n">
        <v>31.4889837077688</v>
      </c>
      <c r="AT579" s="78" t="n">
        <v>31.4771871949508</v>
      </c>
      <c r="AU579" s="78" t="n">
        <v>41.0952952609615</v>
      </c>
      <c r="AV579" s="78" t="n">
        <v>29.9562682215743</v>
      </c>
      <c r="AW579" s="78" t="n">
        <v>52.6482021379981</v>
      </c>
      <c r="AX579" s="78" t="n">
        <v>32.4125</v>
      </c>
      <c r="AY579" s="48" t="n">
        <v>1.84687399117602</v>
      </c>
      <c r="AZ579" s="48" t="n">
        <v>23.3552495206201</v>
      </c>
      <c r="BA579" s="48" t="n">
        <v>-6.31175475847485</v>
      </c>
      <c r="BB579" s="49" t="n">
        <f aca="false">AT579/V579</f>
        <v>1.84687399117602</v>
      </c>
      <c r="BC579" s="49" t="n">
        <f aca="false">AS579/V579</f>
        <v>1.84756613283961</v>
      </c>
      <c r="BD579" s="49" t="n">
        <f aca="false">SUM(AP579:AR579)/V579</f>
        <v>0.224849351169207</v>
      </c>
      <c r="BE579" s="53" t="n">
        <v>5.96</v>
      </c>
      <c r="BF579" s="51" t="n">
        <v>126.97</v>
      </c>
      <c r="BG579" s="51" t="n">
        <v>605.654879105301</v>
      </c>
      <c r="BH579" s="51" t="n">
        <v>254.627077262345</v>
      </c>
      <c r="BI579" s="51" t="n">
        <v>109.63219658187</v>
      </c>
      <c r="BJ579" s="51" t="n">
        <v>5.90690714341971</v>
      </c>
      <c r="BK579" s="51" t="n">
        <v>11.8925730487517</v>
      </c>
      <c r="BL579" s="51" t="n">
        <v>9.13601638182248</v>
      </c>
      <c r="BM579" s="51" t="n">
        <v>3.15035047649051</v>
      </c>
      <c r="BN579" s="52" t="n">
        <f aca="false">(BG579*0.5-BH579*0.25+BI579*0.5)/SUM(BG579:BI579)*1000</f>
        <v>303.105968331303</v>
      </c>
      <c r="BO579" s="93" t="n">
        <v>5.36228571428571</v>
      </c>
      <c r="BP579" s="94" t="s">
        <v>491</v>
      </c>
      <c r="BQ579" s="55" t="n">
        <v>318.502222222222</v>
      </c>
      <c r="BR579" s="56" t="n">
        <v>18.6876122923825</v>
      </c>
      <c r="BS579" s="56"/>
      <c r="BT579" s="56" t="n">
        <v>10.1185096447663</v>
      </c>
      <c r="BU579" s="55" t="n">
        <v>10302.67</v>
      </c>
      <c r="BV579" s="55" t="n">
        <v>604.492807595009</v>
      </c>
      <c r="BW579" s="55"/>
      <c r="BX579" s="55" t="n">
        <v>327.305929090533</v>
      </c>
      <c r="BY579" s="96" t="n">
        <v>0.04944</v>
      </c>
      <c r="BZ579" s="96" t="n">
        <v>0.7414</v>
      </c>
      <c r="CA579" s="97" t="n">
        <v>4.1922</v>
      </c>
      <c r="CB579" s="97"/>
      <c r="CC579" s="97" t="n">
        <v>7.2624</v>
      </c>
      <c r="CD579" s="97" t="n">
        <v>5.9489</v>
      </c>
      <c r="CE579" s="97" t="n">
        <v>104.03</v>
      </c>
      <c r="CF579" s="97" t="n">
        <v>35.8449</v>
      </c>
      <c r="CG579" s="97" t="n">
        <v>0.8781</v>
      </c>
      <c r="CH579" s="63" t="n">
        <v>76989.4850660082</v>
      </c>
      <c r="CI579" s="63" t="n">
        <v>3840.11677183896</v>
      </c>
      <c r="CJ579" s="64" t="n">
        <v>737019.755834077</v>
      </c>
      <c r="CK579" s="65" t="n">
        <v>0.521033085129875</v>
      </c>
    </row>
    <row r="580" s="1" customFormat="true" ht="15" hidden="false" customHeight="false" outlineLevel="0" collapsed="false">
      <c r="A580" s="7" t="s">
        <v>488</v>
      </c>
      <c r="B580" s="66" t="n">
        <v>571</v>
      </c>
      <c r="C580" s="8" t="s">
        <v>663</v>
      </c>
      <c r="D580" s="67" t="n">
        <v>41800</v>
      </c>
      <c r="E580" s="4" t="s">
        <v>490</v>
      </c>
      <c r="F580" s="7" t="n">
        <v>514</v>
      </c>
      <c r="G580" s="68" t="n">
        <v>1</v>
      </c>
      <c r="H580" s="68" t="n">
        <v>138</v>
      </c>
      <c r="I580" s="7" t="n">
        <v>1</v>
      </c>
      <c r="J580" s="8" t="n">
        <v>614</v>
      </c>
      <c r="K580" s="32"/>
      <c r="L580" s="31" t="n">
        <v>917.038</v>
      </c>
      <c r="M580" s="31" t="n">
        <v>169.233907987351</v>
      </c>
      <c r="N580" s="31" t="n">
        <v>314.495562582883</v>
      </c>
      <c r="O580" s="95"/>
      <c r="P580" s="33" t="n">
        <v>28.868713659084</v>
      </c>
      <c r="Q580" s="33" t="n">
        <v>11</v>
      </c>
      <c r="R580" s="31" t="n">
        <v>238.600428440273</v>
      </c>
      <c r="S580" s="34" t="s">
        <v>76</v>
      </c>
      <c r="T580" s="35"/>
      <c r="U580" s="35"/>
      <c r="V580" s="35" t="n">
        <v>16.9079904876509</v>
      </c>
      <c r="W580" s="35" t="n">
        <v>15.5052697808144</v>
      </c>
      <c r="X580" s="35" t="n">
        <v>2.86140530643812</v>
      </c>
      <c r="Y580" s="35" t="n">
        <v>5.31748798055981</v>
      </c>
      <c r="Z580" s="35"/>
      <c r="AA580" s="35" t="n">
        <v>0.48811193593851</v>
      </c>
      <c r="AB580" s="35" t="n">
        <v>0.18598789536416</v>
      </c>
      <c r="AC580" s="71" t="n">
        <v>4.03425377441758</v>
      </c>
      <c r="AD580" s="72"/>
      <c r="AE580" s="72"/>
      <c r="AF580" s="72"/>
      <c r="AG580" s="72"/>
      <c r="AH580" s="72"/>
      <c r="AI580" s="73" t="n">
        <v>32.9180817696502</v>
      </c>
      <c r="AJ580" s="42" t="s">
        <v>16</v>
      </c>
      <c r="AK580" s="43" t="n">
        <v>665.837150628207</v>
      </c>
      <c r="AL580" s="74"/>
      <c r="AM580" s="74"/>
      <c r="AN580" s="74"/>
      <c r="AO580" s="78" t="n">
        <v>30.34</v>
      </c>
      <c r="AP580" s="76" t="n">
        <v>0.935499398843786</v>
      </c>
      <c r="AQ580" s="76" t="n">
        <v>0.890445092322643</v>
      </c>
      <c r="AR580" s="76" t="n">
        <v>1.56270165208941</v>
      </c>
      <c r="AS580" s="77" t="n">
        <v>26.1684909826568</v>
      </c>
      <c r="AT580" s="78" t="n">
        <v>26.7049431641668</v>
      </c>
      <c r="AU580" s="78" t="n">
        <v>30.833862849169</v>
      </c>
      <c r="AV580" s="78" t="n">
        <v>29.3488824101069</v>
      </c>
      <c r="AW580" s="78" t="n">
        <v>51.5063168124393</v>
      </c>
      <c r="AX580" s="78" t="n">
        <v>38.635</v>
      </c>
      <c r="AY580" s="48" t="n">
        <v>1.57942738279107</v>
      </c>
      <c r="AZ580" s="48" t="n">
        <v>21.4313488248025</v>
      </c>
      <c r="BA580" s="48" t="n">
        <v>-4.52335833715155</v>
      </c>
      <c r="BB580" s="49" t="n">
        <f aca="false">AT580/V580</f>
        <v>1.57942738279107</v>
      </c>
      <c r="BC580" s="49" t="n">
        <f aca="false">AS580/V580</f>
        <v>1.54769965134351</v>
      </c>
      <c r="BD580" s="49" t="n">
        <f aca="false">SUM(AP580:AR580)/V580</f>
        <v>0.200416847036364</v>
      </c>
      <c r="BE580" s="53" t="n">
        <v>5.74</v>
      </c>
      <c r="BF580" s="51" t="n">
        <v>136.26</v>
      </c>
      <c r="BG580" s="51" t="n">
        <v>582.342580361075</v>
      </c>
      <c r="BH580" s="51" t="n">
        <v>250.697196536034</v>
      </c>
      <c r="BI580" s="51" t="n">
        <v>134.522236900044</v>
      </c>
      <c r="BJ580" s="51" t="n">
        <v>4.62351387054161</v>
      </c>
      <c r="BK580" s="51" t="n">
        <v>15.4851020108616</v>
      </c>
      <c r="BL580" s="51" t="n">
        <v>8.36635843240863</v>
      </c>
      <c r="BM580" s="51" t="n">
        <v>3.96301188903567</v>
      </c>
      <c r="BN580" s="52" t="n">
        <f aca="false">(BG580*0.5-BH580*0.25+BI580*0.5)/SUM(BG580:BI580)*1000</f>
        <v>305.67354368932</v>
      </c>
      <c r="BO580" s="93" t="n">
        <v>14.3965714285714</v>
      </c>
      <c r="BP580" s="94" t="s">
        <v>491</v>
      </c>
      <c r="BQ580" s="55" t="n">
        <v>256.498039215686</v>
      </c>
      <c r="BR580" s="56" t="n">
        <v>15.1702261367502</v>
      </c>
      <c r="BS580" s="56"/>
      <c r="BT580" s="56" t="n">
        <v>9.60488991266082</v>
      </c>
      <c r="BU580" s="55" t="n">
        <v>9998.01176470588</v>
      </c>
      <c r="BV580" s="55" t="n">
        <v>591.318747902545</v>
      </c>
      <c r="BW580" s="55"/>
      <c r="BX580" s="55" t="n">
        <v>374.388056295188</v>
      </c>
      <c r="BY580" s="96" t="n">
        <v>0.09373</v>
      </c>
      <c r="BZ580" s="96" t="n">
        <v>1.0461</v>
      </c>
      <c r="CA580" s="97" t="n">
        <v>3.825</v>
      </c>
      <c r="CB580" s="97"/>
      <c r="CC580" s="97" t="n">
        <v>8.5986</v>
      </c>
      <c r="CD580" s="97" t="n">
        <v>6.4842</v>
      </c>
      <c r="CE580" s="97" t="n">
        <v>94.76</v>
      </c>
      <c r="CF580" s="97" t="n">
        <v>36.4913</v>
      </c>
      <c r="CG580" s="97" t="n">
        <v>0.1865</v>
      </c>
      <c r="CH580" s="63" t="n">
        <v>69325.5570088831</v>
      </c>
      <c r="CI580" s="63" t="n">
        <v>1551.37049660228</v>
      </c>
      <c r="CJ580" s="64" t="n">
        <v>624412.338449036</v>
      </c>
      <c r="CK580" s="65" t="n">
        <v>0.248452889392881</v>
      </c>
    </row>
    <row r="581" s="1" customFormat="true" ht="15" hidden="false" customHeight="false" outlineLevel="0" collapsed="false">
      <c r="A581" s="7" t="s">
        <v>488</v>
      </c>
      <c r="B581" s="66" t="n">
        <v>572</v>
      </c>
      <c r="C581" s="8" t="s">
        <v>664</v>
      </c>
      <c r="D581" s="67" t="n">
        <v>41800</v>
      </c>
      <c r="E581" s="4" t="s">
        <v>490</v>
      </c>
      <c r="F581" s="7" t="n">
        <v>523</v>
      </c>
      <c r="G581" s="68" t="n">
        <v>1</v>
      </c>
      <c r="H581" s="68" t="n">
        <v>170</v>
      </c>
      <c r="I581" s="7" t="n">
        <v>1</v>
      </c>
      <c r="J581" s="8" t="n">
        <v>687</v>
      </c>
      <c r="K581" s="32"/>
      <c r="L581" s="31" t="n">
        <v>917.038</v>
      </c>
      <c r="M581" s="31" t="n">
        <v>169.233907987351</v>
      </c>
      <c r="N581" s="31" t="n">
        <v>314.495562582883</v>
      </c>
      <c r="O581" s="95"/>
      <c r="P581" s="33" t="n">
        <v>28.868713659084</v>
      </c>
      <c r="Q581" s="33" t="n">
        <v>11</v>
      </c>
      <c r="R581" s="31" t="n">
        <v>238.600428440273</v>
      </c>
      <c r="S581" s="34" t="s">
        <v>76</v>
      </c>
      <c r="T581" s="35"/>
      <c r="U581" s="35"/>
      <c r="V581" s="35" t="n">
        <v>19.038543327155</v>
      </c>
      <c r="W581" s="35" t="n">
        <v>17.4590676956476</v>
      </c>
      <c r="X581" s="35" t="n">
        <v>3.22196708964095</v>
      </c>
      <c r="Y581" s="35" t="n">
        <v>5.98753739443221</v>
      </c>
      <c r="Z581" s="35"/>
      <c r="AA581" s="35" t="n">
        <v>0.549618255797702</v>
      </c>
      <c r="AB581" s="35" t="n">
        <v>0.209423976598705</v>
      </c>
      <c r="AC581" s="71" t="n">
        <v>4.5426045947379</v>
      </c>
      <c r="AD581" s="72"/>
      <c r="AE581" s="72"/>
      <c r="AF581" s="72"/>
      <c r="AG581" s="72"/>
      <c r="AH581" s="72"/>
      <c r="AI581" s="73" t="n">
        <v>31.2944356798516</v>
      </c>
      <c r="AJ581" s="42" t="s">
        <v>16</v>
      </c>
      <c r="AK581" s="43" t="n">
        <v>648.499812793168</v>
      </c>
      <c r="AL581" s="74"/>
      <c r="AM581" s="74"/>
      <c r="AN581" s="74"/>
      <c r="AO581" s="78" t="n">
        <v>30.4</v>
      </c>
      <c r="AP581" s="76" t="n">
        <v>0.820118564901917</v>
      </c>
      <c r="AQ581" s="76" t="n">
        <v>0.996345966958212</v>
      </c>
      <c r="AR581" s="76" t="n">
        <v>1.53255587949466</v>
      </c>
      <c r="AS581" s="77" t="n">
        <v>24.4617784735288</v>
      </c>
      <c r="AT581" s="78" t="n">
        <v>25.9553718735585</v>
      </c>
      <c r="AU581" s="78" t="n">
        <v>26.9775843717736</v>
      </c>
      <c r="AV581" s="78" t="n">
        <v>32.7745383867833</v>
      </c>
      <c r="AW581" s="78" t="n">
        <v>50.4130223517979</v>
      </c>
      <c r="AX581" s="78" t="n">
        <v>31.785</v>
      </c>
      <c r="AY581" s="48" t="n">
        <v>1.3633066053188</v>
      </c>
      <c r="AZ581" s="48" t="n">
        <v>21.9862317088649</v>
      </c>
      <c r="BA581" s="48" t="n">
        <v>-2.94768838170988</v>
      </c>
      <c r="BB581" s="49" t="n">
        <f aca="false">AT581/V581</f>
        <v>1.3633066053188</v>
      </c>
      <c r="BC581" s="49" t="n">
        <f aca="false">AS581/V581</f>
        <v>1.28485557183561</v>
      </c>
      <c r="BD581" s="49" t="n">
        <f aca="false">SUM(AP581:AR581)/V581</f>
        <v>0.175907387125464</v>
      </c>
      <c r="BE581" s="53" t="n">
        <v>6.22</v>
      </c>
      <c r="BF581" s="51" t="n">
        <v>111.08</v>
      </c>
      <c r="BG581" s="51" t="n">
        <v>589.39503060857</v>
      </c>
      <c r="BH581" s="51" t="n">
        <v>285.649981994959</v>
      </c>
      <c r="BI581" s="51" t="n">
        <v>94.9765934461649</v>
      </c>
      <c r="BJ581" s="51" t="n">
        <v>5.40151242347857</v>
      </c>
      <c r="BK581" s="51" t="n">
        <v>13.9539070939863</v>
      </c>
      <c r="BL581" s="51" t="n">
        <v>8.10226863521786</v>
      </c>
      <c r="BM581" s="51" t="n">
        <v>2.52070579762333</v>
      </c>
      <c r="BN581" s="52" t="n">
        <f aca="false">(BG581*0.5-BH581*0.25+BI581*0.5)/SUM(BG581:BI581)*1000</f>
        <v>279.141531322506</v>
      </c>
      <c r="BO581" s="93" t="n">
        <v>7.31485714285714</v>
      </c>
      <c r="BP581" s="94" t="s">
        <v>491</v>
      </c>
      <c r="BQ581" s="55" t="n">
        <v>202.038461538462</v>
      </c>
      <c r="BR581" s="56" t="n">
        <v>10.6120756229438</v>
      </c>
      <c r="BS581" s="56"/>
      <c r="BT581" s="56" t="n">
        <v>7.78407115577812</v>
      </c>
      <c r="BU581" s="55" t="n">
        <v>7946.21153846154</v>
      </c>
      <c r="BV581" s="55" t="n">
        <v>417.374974645655</v>
      </c>
      <c r="BW581" s="55"/>
      <c r="BX581" s="55" t="n">
        <v>306.149015208546</v>
      </c>
      <c r="BY581" s="96" t="n">
        <v>0.07416</v>
      </c>
      <c r="BZ581" s="96" t="n">
        <v>0.5104</v>
      </c>
      <c r="CA581" s="97" t="n">
        <v>4.6104</v>
      </c>
      <c r="CB581" s="97"/>
      <c r="CC581" s="97" t="n">
        <v>8.2314</v>
      </c>
      <c r="CD581" s="97" t="n">
        <v>6.7872</v>
      </c>
      <c r="CE581" s="97" t="n">
        <v>112.27</v>
      </c>
      <c r="CF581" s="97" t="n">
        <v>36.4105</v>
      </c>
      <c r="CG581" s="97" t="n">
        <v>0.1137</v>
      </c>
      <c r="CH581" s="63" t="n">
        <v>38070.4878921983</v>
      </c>
      <c r="CI581" s="63" t="n">
        <v>4960.93865932898</v>
      </c>
      <c r="CJ581" s="64" t="n">
        <v>1432805.8049638</v>
      </c>
      <c r="CK581" s="65" t="n">
        <v>0.346239430503586</v>
      </c>
    </row>
    <row r="582" s="1" customFormat="true" ht="15" hidden="false" customHeight="false" outlineLevel="0" collapsed="false">
      <c r="A582" s="7" t="s">
        <v>488</v>
      </c>
      <c r="B582" s="66" t="n">
        <v>573</v>
      </c>
      <c r="C582" s="8" t="s">
        <v>665</v>
      </c>
      <c r="D582" s="67" t="n">
        <v>41800</v>
      </c>
      <c r="E582" s="4" t="s">
        <v>490</v>
      </c>
      <c r="F582" s="7" t="n">
        <v>527</v>
      </c>
      <c r="G582" s="68" t="n">
        <v>1</v>
      </c>
      <c r="H582" s="68" t="n">
        <v>148</v>
      </c>
      <c r="I582" s="7" t="n">
        <v>1</v>
      </c>
      <c r="J582" s="8" t="n">
        <v>656</v>
      </c>
      <c r="K582" s="32"/>
      <c r="L582" s="31" t="n">
        <v>917.038</v>
      </c>
      <c r="M582" s="31" t="n">
        <v>169.233907987351</v>
      </c>
      <c r="N582" s="31" t="n">
        <v>314.495562582883</v>
      </c>
      <c r="O582" s="95"/>
      <c r="P582" s="33" t="n">
        <v>28.868713659084</v>
      </c>
      <c r="Q582" s="33" t="n">
        <v>11</v>
      </c>
      <c r="R582" s="31" t="n">
        <v>238.600428440273</v>
      </c>
      <c r="S582" s="34" t="s">
        <v>76</v>
      </c>
      <c r="T582" s="35"/>
      <c r="U582" s="35"/>
      <c r="V582" s="35" t="n">
        <v>22.577370074451</v>
      </c>
      <c r="W582" s="35" t="n">
        <v>20.7043062983344</v>
      </c>
      <c r="X582" s="35" t="n">
        <v>3.820856569776</v>
      </c>
      <c r="Y582" s="35" t="n">
        <v>7.1004827032064</v>
      </c>
      <c r="Z582" s="35"/>
      <c r="AA582" s="35" t="n">
        <v>0.651779631854496</v>
      </c>
      <c r="AB582" s="35" t="n">
        <v>0.248351070818961</v>
      </c>
      <c r="AC582" s="71" t="n">
        <v>5.38697017281861</v>
      </c>
      <c r="AD582" s="72"/>
      <c r="AE582" s="72"/>
      <c r="AF582" s="72"/>
      <c r="AG582" s="72"/>
      <c r="AH582" s="72"/>
      <c r="AI582" s="73" t="n">
        <v>33.5518798326825</v>
      </c>
      <c r="AJ582" s="42" t="s">
        <v>16</v>
      </c>
      <c r="AK582" s="43" t="n">
        <v>672.149517259387</v>
      </c>
      <c r="AL582" s="74"/>
      <c r="AM582" s="74"/>
      <c r="AN582" s="74"/>
      <c r="AO582" s="78" t="n">
        <v>29.08</v>
      </c>
      <c r="AP582" s="76" t="n">
        <v>1.0695223620691</v>
      </c>
      <c r="AQ582" s="76" t="n">
        <v>0.931181729834791</v>
      </c>
      <c r="AR582" s="76" t="n">
        <v>1.44481535471331</v>
      </c>
      <c r="AS582" s="77" t="n">
        <v>27.6748354310365</v>
      </c>
      <c r="AT582" s="78" t="n">
        <v>28.0243650624862</v>
      </c>
      <c r="AU582" s="78" t="n">
        <v>36.7786231798178</v>
      </c>
      <c r="AV582" s="78" t="n">
        <v>32.0213799805637</v>
      </c>
      <c r="AW582" s="78" t="n">
        <v>49.6841593780369</v>
      </c>
      <c r="AX582" s="78" t="n">
        <v>32.7325</v>
      </c>
      <c r="AY582" s="48" t="n">
        <v>1.24125905586316</v>
      </c>
      <c r="AZ582" s="48" t="n">
        <v>22.6475593062776</v>
      </c>
      <c r="BA582" s="48" t="n">
        <v>-0.0701892318266424</v>
      </c>
      <c r="BB582" s="49" t="n">
        <f aca="false">AT582/V582</f>
        <v>1.24125905586316</v>
      </c>
      <c r="BC582" s="49" t="n">
        <f aca="false">AS582/V582</f>
        <v>1.2257776410528</v>
      </c>
      <c r="BD582" s="49" t="n">
        <f aca="false">SUM(AP582:AR582)/V582</f>
        <v>0.152609424182502</v>
      </c>
      <c r="BE582" s="53" t="n">
        <v>5.96</v>
      </c>
      <c r="BF582" s="51" t="n">
        <v>130.28</v>
      </c>
      <c r="BG582" s="51" t="n">
        <v>633.55848940743</v>
      </c>
      <c r="BH582" s="51" t="n">
        <v>234.494933988333</v>
      </c>
      <c r="BI582" s="51" t="n">
        <v>103.699723672091</v>
      </c>
      <c r="BJ582" s="51" t="n">
        <v>5.14276941971139</v>
      </c>
      <c r="BK582" s="51" t="n">
        <v>10.2855388394228</v>
      </c>
      <c r="BL582" s="51" t="n">
        <v>9.51796131409272</v>
      </c>
      <c r="BM582" s="51" t="n">
        <v>3.30058335891925</v>
      </c>
      <c r="BN582" s="52" t="n">
        <f aca="false">(BG582*0.5-BH582*0.25+BI582*0.5)/SUM(BG582:BI582)*1000</f>
        <v>319.016587677725</v>
      </c>
      <c r="BO582" s="93" t="n">
        <v>14.1051428571429</v>
      </c>
      <c r="BP582" s="94" t="s">
        <v>491</v>
      </c>
      <c r="BQ582" s="55" t="n">
        <v>369.777777777778</v>
      </c>
      <c r="BR582" s="56" t="n">
        <v>16.3782485098309</v>
      </c>
      <c r="BS582" s="56"/>
      <c r="BT582" s="56" t="n">
        <v>13.1948672861376</v>
      </c>
      <c r="BU582" s="55" t="n">
        <v>11291.9166666667</v>
      </c>
      <c r="BV582" s="55" t="n">
        <v>500.14313577846</v>
      </c>
      <c r="BW582" s="55"/>
      <c r="BX582" s="55" t="n">
        <v>402.932114304426</v>
      </c>
      <c r="BY582" s="96" t="n">
        <v>0.05459</v>
      </c>
      <c r="BZ582" s="96" t="n">
        <v>1.1539</v>
      </c>
      <c r="CA582" s="97" t="n">
        <v>4.5798</v>
      </c>
      <c r="CB582" s="97"/>
      <c r="CC582" s="97" t="n">
        <v>7.9356</v>
      </c>
      <c r="CD582" s="97" t="n">
        <v>5.0298</v>
      </c>
      <c r="CE582" s="97" t="n">
        <v>106.09</v>
      </c>
      <c r="CF582" s="97" t="n">
        <v>38.6527</v>
      </c>
      <c r="CG582" s="97" t="n">
        <v>0.1683</v>
      </c>
      <c r="CH582" s="63" t="n">
        <v>66009.1646373004</v>
      </c>
      <c r="CI582" s="63" t="n">
        <v>1462.49106684919</v>
      </c>
      <c r="CJ582" s="64" t="n">
        <v>327510.103342921</v>
      </c>
      <c r="CK582" s="65" t="n">
        <v>0.446548381842707</v>
      </c>
    </row>
    <row r="583" s="1" customFormat="true" ht="15" hidden="false" customHeight="false" outlineLevel="0" collapsed="false">
      <c r="A583" s="7" t="s">
        <v>488</v>
      </c>
      <c r="B583" s="66" t="n">
        <v>574</v>
      </c>
      <c r="C583" s="8" t="s">
        <v>666</v>
      </c>
      <c r="D583" s="67" t="n">
        <v>41831</v>
      </c>
      <c r="E583" s="4" t="s">
        <v>490</v>
      </c>
      <c r="F583" s="7" t="n">
        <v>145</v>
      </c>
      <c r="G583" s="68" t="n">
        <v>1</v>
      </c>
      <c r="H583" s="68" t="n">
        <v>170</v>
      </c>
      <c r="I583" s="7" t="n">
        <v>4</v>
      </c>
      <c r="J583" s="8" t="n">
        <v>865</v>
      </c>
      <c r="K583" s="32"/>
      <c r="L583" s="31" t="n">
        <v>927.063</v>
      </c>
      <c r="M583" s="31" t="n">
        <v>149.546057329389</v>
      </c>
      <c r="N583" s="31" t="n">
        <v>305.314699581761</v>
      </c>
      <c r="O583" s="95"/>
      <c r="P583" s="33" t="n">
        <v>40.59981638274</v>
      </c>
      <c r="Q583" s="33" t="n">
        <v>11.6</v>
      </c>
      <c r="R583" s="31" t="n">
        <v>266.857084565949</v>
      </c>
      <c r="S583" s="34" t="s">
        <v>76</v>
      </c>
      <c r="T583" s="35"/>
      <c r="U583" s="35"/>
      <c r="V583" s="35" t="n">
        <v>30.1544704467715</v>
      </c>
      <c r="W583" s="35" t="n">
        <v>27.9550938357953</v>
      </c>
      <c r="X583" s="35" t="n">
        <v>4.50948216617025</v>
      </c>
      <c r="Y583" s="35" t="n">
        <v>9.20660308550311</v>
      </c>
      <c r="Z583" s="35"/>
      <c r="AA583" s="35" t="n">
        <v>1.22426596325768</v>
      </c>
      <c r="AB583" s="35" t="n">
        <v>0.349791857182549</v>
      </c>
      <c r="AC583" s="71" t="n">
        <v>8.04693407005551</v>
      </c>
      <c r="AD583" s="72"/>
      <c r="AE583" s="72"/>
      <c r="AF583" s="72"/>
      <c r="AG583" s="72"/>
      <c r="AH583" s="72"/>
      <c r="AI583" s="73" t="n">
        <v>35.6305906187699</v>
      </c>
      <c r="AJ583" s="42" t="s">
        <v>16</v>
      </c>
      <c r="AK583" s="43" t="n">
        <v>674.437055391127</v>
      </c>
      <c r="AL583" s="74"/>
      <c r="AM583" s="74"/>
      <c r="AN583" s="74"/>
      <c r="AO583" s="78" t="n">
        <v>39.74</v>
      </c>
      <c r="AP583" s="76" t="n">
        <v>1.27902298009499</v>
      </c>
      <c r="AQ583" s="76" t="n">
        <v>1.24163362487852</v>
      </c>
      <c r="AR583" s="76" t="n">
        <v>2.01596501457726</v>
      </c>
      <c r="AS583" s="77" t="n">
        <v>35.0813447014248</v>
      </c>
      <c r="AT583" s="78" t="n">
        <v>36.0512080257344</v>
      </c>
      <c r="AU583" s="78" t="n">
        <v>32.1847755434068</v>
      </c>
      <c r="AV583" s="78" t="n">
        <v>31.2439261418853</v>
      </c>
      <c r="AW583" s="78" t="n">
        <v>50.7288629737609</v>
      </c>
      <c r="AX583" s="78" t="n">
        <v>26.915</v>
      </c>
      <c r="AY583" s="48" t="n">
        <v>1.19555102416313</v>
      </c>
      <c r="AZ583" s="48" t="n">
        <v>28.3569816938553</v>
      </c>
      <c r="BA583" s="48" t="n">
        <v>1.79748875291612</v>
      </c>
      <c r="BB583" s="49" t="n">
        <f aca="false">AT583/V583</f>
        <v>1.19555102416313</v>
      </c>
      <c r="BC583" s="49" t="n">
        <f aca="false">AS583/V583</f>
        <v>1.16338785532149</v>
      </c>
      <c r="BD583" s="49" t="n">
        <f aca="false">SUM(AP583:AR583)/V583</f>
        <v>0.150446071588582</v>
      </c>
      <c r="BE583" s="53" t="n">
        <v>5.87</v>
      </c>
      <c r="BF583" s="51" t="n">
        <v>111.38</v>
      </c>
      <c r="BG583" s="51" t="n">
        <v>596.247082061411</v>
      </c>
      <c r="BH583" s="51" t="n">
        <v>273.567965523433</v>
      </c>
      <c r="BI583" s="51" t="n">
        <v>100.197521996768</v>
      </c>
      <c r="BJ583" s="51" t="n">
        <v>5.20739809660621</v>
      </c>
      <c r="BK583" s="51" t="n">
        <v>11.4024061770515</v>
      </c>
      <c r="BL583" s="51" t="n">
        <v>10.0556652899982</v>
      </c>
      <c r="BM583" s="51" t="n">
        <v>3.32196085473155</v>
      </c>
      <c r="BN583" s="52" t="n">
        <f aca="false">(BG583*0.5-BH583*0.25+BI583*0.5)/SUM(BG583:BI583)*1000</f>
        <v>288.481118104406</v>
      </c>
      <c r="BO583" s="93" t="n">
        <v>5.508</v>
      </c>
      <c r="BP583" s="94" t="s">
        <v>491</v>
      </c>
      <c r="BQ583" s="55" t="n">
        <v>402.142857142857</v>
      </c>
      <c r="BR583" s="56" t="n">
        <v>13.3360941573396</v>
      </c>
      <c r="BS583" s="56"/>
      <c r="BT583" s="56" t="n">
        <v>11.154767875068</v>
      </c>
      <c r="BU583" s="55" t="n">
        <v>13832.0714285714</v>
      </c>
      <c r="BV583" s="55" t="n">
        <v>458.707157633152</v>
      </c>
      <c r="BW583" s="55"/>
      <c r="BX583" s="55" t="n">
        <v>383.678444802673</v>
      </c>
      <c r="BY583" s="96" t="n">
        <v>0.06695</v>
      </c>
      <c r="BZ583" s="96" t="n">
        <v>0.5951</v>
      </c>
      <c r="CA583" s="97" t="n">
        <v>3.8885</v>
      </c>
      <c r="CB583" s="97"/>
      <c r="CC583" s="97" t="n">
        <v>4.27</v>
      </c>
      <c r="CD583" s="97" t="n">
        <v>5.355</v>
      </c>
      <c r="CE583" s="97" t="n">
        <v>87.55</v>
      </c>
      <c r="CF583" s="97" t="n">
        <v>37.5768</v>
      </c>
      <c r="CG583" s="97" t="n">
        <v>0.05</v>
      </c>
      <c r="CH583" s="63" t="n">
        <v>39405.2855062856</v>
      </c>
      <c r="CI583" s="63" t="n">
        <v>5321.64427808979</v>
      </c>
      <c r="CJ583" s="64" t="n">
        <v>966142.357633057</v>
      </c>
      <c r="CK583" s="65" t="n">
        <v>0.55081368041116</v>
      </c>
    </row>
    <row r="584" s="1" customFormat="true" ht="15" hidden="false" customHeight="false" outlineLevel="0" collapsed="false">
      <c r="A584" s="7" t="s">
        <v>488</v>
      </c>
      <c r="B584" s="66" t="n">
        <v>575</v>
      </c>
      <c r="C584" s="8" t="s">
        <v>667</v>
      </c>
      <c r="D584" s="67" t="n">
        <v>41831</v>
      </c>
      <c r="E584" s="4" t="s">
        <v>490</v>
      </c>
      <c r="F584" s="7" t="n">
        <v>203</v>
      </c>
      <c r="G584" s="68" t="n">
        <v>1</v>
      </c>
      <c r="H584" s="68" t="n">
        <v>93</v>
      </c>
      <c r="I584" s="7" t="n">
        <v>4</v>
      </c>
      <c r="J584" s="8" t="n">
        <v>656</v>
      </c>
      <c r="K584" s="32"/>
      <c r="L584" s="31" t="n">
        <v>927.063</v>
      </c>
      <c r="M584" s="31" t="n">
        <v>149.546057329389</v>
      </c>
      <c r="N584" s="31" t="n">
        <v>305.314699581761</v>
      </c>
      <c r="O584" s="95"/>
      <c r="P584" s="33" t="n">
        <v>40.59981638274</v>
      </c>
      <c r="Q584" s="33" t="n">
        <v>11.6</v>
      </c>
      <c r="R584" s="31" t="n">
        <v>266.857084565949</v>
      </c>
      <c r="S584" s="34" t="s">
        <v>76</v>
      </c>
      <c r="T584" s="35"/>
      <c r="U584" s="35"/>
      <c r="V584" s="35" t="n">
        <v>23.9035125269496</v>
      </c>
      <c r="W584" s="35" t="n">
        <v>22.1600620337715</v>
      </c>
      <c r="X584" s="35" t="n">
        <v>3.57467605472897</v>
      </c>
      <c r="Y584" s="35" t="n">
        <v>7.29809374611447</v>
      </c>
      <c r="Z584" s="35"/>
      <c r="AA584" s="35" t="n">
        <v>0.970478219496678</v>
      </c>
      <c r="AB584" s="35" t="n">
        <v>0.277280745312615</v>
      </c>
      <c r="AC584" s="71" t="n">
        <v>6.37882166382741</v>
      </c>
      <c r="AD584" s="72"/>
      <c r="AE584" s="72"/>
      <c r="AF584" s="72"/>
      <c r="AG584" s="72"/>
      <c r="AH584" s="72"/>
      <c r="AI584" s="73" t="n">
        <v>32.3582658300647</v>
      </c>
      <c r="AJ584" s="42" t="s">
        <v>16</v>
      </c>
      <c r="AK584" s="43" t="n">
        <v>641.513545227686</v>
      </c>
      <c r="AL584" s="74"/>
      <c r="AM584" s="74"/>
      <c r="AN584" s="74"/>
      <c r="AO584" s="78" t="n">
        <v>51.12</v>
      </c>
      <c r="AP584" s="76" t="n">
        <v>1.63939828570336</v>
      </c>
      <c r="AQ584" s="76" t="n">
        <v>1.47547521865889</v>
      </c>
      <c r="AR584" s="76" t="n">
        <v>2.43428571428571</v>
      </c>
      <c r="AS584" s="77" t="n">
        <v>45.0389742855503</v>
      </c>
      <c r="AT584" s="78" t="n">
        <v>44.5276192191941</v>
      </c>
      <c r="AU584" s="78" t="n">
        <v>32.0696065278434</v>
      </c>
      <c r="AV584" s="78" t="n">
        <v>28.8629737609329</v>
      </c>
      <c r="AW584" s="78" t="n">
        <v>47.6190476190476</v>
      </c>
      <c r="AX584" s="78" t="n">
        <v>23.6</v>
      </c>
      <c r="AY584" s="48" t="n">
        <v>1.86280652975132</v>
      </c>
      <c r="AZ584" s="48" t="n">
        <v>28.1719549580492</v>
      </c>
      <c r="BA584" s="48" t="n">
        <v>-4.26844243109966</v>
      </c>
      <c r="BB584" s="49" t="n">
        <f aca="false">AT584/V584</f>
        <v>1.86280652975132</v>
      </c>
      <c r="BC584" s="49" t="n">
        <f aca="false">AS584/V584</f>
        <v>1.88419899522181</v>
      </c>
      <c r="BD584" s="49" t="n">
        <f aca="false">SUM(AP584:AR584)/V584</f>
        <v>0.23214827579803</v>
      </c>
      <c r="BE584" s="53" t="n">
        <v>5.69</v>
      </c>
      <c r="BF584" s="51" t="n">
        <v>118.48</v>
      </c>
      <c r="BG584" s="51" t="n">
        <v>579.253882511816</v>
      </c>
      <c r="BH584" s="51" t="n">
        <v>282.410533423363</v>
      </c>
      <c r="BI584" s="51" t="n">
        <v>108.119513841999</v>
      </c>
      <c r="BJ584" s="51" t="n">
        <v>5.06414584740041</v>
      </c>
      <c r="BK584" s="51" t="n">
        <v>13.3355840648211</v>
      </c>
      <c r="BL584" s="51" t="n">
        <v>7.84942606347063</v>
      </c>
      <c r="BM584" s="51" t="n">
        <v>3.96691424713032</v>
      </c>
      <c r="BN584" s="52" t="n">
        <f aca="false">(BG584*0.5-BH584*0.25+BI584*0.5)/SUM(BG584:BI584)*1000</f>
        <v>281.592689295039</v>
      </c>
      <c r="BO584" s="93" t="n">
        <v>6.76114285714286</v>
      </c>
      <c r="BP584" s="94" t="s">
        <v>491</v>
      </c>
      <c r="BQ584" s="55" t="n">
        <v>281.65</v>
      </c>
      <c r="BR584" s="56" t="n">
        <v>11.782787139859</v>
      </c>
      <c r="BS584" s="56"/>
      <c r="BT584" s="56" t="n">
        <v>6.325287651548</v>
      </c>
      <c r="BU584" s="55" t="n">
        <v>9777.85</v>
      </c>
      <c r="BV584" s="55" t="n">
        <v>409.05494491557</v>
      </c>
      <c r="BW584" s="55"/>
      <c r="BX584" s="55" t="n">
        <v>219.590675887409</v>
      </c>
      <c r="BY584" s="96" t="n">
        <v>0.1236</v>
      </c>
      <c r="BZ584" s="96" t="n">
        <v>1.3431</v>
      </c>
      <c r="CA584" s="97" t="n">
        <v>3.6562</v>
      </c>
      <c r="CB584" s="97"/>
      <c r="CC584" s="97" t="n">
        <v>4.13</v>
      </c>
      <c r="CD584" s="97" t="n">
        <v>5.7324</v>
      </c>
      <c r="CE584" s="97" t="n">
        <v>79.31</v>
      </c>
      <c r="CF584" s="97" t="n">
        <v>36.4038</v>
      </c>
      <c r="CG584" s="97" t="n">
        <v>0.0194</v>
      </c>
      <c r="CH584" s="63" t="n">
        <v>40905.7413688497</v>
      </c>
      <c r="CI584" s="63" t="n">
        <v>4800.06041137443</v>
      </c>
      <c r="CJ584" s="64" t="n">
        <v>900638.695816504</v>
      </c>
      <c r="CK584" s="65" t="n">
        <v>0.532961822945302</v>
      </c>
    </row>
    <row r="585" s="1" customFormat="true" ht="15" hidden="false" customHeight="false" outlineLevel="0" collapsed="false">
      <c r="A585" s="7" t="s">
        <v>488</v>
      </c>
      <c r="B585" s="66" t="n">
        <v>576</v>
      </c>
      <c r="C585" s="8" t="s">
        <v>668</v>
      </c>
      <c r="D585" s="67" t="n">
        <v>41831</v>
      </c>
      <c r="E585" s="4" t="s">
        <v>490</v>
      </c>
      <c r="F585" s="7" t="n">
        <v>277</v>
      </c>
      <c r="G585" s="68" t="n">
        <v>1</v>
      </c>
      <c r="H585" s="68" t="n">
        <v>83</v>
      </c>
      <c r="I585" s="7" t="n">
        <v>3</v>
      </c>
      <c r="J585" s="8" t="n">
        <v>781</v>
      </c>
      <c r="K585" s="32"/>
      <c r="L585" s="31" t="n">
        <v>927.063</v>
      </c>
      <c r="M585" s="31" t="n">
        <v>149.546057329389</v>
      </c>
      <c r="N585" s="31" t="n">
        <v>305.314699581761</v>
      </c>
      <c r="O585" s="95"/>
      <c r="P585" s="33" t="n">
        <v>40.59981638274</v>
      </c>
      <c r="Q585" s="33" t="n">
        <v>11.6</v>
      </c>
      <c r="R585" s="31" t="n">
        <v>266.857084565949</v>
      </c>
      <c r="S585" s="34" t="s">
        <v>76</v>
      </c>
      <c r="T585" s="35"/>
      <c r="U585" s="35"/>
      <c r="V585" s="35" t="n">
        <v>21.808797307119</v>
      </c>
      <c r="W585" s="35" t="n">
        <v>20.2181290579297</v>
      </c>
      <c r="X585" s="35" t="n">
        <v>3.26141965237545</v>
      </c>
      <c r="Y585" s="35" t="n">
        <v>6.65854639806256</v>
      </c>
      <c r="Z585" s="35"/>
      <c r="AA585" s="35" t="n">
        <v>0.885433166197427</v>
      </c>
      <c r="AB585" s="35" t="n">
        <v>0.252982048762581</v>
      </c>
      <c r="AC585" s="71" t="n">
        <v>5.81983206726751</v>
      </c>
      <c r="AD585" s="72"/>
      <c r="AE585" s="72"/>
      <c r="AF585" s="72"/>
      <c r="AG585" s="72"/>
      <c r="AH585" s="72"/>
      <c r="AI585" s="73" t="n">
        <v>34.216585523058</v>
      </c>
      <c r="AJ585" s="42" t="s">
        <v>16</v>
      </c>
      <c r="AK585" s="43" t="n">
        <v>660.983121995532</v>
      </c>
      <c r="AL585" s="74"/>
      <c r="AM585" s="74"/>
      <c r="AN585" s="74"/>
      <c r="AO585" s="78" t="n">
        <v>34.28</v>
      </c>
      <c r="AP585" s="76" t="n">
        <v>1.15488483830414</v>
      </c>
      <c r="AQ585" s="76" t="n">
        <v>0.994419825072886</v>
      </c>
      <c r="AR585" s="76" t="n">
        <v>1.71816423712342</v>
      </c>
      <c r="AS585" s="77" t="n">
        <v>31.0352725745621</v>
      </c>
      <c r="AT585" s="78" t="n">
        <v>31.0270960368897</v>
      </c>
      <c r="AU585" s="78" t="n">
        <v>33.6897560765501</v>
      </c>
      <c r="AV585" s="78" t="n">
        <v>29.0087463556851</v>
      </c>
      <c r="AW585" s="78" t="n">
        <v>50.1214771622935</v>
      </c>
      <c r="AX585" s="78" t="n">
        <v>22.22</v>
      </c>
      <c r="AY585" s="48" t="n">
        <v>1.42268716609886</v>
      </c>
      <c r="AZ585" s="48" t="n">
        <v>24.5348263360732</v>
      </c>
      <c r="BA585" s="48" t="n">
        <v>-2.72602902895418</v>
      </c>
      <c r="BB585" s="49" t="n">
        <f aca="false">AT585/V585</f>
        <v>1.42268716609886</v>
      </c>
      <c r="BC585" s="49" t="n">
        <f aca="false">AS585/V585</f>
        <v>1.42306208533706</v>
      </c>
      <c r="BD585" s="49" t="n">
        <f aca="false">SUM(AP585:AR585)/V585</f>
        <v>0.177335267325264</v>
      </c>
      <c r="BE585" s="53" t="n">
        <v>6.01</v>
      </c>
      <c r="BF585" s="51" t="n">
        <v>113.59</v>
      </c>
      <c r="BG585" s="51" t="n">
        <v>606.127299938375</v>
      </c>
      <c r="BH585" s="51" t="n">
        <v>278.105467030548</v>
      </c>
      <c r="BI585" s="51" t="n">
        <v>89.2684215159785</v>
      </c>
      <c r="BJ585" s="51" t="n">
        <v>5.5462628752531</v>
      </c>
      <c r="BK585" s="51" t="n">
        <v>10.0360947266485</v>
      </c>
      <c r="BL585" s="51" t="n">
        <v>7.923232678933</v>
      </c>
      <c r="BM585" s="51" t="n">
        <v>2.99322123426358</v>
      </c>
      <c r="BN585" s="52" t="n">
        <f aca="false">(BG585*0.5-BH585*0.25+BI585*0.5)/SUM(BG585:BI585)*1000</f>
        <v>285.743353228432</v>
      </c>
      <c r="BO585" s="93" t="n">
        <v>4.77942857142857</v>
      </c>
      <c r="BP585" s="94" t="s">
        <v>491</v>
      </c>
      <c r="BQ585" s="55" t="n">
        <v>308.083333333333</v>
      </c>
      <c r="BR585" s="56" t="n">
        <v>14.1265622764427</v>
      </c>
      <c r="BS585" s="56"/>
      <c r="BT585" s="56" t="n">
        <v>9.92949301368833</v>
      </c>
      <c r="BU585" s="55" t="n">
        <v>10962.1388888889</v>
      </c>
      <c r="BV585" s="55" t="n">
        <v>502.647566232849</v>
      </c>
      <c r="BW585" s="55"/>
      <c r="BX585" s="55" t="n">
        <v>353.308568609045</v>
      </c>
      <c r="BY585" s="96" t="n">
        <v>0.0721</v>
      </c>
      <c r="BZ585" s="96" t="n">
        <v>0.4587</v>
      </c>
      <c r="CA585" s="97" t="n">
        <v>4.1713</v>
      </c>
      <c r="CB585" s="97"/>
      <c r="CC585" s="97" t="n">
        <v>3.8</v>
      </c>
      <c r="CD585" s="97" t="n">
        <v>4.3044</v>
      </c>
      <c r="CE585" s="97" t="n">
        <v>87.55</v>
      </c>
      <c r="CF585" s="97" t="n">
        <v>30.4776</v>
      </c>
      <c r="CG585" s="97" t="n">
        <v>0.713</v>
      </c>
      <c r="CH585" s="63" t="n">
        <v>44125.0454192769</v>
      </c>
      <c r="CI585" s="63" t="n">
        <v>3115.63574938229</v>
      </c>
      <c r="CJ585" s="64" t="n">
        <v>563448.179183485</v>
      </c>
      <c r="CK585" s="65" t="n">
        <v>0.552958704010238</v>
      </c>
    </row>
    <row r="586" s="1" customFormat="true" ht="15" hidden="false" customHeight="false" outlineLevel="0" collapsed="false">
      <c r="A586" s="7" t="s">
        <v>488</v>
      </c>
      <c r="B586" s="66" t="n">
        <v>577</v>
      </c>
      <c r="C586" s="8" t="s">
        <v>669</v>
      </c>
      <c r="D586" s="67" t="n">
        <v>41831</v>
      </c>
      <c r="E586" s="4" t="s">
        <v>490</v>
      </c>
      <c r="F586" s="7" t="n">
        <v>407</v>
      </c>
      <c r="G586" s="68" t="n">
        <v>1</v>
      </c>
      <c r="H586" s="68" t="n">
        <v>128</v>
      </c>
      <c r="I586" s="7" t="n">
        <v>2</v>
      </c>
      <c r="J586" s="8" t="n">
        <v>708</v>
      </c>
      <c r="K586" s="32"/>
      <c r="L586" s="31" t="n">
        <v>927.063</v>
      </c>
      <c r="M586" s="31" t="n">
        <v>149.546057329389</v>
      </c>
      <c r="N586" s="31" t="n">
        <v>305.314699581761</v>
      </c>
      <c r="O586" s="95"/>
      <c r="P586" s="33" t="n">
        <v>40.59981638274</v>
      </c>
      <c r="Q586" s="33" t="n">
        <v>11.6</v>
      </c>
      <c r="R586" s="31" t="n">
        <v>266.857084565949</v>
      </c>
      <c r="S586" s="34" t="s">
        <v>76</v>
      </c>
      <c r="T586" s="35"/>
      <c r="U586" s="35"/>
      <c r="V586" s="35" t="n">
        <v>21.3063908090493</v>
      </c>
      <c r="W586" s="35" t="n">
        <v>19.7523665826097</v>
      </c>
      <c r="X586" s="35" t="n">
        <v>3.18628674141245</v>
      </c>
      <c r="Y586" s="35" t="n">
        <v>6.50515430903648</v>
      </c>
      <c r="Z586" s="35"/>
      <c r="AA586" s="35" t="n">
        <v>0.8650355546263</v>
      </c>
      <c r="AB586" s="35" t="n">
        <v>0.247154133384972</v>
      </c>
      <c r="AC586" s="71" t="n">
        <v>5.68576133392563</v>
      </c>
      <c r="AD586" s="72"/>
      <c r="AE586" s="72"/>
      <c r="AF586" s="72"/>
      <c r="AG586" s="72"/>
      <c r="AH586" s="72"/>
      <c r="AI586" s="73" t="n">
        <v>32.1045566052511</v>
      </c>
      <c r="AJ586" s="42" t="s">
        <v>16</v>
      </c>
      <c r="AK586" s="43" t="n">
        <v>638.680572897161</v>
      </c>
      <c r="AL586" s="74"/>
      <c r="AM586" s="74"/>
      <c r="AN586" s="74"/>
      <c r="AO586" s="78" t="n">
        <v>42.2</v>
      </c>
      <c r="AP586" s="76" t="n">
        <v>1.22925480415276</v>
      </c>
      <c r="AQ586" s="76" t="n">
        <v>1.29081146744412</v>
      </c>
      <c r="AR586" s="76" t="n">
        <v>2.11820213799806</v>
      </c>
      <c r="AS586" s="77" t="n">
        <v>35.3188220622915</v>
      </c>
      <c r="AT586" s="78" t="n">
        <v>36.3779298960785</v>
      </c>
      <c r="AU586" s="78" t="n">
        <v>29.1292607619138</v>
      </c>
      <c r="AV586" s="78" t="n">
        <v>30.5879494655005</v>
      </c>
      <c r="AW586" s="78" t="n">
        <v>50.1943634596696</v>
      </c>
      <c r="AX586" s="78" t="n">
        <v>28.3175</v>
      </c>
      <c r="AY586" s="48" t="n">
        <v>1.70737175630083</v>
      </c>
      <c r="AZ586" s="48" t="n">
        <v>26.0346255250117</v>
      </c>
      <c r="BA586" s="48" t="n">
        <v>-4.7282347159624</v>
      </c>
      <c r="BB586" s="49" t="n">
        <f aca="false">AT586/V586</f>
        <v>1.70737175630083</v>
      </c>
      <c r="BC586" s="49" t="n">
        <f aca="false">AS586/V586</f>
        <v>1.65766329824809</v>
      </c>
      <c r="BD586" s="49" t="n">
        <f aca="false">SUM(AP586:AR586)/V586</f>
        <v>0.217693763864735</v>
      </c>
      <c r="BE586" s="53" t="n">
        <v>6.1</v>
      </c>
      <c r="BF586" s="51" t="n">
        <v>125.64</v>
      </c>
      <c r="BG586" s="51" t="n">
        <v>572.827125119389</v>
      </c>
      <c r="BH586" s="51" t="n">
        <v>249.602037567654</v>
      </c>
      <c r="BI586" s="51" t="n">
        <v>128.064310729067</v>
      </c>
      <c r="BJ586" s="51" t="n">
        <v>6.04902897166507</v>
      </c>
      <c r="BK586" s="51" t="n">
        <v>20.0573065902579</v>
      </c>
      <c r="BL586" s="51" t="n">
        <v>18.943011779688</v>
      </c>
      <c r="BM586" s="51" t="n">
        <v>4.45717924227953</v>
      </c>
      <c r="BN586" s="52" t="n">
        <f aca="false">(BG586*0.5-BH586*0.25+BI586*0.5)/SUM(BG586:BI586)*1000</f>
        <v>303.048065650645</v>
      </c>
      <c r="BO586" s="93" t="n">
        <v>9.61714285714286</v>
      </c>
      <c r="BP586" s="94" t="s">
        <v>491</v>
      </c>
      <c r="BQ586" s="55" t="n">
        <v>230.82</v>
      </c>
      <c r="BR586" s="56" t="n">
        <v>10.8333692960314</v>
      </c>
      <c r="BS586" s="56"/>
      <c r="BT586" s="56" t="n">
        <v>6.34505593527141</v>
      </c>
      <c r="BU586" s="55" t="n">
        <v>8900.078</v>
      </c>
      <c r="BV586" s="55" t="n">
        <v>417.718706080428</v>
      </c>
      <c r="BW586" s="55"/>
      <c r="BX586" s="55" t="n">
        <v>244.655977550812</v>
      </c>
      <c r="BY586" s="96" t="n">
        <v>0.08961</v>
      </c>
      <c r="BZ586" s="96" t="n">
        <v>0.8899</v>
      </c>
      <c r="CA586" s="97" t="n">
        <v>3.6461</v>
      </c>
      <c r="CB586" s="97"/>
      <c r="CC586" s="97" t="n">
        <v>4.77</v>
      </c>
      <c r="CD586" s="97" t="n">
        <v>5.8038</v>
      </c>
      <c r="CE586" s="97" t="n">
        <v>89.61</v>
      </c>
      <c r="CF586" s="97" t="n">
        <v>35.6694</v>
      </c>
      <c r="CG586" s="97" t="n">
        <v>0.0908</v>
      </c>
      <c r="CH586" s="63" t="n">
        <v>73378.4009471919</v>
      </c>
      <c r="CI586" s="63" t="n">
        <v>2758.21262603888</v>
      </c>
      <c r="CJ586" s="64" t="n">
        <v>848326.844102982</v>
      </c>
      <c r="CK586" s="65" t="n">
        <v>0.325135606071196</v>
      </c>
    </row>
    <row r="587" s="1" customFormat="true" ht="15" hidden="false" customHeight="false" outlineLevel="0" collapsed="false">
      <c r="A587" s="7" t="s">
        <v>488</v>
      </c>
      <c r="B587" s="66" t="n">
        <v>578</v>
      </c>
      <c r="C587" s="8" t="s">
        <v>670</v>
      </c>
      <c r="D587" s="67" t="n">
        <v>41831</v>
      </c>
      <c r="E587" s="4" t="s">
        <v>490</v>
      </c>
      <c r="F587" s="7" t="n">
        <v>408</v>
      </c>
      <c r="G587" s="68" t="n">
        <v>1</v>
      </c>
      <c r="H587" s="68" t="n">
        <v>128</v>
      </c>
      <c r="I587" s="7" t="n">
        <v>2</v>
      </c>
      <c r="J587" s="8" t="n">
        <v>687</v>
      </c>
      <c r="K587" s="32"/>
      <c r="L587" s="31" t="n">
        <v>927.063</v>
      </c>
      <c r="M587" s="31" t="n">
        <v>149.546057329389</v>
      </c>
      <c r="N587" s="31" t="n">
        <v>305.314699581761</v>
      </c>
      <c r="O587" s="95"/>
      <c r="P587" s="33" t="n">
        <v>40.59981638274</v>
      </c>
      <c r="Q587" s="33" t="n">
        <v>11.6</v>
      </c>
      <c r="R587" s="31" t="n">
        <v>266.857084565949</v>
      </c>
      <c r="S587" s="34" t="s">
        <v>76</v>
      </c>
      <c r="T587" s="35"/>
      <c r="U587" s="35"/>
      <c r="V587" s="35" t="n">
        <v>21.5286039617049</v>
      </c>
      <c r="W587" s="35" t="n">
        <v>19.95837217455</v>
      </c>
      <c r="X587" s="35" t="n">
        <v>3.21951784227883</v>
      </c>
      <c r="Y587" s="35" t="n">
        <v>6.57299925098263</v>
      </c>
      <c r="Z587" s="35"/>
      <c r="AA587" s="35" t="n">
        <v>0.874057367821946</v>
      </c>
      <c r="AB587" s="35" t="n">
        <v>0.249731805955776</v>
      </c>
      <c r="AC587" s="71" t="n">
        <v>5.74506048799551</v>
      </c>
      <c r="AD587" s="72"/>
      <c r="AE587" s="72"/>
      <c r="AF587" s="72"/>
      <c r="AG587" s="72"/>
      <c r="AH587" s="72"/>
      <c r="AI587" s="73" t="n">
        <v>37.1151604767956</v>
      </c>
      <c r="AJ587" s="42" t="s">
        <v>16</v>
      </c>
      <c r="AK587" s="43" t="n">
        <v>687.459252473061</v>
      </c>
      <c r="AL587" s="74"/>
      <c r="AM587" s="74"/>
      <c r="AN587" s="74"/>
      <c r="AO587" s="78" t="n">
        <v>36.23</v>
      </c>
      <c r="AP587" s="76" t="n">
        <v>1.49292661048764</v>
      </c>
      <c r="AQ587" s="76" t="n">
        <v>1.11348275024295</v>
      </c>
      <c r="AR587" s="76" t="n">
        <v>1.66626311953353</v>
      </c>
      <c r="AS587" s="77" t="n">
        <v>36.8858991573146</v>
      </c>
      <c r="AT587" s="78" t="n">
        <v>35.8074282594397</v>
      </c>
      <c r="AU587" s="78" t="n">
        <v>41.2069172091537</v>
      </c>
      <c r="AV587" s="78" t="n">
        <v>30.7337220602527</v>
      </c>
      <c r="AW587" s="78" t="n">
        <v>45.9912536443149</v>
      </c>
      <c r="AX587" s="78" t="n">
        <v>29.7525</v>
      </c>
      <c r="AY587" s="48" t="n">
        <v>1.66324896510401</v>
      </c>
      <c r="AZ587" s="48" t="n">
        <v>26.3166803330239</v>
      </c>
      <c r="BA587" s="48" t="n">
        <v>-4.78807637131906</v>
      </c>
      <c r="BB587" s="49" t="n">
        <f aca="false">AT587/V587</f>
        <v>1.66324896510401</v>
      </c>
      <c r="BC587" s="49" t="n">
        <f aca="false">AS587/V587</f>
        <v>1.71334375526287</v>
      </c>
      <c r="BD587" s="49" t="n">
        <f aca="false">SUM(AP587:AR587)/V587</f>
        <v>0.198464911513276</v>
      </c>
      <c r="BE587" s="53" t="n">
        <v>5.93</v>
      </c>
      <c r="BF587" s="51" t="n">
        <v>114.12</v>
      </c>
      <c r="BG587" s="51" t="n">
        <v>641.43007360673</v>
      </c>
      <c r="BH587" s="51" t="n">
        <v>201.191728005608</v>
      </c>
      <c r="BI587" s="51" t="n">
        <v>127.409744128987</v>
      </c>
      <c r="BJ587" s="51" t="n">
        <v>5.34525061338942</v>
      </c>
      <c r="BK587" s="51" t="n">
        <v>10.7781282860147</v>
      </c>
      <c r="BL587" s="51" t="n">
        <v>8.8503329828251</v>
      </c>
      <c r="BM587" s="51" t="n">
        <v>4.99474237644585</v>
      </c>
      <c r="BN587" s="52" t="n">
        <f aca="false">(BG587*0.5-BH587*0.25+BI587*0.5)/SUM(BG587:BI587)*1000</f>
        <v>344.444444444444</v>
      </c>
      <c r="BO587" s="93" t="n">
        <v>6.67371428571429</v>
      </c>
      <c r="BP587" s="94" t="s">
        <v>491</v>
      </c>
      <c r="BQ587" s="55" t="n">
        <v>436.380952380952</v>
      </c>
      <c r="BR587" s="56" t="n">
        <v>20.2698211717391</v>
      </c>
      <c r="BS587" s="56"/>
      <c r="BT587" s="56" t="n">
        <v>12.1868833812691</v>
      </c>
      <c r="BU587" s="55" t="n">
        <v>13184.1825396825</v>
      </c>
      <c r="BV587" s="55" t="n">
        <v>612.403041234564</v>
      </c>
      <c r="BW587" s="55"/>
      <c r="BX587" s="55" t="n">
        <v>368.196856924705</v>
      </c>
      <c r="BY587" s="96" t="n">
        <v>0.06283</v>
      </c>
      <c r="BZ587" s="96" t="n">
        <v>1.7017</v>
      </c>
      <c r="CA587" s="97" t="n">
        <v>3.3431</v>
      </c>
      <c r="CB587" s="97"/>
      <c r="CC587" s="97" t="n">
        <v>5.09</v>
      </c>
      <c r="CD587" s="97" t="n">
        <v>5.2122</v>
      </c>
      <c r="CE587" s="97" t="n">
        <v>81.37</v>
      </c>
      <c r="CF587" s="97" t="n">
        <v>33.048</v>
      </c>
      <c r="CG587" s="97" t="n">
        <v>0.5906</v>
      </c>
      <c r="CH587" s="63" t="n">
        <v>83280.891253796</v>
      </c>
      <c r="CI587" s="63" t="n">
        <v>2736.43957128169</v>
      </c>
      <c r="CJ587" s="64" t="n">
        <v>547069.65900517</v>
      </c>
      <c r="CK587" s="65" t="n">
        <v>0.500199476654915</v>
      </c>
    </row>
    <row r="588" s="1" customFormat="true" ht="15" hidden="false" customHeight="false" outlineLevel="0" collapsed="false">
      <c r="A588" s="7" t="s">
        <v>488</v>
      </c>
      <c r="B588" s="66" t="n">
        <v>579</v>
      </c>
      <c r="C588" s="8" t="s">
        <v>671</v>
      </c>
      <c r="D588" s="67" t="n">
        <v>41831</v>
      </c>
      <c r="E588" s="4" t="s">
        <v>490</v>
      </c>
      <c r="F588" s="7" t="n">
        <v>419</v>
      </c>
      <c r="G588" s="68" t="n">
        <v>1</v>
      </c>
      <c r="H588" s="68" t="n">
        <v>88</v>
      </c>
      <c r="I588" s="7" t="n">
        <v>2</v>
      </c>
      <c r="J588" s="8" t="n">
        <v>656</v>
      </c>
      <c r="K588" s="32"/>
      <c r="L588" s="31" t="n">
        <v>927.063</v>
      </c>
      <c r="M588" s="31" t="n">
        <v>149.546057329389</v>
      </c>
      <c r="N588" s="31" t="n">
        <v>305.314699581761</v>
      </c>
      <c r="O588" s="95"/>
      <c r="P588" s="33" t="n">
        <v>40.59981638274</v>
      </c>
      <c r="Q588" s="33" t="n">
        <v>11.6</v>
      </c>
      <c r="R588" s="31" t="n">
        <v>266.857084565949</v>
      </c>
      <c r="S588" s="34" t="s">
        <v>76</v>
      </c>
      <c r="T588" s="35"/>
      <c r="U588" s="35"/>
      <c r="V588" s="35" t="n">
        <v>26.1479011668509</v>
      </c>
      <c r="W588" s="35" t="n">
        <v>24.2407516994443</v>
      </c>
      <c r="X588" s="35" t="n">
        <v>3.91031552694108</v>
      </c>
      <c r="Y588" s="35" t="n">
        <v>7.98333858945064</v>
      </c>
      <c r="Z588" s="35"/>
      <c r="AA588" s="35" t="n">
        <v>1.06159998616818</v>
      </c>
      <c r="AB588" s="35" t="n">
        <v>0.30331565353547</v>
      </c>
      <c r="AC588" s="71" t="n">
        <v>6.97775267290441</v>
      </c>
      <c r="AD588" s="72"/>
      <c r="AE588" s="72"/>
      <c r="AF588" s="72"/>
      <c r="AG588" s="72"/>
      <c r="AH588" s="72"/>
      <c r="AI588" s="73" t="n">
        <v>30.5794180442598</v>
      </c>
      <c r="AJ588" s="42" t="s">
        <v>16</v>
      </c>
      <c r="AK588" s="43" t="n">
        <v>620.659883611569</v>
      </c>
      <c r="AL588" s="74"/>
      <c r="AM588" s="74"/>
      <c r="AN588" s="74"/>
      <c r="AO588" s="78" t="n">
        <v>42.12</v>
      </c>
      <c r="AP588" s="76" t="n">
        <v>1.29209140917997</v>
      </c>
      <c r="AQ588" s="76" t="n">
        <v>1.23412827988338</v>
      </c>
      <c r="AR588" s="76" t="n">
        <v>2.13055976676385</v>
      </c>
      <c r="AS588" s="77" t="n">
        <v>36.2293711376995</v>
      </c>
      <c r="AT588" s="78" t="n">
        <v>36.7720853143455</v>
      </c>
      <c r="AU588" s="78" t="n">
        <v>30.6764342160487</v>
      </c>
      <c r="AV588" s="78" t="n">
        <v>29.3002915451895</v>
      </c>
      <c r="AW588" s="78" t="n">
        <v>50.5830903790088</v>
      </c>
      <c r="AX588" s="78" t="n">
        <v>26.05</v>
      </c>
      <c r="AY588" s="48" t="n">
        <v>1.40631116355004</v>
      </c>
      <c r="AZ588" s="48" t="n">
        <v>24.8736410946505</v>
      </c>
      <c r="BA588" s="48" t="n">
        <v>1.27426007220033</v>
      </c>
      <c r="BB588" s="49" t="n">
        <f aca="false">AT588/V588</f>
        <v>1.40631116355004</v>
      </c>
      <c r="BC588" s="49" t="n">
        <f aca="false">AS588/V588</f>
        <v>1.38555560947391</v>
      </c>
      <c r="BD588" s="49" t="n">
        <f aca="false">SUM(AP588:AR588)/V588</f>
        <v>0.17809381434143</v>
      </c>
      <c r="BE588" s="53" t="n">
        <v>6.09</v>
      </c>
      <c r="BF588" s="51" t="n">
        <v>115.09</v>
      </c>
      <c r="BG588" s="51" t="n">
        <v>585.020418802676</v>
      </c>
      <c r="BH588" s="51" t="n">
        <v>285.255017812147</v>
      </c>
      <c r="BI588" s="51" t="n">
        <v>99.9218003301764</v>
      </c>
      <c r="BJ588" s="51" t="n">
        <v>5.3870883656269</v>
      </c>
      <c r="BK588" s="51" t="n">
        <v>11.7299504735424</v>
      </c>
      <c r="BL588" s="51" t="n">
        <v>9.38396037883396</v>
      </c>
      <c r="BM588" s="51" t="n">
        <v>3.30176383699713</v>
      </c>
      <c r="BN588" s="52" t="n">
        <f aca="false">(BG588*0.5-BH588*0.25+BI588*0.5)/SUM(BG588:BI588)*1000</f>
        <v>279.486835034927</v>
      </c>
      <c r="BO588" s="93" t="n">
        <v>3.29314285714286</v>
      </c>
      <c r="BP588" s="94" t="s">
        <v>491</v>
      </c>
      <c r="BQ588" s="55" t="n">
        <v>354.437719298246</v>
      </c>
      <c r="BR588" s="56" t="n">
        <v>13.5551116334945</v>
      </c>
      <c r="BS588" s="56"/>
      <c r="BT588" s="56" t="n">
        <v>9.63877126544067</v>
      </c>
      <c r="BU588" s="55" t="n">
        <v>11386.8324561404</v>
      </c>
      <c r="BV588" s="55" t="n">
        <v>435.477875775975</v>
      </c>
      <c r="BW588" s="55"/>
      <c r="BX588" s="55" t="n">
        <v>309.65968774412</v>
      </c>
      <c r="BY588" s="96" t="n">
        <v>0.11227</v>
      </c>
      <c r="BZ588" s="96" t="n">
        <v>0.6446</v>
      </c>
      <c r="CA588" s="97" t="n">
        <v>3.6966</v>
      </c>
      <c r="CB588" s="97"/>
      <c r="CC588" s="97" t="n">
        <v>4.67</v>
      </c>
      <c r="CD588" s="97" t="n">
        <v>7.0482</v>
      </c>
      <c r="CE588" s="97" t="n">
        <v>84.46</v>
      </c>
      <c r="CF588" s="97" t="n">
        <v>36.669</v>
      </c>
      <c r="CG588" s="97" t="n">
        <v>0.101</v>
      </c>
      <c r="CH588" s="63" t="n">
        <v>83269.2171368523</v>
      </c>
      <c r="CI588" s="63" t="n">
        <v>2861.07234936164</v>
      </c>
      <c r="CJ588" s="64" t="n">
        <v>703767.916638143</v>
      </c>
      <c r="CK588" s="65" t="n">
        <v>0.40653634269502</v>
      </c>
    </row>
    <row r="589" s="1" customFormat="true" ht="15" hidden="false" customHeight="false" outlineLevel="0" collapsed="false">
      <c r="A589" s="7" t="s">
        <v>488</v>
      </c>
      <c r="B589" s="66" t="n">
        <v>580</v>
      </c>
      <c r="C589" s="8" t="s">
        <v>672</v>
      </c>
      <c r="D589" s="67" t="n">
        <v>41831</v>
      </c>
      <c r="E589" s="4" t="s">
        <v>490</v>
      </c>
      <c r="F589" s="7" t="n">
        <v>434</v>
      </c>
      <c r="G589" s="68" t="n">
        <v>1</v>
      </c>
      <c r="H589" s="68" t="n">
        <v>131</v>
      </c>
      <c r="I589" s="7" t="n">
        <v>2</v>
      </c>
      <c r="J589" s="8" t="n">
        <v>687</v>
      </c>
      <c r="K589" s="32"/>
      <c r="L589" s="31" t="n">
        <v>927.063</v>
      </c>
      <c r="M589" s="31" t="n">
        <v>149.546057329389</v>
      </c>
      <c r="N589" s="31" t="n">
        <v>305.314699581761</v>
      </c>
      <c r="O589" s="95"/>
      <c r="P589" s="33" t="n">
        <v>40.59981638274</v>
      </c>
      <c r="Q589" s="33" t="n">
        <v>11.6</v>
      </c>
      <c r="R589" s="31" t="n">
        <v>266.857084565949</v>
      </c>
      <c r="S589" s="34" t="s">
        <v>76</v>
      </c>
      <c r="T589" s="35"/>
      <c r="U589" s="35"/>
      <c r="V589" s="35" t="n">
        <v>25.7683189403934</v>
      </c>
      <c r="W589" s="35" t="n">
        <v>23.8888550618379</v>
      </c>
      <c r="X589" s="35" t="n">
        <v>3.85355050154205</v>
      </c>
      <c r="Y589" s="35" t="n">
        <v>7.8674465560132</v>
      </c>
      <c r="Z589" s="35"/>
      <c r="AA589" s="35" t="n">
        <v>1.04618901747185</v>
      </c>
      <c r="AB589" s="35" t="n">
        <v>0.298912499708563</v>
      </c>
      <c r="AC589" s="71" t="n">
        <v>6.87645846659891</v>
      </c>
      <c r="AD589" s="72"/>
      <c r="AE589" s="72"/>
      <c r="AF589" s="72"/>
      <c r="AG589" s="72"/>
      <c r="AH589" s="72"/>
      <c r="AI589" s="73" t="n">
        <v>33.1262017658156</v>
      </c>
      <c r="AJ589" s="42" t="s">
        <v>16</v>
      </c>
      <c r="AK589" s="43" t="n">
        <v>649.824025041997</v>
      </c>
      <c r="AL589" s="74"/>
      <c r="AM589" s="74"/>
      <c r="AN589" s="74"/>
      <c r="AO589" s="78" t="n">
        <v>34.7</v>
      </c>
      <c r="AP589" s="76" t="n">
        <v>1.15550518325999</v>
      </c>
      <c r="AQ589" s="76" t="n">
        <v>1.13390427599611</v>
      </c>
      <c r="AR589" s="76" t="n">
        <v>1.71055150631681</v>
      </c>
      <c r="AS589" s="77" t="n">
        <v>31.2125777488999</v>
      </c>
      <c r="AT589" s="78" t="n">
        <v>32.072338825619</v>
      </c>
      <c r="AU589" s="78" t="n">
        <v>33.2998611890487</v>
      </c>
      <c r="AV589" s="78" t="n">
        <v>32.6773566569485</v>
      </c>
      <c r="AW589" s="78" t="n">
        <v>49.2954324586978</v>
      </c>
      <c r="AX589" s="78" t="n">
        <v>32.8625</v>
      </c>
      <c r="AY589" s="48" t="n">
        <v>1.24464226400674</v>
      </c>
      <c r="AZ589" s="48" t="n">
        <v>24.2660576635393</v>
      </c>
      <c r="BA589" s="48" t="n">
        <v>1.50226127685413</v>
      </c>
      <c r="BB589" s="49" t="n">
        <f aca="false">AT589/V589</f>
        <v>1.24464226400674</v>
      </c>
      <c r="BC589" s="49" t="n">
        <f aca="false">AS589/V589</f>
        <v>1.21127722072596</v>
      </c>
      <c r="BD589" s="49" t="n">
        <f aca="false">SUM(AP589:AR589)/V589</f>
        <v>0.155227858473249</v>
      </c>
      <c r="BE589" s="53" t="n">
        <v>5.35</v>
      </c>
      <c r="BF589" s="51" t="n">
        <v>145.9</v>
      </c>
      <c r="BG589" s="51" t="n">
        <v>557.710760795065</v>
      </c>
      <c r="BH589" s="51" t="n">
        <v>314.599040438657</v>
      </c>
      <c r="BI589" s="51" t="n">
        <v>89.5133653187115</v>
      </c>
      <c r="BJ589" s="51" t="n">
        <v>5.20904729266621</v>
      </c>
      <c r="BK589" s="51" t="n">
        <v>19.3283070596299</v>
      </c>
      <c r="BL589" s="51" t="n">
        <v>10.4180945853324</v>
      </c>
      <c r="BM589" s="51" t="n">
        <v>3.22138450993831</v>
      </c>
      <c r="BN589" s="52" t="n">
        <f aca="false">(BG589*0.5-BH589*0.25+BI589*0.5)/SUM(BG589:BI589)*1000</f>
        <v>254.685384450937</v>
      </c>
      <c r="BO589" s="93" t="n">
        <v>6.09085714285714</v>
      </c>
      <c r="BP589" s="94" t="s">
        <v>491</v>
      </c>
      <c r="BQ589" s="55" t="n">
        <v>305.22219047619</v>
      </c>
      <c r="BR589" s="56" t="n">
        <v>11.8448623358871</v>
      </c>
      <c r="BS589" s="56"/>
      <c r="BT589" s="56" t="n">
        <v>9.51668015655855</v>
      </c>
      <c r="BU589" s="55" t="n">
        <v>11034.5239047619</v>
      </c>
      <c r="BV589" s="55" t="n">
        <v>428.220557588048</v>
      </c>
      <c r="BW589" s="55"/>
      <c r="BX589" s="55" t="n">
        <v>344.051114100468</v>
      </c>
      <c r="BY589" s="96" t="n">
        <v>0.05665</v>
      </c>
      <c r="BZ589" s="96" t="n">
        <v>0.6919</v>
      </c>
      <c r="CA589" s="97" t="n">
        <v>3.6966</v>
      </c>
      <c r="CB589" s="97"/>
      <c r="CC589" s="97" t="n">
        <v>4.74</v>
      </c>
      <c r="CD589" s="97" t="n">
        <v>5.4162</v>
      </c>
      <c r="CE589" s="97" t="n">
        <v>89.61</v>
      </c>
      <c r="CF589" s="97" t="n">
        <v>32.7624</v>
      </c>
      <c r="CG589" s="97" t="n">
        <v>0.0194</v>
      </c>
      <c r="CH589" s="63" t="n">
        <v>19550.0442747515</v>
      </c>
      <c r="CI589" s="63" t="n">
        <v>1603.11131011012</v>
      </c>
      <c r="CJ589" s="64" t="n">
        <v>856652.850300872</v>
      </c>
      <c r="CK589" s="65" t="n">
        <v>0.187136634115801</v>
      </c>
    </row>
    <row r="590" s="1" customFormat="true" ht="15" hidden="false" customHeight="false" outlineLevel="0" collapsed="false">
      <c r="A590" s="7" t="s">
        <v>488</v>
      </c>
      <c r="B590" s="66" t="n">
        <v>581</v>
      </c>
      <c r="C590" s="8" t="s">
        <v>673</v>
      </c>
      <c r="D590" s="67" t="n">
        <v>41831</v>
      </c>
      <c r="E590" s="4" t="s">
        <v>490</v>
      </c>
      <c r="F590" s="7" t="n">
        <v>437</v>
      </c>
      <c r="G590" s="68" t="n">
        <v>1</v>
      </c>
      <c r="H590" s="68" t="n">
        <v>102</v>
      </c>
      <c r="I590" s="7" t="n">
        <v>2</v>
      </c>
      <c r="J590" s="8" t="n">
        <v>625</v>
      </c>
      <c r="K590" s="32"/>
      <c r="L590" s="31" t="n">
        <v>927.063</v>
      </c>
      <c r="M590" s="31" t="n">
        <v>149.546057329389</v>
      </c>
      <c r="N590" s="31" t="n">
        <v>305.314699581761</v>
      </c>
      <c r="O590" s="95"/>
      <c r="P590" s="33" t="n">
        <v>40.59981638274</v>
      </c>
      <c r="Q590" s="33" t="n">
        <v>11.6</v>
      </c>
      <c r="R590" s="31" t="n">
        <v>266.857084565949</v>
      </c>
      <c r="S590" s="34" t="s">
        <v>76</v>
      </c>
      <c r="T590" s="35"/>
      <c r="U590" s="35"/>
      <c r="V590" s="35" t="n">
        <v>22.0302228910084</v>
      </c>
      <c r="W590" s="35" t="n">
        <v>20.4234045240069</v>
      </c>
      <c r="X590" s="35" t="n">
        <v>3.29453297543796</v>
      </c>
      <c r="Y590" s="35" t="n">
        <v>6.72615088368746</v>
      </c>
      <c r="Z590" s="35"/>
      <c r="AA590" s="35" t="n">
        <v>0.894423004245777</v>
      </c>
      <c r="AB590" s="35" t="n">
        <v>0.255550585535698</v>
      </c>
      <c r="AC590" s="71" t="n">
        <v>5.87892105303254</v>
      </c>
      <c r="AD590" s="72"/>
      <c r="AE590" s="72"/>
      <c r="AF590" s="72"/>
      <c r="AG590" s="72"/>
      <c r="AH590" s="72"/>
      <c r="AI590" s="73" t="n">
        <v>33.9133530806263</v>
      </c>
      <c r="AJ590" s="42" t="s">
        <v>16</v>
      </c>
      <c r="AK590" s="43" t="n">
        <v>657.951840609157</v>
      </c>
      <c r="AL590" s="74"/>
      <c r="AM590" s="74"/>
      <c r="AN590" s="74"/>
      <c r="AO590" s="78" t="n">
        <v>39.8</v>
      </c>
      <c r="AP590" s="76" t="n">
        <v>1.24239583064579</v>
      </c>
      <c r="AQ590" s="76" t="n">
        <v>1.17195335276968</v>
      </c>
      <c r="AR590" s="76" t="n">
        <v>1.92811467444121</v>
      </c>
      <c r="AS590" s="77" t="n">
        <v>34.5559374596868</v>
      </c>
      <c r="AT590" s="78" t="n">
        <v>34.60506629491</v>
      </c>
      <c r="AU590" s="78" t="n">
        <v>31.2159756443665</v>
      </c>
      <c r="AV590" s="78" t="n">
        <v>29.4460641399417</v>
      </c>
      <c r="AW590" s="78" t="n">
        <v>48.4450923226433</v>
      </c>
      <c r="AX590" s="78" t="n">
        <v>32.235</v>
      </c>
      <c r="AY590" s="48" t="n">
        <v>1.57079964492933</v>
      </c>
      <c r="AZ590" s="48" t="n">
        <v>24.2030108395637</v>
      </c>
      <c r="BA590" s="48" t="n">
        <v>-2.17278794855532</v>
      </c>
      <c r="BB590" s="49" t="n">
        <f aca="false">AT590/V590</f>
        <v>1.57079964492933</v>
      </c>
      <c r="BC590" s="49" t="n">
        <f aca="false">AS590/V590</f>
        <v>1.56856957964736</v>
      </c>
      <c r="BD590" s="49" t="n">
        <f aca="false">SUM(AP590:AR590)/V590</f>
        <v>0.197113932044194</v>
      </c>
      <c r="BE590" s="53" t="n">
        <v>5.62</v>
      </c>
      <c r="BF590" s="51" t="n">
        <v>120.52</v>
      </c>
      <c r="BG590" s="51" t="n">
        <v>600.647195486226</v>
      </c>
      <c r="BH590" s="51" t="n">
        <v>257.384666445403</v>
      </c>
      <c r="BI590" s="51" t="n">
        <v>115.416528377033</v>
      </c>
      <c r="BJ590" s="51" t="n">
        <v>4.39761035512778</v>
      </c>
      <c r="BK590" s="51" t="n">
        <v>11.6163292399602</v>
      </c>
      <c r="BL590" s="51" t="n">
        <v>6.47195486226353</v>
      </c>
      <c r="BM590" s="51" t="n">
        <v>4.06571523398606</v>
      </c>
      <c r="BN590" s="52" t="n">
        <f aca="false">(BG590*0.5-BH590*0.25+BI590*0.5)/SUM(BG590:BI590)*1000</f>
        <v>301.696215479032</v>
      </c>
      <c r="BO590" s="93" t="n">
        <v>4.83771428571429</v>
      </c>
      <c r="BP590" s="94" t="s">
        <v>491</v>
      </c>
      <c r="BQ590" s="55" t="n">
        <v>298.551333333333</v>
      </c>
      <c r="BR590" s="56" t="n">
        <v>13.5518979907909</v>
      </c>
      <c r="BS590" s="56"/>
      <c r="BT590" s="56" t="n">
        <v>8.62738798963801</v>
      </c>
      <c r="BU590" s="55" t="n">
        <v>11545.6493333333</v>
      </c>
      <c r="BV590" s="55" t="n">
        <v>524.082275084273</v>
      </c>
      <c r="BW590" s="55"/>
      <c r="BX590" s="55" t="n">
        <v>333.640433887323</v>
      </c>
      <c r="BY590" s="96" t="n">
        <v>0.09785</v>
      </c>
      <c r="BZ590" s="96" t="n">
        <v>1.0296</v>
      </c>
      <c r="CA590" s="97" t="n">
        <v>3.7471</v>
      </c>
      <c r="CB590" s="97"/>
      <c r="CC590" s="97" t="n">
        <v>5.86</v>
      </c>
      <c r="CD590" s="97" t="n">
        <v>6.3648</v>
      </c>
      <c r="CE590" s="97" t="n">
        <v>92.7</v>
      </c>
      <c r="CF590" s="97" t="n">
        <v>35.0574</v>
      </c>
      <c r="CG590" s="97" t="n">
        <v>0.0092</v>
      </c>
      <c r="CH590" s="63" t="n">
        <v>72167.4584834242</v>
      </c>
      <c r="CI590" s="63" t="n">
        <v>1533.63302388892</v>
      </c>
      <c r="CJ590" s="64" t="n">
        <v>653714.149643258</v>
      </c>
      <c r="CK590" s="65" t="n">
        <v>0.23460300266192</v>
      </c>
    </row>
    <row r="591" s="1" customFormat="true" ht="15" hidden="false" customHeight="false" outlineLevel="0" collapsed="false">
      <c r="A591" s="7" t="s">
        <v>488</v>
      </c>
      <c r="B591" s="66" t="n">
        <v>582</v>
      </c>
      <c r="C591" s="8" t="s">
        <v>674</v>
      </c>
      <c r="D591" s="67" t="n">
        <v>41831</v>
      </c>
      <c r="E591" s="4" t="s">
        <v>490</v>
      </c>
      <c r="F591" s="7" t="n">
        <v>441</v>
      </c>
      <c r="G591" s="68" t="n">
        <v>1</v>
      </c>
      <c r="H591" s="68" t="n">
        <v>152</v>
      </c>
      <c r="I591" s="7" t="n">
        <v>1</v>
      </c>
      <c r="J591" s="8" t="n">
        <v>792</v>
      </c>
      <c r="K591" s="32"/>
      <c r="L591" s="31" t="n">
        <v>927.063</v>
      </c>
      <c r="M591" s="31" t="n">
        <v>149.546057329389</v>
      </c>
      <c r="N591" s="31" t="n">
        <v>305.314699581761</v>
      </c>
      <c r="O591" s="95"/>
      <c r="P591" s="33" t="n">
        <v>40.59981638274</v>
      </c>
      <c r="Q591" s="33" t="n">
        <v>11.6</v>
      </c>
      <c r="R591" s="31" t="n">
        <v>266.857084565949</v>
      </c>
      <c r="S591" s="34" t="s">
        <v>76</v>
      </c>
      <c r="T591" s="35"/>
      <c r="U591" s="35"/>
      <c r="V591" s="35" t="n">
        <v>21.123353322326</v>
      </c>
      <c r="W591" s="35" t="n">
        <v>19.5826793010555</v>
      </c>
      <c r="X591" s="35" t="n">
        <v>3.1589142069295</v>
      </c>
      <c r="Y591" s="35" t="n">
        <v>6.44927027376535</v>
      </c>
      <c r="Z591" s="35"/>
      <c r="AA591" s="35" t="n">
        <v>0.857604266274175</v>
      </c>
      <c r="AB591" s="35" t="n">
        <v>0.245030898538981</v>
      </c>
      <c r="AC591" s="71" t="n">
        <v>5.63691648385237</v>
      </c>
      <c r="AD591" s="72"/>
      <c r="AE591" s="72"/>
      <c r="AF591" s="72"/>
      <c r="AG591" s="72"/>
      <c r="AH591" s="72"/>
      <c r="AI591" s="73" t="n">
        <v>36.2024007859856</v>
      </c>
      <c r="AJ591" s="42" t="s">
        <v>16</v>
      </c>
      <c r="AK591" s="43" t="n">
        <v>679.579261370685</v>
      </c>
      <c r="AL591" s="74"/>
      <c r="AM591" s="74"/>
      <c r="AN591" s="74"/>
      <c r="AO591" s="78" t="n">
        <v>30.06</v>
      </c>
      <c r="AP591" s="76" t="n">
        <v>1.09892256080514</v>
      </c>
      <c r="AQ591" s="76" t="n">
        <v>1.06699854227405</v>
      </c>
      <c r="AR591" s="76" t="n">
        <v>1.52637026239067</v>
      </c>
      <c r="AS591" s="77" t="n">
        <v>28.5078384120772</v>
      </c>
      <c r="AT591" s="78" t="n">
        <v>29.8657659050353</v>
      </c>
      <c r="AU591" s="78" t="n">
        <v>36.5576367533315</v>
      </c>
      <c r="AV591" s="78" t="n">
        <v>35.4956268221574</v>
      </c>
      <c r="AW591" s="78" t="n">
        <v>50.7774538386783</v>
      </c>
      <c r="AX591" s="78" t="n">
        <v>22.9025</v>
      </c>
      <c r="AY591" s="48" t="n">
        <v>1.41387427693448</v>
      </c>
      <c r="AZ591" s="48" t="n">
        <v>24.8650833761449</v>
      </c>
      <c r="BA591" s="48" t="n">
        <v>-3.74173005381895</v>
      </c>
      <c r="BB591" s="49" t="n">
        <f aca="false">AT591/V591</f>
        <v>1.41387427693448</v>
      </c>
      <c r="BC591" s="49" t="n">
        <f aca="false">AS591/V591</f>
        <v>1.34958867453807</v>
      </c>
      <c r="BD591" s="49" t="n">
        <f aca="false">SUM(AP591:AR591)/V591</f>
        <v>0.174796648483239</v>
      </c>
      <c r="BE591" s="53" t="n">
        <v>5.68</v>
      </c>
      <c r="BF591" s="51" t="n">
        <v>124.49</v>
      </c>
      <c r="BG591" s="51" t="n">
        <v>584.303960157442</v>
      </c>
      <c r="BH591" s="51" t="n">
        <v>293.276568399068</v>
      </c>
      <c r="BI591" s="51" t="n">
        <v>99.044099927705</v>
      </c>
      <c r="BJ591" s="51" t="n">
        <v>3.93605912121456</v>
      </c>
      <c r="BK591" s="51" t="n">
        <v>10.8442445176319</v>
      </c>
      <c r="BL591" s="51" t="n">
        <v>6.10490802474094</v>
      </c>
      <c r="BM591" s="51" t="n">
        <v>2.49015985219696</v>
      </c>
      <c r="BN591" s="52" t="n">
        <f aca="false">(BG591*0.5-BH591*0.25+BI591*0.5)/SUM(BG591:BI591)*1000</f>
        <v>274.777924000658</v>
      </c>
      <c r="BO591" s="93" t="n">
        <v>6.61542857142857</v>
      </c>
      <c r="BP591" s="94" t="s">
        <v>491</v>
      </c>
      <c r="BQ591" s="55" t="n">
        <v>343.376811594203</v>
      </c>
      <c r="BR591" s="56" t="n">
        <v>16.2557907522797</v>
      </c>
      <c r="BS591" s="56"/>
      <c r="BT591" s="56" t="n">
        <v>11.49733821279</v>
      </c>
      <c r="BU591" s="55" t="n">
        <v>11181.6956521739</v>
      </c>
      <c r="BV591" s="55" t="n">
        <v>529.352299398202</v>
      </c>
      <c r="BW591" s="55"/>
      <c r="BX591" s="55" t="n">
        <v>374.398422854065</v>
      </c>
      <c r="BY591" s="96" t="n">
        <v>0.05047</v>
      </c>
      <c r="BZ591" s="96" t="n">
        <v>0.7084</v>
      </c>
      <c r="CA591" s="97" t="n">
        <v>4.1309</v>
      </c>
      <c r="CB591" s="97"/>
      <c r="CC591" s="97" t="n">
        <v>4.26</v>
      </c>
      <c r="CD591" s="97" t="n">
        <v>4.794</v>
      </c>
      <c r="CE591" s="97" t="n">
        <v>88.58</v>
      </c>
      <c r="CF591" s="97" t="n">
        <v>33.609</v>
      </c>
      <c r="CG591" s="97" t="n">
        <v>0.0398</v>
      </c>
      <c r="CH591" s="63" t="n">
        <v>57582.163688789</v>
      </c>
      <c r="CI591" s="63" t="n">
        <v>2822.88132494776</v>
      </c>
      <c r="CJ591" s="64" t="n">
        <v>826586.459821476</v>
      </c>
      <c r="CK591" s="65" t="n">
        <v>0.341510714506192</v>
      </c>
    </row>
    <row r="592" s="1" customFormat="true" ht="15" hidden="false" customHeight="false" outlineLevel="0" collapsed="false">
      <c r="A592" s="7" t="s">
        <v>488</v>
      </c>
      <c r="B592" s="66" t="n">
        <v>583</v>
      </c>
      <c r="C592" s="8" t="s">
        <v>675</v>
      </c>
      <c r="D592" s="67" t="n">
        <v>41831</v>
      </c>
      <c r="E592" s="4" t="s">
        <v>490</v>
      </c>
      <c r="F592" s="7" t="n">
        <v>475</v>
      </c>
      <c r="G592" s="68" t="n">
        <v>1</v>
      </c>
      <c r="H592" s="68" t="n">
        <v>138</v>
      </c>
      <c r="I592" s="7" t="n">
        <v>1</v>
      </c>
      <c r="J592" s="8" t="n">
        <v>625</v>
      </c>
      <c r="K592" s="32"/>
      <c r="L592" s="31" t="n">
        <v>927.063</v>
      </c>
      <c r="M592" s="31" t="n">
        <v>149.546057329389</v>
      </c>
      <c r="N592" s="31" t="n">
        <v>305.314699581761</v>
      </c>
      <c r="O592" s="95"/>
      <c r="P592" s="33" t="n">
        <v>40.59981638274</v>
      </c>
      <c r="Q592" s="33" t="n">
        <v>11.6</v>
      </c>
      <c r="R592" s="31" t="n">
        <v>266.857084565949</v>
      </c>
      <c r="S592" s="34" t="s">
        <v>76</v>
      </c>
      <c r="T592" s="35"/>
      <c r="U592" s="35"/>
      <c r="V592" s="35" t="n">
        <v>18.7572626582993</v>
      </c>
      <c r="W592" s="35" t="n">
        <v>17.3891641917909</v>
      </c>
      <c r="X592" s="35" t="n">
        <v>2.80507467684043</v>
      </c>
      <c r="Y592" s="35" t="n">
        <v>5.72686801349482</v>
      </c>
      <c r="Z592" s="35"/>
      <c r="AA592" s="35" t="n">
        <v>0.761541419769776</v>
      </c>
      <c r="AB592" s="35" t="n">
        <v>0.217584246836272</v>
      </c>
      <c r="AC592" s="71" t="n">
        <v>5.00550842743149</v>
      </c>
      <c r="AD592" s="72"/>
      <c r="AE592" s="72"/>
      <c r="AF592" s="72"/>
      <c r="AG592" s="72"/>
      <c r="AH592" s="72"/>
      <c r="AI592" s="73" t="n">
        <v>31.8793077136679</v>
      </c>
      <c r="AJ592" s="42" t="s">
        <v>16</v>
      </c>
      <c r="AK592" s="43" t="n">
        <v>636.127606528086</v>
      </c>
      <c r="AL592" s="74"/>
      <c r="AM592" s="74"/>
      <c r="AN592" s="74"/>
      <c r="AO592" s="78" t="n">
        <v>33.04</v>
      </c>
      <c r="AP592" s="76" t="n">
        <v>1.0060327073994</v>
      </c>
      <c r="AQ592" s="76" t="n">
        <v>1.00902040816327</v>
      </c>
      <c r="AR592" s="76" t="n">
        <v>1.65039455782313</v>
      </c>
      <c r="AS592" s="77" t="n">
        <v>28.3064906109909</v>
      </c>
      <c r="AT592" s="78" t="n">
        <v>28.9588536806823</v>
      </c>
      <c r="AU592" s="78" t="n">
        <v>30.4489318220156</v>
      </c>
      <c r="AV592" s="78" t="n">
        <v>30.5393586005831</v>
      </c>
      <c r="AW592" s="78" t="n">
        <v>49.9514091350826</v>
      </c>
      <c r="AX592" s="78" t="n">
        <v>29.0475</v>
      </c>
      <c r="AY592" s="48" t="n">
        <v>1.5438741893327</v>
      </c>
      <c r="AZ592" s="48" t="n">
        <v>22.3760360314718</v>
      </c>
      <c r="BA592" s="48" t="n">
        <v>-3.61877337317257</v>
      </c>
      <c r="BB592" s="49" t="n">
        <f aca="false">AT592/V592</f>
        <v>1.5438741893327</v>
      </c>
      <c r="BC592" s="49" t="n">
        <f aca="false">AS592/V592</f>
        <v>1.5090949637295</v>
      </c>
      <c r="BD592" s="49" t="n">
        <f aca="false">SUM(AP592:AR592)/V592</f>
        <v>0.195414850245432</v>
      </c>
      <c r="BE592" s="53" t="n">
        <v>5.84</v>
      </c>
      <c r="BF592" s="51" t="n">
        <v>122.3</v>
      </c>
      <c r="BG592" s="51" t="n">
        <v>558.871627146361</v>
      </c>
      <c r="BH592" s="51" t="n">
        <v>301.226492232216</v>
      </c>
      <c r="BI592" s="51" t="n">
        <v>102.04415372036</v>
      </c>
      <c r="BJ592" s="51" t="n">
        <v>5.23303352412101</v>
      </c>
      <c r="BK592" s="51" t="n">
        <v>17.9067865903516</v>
      </c>
      <c r="BL592" s="51" t="n">
        <v>9.40310711365495</v>
      </c>
      <c r="BM592" s="51" t="n">
        <v>5.31479967293541</v>
      </c>
      <c r="BN592" s="52" t="n">
        <f aca="false">(BG592*0.5-BH592*0.25+BI592*0.5)/SUM(BG592:BI592)*1000</f>
        <v>265.19078779638</v>
      </c>
      <c r="BO592" s="93" t="n">
        <v>3.03085714285714</v>
      </c>
      <c r="BP592" s="94" t="s">
        <v>491</v>
      </c>
      <c r="BQ592" s="55" t="n">
        <v>248.772</v>
      </c>
      <c r="BR592" s="56" t="n">
        <v>13.262702801143</v>
      </c>
      <c r="BS592" s="56"/>
      <c r="BT592" s="56" t="n">
        <v>8.59053340795562</v>
      </c>
      <c r="BU592" s="55" t="n">
        <v>9750.39733333333</v>
      </c>
      <c r="BV592" s="55" t="n">
        <v>519.819843169878</v>
      </c>
      <c r="BW592" s="55"/>
      <c r="BX592" s="55" t="n">
        <v>336.698318270711</v>
      </c>
      <c r="BY592" s="96" t="n">
        <v>0.10609</v>
      </c>
      <c r="BZ592" s="96" t="n">
        <v>0.7568</v>
      </c>
      <c r="CA592" s="97" t="n">
        <v>3.8481</v>
      </c>
      <c r="CB592" s="97"/>
      <c r="CC592" s="97" t="n">
        <v>5.69</v>
      </c>
      <c r="CD592" s="97" t="n">
        <v>5.2734</v>
      </c>
      <c r="CE592" s="97" t="n">
        <v>90.64</v>
      </c>
      <c r="CF592" s="97" t="n">
        <v>36.1794</v>
      </c>
      <c r="CG592" s="97" t="n">
        <v>0.0296</v>
      </c>
      <c r="CH592" s="63" t="n">
        <v>58799.9756931886</v>
      </c>
      <c r="CI592" s="63" t="n">
        <v>2919.46520107466</v>
      </c>
      <c r="CJ592" s="64" t="n">
        <v>865842.075223405</v>
      </c>
      <c r="CK592" s="65" t="n">
        <v>0.337182181903251</v>
      </c>
    </row>
    <row r="593" s="1" customFormat="true" ht="15" hidden="false" customHeight="false" outlineLevel="0" collapsed="false">
      <c r="A593" s="7" t="s">
        <v>488</v>
      </c>
      <c r="B593" s="66" t="n">
        <v>584</v>
      </c>
      <c r="C593" s="8" t="s">
        <v>676</v>
      </c>
      <c r="D593" s="67" t="n">
        <v>41831</v>
      </c>
      <c r="E593" s="4" t="s">
        <v>490</v>
      </c>
      <c r="F593" s="7" t="n">
        <v>485</v>
      </c>
      <c r="G593" s="68" t="n">
        <v>1</v>
      </c>
      <c r="H593" s="68" t="n">
        <v>140</v>
      </c>
      <c r="I593" s="7" t="n">
        <v>1</v>
      </c>
      <c r="J593" s="8" t="n">
        <v>604</v>
      </c>
      <c r="K593" s="32"/>
      <c r="L593" s="31" t="n">
        <v>927.063</v>
      </c>
      <c r="M593" s="31" t="n">
        <v>149.546057329389</v>
      </c>
      <c r="N593" s="31" t="n">
        <v>305.314699581761</v>
      </c>
      <c r="O593" s="95"/>
      <c r="P593" s="33" t="n">
        <v>40.59981638274</v>
      </c>
      <c r="Q593" s="33" t="n">
        <v>11.6</v>
      </c>
      <c r="R593" s="31" t="n">
        <v>266.857084565949</v>
      </c>
      <c r="S593" s="34" t="s">
        <v>76</v>
      </c>
      <c r="T593" s="35"/>
      <c r="U593" s="35"/>
      <c r="V593" s="35" t="n">
        <v>23.6555699959895</v>
      </c>
      <c r="W593" s="35" t="n">
        <v>21.930203687192</v>
      </c>
      <c r="X593" s="35" t="n">
        <v>3.53759722677962</v>
      </c>
      <c r="Y593" s="35" t="n">
        <v>7.22239324676085</v>
      </c>
      <c r="Z593" s="35"/>
      <c r="AA593" s="35" t="n">
        <v>0.960411798266228</v>
      </c>
      <c r="AB593" s="35" t="n">
        <v>0.274404611953478</v>
      </c>
      <c r="AC593" s="71" t="n">
        <v>6.31265644287551</v>
      </c>
      <c r="AD593" s="72"/>
      <c r="AE593" s="72"/>
      <c r="AF593" s="72"/>
      <c r="AG593" s="72"/>
      <c r="AH593" s="72"/>
      <c r="AI593" s="73" t="n">
        <v>31.4676624562847</v>
      </c>
      <c r="AJ593" s="42" t="s">
        <v>16</v>
      </c>
      <c r="AK593" s="43" t="n">
        <v>631.36759789149</v>
      </c>
      <c r="AL593" s="74"/>
      <c r="AM593" s="74"/>
      <c r="AN593" s="74"/>
      <c r="AO593" s="78" t="n">
        <v>35.52</v>
      </c>
      <c r="AP593" s="76" t="n">
        <v>1.1910778770133</v>
      </c>
      <c r="AQ593" s="76" t="n">
        <v>1.05627988338192</v>
      </c>
      <c r="AR593" s="76" t="n">
        <v>1.76478134110787</v>
      </c>
      <c r="AS593" s="77" t="n">
        <v>32.0741681551995</v>
      </c>
      <c r="AT593" s="78" t="n">
        <v>32.1990456208204</v>
      </c>
      <c r="AU593" s="78" t="n">
        <v>33.532597888888</v>
      </c>
      <c r="AV593" s="78" t="n">
        <v>29.7376093294461</v>
      </c>
      <c r="AW593" s="78" t="n">
        <v>49.6841593780369</v>
      </c>
      <c r="AX593" s="78" t="n">
        <v>29.17</v>
      </c>
      <c r="AY593" s="48" t="n">
        <v>1.36116126672405</v>
      </c>
      <c r="AZ593" s="48" t="n">
        <v>23.4733133450498</v>
      </c>
      <c r="BA593" s="48" t="n">
        <v>0.182256650939756</v>
      </c>
      <c r="BB593" s="49" t="n">
        <f aca="false">AT593/V593</f>
        <v>1.36116126672405</v>
      </c>
      <c r="BC593" s="49" t="n">
        <f aca="false">AS593/V593</f>
        <v>1.35588227891517</v>
      </c>
      <c r="BD593" s="49" t="n">
        <f aca="false">SUM(AP593:AR593)/V593</f>
        <v>0.169606528279948</v>
      </c>
      <c r="BE593" s="53" t="n">
        <v>5.71</v>
      </c>
      <c r="BF593" s="51" t="n">
        <v>129.46</v>
      </c>
      <c r="BG593" s="51" t="n">
        <v>581.183377104897</v>
      </c>
      <c r="BH593" s="51" t="n">
        <v>283.485246408157</v>
      </c>
      <c r="BI593" s="51" t="n">
        <v>108.52773057315</v>
      </c>
      <c r="BJ593" s="51" t="n">
        <v>4.17117256295381</v>
      </c>
      <c r="BK593" s="51" t="n">
        <v>11.5093465162985</v>
      </c>
      <c r="BL593" s="51" t="n">
        <v>7.64714969874865</v>
      </c>
      <c r="BM593" s="51" t="n">
        <v>3.47597713579484</v>
      </c>
      <c r="BN593" s="52" t="n">
        <f aca="false">(BG593*0.5-BH593*0.25+BI593*0.5)/SUM(BG593:BI593)*1000</f>
        <v>281.530280180967</v>
      </c>
      <c r="BO593" s="93" t="n">
        <v>5.33314285714286</v>
      </c>
      <c r="BP593" s="94" t="s">
        <v>491</v>
      </c>
      <c r="BQ593" s="55" t="n">
        <v>284.295138888889</v>
      </c>
      <c r="BR593" s="56" t="n">
        <v>12.018105627431</v>
      </c>
      <c r="BS593" s="56"/>
      <c r="BT593" s="56" t="n">
        <v>8.82930327304667</v>
      </c>
      <c r="BU593" s="55" t="n">
        <v>9007.75347222222</v>
      </c>
      <c r="BV593" s="55" t="n">
        <v>380.787842937176</v>
      </c>
      <c r="BW593" s="55"/>
      <c r="BX593" s="55" t="n">
        <v>279.752188257333</v>
      </c>
      <c r="BY593" s="96" t="n">
        <v>0.11227</v>
      </c>
      <c r="BZ593" s="96" t="n">
        <v>0.6732</v>
      </c>
      <c r="CA593" s="97" t="n">
        <v>3.9592</v>
      </c>
      <c r="CB593" s="97"/>
      <c r="CC593" s="97" t="n">
        <v>4.83</v>
      </c>
      <c r="CD593" s="97" t="n">
        <v>6.6198</v>
      </c>
      <c r="CE593" s="97" t="n">
        <v>88.58</v>
      </c>
      <c r="CF593" s="97" t="n">
        <v>37.5156</v>
      </c>
      <c r="CG593" s="97" t="n">
        <v>0.0602</v>
      </c>
      <c r="CH593" s="63" t="n">
        <v>61641.7673417453</v>
      </c>
      <c r="CI593" s="63" t="n">
        <v>1195.91350526452</v>
      </c>
      <c r="CJ593" s="64" t="n">
        <v>557077.291514862</v>
      </c>
      <c r="CK593" s="65" t="n">
        <v>0.214676405497067</v>
      </c>
    </row>
    <row r="594" s="1" customFormat="true" ht="15" hidden="false" customHeight="false" outlineLevel="0" collapsed="false">
      <c r="A594" s="7" t="s">
        <v>488</v>
      </c>
      <c r="B594" s="66" t="n">
        <v>585</v>
      </c>
      <c r="C594" s="8" t="s">
        <v>677</v>
      </c>
      <c r="D594" s="67" t="n">
        <v>41831</v>
      </c>
      <c r="E594" s="4" t="s">
        <v>490</v>
      </c>
      <c r="F594" s="7" t="n">
        <v>486</v>
      </c>
      <c r="G594" s="68" t="n">
        <v>1</v>
      </c>
      <c r="H594" s="68" t="n">
        <v>76</v>
      </c>
      <c r="I594" s="7" t="n">
        <v>1</v>
      </c>
      <c r="J594" s="8" t="n">
        <v>646</v>
      </c>
      <c r="K594" s="32"/>
      <c r="L594" s="31" t="n">
        <v>927.063</v>
      </c>
      <c r="M594" s="31" t="n">
        <v>149.546057329389</v>
      </c>
      <c r="N594" s="31" t="n">
        <v>305.314699581761</v>
      </c>
      <c r="O594" s="95"/>
      <c r="P594" s="33" t="n">
        <v>40.59981638274</v>
      </c>
      <c r="Q594" s="33" t="n">
        <v>11.6</v>
      </c>
      <c r="R594" s="31" t="n">
        <v>266.857084565949</v>
      </c>
      <c r="S594" s="34" t="s">
        <v>76</v>
      </c>
      <c r="T594" s="35"/>
      <c r="U594" s="35"/>
      <c r="V594" s="35" t="n">
        <v>20.6000777524628</v>
      </c>
      <c r="W594" s="35" t="n">
        <v>19.0975698814314</v>
      </c>
      <c r="X594" s="35" t="n">
        <v>3.08066040855967</v>
      </c>
      <c r="Y594" s="35" t="n">
        <v>6.28950655035409</v>
      </c>
      <c r="Z594" s="35"/>
      <c r="AA594" s="35" t="n">
        <v>0.836359374220156</v>
      </c>
      <c r="AB594" s="35" t="n">
        <v>0.238960901928568</v>
      </c>
      <c r="AC594" s="71" t="n">
        <v>5.49727669085409</v>
      </c>
      <c r="AD594" s="72"/>
      <c r="AE594" s="72"/>
      <c r="AF594" s="72"/>
      <c r="AG594" s="72"/>
      <c r="AH594" s="72"/>
      <c r="AI594" s="73" t="n">
        <v>32.5150123389537</v>
      </c>
      <c r="AJ594" s="42" t="s">
        <v>16</v>
      </c>
      <c r="AK594" s="43" t="n">
        <v>643.241716193263</v>
      </c>
      <c r="AL594" s="74"/>
      <c r="AM594" s="74"/>
      <c r="AN594" s="74"/>
      <c r="AO594" s="78" t="n">
        <v>35.18</v>
      </c>
      <c r="AP594" s="76" t="n">
        <v>1.01422372492676</v>
      </c>
      <c r="AQ594" s="76" t="n">
        <v>1.07266520894072</v>
      </c>
      <c r="AR594" s="76" t="n">
        <v>1.76070942662779</v>
      </c>
      <c r="AS594" s="77" t="n">
        <v>29.2853558739015</v>
      </c>
      <c r="AT594" s="78" t="n">
        <v>30.1444670820013</v>
      </c>
      <c r="AU594" s="78" t="n">
        <v>28.8295544322559</v>
      </c>
      <c r="AV594" s="78" t="n">
        <v>30.4907677356657</v>
      </c>
      <c r="AW594" s="78" t="n">
        <v>50.0485908649174</v>
      </c>
      <c r="AX594" s="78" t="n">
        <v>19.655</v>
      </c>
      <c r="AY594" s="48" t="n">
        <v>1.46331812162202</v>
      </c>
      <c r="AZ594" s="48" t="n">
        <v>21.8657007140641</v>
      </c>
      <c r="BA594" s="48" t="n">
        <v>-1.26562296160126</v>
      </c>
      <c r="BB594" s="49" t="n">
        <f aca="false">AT594/V594</f>
        <v>1.46331812162202</v>
      </c>
      <c r="BC594" s="49" t="n">
        <f aca="false">AS594/V594</f>
        <v>1.42161385145259</v>
      </c>
      <c r="BD594" s="49" t="n">
        <f aca="false">SUM(AP594:AR594)/V594</f>
        <v>0.186775914476113</v>
      </c>
      <c r="BE594" s="53" t="n">
        <v>6.18</v>
      </c>
      <c r="BF594" s="51" t="n">
        <v>121.58</v>
      </c>
      <c r="BG594" s="51" t="n">
        <v>583.813127159072</v>
      </c>
      <c r="BH594" s="51" t="n">
        <v>289.439052475736</v>
      </c>
      <c r="BI594" s="51" t="n">
        <v>94.0944234249054</v>
      </c>
      <c r="BJ594" s="51" t="n">
        <v>5.67527553873993</v>
      </c>
      <c r="BK594" s="51" t="n">
        <v>13.2423095903932</v>
      </c>
      <c r="BL594" s="51" t="n">
        <v>10.8570488567199</v>
      </c>
      <c r="BM594" s="51" t="n">
        <v>2.8787629544333</v>
      </c>
      <c r="BN594" s="52" t="n">
        <f aca="false">(BG594*0.5-BH594*0.25+BI594*0.5)/SUM(BG594:BI594)*1000</f>
        <v>275.593061814472</v>
      </c>
      <c r="BO594" s="93" t="n">
        <v>3.93428571428571</v>
      </c>
      <c r="BP594" s="94" t="s">
        <v>491</v>
      </c>
      <c r="BQ594" s="55" t="n">
        <v>235.736380952381</v>
      </c>
      <c r="BR594" s="56" t="n">
        <v>11.4434704463287</v>
      </c>
      <c r="BS594" s="56"/>
      <c r="BT594" s="56" t="n">
        <v>7.82022055029576</v>
      </c>
      <c r="BU594" s="55" t="n">
        <v>8137.83628571429</v>
      </c>
      <c r="BV594" s="55" t="n">
        <v>395.039105361696</v>
      </c>
      <c r="BW594" s="55"/>
      <c r="BX594" s="55" t="n">
        <v>269.961192665211</v>
      </c>
      <c r="BY594" s="96" t="n">
        <v>0.18025</v>
      </c>
      <c r="BZ594" s="96" t="n">
        <v>0.3355</v>
      </c>
      <c r="CA594" s="97" t="n">
        <v>4.0299</v>
      </c>
      <c r="CB594" s="97"/>
      <c r="CC594" s="97" t="n">
        <v>4.07</v>
      </c>
      <c r="CD594" s="97" t="n">
        <v>6.7116</v>
      </c>
      <c r="CE594" s="97" t="n">
        <v>91.67</v>
      </c>
      <c r="CF594" s="97" t="n">
        <v>37.3116</v>
      </c>
      <c r="CG594" s="97" t="n">
        <v>0.0806</v>
      </c>
      <c r="CH594" s="63" t="n">
        <v>20506.3872428664</v>
      </c>
      <c r="CI594" s="63" t="n">
        <v>2850.60006719574</v>
      </c>
      <c r="CJ594" s="64" t="n">
        <v>919480.003149482</v>
      </c>
      <c r="CK594" s="65" t="n">
        <v>0.310023062756299</v>
      </c>
    </row>
    <row r="595" s="1" customFormat="true" ht="15" hidden="false" customHeight="false" outlineLevel="0" collapsed="false">
      <c r="A595" s="7" t="s">
        <v>488</v>
      </c>
      <c r="B595" s="66" t="n">
        <v>586</v>
      </c>
      <c r="C595" s="8" t="s">
        <v>678</v>
      </c>
      <c r="D595" s="67" t="n">
        <v>41831</v>
      </c>
      <c r="E595" s="4" t="s">
        <v>490</v>
      </c>
      <c r="F595" s="7" t="n">
        <v>489</v>
      </c>
      <c r="G595" s="68" t="n">
        <v>1</v>
      </c>
      <c r="H595" s="68" t="n">
        <v>136</v>
      </c>
      <c r="I595" s="7" t="n">
        <v>1</v>
      </c>
      <c r="J595" s="8" t="n">
        <v>656</v>
      </c>
      <c r="K595" s="32"/>
      <c r="L595" s="31" t="n">
        <v>927.063</v>
      </c>
      <c r="M595" s="31" t="n">
        <v>149.546057329389</v>
      </c>
      <c r="N595" s="31" t="n">
        <v>305.314699581761</v>
      </c>
      <c r="O595" s="95"/>
      <c r="P595" s="33" t="n">
        <v>40.59981638274</v>
      </c>
      <c r="Q595" s="33" t="n">
        <v>11.6</v>
      </c>
      <c r="R595" s="31" t="n">
        <v>266.857084565949</v>
      </c>
      <c r="S595" s="34" t="s">
        <v>76</v>
      </c>
      <c r="T595" s="35"/>
      <c r="U595" s="35"/>
      <c r="V595" s="35" t="n">
        <v>20.9619716992852</v>
      </c>
      <c r="W595" s="35" t="n">
        <v>19.4330683694544</v>
      </c>
      <c r="X595" s="35" t="n">
        <v>3.13478022147833</v>
      </c>
      <c r="Y595" s="35" t="n">
        <v>6.39999809200862</v>
      </c>
      <c r="Z595" s="35"/>
      <c r="AA595" s="35" t="n">
        <v>0.851052202011169</v>
      </c>
      <c r="AB595" s="35" t="n">
        <v>0.243158871711708</v>
      </c>
      <c r="AC595" s="71" t="n">
        <v>5.59385065442517</v>
      </c>
      <c r="AD595" s="72"/>
      <c r="AE595" s="72"/>
      <c r="AF595" s="72"/>
      <c r="AG595" s="72"/>
      <c r="AH595" s="72"/>
      <c r="AI595" s="73" t="n">
        <v>32.5605782096547</v>
      </c>
      <c r="AJ595" s="42" t="s">
        <v>16</v>
      </c>
      <c r="AK595" s="43" t="n">
        <v>643.740970282879</v>
      </c>
      <c r="AL595" s="74"/>
      <c r="AM595" s="74"/>
      <c r="AN595" s="74"/>
      <c r="AO595" s="78" t="n">
        <v>31.18</v>
      </c>
      <c r="AP595" s="76" t="n">
        <v>0.844555167121794</v>
      </c>
      <c r="AQ595" s="76" t="n">
        <v>0.915855685131196</v>
      </c>
      <c r="AR595" s="76" t="n">
        <v>1.5529397473275</v>
      </c>
      <c r="AS595" s="77" t="n">
        <v>25.1403275068269</v>
      </c>
      <c r="AT595" s="78" t="n">
        <v>25.7456114336741</v>
      </c>
      <c r="AU595" s="78" t="n">
        <v>27.0864389711929</v>
      </c>
      <c r="AV595" s="78" t="n">
        <v>29.3731778425656</v>
      </c>
      <c r="AW595" s="78" t="n">
        <v>49.8056365403304</v>
      </c>
      <c r="AX595" s="78" t="n">
        <v>26.0475</v>
      </c>
      <c r="AY595" s="48" t="n">
        <v>1.22820561934792</v>
      </c>
      <c r="AZ595" s="48" t="n">
        <v>21.6399468683784</v>
      </c>
      <c r="BA595" s="48" t="n">
        <v>-0.677975169093266</v>
      </c>
      <c r="BB595" s="49" t="n">
        <f aca="false">AT595/V595</f>
        <v>1.22820561934792</v>
      </c>
      <c r="BC595" s="49" t="n">
        <f aca="false">AS595/V595</f>
        <v>1.19933028569465</v>
      </c>
      <c r="BD595" s="49" t="n">
        <f aca="false">SUM(AP595:AR595)/V595</f>
        <v>0.158064835079111</v>
      </c>
      <c r="BE595" s="53" t="n">
        <v>5.39</v>
      </c>
      <c r="BF595" s="51" t="n">
        <v>155.76</v>
      </c>
      <c r="BG595" s="51" t="n">
        <v>568.438623523369</v>
      </c>
      <c r="BH595" s="51" t="n">
        <v>280.110426296867</v>
      </c>
      <c r="BI595" s="51" t="n">
        <v>110.747303543914</v>
      </c>
      <c r="BJ595" s="51" t="n">
        <v>5.00770416024653</v>
      </c>
      <c r="BK595" s="51" t="n">
        <v>19.3888032871084</v>
      </c>
      <c r="BL595" s="51" t="n">
        <v>11.8130457113508</v>
      </c>
      <c r="BM595" s="51" t="n">
        <v>4.49409347714432</v>
      </c>
      <c r="BN595" s="52" t="n">
        <f aca="false">(BG595*0.5-BH595*0.25+BI595*0.5)/SUM(BG595:BI595)*1000</f>
        <v>281.003212421363</v>
      </c>
      <c r="BO595" s="93" t="n">
        <v>6.58628571428572</v>
      </c>
      <c r="BP595" s="94" t="s">
        <v>491</v>
      </c>
      <c r="BQ595" s="55" t="n">
        <v>251.672463768116</v>
      </c>
      <c r="BR595" s="56" t="n">
        <v>12.0061446212476</v>
      </c>
      <c r="BS595" s="56"/>
      <c r="BT595" s="56" t="n">
        <v>9.77535392455043</v>
      </c>
      <c r="BU595" s="55" t="n">
        <v>10195.0282608696</v>
      </c>
      <c r="BV595" s="55" t="n">
        <v>486.35826854099</v>
      </c>
      <c r="BW595" s="55"/>
      <c r="BX595" s="55" t="n">
        <v>395.990916243494</v>
      </c>
      <c r="BY595" s="96" t="n">
        <v>0.07313</v>
      </c>
      <c r="BZ595" s="96" t="n">
        <v>0.9801</v>
      </c>
      <c r="CA595" s="97" t="n">
        <v>4.0097</v>
      </c>
      <c r="CB595" s="97"/>
      <c r="CC595" s="97" t="n">
        <v>4.45</v>
      </c>
      <c r="CD595" s="97" t="n">
        <v>6.3852</v>
      </c>
      <c r="CE595" s="97" t="n">
        <v>87.55</v>
      </c>
      <c r="CF595" s="97" t="n">
        <v>36.4854</v>
      </c>
      <c r="CG595" s="97" t="n">
        <v>0.0806</v>
      </c>
      <c r="CH595" s="63" t="n">
        <v>17049.4246855018</v>
      </c>
      <c r="CI595" s="63" t="n">
        <v>2045.40845769391</v>
      </c>
      <c r="CJ595" s="64" t="n">
        <v>985694.478131884</v>
      </c>
      <c r="CK595" s="65" t="n">
        <v>0.207509375681036</v>
      </c>
    </row>
    <row r="596" s="1" customFormat="true" ht="15" hidden="false" customHeight="false" outlineLevel="0" collapsed="false">
      <c r="A596" s="7" t="s">
        <v>488</v>
      </c>
      <c r="B596" s="66" t="n">
        <v>587</v>
      </c>
      <c r="C596" s="8" t="s">
        <v>679</v>
      </c>
      <c r="D596" s="67" t="n">
        <v>41831</v>
      </c>
      <c r="E596" s="4" t="s">
        <v>490</v>
      </c>
      <c r="F596" s="7" t="n">
        <v>495</v>
      </c>
      <c r="G596" s="68" t="n">
        <v>1</v>
      </c>
      <c r="H596" s="68" t="n">
        <v>137</v>
      </c>
      <c r="I596" s="7" t="n">
        <v>1</v>
      </c>
      <c r="J596" s="8" t="n">
        <v>656</v>
      </c>
      <c r="K596" s="32"/>
      <c r="L596" s="31" t="n">
        <v>927.063</v>
      </c>
      <c r="M596" s="31" t="n">
        <v>149.546057329389</v>
      </c>
      <c r="N596" s="31" t="n">
        <v>305.314699581761</v>
      </c>
      <c r="O596" s="95"/>
      <c r="P596" s="33" t="n">
        <v>40.59981638274</v>
      </c>
      <c r="Q596" s="33" t="n">
        <v>11.6</v>
      </c>
      <c r="R596" s="31" t="n">
        <v>266.857084565949</v>
      </c>
      <c r="S596" s="34" t="s">
        <v>76</v>
      </c>
      <c r="T596" s="35"/>
      <c r="U596" s="35"/>
      <c r="V596" s="35" t="n">
        <v>18.83243044843</v>
      </c>
      <c r="W596" s="35" t="n">
        <v>17.4588494688128</v>
      </c>
      <c r="X596" s="35" t="n">
        <v>2.81631572349264</v>
      </c>
      <c r="Y596" s="35" t="n">
        <v>5.7498178447568</v>
      </c>
      <c r="Z596" s="35"/>
      <c r="AA596" s="35" t="n">
        <v>0.764593218246978</v>
      </c>
      <c r="AB596" s="35" t="n">
        <v>0.218456193201788</v>
      </c>
      <c r="AC596" s="71" t="n">
        <v>5.02556748475903</v>
      </c>
      <c r="AD596" s="72"/>
      <c r="AE596" s="72"/>
      <c r="AF596" s="72"/>
      <c r="AG596" s="72"/>
      <c r="AH596" s="72"/>
      <c r="AI596" s="73" t="n">
        <v>33.9063766874758</v>
      </c>
      <c r="AJ596" s="42" t="s">
        <v>16</v>
      </c>
      <c r="AK596" s="43" t="n">
        <v>657.881462625148</v>
      </c>
      <c r="AL596" s="74"/>
      <c r="AM596" s="74"/>
      <c r="AN596" s="74"/>
      <c r="AO596" s="78" t="n">
        <v>27.28</v>
      </c>
      <c r="AP596" s="76" t="n">
        <v>0.85401824725929</v>
      </c>
      <c r="AQ596" s="76" t="n">
        <v>0.909996112730807</v>
      </c>
      <c r="AR596" s="76" t="n">
        <v>1.35140719144801</v>
      </c>
      <c r="AS596" s="77" t="n">
        <v>23.7222737088894</v>
      </c>
      <c r="AT596" s="78" t="n">
        <v>24.7285910014861</v>
      </c>
      <c r="AU596" s="78" t="n">
        <v>31.3056542250473</v>
      </c>
      <c r="AV596" s="78" t="n">
        <v>33.357628765792</v>
      </c>
      <c r="AW596" s="78" t="n">
        <v>49.5383867832848</v>
      </c>
      <c r="AX596" s="78" t="n">
        <v>26.98</v>
      </c>
      <c r="AY596" s="48" t="n">
        <v>1.31308548140942</v>
      </c>
      <c r="AZ596" s="48" t="n">
        <v>21.1255406278725</v>
      </c>
      <c r="BA596" s="48" t="n">
        <v>-2.29311017944257</v>
      </c>
      <c r="BB596" s="49" t="n">
        <f aca="false">AT596/V596</f>
        <v>1.31308548140942</v>
      </c>
      <c r="BC596" s="49" t="n">
        <f aca="false">AS596/V596</f>
        <v>1.25965014307896</v>
      </c>
      <c r="BD596" s="49" t="n">
        <f aca="false">SUM(AP596:AR596)/V596</f>
        <v>0.16542854412601</v>
      </c>
      <c r="BE596" s="53" t="n">
        <v>5.56</v>
      </c>
      <c r="BF596" s="51" t="n">
        <v>131.18</v>
      </c>
      <c r="BG596" s="51" t="n">
        <v>581.796005488642</v>
      </c>
      <c r="BH596" s="51" t="n">
        <v>280.530568684251</v>
      </c>
      <c r="BI596" s="51" t="n">
        <v>109.010519896326</v>
      </c>
      <c r="BJ596" s="51" t="n">
        <v>4.49763683488337</v>
      </c>
      <c r="BK596" s="51" t="n">
        <v>12.4256746455252</v>
      </c>
      <c r="BL596" s="51" t="n">
        <v>7.47065101387407</v>
      </c>
      <c r="BM596" s="51" t="n">
        <v>4.26894343649947</v>
      </c>
      <c r="BN596" s="52" t="n">
        <f aca="false">(BG596*0.5-BH596*0.25+BI596*0.5)/SUM(BG596:BI596)*1000</f>
        <v>283.393501805054</v>
      </c>
      <c r="BO596" s="93" t="n">
        <v>5.27485714285714</v>
      </c>
      <c r="BP596" s="94" t="s">
        <v>491</v>
      </c>
      <c r="BQ596" s="55" t="n">
        <v>278.347222222222</v>
      </c>
      <c r="BR596" s="56" t="n">
        <v>14.7802070998981</v>
      </c>
      <c r="BS596" s="56"/>
      <c r="BT596" s="56" t="n">
        <v>11.2560890430633</v>
      </c>
      <c r="BU596" s="55" t="n">
        <v>9661.86736111111</v>
      </c>
      <c r="BV596" s="55" t="n">
        <v>513.044101639924</v>
      </c>
      <c r="BW596" s="55"/>
      <c r="BX596" s="55" t="n">
        <v>390.716452891734</v>
      </c>
      <c r="BY596" s="96" t="n">
        <v>0.08446</v>
      </c>
      <c r="BZ596" s="96" t="n">
        <v>0.6402</v>
      </c>
      <c r="CA596" s="97" t="n">
        <v>4.0804</v>
      </c>
      <c r="CB596" s="97"/>
      <c r="CC596" s="97" t="n">
        <v>4.02</v>
      </c>
      <c r="CD596" s="97" t="n">
        <v>6.3138</v>
      </c>
      <c r="CE596" s="97" t="n">
        <v>95.79</v>
      </c>
      <c r="CF596" s="97" t="n">
        <v>36.5466</v>
      </c>
      <c r="CG596" s="97" t="n">
        <v>0.05</v>
      </c>
      <c r="CH596" s="63" t="n">
        <v>81330.471109029</v>
      </c>
      <c r="CI596" s="63" t="n">
        <v>1544.97564996472</v>
      </c>
      <c r="CJ596" s="64" t="n">
        <v>732704.198241821</v>
      </c>
      <c r="CK596" s="65" t="n">
        <v>0.210859396421094</v>
      </c>
    </row>
    <row r="597" s="1" customFormat="true" ht="15" hidden="false" customHeight="false" outlineLevel="0" collapsed="false">
      <c r="A597" s="7" t="s">
        <v>488</v>
      </c>
      <c r="B597" s="66" t="n">
        <v>588</v>
      </c>
      <c r="C597" s="8" t="s">
        <v>680</v>
      </c>
      <c r="D597" s="67" t="n">
        <v>41831</v>
      </c>
      <c r="E597" s="4" t="s">
        <v>490</v>
      </c>
      <c r="F597" s="7" t="n">
        <v>498</v>
      </c>
      <c r="G597" s="68" t="n">
        <v>1</v>
      </c>
      <c r="H597" s="68" t="n">
        <v>114</v>
      </c>
      <c r="I597" s="7" t="n">
        <v>1</v>
      </c>
      <c r="J597" s="8" t="n">
        <v>573</v>
      </c>
      <c r="K597" s="32"/>
      <c r="L597" s="31" t="n">
        <v>927.063</v>
      </c>
      <c r="M597" s="31" t="n">
        <v>149.546057329389</v>
      </c>
      <c r="N597" s="31" t="n">
        <v>305.314699581761</v>
      </c>
      <c r="O597" s="95"/>
      <c r="P597" s="33" t="n">
        <v>40.59981638274</v>
      </c>
      <c r="Q597" s="33" t="n">
        <v>11.6</v>
      </c>
      <c r="R597" s="31" t="n">
        <v>266.857084565949</v>
      </c>
      <c r="S597" s="34" t="s">
        <v>76</v>
      </c>
      <c r="T597" s="35"/>
      <c r="U597" s="35"/>
      <c r="V597" s="35" t="n">
        <v>17.3524116195143</v>
      </c>
      <c r="W597" s="35" t="n">
        <v>16.0867787732218</v>
      </c>
      <c r="X597" s="35" t="n">
        <v>2.59498474285504</v>
      </c>
      <c r="Y597" s="35" t="n">
        <v>5.29794634063106</v>
      </c>
      <c r="Z597" s="35"/>
      <c r="AA597" s="35" t="n">
        <v>0.704504725550004</v>
      </c>
      <c r="AB597" s="35" t="n">
        <v>0.201287974786366</v>
      </c>
      <c r="AC597" s="71" t="n">
        <v>4.63061397497189</v>
      </c>
      <c r="AD597" s="72"/>
      <c r="AE597" s="72"/>
      <c r="AF597" s="72"/>
      <c r="AG597" s="72"/>
      <c r="AH597" s="72"/>
      <c r="AI597" s="73" t="n">
        <v>34.4410994210615</v>
      </c>
      <c r="AJ597" s="42" t="s">
        <v>16</v>
      </c>
      <c r="AK597" s="43" t="n">
        <v>663.193097926882</v>
      </c>
      <c r="AL597" s="74"/>
      <c r="AM597" s="74"/>
      <c r="AN597" s="74"/>
      <c r="AO597" s="78" t="n">
        <v>35.22</v>
      </c>
      <c r="AP597" s="76" t="n">
        <v>1.06591058247007</v>
      </c>
      <c r="AQ597" s="76" t="n">
        <v>1.0447915451895</v>
      </c>
      <c r="AR597" s="76" t="n">
        <v>1.76527842565598</v>
      </c>
      <c r="AS597" s="77" t="n">
        <v>30.076658737051</v>
      </c>
      <c r="AT597" s="78" t="n">
        <v>30.5844235231018</v>
      </c>
      <c r="AU597" s="78" t="n">
        <v>30.2643549821144</v>
      </c>
      <c r="AV597" s="78" t="n">
        <v>29.66472303207</v>
      </c>
      <c r="AW597" s="78" t="n">
        <v>50.1214771622935</v>
      </c>
      <c r="AX597" s="78" t="n">
        <v>24.72</v>
      </c>
      <c r="AY597" s="48" t="n">
        <v>1.76254599036291</v>
      </c>
      <c r="AZ597" s="48" t="n">
        <v>22.0370540743361</v>
      </c>
      <c r="BA597" s="48" t="n">
        <v>-4.68464245482178</v>
      </c>
      <c r="BB597" s="49" t="n">
        <f aca="false">AT597/V597</f>
        <v>1.76254599036291</v>
      </c>
      <c r="BC597" s="49" t="n">
        <f aca="false">AS597/V597</f>
        <v>1.73328407581268</v>
      </c>
      <c r="BD597" s="49" t="n">
        <f aca="false">SUM(AP597:AR597)/V597</f>
        <v>0.22336840770632</v>
      </c>
      <c r="BE597" s="53" t="n">
        <v>5.98</v>
      </c>
      <c r="BF597" s="51" t="n">
        <v>119.2</v>
      </c>
      <c r="BG597" s="51" t="n">
        <v>557.298657718121</v>
      </c>
      <c r="BH597" s="51" t="n">
        <v>298.993288590604</v>
      </c>
      <c r="BI597" s="51" t="n">
        <v>114.765100671141</v>
      </c>
      <c r="BJ597" s="51" t="n">
        <v>4.44630872483222</v>
      </c>
      <c r="BK597" s="51" t="n">
        <v>12.9194630872483</v>
      </c>
      <c r="BL597" s="51" t="n">
        <v>8.47315436241611</v>
      </c>
      <c r="BM597" s="51" t="n">
        <v>3.10402684563758</v>
      </c>
      <c r="BN597" s="52" t="n">
        <f aca="false">(BG597*0.5-BH597*0.25+BI597*0.5)/SUM(BG597:BI597)*1000</f>
        <v>269.071274298056</v>
      </c>
      <c r="BO597" s="93" t="n">
        <v>4.34228571428571</v>
      </c>
      <c r="BP597" s="94" t="s">
        <v>491</v>
      </c>
      <c r="BQ597" s="55" t="n">
        <v>316.712878787879</v>
      </c>
      <c r="BR597" s="56" t="n">
        <v>18.2518076295348</v>
      </c>
      <c r="BS597" s="56"/>
      <c r="BT597" s="56" t="n">
        <v>10.3553653234187</v>
      </c>
      <c r="BU597" s="55" t="n">
        <v>10178.3401515152</v>
      </c>
      <c r="BV597" s="55" t="n">
        <v>586.566315662356</v>
      </c>
      <c r="BW597" s="55"/>
      <c r="BX597" s="55" t="n">
        <v>332.794899463349</v>
      </c>
      <c r="BY597" s="96" t="n">
        <v>0.09064</v>
      </c>
      <c r="BZ597" s="96" t="n">
        <v>0.9746</v>
      </c>
      <c r="CA597" s="97" t="n">
        <v>3.737</v>
      </c>
      <c r="CB597" s="97"/>
      <c r="CC597" s="97" t="n">
        <v>4.8</v>
      </c>
      <c r="CD597" s="97" t="n">
        <v>4.8144</v>
      </c>
      <c r="CE597" s="97" t="n">
        <v>75.19</v>
      </c>
      <c r="CF597" s="97" t="n">
        <v>32.2626</v>
      </c>
      <c r="CG597" s="97" t="n">
        <v>0.0194</v>
      </c>
      <c r="CH597" s="63" t="n">
        <v>70917.6607281957</v>
      </c>
      <c r="CI597" s="63" t="n">
        <v>2602.63540903167</v>
      </c>
      <c r="CJ597" s="64" t="n">
        <v>446096.11606481</v>
      </c>
      <c r="CK597" s="65" t="n">
        <v>0.583424808086326</v>
      </c>
    </row>
    <row r="598" s="1" customFormat="true" ht="15" hidden="false" customHeight="false" outlineLevel="0" collapsed="false">
      <c r="A598" s="7" t="s">
        <v>488</v>
      </c>
      <c r="B598" s="66" t="n">
        <v>589</v>
      </c>
      <c r="C598" s="8" t="s">
        <v>681</v>
      </c>
      <c r="D598" s="67" t="n">
        <v>41831</v>
      </c>
      <c r="E598" s="4" t="s">
        <v>490</v>
      </c>
      <c r="F598" s="7" t="n">
        <v>499</v>
      </c>
      <c r="G598" s="68" t="n">
        <v>1</v>
      </c>
      <c r="H598" s="68" t="n">
        <v>78</v>
      </c>
      <c r="I598" s="7" t="n">
        <v>1</v>
      </c>
      <c r="J598" s="8" t="n">
        <v>698</v>
      </c>
      <c r="K598" s="32"/>
      <c r="L598" s="31" t="n">
        <v>927.063</v>
      </c>
      <c r="M598" s="31" t="n">
        <v>149.546057329389</v>
      </c>
      <c r="N598" s="31" t="n">
        <v>305.314699581761</v>
      </c>
      <c r="O598" s="95"/>
      <c r="P598" s="33" t="n">
        <v>40.59981638274</v>
      </c>
      <c r="Q598" s="33" t="n">
        <v>11.6</v>
      </c>
      <c r="R598" s="31" t="n">
        <v>266.857084565949</v>
      </c>
      <c r="S598" s="34" t="s">
        <v>76</v>
      </c>
      <c r="T598" s="35"/>
      <c r="U598" s="35"/>
      <c r="V598" s="35" t="n">
        <v>23.7983256001644</v>
      </c>
      <c r="W598" s="35" t="n">
        <v>22.0625471258652</v>
      </c>
      <c r="X598" s="35" t="n">
        <v>3.55894576454565</v>
      </c>
      <c r="Y598" s="35" t="n">
        <v>7.26597863116311</v>
      </c>
      <c r="Z598" s="35"/>
      <c r="AA598" s="35" t="n">
        <v>0.966207649583333</v>
      </c>
      <c r="AB598" s="35" t="n">
        <v>0.276060576961907</v>
      </c>
      <c r="AC598" s="71" t="n">
        <v>6.35075178721105</v>
      </c>
      <c r="AD598" s="72"/>
      <c r="AE598" s="72"/>
      <c r="AF598" s="72"/>
      <c r="AG598" s="72"/>
      <c r="AH598" s="72"/>
      <c r="AI598" s="73" t="n">
        <v>28.8853505411473</v>
      </c>
      <c r="AJ598" s="42" t="s">
        <v>16</v>
      </c>
      <c r="AK598" s="43" t="n">
        <v>598.412351497146</v>
      </c>
      <c r="AL598" s="74"/>
      <c r="AM598" s="74"/>
      <c r="AN598" s="74"/>
      <c r="AO598" s="78" t="n">
        <v>34.68</v>
      </c>
      <c r="AP598" s="76" t="n">
        <v>1.15218665416216</v>
      </c>
      <c r="AQ598" s="76" t="n">
        <v>1.0363556851312</v>
      </c>
      <c r="AR598" s="76" t="n">
        <v>1.72136151603499</v>
      </c>
      <c r="AS598" s="77" t="n">
        <v>31.1547998124325</v>
      </c>
      <c r="AT598" s="78" t="n">
        <v>31.3368636655428</v>
      </c>
      <c r="AU598" s="78" t="n">
        <v>33.2233752641916</v>
      </c>
      <c r="AV598" s="78" t="n">
        <v>29.8833819241983</v>
      </c>
      <c r="AW598" s="78" t="n">
        <v>49.6355685131195</v>
      </c>
      <c r="AX598" s="78" t="n">
        <v>29.8575</v>
      </c>
      <c r="AY598" s="48" t="n">
        <v>1.31676758239354</v>
      </c>
      <c r="AZ598" s="48" t="n">
        <v>23.2954991423302</v>
      </c>
      <c r="BA598" s="48" t="n">
        <v>0.502826457834129</v>
      </c>
      <c r="BB598" s="49" t="n">
        <f aca="false">AT598/V598</f>
        <v>1.31676758239354</v>
      </c>
      <c r="BC598" s="49" t="n">
        <f aca="false">AS598/V598</f>
        <v>1.30911730244658</v>
      </c>
      <c r="BD598" s="49" t="n">
        <f aca="false">SUM(AP598:AR598)/V598</f>
        <v>0.164293233104658</v>
      </c>
      <c r="BE598" s="53" t="n">
        <v>5.74</v>
      </c>
      <c r="BF598" s="51" t="n">
        <v>128.14</v>
      </c>
      <c r="BG598" s="51" t="n">
        <v>603.870766349305</v>
      </c>
      <c r="BH598" s="51" t="n">
        <v>250.741376619323</v>
      </c>
      <c r="BI598" s="51" t="n">
        <v>115.342594037771</v>
      </c>
      <c r="BJ598" s="51" t="n">
        <v>5.22865615732792</v>
      </c>
      <c r="BK598" s="51" t="n">
        <v>11.549867332605</v>
      </c>
      <c r="BL598" s="51" t="n">
        <v>9.20867800842828</v>
      </c>
      <c r="BM598" s="51" t="n">
        <v>4.05806149523958</v>
      </c>
      <c r="BN598" s="52" t="n">
        <f aca="false">(BG598*0.5-BH598*0.25+BI598*0.5)/SUM(BG598:BI598)*1000</f>
        <v>306.118754525706</v>
      </c>
      <c r="BO598" s="93" t="n">
        <v>5.24571428571429</v>
      </c>
      <c r="BP598" s="94" t="s">
        <v>491</v>
      </c>
      <c r="BQ598" s="55" t="n">
        <v>309.893333333333</v>
      </c>
      <c r="BR598" s="56" t="n">
        <v>13.0216444022093</v>
      </c>
      <c r="BS598" s="56"/>
      <c r="BT598" s="56" t="n">
        <v>9.88909855947338</v>
      </c>
      <c r="BU598" s="55" t="n">
        <v>10328.5346666667</v>
      </c>
      <c r="BV598" s="55" t="n">
        <v>434.002578172783</v>
      </c>
      <c r="BW598" s="55"/>
      <c r="BX598" s="55" t="n">
        <v>329.596949359793</v>
      </c>
      <c r="BY598" s="96" t="n">
        <v>0.05871</v>
      </c>
      <c r="BZ598" s="96" t="n">
        <v>0.8712</v>
      </c>
      <c r="CA598" s="97" t="n">
        <v>3.535</v>
      </c>
      <c r="CB598" s="97"/>
      <c r="CC598" s="97" t="n">
        <v>5.61</v>
      </c>
      <c r="CD598" s="97" t="n">
        <v>4.8756</v>
      </c>
      <c r="CE598" s="97" t="n">
        <v>85.49</v>
      </c>
      <c r="CF598" s="97" t="n">
        <v>35.8326</v>
      </c>
      <c r="CG598" s="97" t="n">
        <v>0.0704</v>
      </c>
      <c r="CH598" s="63" t="n">
        <v>54594.0839235002</v>
      </c>
      <c r="CI598" s="63" t="n">
        <v>1348.19757745182</v>
      </c>
      <c r="CJ598" s="64" t="n">
        <v>362074.957686121</v>
      </c>
      <c r="CK598" s="65" t="n">
        <v>0.372353168544883</v>
      </c>
    </row>
    <row r="599" s="1" customFormat="true" ht="15" hidden="false" customHeight="false" outlineLevel="0" collapsed="false">
      <c r="A599" s="7" t="s">
        <v>488</v>
      </c>
      <c r="B599" s="66" t="n">
        <v>590</v>
      </c>
      <c r="C599" s="8" t="s">
        <v>682</v>
      </c>
      <c r="D599" s="67" t="n">
        <v>41831</v>
      </c>
      <c r="E599" s="4" t="s">
        <v>490</v>
      </c>
      <c r="F599" s="7" t="n">
        <v>506</v>
      </c>
      <c r="G599" s="68" t="n">
        <v>1</v>
      </c>
      <c r="H599" s="68" t="n">
        <v>124</v>
      </c>
      <c r="I599" s="7" t="n">
        <v>1</v>
      </c>
      <c r="J599" s="8" t="n">
        <v>573</v>
      </c>
      <c r="K599" s="32"/>
      <c r="L599" s="31" t="n">
        <v>927.063</v>
      </c>
      <c r="M599" s="31" t="n">
        <v>149.546057329389</v>
      </c>
      <c r="N599" s="31" t="n">
        <v>305.314699581761</v>
      </c>
      <c r="O599" s="95"/>
      <c r="P599" s="33" t="n">
        <v>40.59981638274</v>
      </c>
      <c r="Q599" s="33" t="n">
        <v>11.6</v>
      </c>
      <c r="R599" s="31" t="n">
        <v>266.857084565949</v>
      </c>
      <c r="S599" s="34" t="s">
        <v>76</v>
      </c>
      <c r="T599" s="35"/>
      <c r="U599" s="35"/>
      <c r="V599" s="35" t="n">
        <v>17.3524116195143</v>
      </c>
      <c r="W599" s="35" t="n">
        <v>16.0867787732218</v>
      </c>
      <c r="X599" s="35" t="n">
        <v>2.59498474285504</v>
      </c>
      <c r="Y599" s="35" t="n">
        <v>5.29794634063106</v>
      </c>
      <c r="Z599" s="35"/>
      <c r="AA599" s="35" t="n">
        <v>0.704504725550004</v>
      </c>
      <c r="AB599" s="35" t="n">
        <v>0.201287974786366</v>
      </c>
      <c r="AC599" s="71" t="n">
        <v>4.63061397497189</v>
      </c>
      <c r="AD599" s="72"/>
      <c r="AE599" s="72"/>
      <c r="AF599" s="72"/>
      <c r="AG599" s="72"/>
      <c r="AH599" s="72"/>
      <c r="AI599" s="73" t="n">
        <v>37.1708920880341</v>
      </c>
      <c r="AJ599" s="42" t="s">
        <v>16</v>
      </c>
      <c r="AK599" s="43" t="n">
        <v>687.927855685384</v>
      </c>
      <c r="AL599" s="74"/>
      <c r="AM599" s="74"/>
      <c r="AN599" s="74"/>
      <c r="AO599" s="78" t="n">
        <v>26.84</v>
      </c>
      <c r="AP599" s="76" t="n">
        <v>1.1017978690955</v>
      </c>
      <c r="AQ599" s="76" t="n">
        <v>0.952050534499514</v>
      </c>
      <c r="AR599" s="76" t="n">
        <v>1.37786491739553</v>
      </c>
      <c r="AS599" s="77" t="n">
        <v>27.2629680364325</v>
      </c>
      <c r="AT599" s="78" t="n">
        <v>28.2114506544484</v>
      </c>
      <c r="AU599" s="78" t="n">
        <v>41.0505912479695</v>
      </c>
      <c r="AV599" s="78" t="n">
        <v>35.4713313896987</v>
      </c>
      <c r="AW599" s="78" t="n">
        <v>51.3362487852284</v>
      </c>
      <c r="AX599" s="78" t="n">
        <v>25.2</v>
      </c>
      <c r="AY599" s="48" t="n">
        <v>1.62579422809001</v>
      </c>
      <c r="AZ599" s="48" t="n">
        <v>21.1247398935937</v>
      </c>
      <c r="BA599" s="48" t="n">
        <v>-3.7723282740794</v>
      </c>
      <c r="BB599" s="49" t="n">
        <f aca="false">AT599/V599</f>
        <v>1.62579422809001</v>
      </c>
      <c r="BC599" s="49" t="n">
        <f aca="false">AS599/V599</f>
        <v>1.57113423967957</v>
      </c>
      <c r="BD599" s="49" t="n">
        <f aca="false">SUM(AP599:AR599)/V599</f>
        <v>0.197765785888302</v>
      </c>
      <c r="BE599" s="53" t="n">
        <v>5.59</v>
      </c>
      <c r="BF599" s="51" t="n">
        <v>129.6</v>
      </c>
      <c r="BG599" s="51" t="n">
        <v>617.438271604938</v>
      </c>
      <c r="BH599" s="51" t="n">
        <v>208.410493827161</v>
      </c>
      <c r="BI599" s="51" t="n">
        <v>140.046296296296</v>
      </c>
      <c r="BJ599" s="51" t="n">
        <v>5.32407407407407</v>
      </c>
      <c r="BK599" s="51" t="n">
        <v>11.4969135802469</v>
      </c>
      <c r="BL599" s="51" t="n">
        <v>13.1172839506173</v>
      </c>
      <c r="BM599" s="51" t="n">
        <v>4.16666666666667</v>
      </c>
      <c r="BN599" s="52" t="n">
        <f aca="false">(BG599*0.5-BH599*0.25+BI599*0.5)/SUM(BG599:BI599)*1000</f>
        <v>338.173030835597</v>
      </c>
      <c r="BO599" s="93" t="n">
        <v>6.29485714285714</v>
      </c>
      <c r="BP599" s="94" t="s">
        <v>491</v>
      </c>
      <c r="BQ599" s="55" t="n">
        <v>272.788194444444</v>
      </c>
      <c r="BR599" s="56" t="n">
        <v>15.7204773852685</v>
      </c>
      <c r="BS599" s="56"/>
      <c r="BT599" s="56" t="n">
        <v>9.66941394775213</v>
      </c>
      <c r="BU599" s="55" t="n">
        <v>8940.17430555556</v>
      </c>
      <c r="BV599" s="55" t="n">
        <v>515.212208054214</v>
      </c>
      <c r="BW599" s="55"/>
      <c r="BX599" s="55" t="n">
        <v>316.898780394544</v>
      </c>
      <c r="BY599" s="96" t="n">
        <v>0.06695</v>
      </c>
      <c r="BZ599" s="96" t="n">
        <v>1.7974</v>
      </c>
      <c r="CA599" s="97" t="n">
        <v>2.8583</v>
      </c>
      <c r="CB599" s="97"/>
      <c r="CC599" s="97" t="n">
        <v>5.36</v>
      </c>
      <c r="CD599" s="97" t="n">
        <v>6.2832</v>
      </c>
      <c r="CE599" s="97" t="n">
        <v>88.58</v>
      </c>
      <c r="CF599" s="97" t="n">
        <v>34.6392</v>
      </c>
      <c r="CG599" s="97" t="n">
        <v>0.02</v>
      </c>
      <c r="CH599" s="63" t="n">
        <v>67604.0018221723</v>
      </c>
      <c r="CI599" s="63" t="n">
        <v>2593.41007045768</v>
      </c>
      <c r="CJ599" s="64" t="n">
        <v>352907.991881159</v>
      </c>
      <c r="CK599" s="65" t="n">
        <v>0.734868614517239</v>
      </c>
    </row>
    <row r="600" s="1" customFormat="true" ht="15" hidden="false" customHeight="false" outlineLevel="0" collapsed="false">
      <c r="A600" s="7" t="s">
        <v>488</v>
      </c>
      <c r="B600" s="66" t="n">
        <v>591</v>
      </c>
      <c r="C600" s="8" t="s">
        <v>683</v>
      </c>
      <c r="D600" s="67" t="n">
        <v>41831</v>
      </c>
      <c r="E600" s="4" t="s">
        <v>490</v>
      </c>
      <c r="F600" s="7" t="n">
        <v>510</v>
      </c>
      <c r="G600" s="68" t="n">
        <v>1</v>
      </c>
      <c r="H600" s="68" t="n">
        <v>124</v>
      </c>
      <c r="I600" s="7" t="n">
        <v>1</v>
      </c>
      <c r="J600" s="8" t="n">
        <v>635</v>
      </c>
      <c r="K600" s="32"/>
      <c r="L600" s="31" t="n">
        <v>927.063</v>
      </c>
      <c r="M600" s="31" t="n">
        <v>149.546057329389</v>
      </c>
      <c r="N600" s="31" t="n">
        <v>305.314699581761</v>
      </c>
      <c r="O600" s="95"/>
      <c r="P600" s="33" t="n">
        <v>40.59981638274</v>
      </c>
      <c r="Q600" s="33" t="n">
        <v>11.6</v>
      </c>
      <c r="R600" s="31" t="n">
        <v>266.857084565949</v>
      </c>
      <c r="S600" s="34" t="s">
        <v>76</v>
      </c>
      <c r="T600" s="35"/>
      <c r="U600" s="35"/>
      <c r="V600" s="35" t="n">
        <v>19.3928612537384</v>
      </c>
      <c r="W600" s="35" t="n">
        <v>17.9784041324744</v>
      </c>
      <c r="X600" s="35" t="n">
        <v>2.90012594083244</v>
      </c>
      <c r="Y600" s="35" t="n">
        <v>5.9209256077159</v>
      </c>
      <c r="Z600" s="35"/>
      <c r="AA600" s="35" t="n">
        <v>0.78734660603773</v>
      </c>
      <c r="AB600" s="35" t="n">
        <v>0.224957190543365</v>
      </c>
      <c r="AC600" s="71" t="n">
        <v>5.17512241556458</v>
      </c>
      <c r="AD600" s="72"/>
      <c r="AE600" s="72"/>
      <c r="AF600" s="72"/>
      <c r="AG600" s="72"/>
      <c r="AH600" s="72"/>
      <c r="AI600" s="73" t="n">
        <v>32.7968100766384</v>
      </c>
      <c r="AJ600" s="42" t="s">
        <v>16</v>
      </c>
      <c r="AK600" s="43" t="n">
        <v>646.307065446501</v>
      </c>
      <c r="AL600" s="74"/>
      <c r="AM600" s="74"/>
      <c r="AN600" s="74"/>
      <c r="AO600" s="78" t="n">
        <v>35.8</v>
      </c>
      <c r="AP600" s="76" t="n">
        <v>1.04165677447681</v>
      </c>
      <c r="AQ600" s="76" t="n">
        <v>1.05590864917396</v>
      </c>
      <c r="AR600" s="76" t="n">
        <v>1.78565111758989</v>
      </c>
      <c r="AS600" s="77" t="n">
        <v>29.9448516171522</v>
      </c>
      <c r="AT600" s="78" t="n">
        <v>30.4854054959899</v>
      </c>
      <c r="AU600" s="78" t="n">
        <v>29.0965579462796</v>
      </c>
      <c r="AV600" s="78" t="n">
        <v>29.4946550048591</v>
      </c>
      <c r="AW600" s="78" t="n">
        <v>49.8785228377065</v>
      </c>
      <c r="AX600" s="78" t="n">
        <v>24.73</v>
      </c>
      <c r="AY600" s="48" t="n">
        <v>1.57199111039446</v>
      </c>
      <c r="AZ600" s="48" t="n">
        <v>22.9990889432237</v>
      </c>
      <c r="BA600" s="48" t="n">
        <v>-3.60622768948531</v>
      </c>
      <c r="BB600" s="49" t="n">
        <f aca="false">AT600/V600</f>
        <v>1.57199111039446</v>
      </c>
      <c r="BC600" s="49" t="n">
        <f aca="false">AS600/V600</f>
        <v>1.54411725146436</v>
      </c>
      <c r="BD600" s="49" t="n">
        <f aca="false">SUM(AP600:AR600)/V600</f>
        <v>0.200239484541874</v>
      </c>
      <c r="BE600" s="53" t="n">
        <v>5.86</v>
      </c>
      <c r="BF600" s="51" t="n">
        <v>131.85</v>
      </c>
      <c r="BG600" s="51" t="n">
        <v>577.474402730376</v>
      </c>
      <c r="BH600" s="51" t="n">
        <v>273.947667804323</v>
      </c>
      <c r="BI600" s="51" t="n">
        <v>108.304891922639</v>
      </c>
      <c r="BJ600" s="51" t="n">
        <v>5.30906332954115</v>
      </c>
      <c r="BK600" s="51" t="n">
        <v>17.8991277967387</v>
      </c>
      <c r="BL600" s="51" t="n">
        <v>11.224876753887</v>
      </c>
      <c r="BM600" s="51" t="n">
        <v>5.83996966249526</v>
      </c>
      <c r="BN600" s="52" t="n">
        <f aca="false">(BG600*0.5-BH600*0.25+BI600*0.5)/SUM(BG600:BI600)*1000</f>
        <v>285.917496443812</v>
      </c>
      <c r="BO600" s="93" t="n">
        <v>6.79028571428571</v>
      </c>
      <c r="BP600" s="94" t="s">
        <v>491</v>
      </c>
      <c r="BQ600" s="55" t="n">
        <v>259.232352941176</v>
      </c>
      <c r="BR600" s="56" t="n">
        <v>13.3674113143673</v>
      </c>
      <c r="BS600" s="56"/>
      <c r="BT600" s="56" t="n">
        <v>8.50349039888205</v>
      </c>
      <c r="BU600" s="55" t="n">
        <v>9226.28137254902</v>
      </c>
      <c r="BV600" s="55" t="n">
        <v>475.756581343584</v>
      </c>
      <c r="BW600" s="55"/>
      <c r="BX600" s="55" t="n">
        <v>302.645847166529</v>
      </c>
      <c r="BY600" s="96" t="n">
        <v>0.11124</v>
      </c>
      <c r="BZ600" s="96" t="n">
        <v>0.7788</v>
      </c>
      <c r="CA600" s="97" t="n">
        <v>4.1208</v>
      </c>
      <c r="CB600" s="97"/>
      <c r="CC600" s="97" t="n">
        <v>3.95</v>
      </c>
      <c r="CD600" s="97" t="n">
        <v>5.61</v>
      </c>
      <c r="CE600" s="97" t="n">
        <v>99.91</v>
      </c>
      <c r="CF600" s="97" t="n">
        <v>37.0974</v>
      </c>
      <c r="CG600" s="97" t="n">
        <v>0.0602</v>
      </c>
      <c r="CH600" s="63" t="n">
        <v>43350.7604040381</v>
      </c>
      <c r="CI600" s="63" t="n">
        <v>1503.13283488327</v>
      </c>
      <c r="CJ600" s="64" t="n">
        <v>605426.638140385</v>
      </c>
      <c r="CK600" s="65" t="n">
        <v>0.24827662679334</v>
      </c>
    </row>
    <row r="601" s="1" customFormat="true" ht="15" hidden="false" customHeight="false" outlineLevel="0" collapsed="false">
      <c r="A601" s="7" t="s">
        <v>488</v>
      </c>
      <c r="B601" s="66" t="n">
        <v>592</v>
      </c>
      <c r="C601" s="8" t="s">
        <v>684</v>
      </c>
      <c r="D601" s="67" t="n">
        <v>41831</v>
      </c>
      <c r="E601" s="4" t="s">
        <v>490</v>
      </c>
      <c r="F601" s="7" t="n">
        <v>511</v>
      </c>
      <c r="G601" s="68" t="n">
        <v>1</v>
      </c>
      <c r="H601" s="68" t="n">
        <v>145</v>
      </c>
      <c r="I601" s="7" t="n">
        <v>1</v>
      </c>
      <c r="J601" s="8" t="n">
        <v>687</v>
      </c>
      <c r="K601" s="32"/>
      <c r="L601" s="31" t="n">
        <v>927.063</v>
      </c>
      <c r="M601" s="31" t="n">
        <v>149.546057329389</v>
      </c>
      <c r="N601" s="31" t="n">
        <v>305.314699581761</v>
      </c>
      <c r="O601" s="95"/>
      <c r="P601" s="33" t="n">
        <v>40.59981638274</v>
      </c>
      <c r="Q601" s="33" t="n">
        <v>11.6</v>
      </c>
      <c r="R601" s="31" t="n">
        <v>266.857084565949</v>
      </c>
      <c r="S601" s="34" t="s">
        <v>76</v>
      </c>
      <c r="T601" s="35"/>
      <c r="U601" s="35"/>
      <c r="V601" s="35" t="n">
        <v>17.4576449944065</v>
      </c>
      <c r="W601" s="35" t="n">
        <v>16.1843367414495</v>
      </c>
      <c r="X601" s="35" t="n">
        <v>2.61072197916964</v>
      </c>
      <c r="Y601" s="35" t="n">
        <v>5.33007563687226</v>
      </c>
      <c r="Z601" s="35"/>
      <c r="AA601" s="35" t="n">
        <v>0.708777181247965</v>
      </c>
      <c r="AB601" s="35" t="n">
        <v>0.202508681935116</v>
      </c>
      <c r="AC601" s="71" t="n">
        <v>4.65869624659467</v>
      </c>
      <c r="AD601" s="72"/>
      <c r="AE601" s="72"/>
      <c r="AF601" s="72"/>
      <c r="AG601" s="72"/>
      <c r="AH601" s="72"/>
      <c r="AI601" s="73" t="n">
        <v>31.3327143989953</v>
      </c>
      <c r="AJ601" s="42" t="s">
        <v>16</v>
      </c>
      <c r="AK601" s="43" t="n">
        <v>629.779921002568</v>
      </c>
      <c r="AL601" s="74"/>
      <c r="AM601" s="74"/>
      <c r="AN601" s="74"/>
      <c r="AO601" s="78" t="n">
        <v>34.18</v>
      </c>
      <c r="AP601" s="76" t="n">
        <v>0.763067814791803</v>
      </c>
      <c r="AQ601" s="76" t="n">
        <v>1.04300485908649</v>
      </c>
      <c r="AR601" s="76" t="n">
        <v>1.65087074829932</v>
      </c>
      <c r="AS601" s="77" t="n">
        <v>25.118017221877</v>
      </c>
      <c r="AT601" s="78" t="n">
        <v>26.2672430169713</v>
      </c>
      <c r="AU601" s="78" t="n">
        <v>22.3249799529492</v>
      </c>
      <c r="AV601" s="78" t="n">
        <v>30.5150631681244</v>
      </c>
      <c r="AW601" s="78" t="n">
        <v>48.2993197278912</v>
      </c>
      <c r="AX601" s="78" t="n">
        <v>27.2075</v>
      </c>
      <c r="AY601" s="48" t="n">
        <v>1.50462694283149</v>
      </c>
      <c r="AZ601" s="48" t="n">
        <v>22.1265536916904</v>
      </c>
      <c r="BA601" s="48" t="n">
        <v>-4.66890869728388</v>
      </c>
      <c r="BB601" s="49" t="n">
        <f aca="false">AT601/V601</f>
        <v>1.50462694283149</v>
      </c>
      <c r="BC601" s="49" t="n">
        <f aca="false">AS601/V601</f>
        <v>1.43879757148945</v>
      </c>
      <c r="BD601" s="49" t="n">
        <f aca="false">SUM(AP601:AR601)/V601</f>
        <v>0.198018886469809</v>
      </c>
      <c r="BE601" s="53" t="n">
        <v>6.35</v>
      </c>
      <c r="BF601" s="51" t="n">
        <v>105.21</v>
      </c>
      <c r="BG601" s="51" t="n">
        <v>548.807147609543</v>
      </c>
      <c r="BH601" s="51" t="n">
        <v>316.604885467161</v>
      </c>
      <c r="BI601" s="51" t="n">
        <v>88.2045432943636</v>
      </c>
      <c r="BJ601" s="51" t="n">
        <v>5.13259195893926</v>
      </c>
      <c r="BK601" s="51" t="n">
        <v>23.3818078129455</v>
      </c>
      <c r="BL601" s="51" t="n">
        <v>13.7819598897443</v>
      </c>
      <c r="BM601" s="51" t="n">
        <v>4.08706396730349</v>
      </c>
      <c r="BN601" s="52" t="n">
        <f aca="false">(BG601*0.5-BH601*0.25+BI601*0.5)/SUM(BG601:BI601)*1000</f>
        <v>250.996710854181</v>
      </c>
      <c r="BO601" s="93" t="n">
        <v>4.02171428571429</v>
      </c>
      <c r="BP601" s="94" t="s">
        <v>491</v>
      </c>
      <c r="BQ601" s="55" t="n">
        <v>177.623714285714</v>
      </c>
      <c r="BR601" s="56" t="n">
        <v>10.1745518563715</v>
      </c>
      <c r="BS601" s="56"/>
      <c r="BT601" s="56" t="n">
        <v>6.76217577044349</v>
      </c>
      <c r="BU601" s="55" t="n">
        <v>7625.02504761905</v>
      </c>
      <c r="BV601" s="55" t="n">
        <v>436.772832192551</v>
      </c>
      <c r="BW601" s="55"/>
      <c r="BX601" s="55" t="n">
        <v>290.286462218076</v>
      </c>
      <c r="BY601" s="96" t="n">
        <v>0.14111</v>
      </c>
      <c r="BZ601" s="96" t="n">
        <v>0.5027</v>
      </c>
      <c r="CA601" s="97" t="n">
        <v>4.2723</v>
      </c>
      <c r="CB601" s="97"/>
      <c r="CC601" s="97" t="n">
        <v>4.67</v>
      </c>
      <c r="CD601" s="97" t="n">
        <v>5.6304</v>
      </c>
      <c r="CE601" s="97" t="n">
        <v>95.79</v>
      </c>
      <c r="CF601" s="97" t="n">
        <v>37.332</v>
      </c>
      <c r="CG601" s="97" t="n">
        <v>0.0602</v>
      </c>
      <c r="CH601" s="63" t="n">
        <v>34130.0927438692</v>
      </c>
      <c r="CI601" s="63" t="n">
        <v>2561.70361098315</v>
      </c>
      <c r="CJ601" s="64" t="n">
        <v>853249.441909532</v>
      </c>
      <c r="CK601" s="65" t="n">
        <v>0.300229157519303</v>
      </c>
    </row>
    <row r="602" s="1" customFormat="true" ht="15" hidden="false" customHeight="false" outlineLevel="0" collapsed="false">
      <c r="A602" s="7" t="s">
        <v>488</v>
      </c>
      <c r="B602" s="66" t="n">
        <v>593</v>
      </c>
      <c r="C602" s="8" t="s">
        <v>685</v>
      </c>
      <c r="D602" s="67" t="n">
        <v>41831</v>
      </c>
      <c r="E602" s="4" t="s">
        <v>490</v>
      </c>
      <c r="F602" s="7" t="n">
        <v>525</v>
      </c>
      <c r="G602" s="68" t="n">
        <v>1</v>
      </c>
      <c r="H602" s="68" t="n">
        <v>141</v>
      </c>
      <c r="I602" s="7" t="n">
        <v>1</v>
      </c>
      <c r="J602" s="8" t="n">
        <v>708</v>
      </c>
      <c r="K602" s="32"/>
      <c r="L602" s="31" t="n">
        <v>927.063</v>
      </c>
      <c r="M602" s="31" t="n">
        <v>149.546057329389</v>
      </c>
      <c r="N602" s="31" t="n">
        <v>305.314699581761</v>
      </c>
      <c r="O602" s="95"/>
      <c r="P602" s="33" t="n">
        <v>40.59981638274</v>
      </c>
      <c r="Q602" s="33" t="n">
        <v>11.6</v>
      </c>
      <c r="R602" s="31" t="n">
        <v>266.857084565949</v>
      </c>
      <c r="S602" s="34" t="s">
        <v>76</v>
      </c>
      <c r="T602" s="35"/>
      <c r="U602" s="35"/>
      <c r="V602" s="35" t="n">
        <v>13.240654867379</v>
      </c>
      <c r="W602" s="35" t="n">
        <v>12.274921223317</v>
      </c>
      <c r="X602" s="35" t="n">
        <v>1.98008773187571</v>
      </c>
      <c r="Y602" s="35" t="n">
        <v>4.0425665630996</v>
      </c>
      <c r="Z602" s="35"/>
      <c r="AA602" s="35" t="n">
        <v>0.53756815640282</v>
      </c>
      <c r="AB602" s="35" t="n">
        <v>0.153591596461596</v>
      </c>
      <c r="AC602" s="71" t="n">
        <v>3.5333625556527</v>
      </c>
      <c r="AD602" s="72"/>
      <c r="AE602" s="72"/>
      <c r="AF602" s="72"/>
      <c r="AG602" s="72"/>
      <c r="AH602" s="72"/>
      <c r="AI602" s="73" t="n">
        <v>35.6922660472303</v>
      </c>
      <c r="AJ602" s="42" t="s">
        <v>16</v>
      </c>
      <c r="AK602" s="43" t="n">
        <v>674.999620795998</v>
      </c>
      <c r="AL602" s="74"/>
      <c r="AM602" s="74"/>
      <c r="AN602" s="74"/>
      <c r="AO602" s="78" t="n">
        <v>24.3</v>
      </c>
      <c r="AP602" s="76" t="n">
        <v>1.06097667638484</v>
      </c>
      <c r="AQ602" s="76" t="n">
        <v>0.797602040816327</v>
      </c>
      <c r="AR602" s="76" t="n">
        <v>1.23861516034985</v>
      </c>
      <c r="AS602" s="77" t="n">
        <v>25.6346501457726</v>
      </c>
      <c r="AT602" s="78" t="n">
        <v>25.7729556832742</v>
      </c>
      <c r="AU602" s="78" t="n">
        <v>43.6615916207753</v>
      </c>
      <c r="AV602" s="78" t="n">
        <v>32.8231292517007</v>
      </c>
      <c r="AW602" s="78" t="n">
        <v>50.9718172983479</v>
      </c>
      <c r="AX602" s="78" t="n">
        <v>25.365</v>
      </c>
      <c r="AY602" s="48" t="n">
        <v>1.94650158480991</v>
      </c>
      <c r="AZ602" s="48" t="n">
        <v>22.5863712970624</v>
      </c>
      <c r="BA602" s="48" t="n">
        <v>-9.34571642968335</v>
      </c>
      <c r="BB602" s="49" t="n">
        <f aca="false">AT602/V602</f>
        <v>1.94650158480991</v>
      </c>
      <c r="BC602" s="49" t="n">
        <f aca="false">AS602/V602</f>
        <v>1.93605606388312</v>
      </c>
      <c r="BD602" s="49" t="n">
        <f aca="false">SUM(AP602:AR602)/V602</f>
        <v>0.233915460267874</v>
      </c>
      <c r="BE602" s="53" t="n">
        <v>5.75</v>
      </c>
      <c r="BF602" s="51" t="n">
        <v>132.72</v>
      </c>
      <c r="BG602" s="51" t="n">
        <v>632.45931283906</v>
      </c>
      <c r="BH602" s="51" t="n">
        <v>188.592525617842</v>
      </c>
      <c r="BI602" s="51" t="n">
        <v>143.38456901748</v>
      </c>
      <c r="BJ602" s="51" t="n">
        <v>4.5961422543701</v>
      </c>
      <c r="BK602" s="51" t="n">
        <v>11.9801084990958</v>
      </c>
      <c r="BL602" s="51" t="n">
        <v>12.2814948764316</v>
      </c>
      <c r="BM602" s="51" t="n">
        <v>6.70584689572031</v>
      </c>
      <c r="BN602" s="52" t="n">
        <f aca="false">(BG602*0.5-BH602*0.25+BI602*0.5)/SUM(BG602:BI602)*1000</f>
        <v>353.33984375</v>
      </c>
      <c r="BO602" s="93" t="n">
        <v>8.10171428571429</v>
      </c>
      <c r="BP602" s="94" t="s">
        <v>491</v>
      </c>
      <c r="BQ602" s="55" t="n">
        <v>271.19696969697</v>
      </c>
      <c r="BR602" s="56" t="n">
        <v>20.4821417379527</v>
      </c>
      <c r="BS602" s="56"/>
      <c r="BT602" s="56" t="n">
        <v>10.5225404889423</v>
      </c>
      <c r="BU602" s="55" t="n">
        <v>7881.37878787879</v>
      </c>
      <c r="BV602" s="55" t="n">
        <v>595.240859823039</v>
      </c>
      <c r="BW602" s="55"/>
      <c r="BX602" s="55" t="n">
        <v>305.800346872654</v>
      </c>
      <c r="BY602" s="96" t="n">
        <v>0.08858</v>
      </c>
      <c r="BZ602" s="96" t="n">
        <v>1.8425</v>
      </c>
      <c r="CA602" s="97" t="n">
        <v>3.5249</v>
      </c>
      <c r="CB602" s="97"/>
      <c r="CC602" s="97" t="n">
        <v>4.37</v>
      </c>
      <c r="CD602" s="97" t="n">
        <v>5.7732</v>
      </c>
      <c r="CE602" s="97" t="n">
        <v>89.61</v>
      </c>
      <c r="CF602" s="97" t="n">
        <v>34.935</v>
      </c>
      <c r="CG602" s="97" t="n">
        <v>0.0602</v>
      </c>
      <c r="CH602" s="63" t="n">
        <v>88565.6010861805</v>
      </c>
      <c r="CI602" s="63" t="n">
        <v>1209.26595554635</v>
      </c>
      <c r="CJ602" s="64" t="n">
        <v>239712.796445872</v>
      </c>
      <c r="CK602" s="65" t="n">
        <v>0.504464498130955</v>
      </c>
    </row>
    <row r="603" s="1" customFormat="true" ht="15" hidden="false" customHeight="false" outlineLevel="0" collapsed="false">
      <c r="A603" s="7" t="s">
        <v>488</v>
      </c>
      <c r="B603" s="66" t="n">
        <v>594</v>
      </c>
      <c r="C603" s="8" t="s">
        <v>686</v>
      </c>
      <c r="D603" s="67" t="n">
        <v>41831</v>
      </c>
      <c r="E603" s="4" t="s">
        <v>490</v>
      </c>
      <c r="F603" s="7" t="n">
        <v>529</v>
      </c>
      <c r="G603" s="68" t="n">
        <v>1</v>
      </c>
      <c r="H603" s="68" t="n">
        <v>124</v>
      </c>
      <c r="I603" s="7" t="n">
        <v>1</v>
      </c>
      <c r="J603" s="8" t="n">
        <v>614</v>
      </c>
      <c r="K603" s="32"/>
      <c r="L603" s="31" t="n">
        <v>927.063</v>
      </c>
      <c r="M603" s="31" t="n">
        <v>149.546057329389</v>
      </c>
      <c r="N603" s="31" t="n">
        <v>305.314699581761</v>
      </c>
      <c r="O603" s="95"/>
      <c r="P603" s="33" t="n">
        <v>40.59981638274</v>
      </c>
      <c r="Q603" s="33" t="n">
        <v>11.6</v>
      </c>
      <c r="R603" s="31" t="n">
        <v>266.857084565949</v>
      </c>
      <c r="S603" s="34" t="s">
        <v>76</v>
      </c>
      <c r="T603" s="35"/>
      <c r="U603" s="35"/>
      <c r="V603" s="35" t="n">
        <v>24.6778343115472</v>
      </c>
      <c r="W603" s="35" t="n">
        <v>22.8779071103659</v>
      </c>
      <c r="X603" s="35" t="n">
        <v>3.69047282471981</v>
      </c>
      <c r="Y603" s="35" t="n">
        <v>7.53450556915851</v>
      </c>
      <c r="Z603" s="35"/>
      <c r="AA603" s="35" t="n">
        <v>1.0019155417725</v>
      </c>
      <c r="AB603" s="35" t="n">
        <v>0.286262878013948</v>
      </c>
      <c r="AC603" s="71" t="n">
        <v>6.58545491778104</v>
      </c>
      <c r="AD603" s="72"/>
      <c r="AE603" s="72"/>
      <c r="AF603" s="72"/>
      <c r="AG603" s="72"/>
      <c r="AH603" s="72"/>
      <c r="AI603" s="73" t="n">
        <v>37.357401646857</v>
      </c>
      <c r="AJ603" s="42" t="s">
        <v>16</v>
      </c>
      <c r="AK603" s="43" t="n">
        <v>689.485898680645</v>
      </c>
      <c r="AL603" s="74"/>
      <c r="AM603" s="74"/>
      <c r="AN603" s="74"/>
      <c r="AO603" s="78" t="n">
        <v>30.98</v>
      </c>
      <c r="AP603" s="76" t="n">
        <v>1.27070710969195</v>
      </c>
      <c r="AQ603" s="76" t="n">
        <v>1.04320408163265</v>
      </c>
      <c r="AR603" s="76" t="n">
        <v>1.58588095238095</v>
      </c>
      <c r="AS603" s="77" t="n">
        <v>31.4526066453792</v>
      </c>
      <c r="AT603" s="78" t="n">
        <v>32.0972541493926</v>
      </c>
      <c r="AU603" s="78" t="n">
        <v>41.0170145155568</v>
      </c>
      <c r="AV603" s="78" t="n">
        <v>33.6734693877551</v>
      </c>
      <c r="AW603" s="78" t="n">
        <v>51.1904761904762</v>
      </c>
      <c r="AX603" s="78" t="n">
        <v>27.0575</v>
      </c>
      <c r="AY603" s="48" t="n">
        <v>1.30065117320176</v>
      </c>
      <c r="AZ603" s="48" t="n">
        <v>23.2507718251917</v>
      </c>
      <c r="BA603" s="48" t="n">
        <v>1.42706248635552</v>
      </c>
      <c r="BB603" s="49" t="n">
        <f aca="false">AT603/V603</f>
        <v>1.30065117320176</v>
      </c>
      <c r="BC603" s="49" t="n">
        <f aca="false">AS603/V603</f>
        <v>1.27452864170751</v>
      </c>
      <c r="BD603" s="49" t="n">
        <f aca="false">SUM(AP603:AR603)/V603</f>
        <v>0.158028135470574</v>
      </c>
      <c r="BE603" s="53" t="n">
        <v>5.95</v>
      </c>
      <c r="BF603" s="51" t="n">
        <v>112.04</v>
      </c>
      <c r="BG603" s="51" t="n">
        <v>640.217779364513</v>
      </c>
      <c r="BH603" s="51" t="n">
        <v>186.719028918243</v>
      </c>
      <c r="BI603" s="51" t="n">
        <v>135.933595144591</v>
      </c>
      <c r="BJ603" s="51" t="n">
        <v>5.44448411281685</v>
      </c>
      <c r="BK603" s="51" t="n">
        <v>11.870760442699</v>
      </c>
      <c r="BL603" s="51" t="n">
        <v>10.8889682256337</v>
      </c>
      <c r="BM603" s="51" t="n">
        <v>8.92538379150303</v>
      </c>
      <c r="BN603" s="52" t="n">
        <f aca="false">(BG603*0.5-BH603*0.25+BI603*0.5)/SUM(BG603:BI603)*1000</f>
        <v>354.560622914349</v>
      </c>
      <c r="BO603" s="93" t="n">
        <v>3.11828571428571</v>
      </c>
      <c r="BP603" s="94" t="s">
        <v>491</v>
      </c>
      <c r="BQ603" s="55" t="n">
        <v>356.482142857143</v>
      </c>
      <c r="BR603" s="56" t="n">
        <v>14.445438702469</v>
      </c>
      <c r="BS603" s="56"/>
      <c r="BT603" s="56" t="n">
        <v>11.1063127455683</v>
      </c>
      <c r="BU603" s="55" t="n">
        <v>11604.8928571429</v>
      </c>
      <c r="BV603" s="55" t="n">
        <v>470.255724657034</v>
      </c>
      <c r="BW603" s="55"/>
      <c r="BX603" s="55" t="n">
        <v>361.554069489226</v>
      </c>
      <c r="BY603" s="96" t="n">
        <v>0.09888</v>
      </c>
      <c r="BZ603" s="96" t="n">
        <v>1.122</v>
      </c>
      <c r="CA603" s="97" t="n">
        <v>3.8582</v>
      </c>
      <c r="CB603" s="97"/>
      <c r="CC603" s="97" t="n">
        <v>4.66</v>
      </c>
      <c r="CD603" s="97" t="n">
        <v>6.4464</v>
      </c>
      <c r="CE603" s="97" t="n">
        <v>86.52</v>
      </c>
      <c r="CF603" s="97" t="n">
        <v>37.8726</v>
      </c>
      <c r="CG603" s="97" t="n">
        <v>0.0602</v>
      </c>
      <c r="CH603" s="63" t="n">
        <v>104006.650292099</v>
      </c>
      <c r="CI603" s="63" t="n">
        <v>1478.23978148588</v>
      </c>
      <c r="CJ603" s="64" t="n">
        <v>295324.834683239</v>
      </c>
      <c r="CK603" s="65" t="n">
        <v>0.500547061364283</v>
      </c>
    </row>
    <row r="604" s="1" customFormat="true" ht="15" hidden="false" customHeight="false" outlineLevel="0" collapsed="false">
      <c r="A604" s="7" t="s">
        <v>488</v>
      </c>
      <c r="B604" s="66" t="n">
        <v>595</v>
      </c>
      <c r="C604" s="8" t="s">
        <v>687</v>
      </c>
      <c r="D604" s="67" t="n">
        <v>41831</v>
      </c>
      <c r="E604" s="4" t="s">
        <v>490</v>
      </c>
      <c r="F604" s="7" t="n">
        <v>533</v>
      </c>
      <c r="G604" s="68" t="n">
        <v>1</v>
      </c>
      <c r="H604" s="68" t="n">
        <v>112</v>
      </c>
      <c r="I604" s="7" t="n">
        <v>1</v>
      </c>
      <c r="J604" s="8" t="n">
        <v>573</v>
      </c>
      <c r="K604" s="32"/>
      <c r="L604" s="31" t="n">
        <v>927.063</v>
      </c>
      <c r="M604" s="31" t="n">
        <v>149.546057329389</v>
      </c>
      <c r="N604" s="31" t="n">
        <v>305.314699581761</v>
      </c>
      <c r="O604" s="95"/>
      <c r="P604" s="33" t="n">
        <v>40.59981638274</v>
      </c>
      <c r="Q604" s="33" t="n">
        <v>11.6</v>
      </c>
      <c r="R604" s="31" t="n">
        <v>266.857084565949</v>
      </c>
      <c r="S604" s="34" t="s">
        <v>76</v>
      </c>
      <c r="T604" s="35"/>
      <c r="U604" s="35"/>
      <c r="V604" s="35" t="n">
        <v>22.097279676314</v>
      </c>
      <c r="W604" s="35" t="n">
        <v>20.4855703885627</v>
      </c>
      <c r="X604" s="35" t="n">
        <v>3.3045610532976</v>
      </c>
      <c r="Y604" s="35" t="n">
        <v>6.74662430594797</v>
      </c>
      <c r="Z604" s="35"/>
      <c r="AA604" s="35" t="n">
        <v>0.897145497416402</v>
      </c>
      <c r="AB604" s="35" t="n">
        <v>0.256328444245243</v>
      </c>
      <c r="AC604" s="71" t="n">
        <v>5.89681563125957</v>
      </c>
      <c r="AD604" s="72"/>
      <c r="AE604" s="72"/>
      <c r="AF604" s="72"/>
      <c r="AG604" s="72"/>
      <c r="AH604" s="72"/>
      <c r="AI604" s="73" t="n">
        <v>35.3190012767873</v>
      </c>
      <c r="AJ604" s="42" t="s">
        <v>16</v>
      </c>
      <c r="AK604" s="43" t="n">
        <v>671.564891965848</v>
      </c>
      <c r="AL604" s="74"/>
      <c r="AM604" s="74"/>
      <c r="AN604" s="74"/>
      <c r="AO604" s="78" t="n">
        <v>31.9</v>
      </c>
      <c r="AP604" s="76" t="n">
        <v>1.05820364127794</v>
      </c>
      <c r="AQ604" s="76" t="n">
        <v>1.01063168124393</v>
      </c>
      <c r="AR604" s="76" t="n">
        <v>1.56244897959184</v>
      </c>
      <c r="AS604" s="77" t="n">
        <v>28.6330546191691</v>
      </c>
      <c r="AT604" s="78" t="n">
        <v>29.1368542259545</v>
      </c>
      <c r="AU604" s="78" t="n">
        <v>33.1725279397473</v>
      </c>
      <c r="AV604" s="78" t="n">
        <v>31.6812439261419</v>
      </c>
      <c r="AW604" s="78" t="n">
        <v>48.9795918367347</v>
      </c>
      <c r="AX604" s="78" t="n">
        <v>23.5475</v>
      </c>
      <c r="AY604" s="48" t="n">
        <v>1.31857199857891</v>
      </c>
      <c r="AZ604" s="48" t="n">
        <v>21.4847966182059</v>
      </c>
      <c r="BA604" s="48" t="n">
        <v>0.612483058108172</v>
      </c>
      <c r="BB604" s="49" t="n">
        <f aca="false">AT604/V604</f>
        <v>1.31857199857891</v>
      </c>
      <c r="BC604" s="49" t="n">
        <f aca="false">AS604/V604</f>
        <v>1.29577282989547</v>
      </c>
      <c r="BD604" s="49" t="n">
        <f aca="false">SUM(AP604:AR604)/V604</f>
        <v>0.16433173473412</v>
      </c>
      <c r="BE604" s="53" t="n">
        <v>5.95</v>
      </c>
      <c r="BF604" s="51" t="n">
        <v>128.44</v>
      </c>
      <c r="BG604" s="51" t="n">
        <v>574.275926502647</v>
      </c>
      <c r="BH604" s="51" t="n">
        <v>276.627218934911</v>
      </c>
      <c r="BI604" s="51" t="n">
        <v>117.720336343818</v>
      </c>
      <c r="BJ604" s="51" t="n">
        <v>4.51572718779196</v>
      </c>
      <c r="BK604" s="51" t="n">
        <v>14.9486141388975</v>
      </c>
      <c r="BL604" s="51" t="n">
        <v>5.68358766739333</v>
      </c>
      <c r="BM604" s="51" t="n">
        <v>6.22858922454064</v>
      </c>
      <c r="BN604" s="52" t="n">
        <f aca="false">(BG604*0.5-BH604*0.25+BI604*0.5)/SUM(BG604:BI604)*1000</f>
        <v>285.809018567639</v>
      </c>
      <c r="BO604" s="93" t="n">
        <v>4.10914285714286</v>
      </c>
      <c r="BP604" s="94" t="s">
        <v>491</v>
      </c>
      <c r="BQ604" s="55" t="n">
        <v>237.134057971014</v>
      </c>
      <c r="BR604" s="56" t="n">
        <v>10.7313688130217</v>
      </c>
      <c r="BS604" s="56"/>
      <c r="BT604" s="56" t="n">
        <v>8.13862938435477</v>
      </c>
      <c r="BU604" s="55" t="n">
        <v>8715.1231884058</v>
      </c>
      <c r="BV604" s="55" t="n">
        <v>394.398012609104</v>
      </c>
      <c r="BW604" s="55"/>
      <c r="BX604" s="55" t="n">
        <v>299.109956099604</v>
      </c>
      <c r="BY604" s="96" t="n">
        <v>0.103</v>
      </c>
      <c r="BZ604" s="96" t="n">
        <v>1.1935</v>
      </c>
      <c r="CA604" s="97" t="n">
        <v>3.7067</v>
      </c>
      <c r="CB604" s="97"/>
      <c r="CC604" s="97" t="n">
        <v>4.54</v>
      </c>
      <c r="CD604" s="97" t="n">
        <v>6.0384</v>
      </c>
      <c r="CE604" s="97" t="n">
        <v>93.73</v>
      </c>
      <c r="CF604" s="97" t="n">
        <v>37.1586</v>
      </c>
      <c r="CG604" s="97" t="n">
        <v>0.0398</v>
      </c>
      <c r="CH604" s="63" t="n">
        <v>72422.5852418232</v>
      </c>
      <c r="CI604" s="63" t="n">
        <v>1528.8173262419</v>
      </c>
      <c r="CJ604" s="64" t="n">
        <v>377424.392310265</v>
      </c>
      <c r="CK604" s="65" t="n">
        <v>0.405065850906932</v>
      </c>
    </row>
    <row r="605" s="1" customFormat="true" ht="15" hidden="false" customHeight="false" outlineLevel="0" collapsed="false">
      <c r="A605" s="7" t="s">
        <v>488</v>
      </c>
      <c r="B605" s="66" t="n">
        <v>596</v>
      </c>
      <c r="C605" s="8" t="s">
        <v>688</v>
      </c>
      <c r="D605" s="67" t="n">
        <v>41831</v>
      </c>
      <c r="E605" s="4" t="s">
        <v>490</v>
      </c>
      <c r="F605" s="7" t="n">
        <v>538</v>
      </c>
      <c r="G605" s="68" t="n">
        <v>1</v>
      </c>
      <c r="H605" s="68" t="n">
        <v>96</v>
      </c>
      <c r="I605" s="7" t="n">
        <v>1</v>
      </c>
      <c r="J605" s="8" t="n">
        <v>563</v>
      </c>
      <c r="K605" s="32"/>
      <c r="L605" s="31" t="n">
        <v>927.063</v>
      </c>
      <c r="M605" s="31" t="n">
        <v>149.546057329389</v>
      </c>
      <c r="N605" s="31" t="n">
        <v>305.314699581761</v>
      </c>
      <c r="O605" s="95"/>
      <c r="P605" s="33" t="n">
        <v>40.59981638274</v>
      </c>
      <c r="Q605" s="33" t="n">
        <v>11.6</v>
      </c>
      <c r="R605" s="31" t="n">
        <v>266.857084565949</v>
      </c>
      <c r="S605" s="34" t="s">
        <v>76</v>
      </c>
      <c r="T605" s="35"/>
      <c r="U605" s="35"/>
      <c r="V605" s="35" t="n">
        <v>19.8216476586519</v>
      </c>
      <c r="W605" s="35" t="n">
        <v>18.3759161433728</v>
      </c>
      <c r="X605" s="35" t="n">
        <v>2.96424925712371</v>
      </c>
      <c r="Y605" s="35" t="n">
        <v>6.05184040011682</v>
      </c>
      <c r="Z605" s="35"/>
      <c r="AA605" s="35" t="n">
        <v>0.804755255344635</v>
      </c>
      <c r="AB605" s="35" t="n">
        <v>0.229931112840362</v>
      </c>
      <c r="AC605" s="71" t="n">
        <v>5.28954710548132</v>
      </c>
      <c r="AD605" s="72"/>
      <c r="AE605" s="72"/>
      <c r="AF605" s="72"/>
      <c r="AG605" s="72"/>
      <c r="AH605" s="72"/>
      <c r="AI605" s="73" t="n">
        <v>34.2035522167177</v>
      </c>
      <c r="AJ605" s="42" t="s">
        <v>16</v>
      </c>
      <c r="AK605" s="43" t="n">
        <v>660.853939190262</v>
      </c>
      <c r="AL605" s="74"/>
      <c r="AM605" s="74"/>
      <c r="AN605" s="74"/>
      <c r="AO605" s="78" t="n">
        <v>27.3</v>
      </c>
      <c r="AP605" s="76" t="n">
        <v>0.757480505913517</v>
      </c>
      <c r="AQ605" s="76" t="n">
        <v>0.815816326530613</v>
      </c>
      <c r="AR605" s="76" t="n">
        <v>1.36234693877551</v>
      </c>
      <c r="AS605" s="77" t="n">
        <v>22.2822075887028</v>
      </c>
      <c r="AT605" s="78" t="n">
        <v>22.8829894413616</v>
      </c>
      <c r="AU605" s="78" t="n">
        <v>27.7465386781508</v>
      </c>
      <c r="AV605" s="78" t="n">
        <v>29.8833819241983</v>
      </c>
      <c r="AW605" s="78" t="n">
        <v>49.9028182701652</v>
      </c>
      <c r="AX605" s="78" t="n">
        <v>23.735</v>
      </c>
      <c r="AY605" s="48" t="n">
        <v>1.15444436483934</v>
      </c>
      <c r="AZ605" s="48" t="n">
        <v>18.7853485318661</v>
      </c>
      <c r="BA605" s="48" t="n">
        <v>1.03629912678583</v>
      </c>
      <c r="BB605" s="49" t="n">
        <f aca="false">AT605/V605</f>
        <v>1.15444436483934</v>
      </c>
      <c r="BC605" s="49" t="n">
        <f aca="false">AS605/V605</f>
        <v>1.12413498476131</v>
      </c>
      <c r="BD605" s="49" t="n">
        <f aca="false">SUM(AP605:AR605)/V605</f>
        <v>0.148102913631313</v>
      </c>
      <c r="BE605" s="53" t="n">
        <v>5.61</v>
      </c>
      <c r="BF605" s="51" t="n">
        <v>134.32</v>
      </c>
      <c r="BG605" s="51" t="n">
        <v>561.569386539607</v>
      </c>
      <c r="BH605" s="51" t="n">
        <v>317.301965455628</v>
      </c>
      <c r="BI605" s="51" t="n">
        <v>88.1477069684336</v>
      </c>
      <c r="BJ605" s="51" t="n">
        <v>4.98808814770697</v>
      </c>
      <c r="BK605" s="51" t="n">
        <v>14.8898153662895</v>
      </c>
      <c r="BL605" s="51" t="n">
        <v>9.6039309112567</v>
      </c>
      <c r="BM605" s="51" t="n">
        <v>3.49910661107802</v>
      </c>
      <c r="BN605" s="52" t="n">
        <f aca="false">(BG605*0.5-BH605*0.25+BI605*0.5)/SUM(BG605:BI605)*1000</f>
        <v>253.907152205713</v>
      </c>
      <c r="BO605" s="93" t="n">
        <v>4.80857142857143</v>
      </c>
      <c r="BP605" s="94" t="s">
        <v>491</v>
      </c>
      <c r="BQ605" s="55" t="n">
        <v>226.194444444444</v>
      </c>
      <c r="BR605" s="56" t="n">
        <v>11.4114854799022</v>
      </c>
      <c r="BS605" s="56"/>
      <c r="BT605" s="56" t="n">
        <v>9.88482929750394</v>
      </c>
      <c r="BU605" s="55" t="n">
        <v>8103.88095238095</v>
      </c>
      <c r="BV605" s="55" t="n">
        <v>408.839925516672</v>
      </c>
      <c r="BW605" s="55"/>
      <c r="BX605" s="55" t="n">
        <v>354.144329487518</v>
      </c>
      <c r="BY605" s="96" t="n">
        <v>0.08137</v>
      </c>
      <c r="BZ605" s="96" t="n">
        <v>0.4609</v>
      </c>
      <c r="CA605" s="97" t="n">
        <v>4.1511</v>
      </c>
      <c r="CB605" s="97"/>
      <c r="CC605" s="97" t="n">
        <v>3.98</v>
      </c>
      <c r="CD605" s="97" t="n">
        <v>3.978</v>
      </c>
      <c r="CE605" s="97" t="n">
        <v>94.76</v>
      </c>
      <c r="CF605" s="97" t="n">
        <v>36.6078</v>
      </c>
      <c r="CG605" s="97" t="n">
        <v>0.0806</v>
      </c>
      <c r="CH605" s="63" t="n">
        <v>75454.8506384628</v>
      </c>
      <c r="CI605" s="63" t="n">
        <v>2347.37161303161</v>
      </c>
      <c r="CJ605" s="64" t="n">
        <v>332113.791985272</v>
      </c>
      <c r="CK605" s="65" t="n">
        <v>0.706797389834297</v>
      </c>
    </row>
    <row r="606" s="1" customFormat="true" ht="15" hidden="false" customHeight="false" outlineLevel="0" collapsed="false">
      <c r="A606" s="7" t="s">
        <v>488</v>
      </c>
      <c r="B606" s="66" t="n">
        <v>597</v>
      </c>
      <c r="C606" s="8" t="s">
        <v>689</v>
      </c>
      <c r="D606" s="67" t="n">
        <v>41915</v>
      </c>
      <c r="E606" s="4" t="s">
        <v>583</v>
      </c>
      <c r="F606" s="7" t="n">
        <v>220</v>
      </c>
      <c r="G606" s="68" t="n">
        <v>1</v>
      </c>
      <c r="H606" s="68" t="n">
        <v>191</v>
      </c>
      <c r="I606" s="7" t="n">
        <v>1</v>
      </c>
      <c r="J606" s="8" t="n">
        <v>844</v>
      </c>
      <c r="K606" s="32"/>
      <c r="L606" s="31" t="n">
        <v>929.852</v>
      </c>
      <c r="M606" s="31" t="n">
        <v>144.547587473222</v>
      </c>
      <c r="N606" s="31" t="n">
        <v>307.048862593084</v>
      </c>
      <c r="O606" s="95"/>
      <c r="P606" s="33" t="n">
        <v>36.4174232377843</v>
      </c>
      <c r="Q606" s="33" t="n">
        <v>8.5</v>
      </c>
      <c r="R606" s="31" t="n">
        <v>266.449046210344</v>
      </c>
      <c r="S606" s="34" t="s">
        <v>76</v>
      </c>
      <c r="T606" s="35"/>
      <c r="U606" s="35"/>
      <c r="V606" s="35" t="n">
        <v>25.4290771322704</v>
      </c>
      <c r="W606" s="35" t="n">
        <v>23.6452782295959</v>
      </c>
      <c r="X606" s="35" t="n">
        <v>3.67571175114018</v>
      </c>
      <c r="Y606" s="35" t="n">
        <v>7.80796921025544</v>
      </c>
      <c r="Z606" s="35"/>
      <c r="AA606" s="35" t="n">
        <v>0.926061464472156</v>
      </c>
      <c r="AB606" s="35" t="n">
        <v>0.216147155624299</v>
      </c>
      <c r="AC606" s="71" t="n">
        <v>6.77555334790273</v>
      </c>
      <c r="AD606" s="72"/>
      <c r="AE606" s="72"/>
      <c r="AF606" s="72"/>
      <c r="AG606" s="72"/>
      <c r="AH606" s="72"/>
      <c r="AI606" s="73" t="n">
        <v>34.7008132874527</v>
      </c>
      <c r="AJ606" s="42" t="s">
        <v>16</v>
      </c>
      <c r="AK606" s="43" t="n">
        <v>755.048968749287</v>
      </c>
      <c r="AL606" s="74"/>
      <c r="AM606" s="74"/>
      <c r="AN606" s="74"/>
      <c r="AO606" s="78" t="n">
        <v>28.8783333333333</v>
      </c>
      <c r="AP606" s="76" t="n">
        <v>1.30947235330863</v>
      </c>
      <c r="AQ606" s="76" t="n">
        <v>1.01733681567865</v>
      </c>
      <c r="AR606" s="76" t="n">
        <v>1.30780401684483</v>
      </c>
      <c r="AS606" s="77" t="n">
        <v>31.1934186329628</v>
      </c>
      <c r="AT606" s="78" t="n">
        <v>30.8921025508781</v>
      </c>
      <c r="AU606" s="78" t="n">
        <v>45.3444573200887</v>
      </c>
      <c r="AV606" s="78" t="n">
        <v>35.2283770651118</v>
      </c>
      <c r="AW606" s="78" t="n">
        <v>45.2866861030126</v>
      </c>
      <c r="AX606" s="78" t="n">
        <v>23.64125</v>
      </c>
      <c r="AY606" s="48" t="n">
        <v>1.21483380581181</v>
      </c>
      <c r="AZ606" s="48" t="n">
        <v>26.6914213562123</v>
      </c>
      <c r="BA606" s="48" t="n">
        <v>-1.26234422394189</v>
      </c>
      <c r="BB606" s="49" t="n">
        <f aca="false">AT606/V606</f>
        <v>1.21483380581181</v>
      </c>
      <c r="BC606" s="49" t="n">
        <f aca="false">AS606/V606</f>
        <v>1.22668307900868</v>
      </c>
      <c r="BD606" s="49" t="n">
        <f aca="false">SUM(AP606:AR606)/V606</f>
        <v>0.142931383900663</v>
      </c>
      <c r="BE606" s="53" t="n">
        <v>6.69</v>
      </c>
      <c r="BF606" s="51" t="n">
        <v>104.358149469087</v>
      </c>
      <c r="BG606" s="51" t="n">
        <v>620.262276275953</v>
      </c>
      <c r="BH606" s="51" t="n">
        <v>183.856247094548</v>
      </c>
      <c r="BI606" s="51" t="n">
        <v>153.107611255012</v>
      </c>
      <c r="BJ606" s="51" t="n">
        <v>8.68957026204011</v>
      </c>
      <c r="BK606" s="51" t="n">
        <v>10.9566813474599</v>
      </c>
      <c r="BL606" s="51" t="n">
        <v>18.6673633137224</v>
      </c>
      <c r="BM606" s="51" t="n">
        <v>4.46025045126417</v>
      </c>
      <c r="BN606" s="52" t="n">
        <f aca="false">(BG606*0.5-BH606*0.25+BI606*0.5)/SUM(BG606:BI606)*1000</f>
        <v>355.94607132738</v>
      </c>
      <c r="BO606" s="93" t="n">
        <v>3.02736</v>
      </c>
      <c r="BP606" s="94" t="s">
        <v>491</v>
      </c>
      <c r="BQ606" s="55" t="n">
        <v>449.35632183908</v>
      </c>
      <c r="BR606" s="56" t="n">
        <v>17.6709646009462</v>
      </c>
      <c r="BS606" s="56"/>
      <c r="BT606" s="56" t="n">
        <v>14.5459934654499</v>
      </c>
      <c r="BU606" s="55" t="n">
        <v>15060.6925287356</v>
      </c>
      <c r="BV606" s="55" t="n">
        <v>592.262646827362</v>
      </c>
      <c r="BW606" s="55"/>
      <c r="BX606" s="55" t="n">
        <v>487.525654944698</v>
      </c>
      <c r="BY606" s="96" t="n">
        <v>0.11227</v>
      </c>
      <c r="BZ606" s="96" t="n">
        <v>0.9383</v>
      </c>
      <c r="CA606" s="97" t="n">
        <v>4.0804</v>
      </c>
      <c r="CB606" s="97"/>
      <c r="CC606" s="97" t="n">
        <v>3.95</v>
      </c>
      <c r="CD606" s="97" t="n">
        <v>4.7532</v>
      </c>
      <c r="CE606" s="97" t="n">
        <v>90.64</v>
      </c>
      <c r="CF606" s="97" t="n">
        <v>34.68</v>
      </c>
      <c r="CG606" s="97" t="n">
        <v>0.0806</v>
      </c>
      <c r="CH606" s="63" t="n">
        <v>105782.72751411</v>
      </c>
      <c r="CI606" s="63" t="n">
        <v>2277.50876104652</v>
      </c>
      <c r="CJ606" s="64" t="n">
        <v>281045.674084194</v>
      </c>
      <c r="CK606" s="65" t="n">
        <v>0.810369619980072</v>
      </c>
    </row>
    <row r="607" s="1" customFormat="true" ht="15" hidden="false" customHeight="false" outlineLevel="0" collapsed="false">
      <c r="A607" s="7" t="s">
        <v>488</v>
      </c>
      <c r="B607" s="66" t="n">
        <v>598</v>
      </c>
      <c r="C607" s="8" t="s">
        <v>690</v>
      </c>
      <c r="D607" s="67" t="n">
        <v>41915</v>
      </c>
      <c r="E607" s="4" t="s">
        <v>583</v>
      </c>
      <c r="F607" s="7" t="n">
        <v>1146</v>
      </c>
      <c r="G607" s="68" t="n">
        <v>1</v>
      </c>
      <c r="H607" s="68" t="n">
        <v>193</v>
      </c>
      <c r="I607" s="7" t="n">
        <v>3</v>
      </c>
      <c r="J607" s="8" t="n">
        <v>823</v>
      </c>
      <c r="K607" s="32"/>
      <c r="L607" s="31" t="n">
        <v>929.852</v>
      </c>
      <c r="M607" s="31" t="n">
        <v>144.547587473222</v>
      </c>
      <c r="N607" s="31" t="n">
        <v>307.048862593084</v>
      </c>
      <c r="O607" s="95"/>
      <c r="P607" s="33" t="n">
        <v>36.4174232377843</v>
      </c>
      <c r="Q607" s="33" t="n">
        <v>8.5</v>
      </c>
      <c r="R607" s="31" t="n">
        <v>266.449046210344</v>
      </c>
      <c r="S607" s="34" t="s">
        <v>76</v>
      </c>
      <c r="T607" s="35"/>
      <c r="U607" s="35"/>
      <c r="V607" s="35" t="n">
        <v>23.6135092444061</v>
      </c>
      <c r="W607" s="35" t="n">
        <v>21.9570687979295</v>
      </c>
      <c r="X607" s="35" t="n">
        <v>3.41327579305554</v>
      </c>
      <c r="Y607" s="35" t="n">
        <v>7.25050115532617</v>
      </c>
      <c r="Z607" s="35"/>
      <c r="AA607" s="35" t="n">
        <v>0.859943160282871</v>
      </c>
      <c r="AB607" s="35" t="n">
        <v>0.200714828577452</v>
      </c>
      <c r="AC607" s="71" t="n">
        <v>6.29179701585115</v>
      </c>
      <c r="AD607" s="72"/>
      <c r="AE607" s="72"/>
      <c r="AF607" s="72"/>
      <c r="AG607" s="72"/>
      <c r="AH607" s="72"/>
      <c r="AI607" s="73" t="n">
        <v>31.1729133716816</v>
      </c>
      <c r="AJ607" s="42" t="s">
        <v>16</v>
      </c>
      <c r="AK607" s="43" t="n">
        <v>727.327378783863</v>
      </c>
      <c r="AL607" s="74"/>
      <c r="AM607" s="74"/>
      <c r="AN607" s="74"/>
      <c r="AO607" s="78" t="n">
        <v>27.82</v>
      </c>
      <c r="AP607" s="76" t="n">
        <v>1.38546103102202</v>
      </c>
      <c r="AQ607" s="76" t="n">
        <v>0.981405247813411</v>
      </c>
      <c r="AR607" s="76" t="n">
        <v>1.22743245869777</v>
      </c>
      <c r="AS607" s="77" t="n">
        <v>31.9099154653303</v>
      </c>
      <c r="AT607" s="78" t="n">
        <v>31.1117106216844</v>
      </c>
      <c r="AU607" s="78" t="n">
        <v>49.800899749174</v>
      </c>
      <c r="AV607" s="78" t="n">
        <v>35.2769679300291</v>
      </c>
      <c r="AW607" s="78" t="n">
        <v>44.1205053449952</v>
      </c>
      <c r="AX607" s="78" t="n">
        <v>18.82625</v>
      </c>
      <c r="AY607" s="48" t="n">
        <v>1.31753863009813</v>
      </c>
      <c r="AZ607" s="48" t="n">
        <v>26.6779995121497</v>
      </c>
      <c r="BA607" s="48" t="n">
        <v>-3.06449026774358</v>
      </c>
      <c r="BB607" s="49" t="n">
        <f aca="false">AT607/V607</f>
        <v>1.31753863009813</v>
      </c>
      <c r="BC607" s="49" t="n">
        <f aca="false">AS607/V607</f>
        <v>1.35134151959601</v>
      </c>
      <c r="BD607" s="49" t="n">
        <f aca="false">SUM(AP607:AR607)/V607</f>
        <v>0.152213662964333</v>
      </c>
      <c r="BE607" s="53" t="n">
        <v>6.3</v>
      </c>
      <c r="BF607" s="51" t="n">
        <v>120.364375229647</v>
      </c>
      <c r="BG607" s="51" t="n">
        <v>594.698174963795</v>
      </c>
      <c r="BH607" s="51" t="n">
        <v>244.928710376196</v>
      </c>
      <c r="BI607" s="51" t="n">
        <v>119.35945886065</v>
      </c>
      <c r="BJ607" s="51" t="n">
        <v>8.1026862710977</v>
      </c>
      <c r="BK607" s="51" t="n">
        <v>11.6624070425351</v>
      </c>
      <c r="BL607" s="51" t="n">
        <v>19.9647322881711</v>
      </c>
      <c r="BM607" s="51" t="n">
        <v>1.28383019755415</v>
      </c>
      <c r="BN607" s="52" t="n">
        <f aca="false">(BG607*0.5-BH607*0.25+BI607*0.5)/SUM(BG607:BI607)*1000</f>
        <v>308.447186038643</v>
      </c>
      <c r="BO607" s="93" t="n">
        <v>4.88376</v>
      </c>
      <c r="BP607" s="94" t="s">
        <v>491</v>
      </c>
      <c r="BQ607" s="55" t="n">
        <v>431</v>
      </c>
      <c r="BR607" s="56" t="n">
        <v>18.2522638011587</v>
      </c>
      <c r="BS607" s="56"/>
      <c r="BT607" s="56" t="n">
        <v>13.8533044756337</v>
      </c>
      <c r="BU607" s="55" t="n">
        <v>14644.9777777778</v>
      </c>
      <c r="BV607" s="55" t="n">
        <v>620.19489039932</v>
      </c>
      <c r="BW607" s="55"/>
      <c r="BX607" s="55" t="n">
        <v>470.722357759732</v>
      </c>
      <c r="BY607" s="96" t="n">
        <v>0.05974</v>
      </c>
      <c r="BZ607" s="96" t="n">
        <v>0.5698</v>
      </c>
      <c r="CA607" s="97" t="n">
        <v>4.0703</v>
      </c>
      <c r="CB607" s="97"/>
      <c r="CC607" s="97" t="n">
        <v>4.22</v>
      </c>
      <c r="CD607" s="97" t="n">
        <v>4.437</v>
      </c>
      <c r="CE607" s="97" t="n">
        <v>85.49</v>
      </c>
      <c r="CF607" s="97" t="n">
        <v>35.4654</v>
      </c>
      <c r="CG607" s="97" t="n">
        <v>0.2642</v>
      </c>
      <c r="CH607" s="63" t="n">
        <v>87054.1863531947</v>
      </c>
      <c r="CI607" s="63" t="n">
        <v>6865.20891119696</v>
      </c>
      <c r="CJ607" s="64" t="n">
        <v>694770.92529877</v>
      </c>
      <c r="CK607" s="65" t="n">
        <v>0.988125533353995</v>
      </c>
    </row>
    <row r="608" s="1" customFormat="true" ht="15" hidden="false" customHeight="false" outlineLevel="0" collapsed="false">
      <c r="A608" s="7" t="s">
        <v>488</v>
      </c>
      <c r="B608" s="66" t="n">
        <v>599</v>
      </c>
      <c r="C608" s="8" t="s">
        <v>691</v>
      </c>
      <c r="D608" s="67" t="n">
        <v>41915</v>
      </c>
      <c r="E608" s="4" t="s">
        <v>583</v>
      </c>
      <c r="F608" s="7" t="n">
        <v>1278</v>
      </c>
      <c r="G608" s="68" t="n">
        <v>1</v>
      </c>
      <c r="H608" s="68" t="n">
        <v>188</v>
      </c>
      <c r="I608" s="7" t="n">
        <v>3</v>
      </c>
      <c r="J608" s="8" t="n">
        <v>740</v>
      </c>
      <c r="K608" s="32"/>
      <c r="L608" s="31" t="n">
        <v>929.852</v>
      </c>
      <c r="M608" s="31" t="n">
        <v>144.547587473222</v>
      </c>
      <c r="N608" s="31" t="n">
        <v>307.048862593084</v>
      </c>
      <c r="O608" s="95"/>
      <c r="P608" s="33" t="n">
        <v>36.4174232377843</v>
      </c>
      <c r="Q608" s="33" t="n">
        <v>8.5</v>
      </c>
      <c r="R608" s="31" t="n">
        <v>266.449046210344</v>
      </c>
      <c r="S608" s="34" t="s">
        <v>76</v>
      </c>
      <c r="T608" s="35"/>
      <c r="U608" s="35"/>
      <c r="V608" s="35" t="n">
        <v>27.2396735277663</v>
      </c>
      <c r="W608" s="35" t="n">
        <v>25.3288649091405</v>
      </c>
      <c r="X608" s="35" t="n">
        <v>3.93742909199682</v>
      </c>
      <c r="Y608" s="35" t="n">
        <v>8.36391077410757</v>
      </c>
      <c r="Z608" s="35"/>
      <c r="AA608" s="35" t="n">
        <v>0.991998719719735</v>
      </c>
      <c r="AB608" s="35" t="n">
        <v>0.231537224986013</v>
      </c>
      <c r="AC608" s="71" t="n">
        <v>7.25798503055448</v>
      </c>
      <c r="AD608" s="72"/>
      <c r="AE608" s="72"/>
      <c r="AF608" s="72"/>
      <c r="AG608" s="72"/>
      <c r="AH608" s="72"/>
      <c r="AI608" s="73" t="n">
        <v>29.0687546532745</v>
      </c>
      <c r="AJ608" s="42" t="s">
        <v>16</v>
      </c>
      <c r="AK608" s="43" t="n">
        <v>707.589812450307</v>
      </c>
      <c r="AL608" s="74"/>
      <c r="AM608" s="74"/>
      <c r="AN608" s="74"/>
      <c r="AO608" s="78" t="n">
        <v>39.1266666666667</v>
      </c>
      <c r="AP608" s="76" t="n">
        <v>1.42171609828828</v>
      </c>
      <c r="AQ608" s="76" t="n">
        <v>1.24956276320052</v>
      </c>
      <c r="AR608" s="76" t="n">
        <v>1.86745229996761</v>
      </c>
      <c r="AS608" s="77" t="n">
        <v>36.9764081409908</v>
      </c>
      <c r="AT608" s="78" t="n">
        <v>37.0664740367381</v>
      </c>
      <c r="AU608" s="78" t="n">
        <v>36.3362437797311</v>
      </c>
      <c r="AV608" s="78" t="n">
        <v>31.9363459669582</v>
      </c>
      <c r="AW608" s="78" t="n">
        <v>47.7283770651118</v>
      </c>
      <c r="AX608" s="78" t="n">
        <v>27.66375</v>
      </c>
      <c r="AY608" s="48" t="n">
        <v>1.36075324100177</v>
      </c>
      <c r="AZ608" s="48" t="n">
        <v>27.4110065935809</v>
      </c>
      <c r="BA608" s="48" t="n">
        <v>-0.171333065814572</v>
      </c>
      <c r="BB608" s="49" t="n">
        <f aca="false">AT608/V608</f>
        <v>1.36075324100177</v>
      </c>
      <c r="BC608" s="49" t="n">
        <f aca="false">AS608/V608</f>
        <v>1.35744681753618</v>
      </c>
      <c r="BD608" s="49" t="n">
        <f aca="false">SUM(AP608:AR608)/V608</f>
        <v>0.166622083661536</v>
      </c>
      <c r="BE608" s="53" t="n">
        <v>6.69</v>
      </c>
      <c r="BF608" s="51" t="n">
        <v>101.936197595704</v>
      </c>
      <c r="BG608" s="51" t="n">
        <v>621.271958546523</v>
      </c>
      <c r="BH608" s="51" t="n">
        <v>208.61498791129</v>
      </c>
      <c r="BI608" s="51" t="n">
        <v>128.20081735979</v>
      </c>
      <c r="BJ608" s="51" t="n">
        <v>8.83624925140058</v>
      </c>
      <c r="BK608" s="51" t="n">
        <v>12.3601482496766</v>
      </c>
      <c r="BL608" s="51" t="n">
        <v>15.4546340770468</v>
      </c>
      <c r="BM608" s="51" t="n">
        <v>5.26120460427227</v>
      </c>
      <c r="BN608" s="52" t="n">
        <f aca="false">(BG608*0.5-BH608*0.25+BI608*0.5)/SUM(BG608:BI608)*1000</f>
        <v>336.694249898328</v>
      </c>
      <c r="BO608" s="93" t="n">
        <v>1.68504</v>
      </c>
      <c r="BP608" s="94" t="s">
        <v>491</v>
      </c>
      <c r="BQ608" s="55" t="n">
        <v>424.333333333333</v>
      </c>
      <c r="BR608" s="56" t="n">
        <v>15.5777686873081</v>
      </c>
      <c r="BS608" s="56"/>
      <c r="BT608" s="56" t="n">
        <v>11.4479012196509</v>
      </c>
      <c r="BU608" s="55" t="n">
        <v>13017.4642857143</v>
      </c>
      <c r="BV608" s="55" t="n">
        <v>477.886207866815</v>
      </c>
      <c r="BW608" s="55"/>
      <c r="BX608" s="55" t="n">
        <v>351.192408342162</v>
      </c>
      <c r="BY608" s="96" t="n">
        <v>0.0927</v>
      </c>
      <c r="BZ608" s="96" t="n">
        <v>0.8866</v>
      </c>
      <c r="CA608" s="97" t="n">
        <v>3.9693</v>
      </c>
      <c r="CB608" s="97"/>
      <c r="CC608" s="97" t="n">
        <v>4.94</v>
      </c>
      <c r="CD608" s="97" t="n">
        <v>5.6814</v>
      </c>
      <c r="CE608" s="97" t="n">
        <v>84.46</v>
      </c>
      <c r="CF608" s="97" t="n">
        <v>34.9452</v>
      </c>
      <c r="CG608" s="97" t="n">
        <v>0.0704</v>
      </c>
      <c r="CH608" s="63" t="n">
        <v>144905.087461997</v>
      </c>
      <c r="CI608" s="63" t="n">
        <v>1647.77552974063</v>
      </c>
      <c r="CJ608" s="64" t="n">
        <v>107428.439731013</v>
      </c>
      <c r="CK608" s="65" t="n">
        <v>1.53383548515313</v>
      </c>
    </row>
    <row r="609" s="1" customFormat="true" ht="15" hidden="false" customHeight="false" outlineLevel="0" collapsed="false">
      <c r="A609" s="7" t="s">
        <v>488</v>
      </c>
      <c r="B609" s="66" t="n">
        <v>600</v>
      </c>
      <c r="C609" s="8" t="s">
        <v>692</v>
      </c>
      <c r="D609" s="67" t="n">
        <v>41915</v>
      </c>
      <c r="E609" s="4" t="s">
        <v>583</v>
      </c>
      <c r="F609" s="7" t="n">
        <v>1303</v>
      </c>
      <c r="G609" s="68" t="n">
        <v>1</v>
      </c>
      <c r="H609" s="68" t="n">
        <v>190</v>
      </c>
      <c r="I609" s="7" t="n">
        <v>3</v>
      </c>
      <c r="J609" s="8" t="n">
        <v>771</v>
      </c>
      <c r="K609" s="32"/>
      <c r="L609" s="31" t="n">
        <v>929.852</v>
      </c>
      <c r="M609" s="31" t="n">
        <v>144.547587473222</v>
      </c>
      <c r="N609" s="31" t="n">
        <v>307.048862593084</v>
      </c>
      <c r="O609" s="95"/>
      <c r="P609" s="33" t="n">
        <v>36.4174232377843</v>
      </c>
      <c r="Q609" s="33" t="n">
        <v>8.5</v>
      </c>
      <c r="R609" s="31" t="n">
        <v>266.449046210344</v>
      </c>
      <c r="S609" s="34" t="s">
        <v>76</v>
      </c>
      <c r="T609" s="35"/>
      <c r="U609" s="35"/>
      <c r="V609" s="35" t="n">
        <v>25.8767259104462</v>
      </c>
      <c r="W609" s="35" t="n">
        <v>24.0615253412802</v>
      </c>
      <c r="X609" s="35" t="n">
        <v>3.74041830206083</v>
      </c>
      <c r="Y609" s="35" t="n">
        <v>7.94541925843549</v>
      </c>
      <c r="Z609" s="35"/>
      <c r="AA609" s="35" t="n">
        <v>0.94236367948886</v>
      </c>
      <c r="AB609" s="35" t="n">
        <v>0.219952170238793</v>
      </c>
      <c r="AC609" s="71" t="n">
        <v>6.89482893788488</v>
      </c>
      <c r="AD609" s="72"/>
      <c r="AE609" s="72"/>
      <c r="AF609" s="72"/>
      <c r="AG609" s="72"/>
      <c r="AH609" s="72"/>
      <c r="AI609" s="73" t="n">
        <v>28.5145883493116</v>
      </c>
      <c r="AJ609" s="42" t="s">
        <v>16</v>
      </c>
      <c r="AK609" s="43" t="n">
        <v>701.906971411523</v>
      </c>
      <c r="AL609" s="74"/>
      <c r="AM609" s="74"/>
      <c r="AN609" s="74"/>
      <c r="AO609" s="78" t="n">
        <v>40.3683333333333</v>
      </c>
      <c r="AP609" s="76" t="n">
        <v>1.75908297817686</v>
      </c>
      <c r="AQ609" s="76" t="n">
        <v>1.44761078717201</v>
      </c>
      <c r="AR609" s="76" t="n">
        <v>1.90464779721412</v>
      </c>
      <c r="AS609" s="77" t="n">
        <v>42.5335780059863</v>
      </c>
      <c r="AT609" s="78" t="n">
        <v>42.9119612037128</v>
      </c>
      <c r="AU609" s="78" t="n">
        <v>43.5758138353544</v>
      </c>
      <c r="AV609" s="78" t="n">
        <v>35.8600583090379</v>
      </c>
      <c r="AW609" s="78" t="n">
        <v>47.1817298347911</v>
      </c>
      <c r="AX609" s="78" t="n">
        <v>21.1825</v>
      </c>
      <c r="AY609" s="48" t="n">
        <v>1.65832267004032</v>
      </c>
      <c r="AZ609" s="48" t="n">
        <v>29.905010848809</v>
      </c>
      <c r="BA609" s="48" t="n">
        <v>-4.02828493836278</v>
      </c>
      <c r="BB609" s="49" t="n">
        <f aca="false">AT609/V609</f>
        <v>1.65832267004032</v>
      </c>
      <c r="BC609" s="49" t="n">
        <f aca="false">AS609/V609</f>
        <v>1.64370014016402</v>
      </c>
      <c r="BD609" s="49" t="n">
        <f aca="false">SUM(AP609:AR609)/V609</f>
        <v>0.197526595143924</v>
      </c>
      <c r="BE609" s="53" t="n">
        <v>6.34</v>
      </c>
      <c r="BF609" s="51" t="n">
        <v>109.44501199493</v>
      </c>
      <c r="BG609" s="51" t="n">
        <v>626.541949629414</v>
      </c>
      <c r="BH609" s="51" t="n">
        <v>207.347991598651</v>
      </c>
      <c r="BI609" s="51" t="n">
        <v>121.88919687788</v>
      </c>
      <c r="BJ609" s="51" t="n">
        <v>8.82172731957843</v>
      </c>
      <c r="BK609" s="51" t="n">
        <v>12.503364807547</v>
      </c>
      <c r="BL609" s="51" t="n">
        <v>16.6763157028064</v>
      </c>
      <c r="BM609" s="51" t="n">
        <v>6.21945406412264</v>
      </c>
      <c r="BN609" s="52" t="n">
        <f aca="false">(BG609*0.5-BH609*0.25+BI609*0.5)/SUM(BG609:BI609)*1000</f>
        <v>337.294007057779</v>
      </c>
      <c r="BO609" s="93" t="n">
        <v>2.62752</v>
      </c>
      <c r="BP609" s="94" t="s">
        <v>491</v>
      </c>
      <c r="BQ609" s="55" t="n">
        <v>367.682608695652</v>
      </c>
      <c r="BR609" s="56" t="n">
        <v>14.2090081244483</v>
      </c>
      <c r="BS609" s="56"/>
      <c r="BT609" s="56" t="n">
        <v>8.56830120045504</v>
      </c>
      <c r="BU609" s="55" t="n">
        <v>11447.5913043478</v>
      </c>
      <c r="BV609" s="55" t="n">
        <v>442.389479409624</v>
      </c>
      <c r="BW609" s="55"/>
      <c r="BX609" s="55" t="n">
        <v>266.769240632082</v>
      </c>
      <c r="BY609" s="96" t="n">
        <v>0.07004</v>
      </c>
      <c r="BZ609" s="96" t="n">
        <v>0.8635</v>
      </c>
      <c r="CA609" s="97" t="n">
        <v>3.6158</v>
      </c>
      <c r="CB609" s="97"/>
      <c r="CC609" s="97" t="n">
        <v>4.55</v>
      </c>
      <c r="CD609" s="97" t="n">
        <v>5.1816</v>
      </c>
      <c r="CE609" s="97" t="n">
        <v>91.67</v>
      </c>
      <c r="CF609" s="97" t="n">
        <v>36.5262</v>
      </c>
      <c r="CG609" s="97" t="n">
        <v>0.0806</v>
      </c>
      <c r="CH609" s="63" t="n">
        <v>62079.0987607212</v>
      </c>
      <c r="CI609" s="63" t="n">
        <v>6459.31780644154</v>
      </c>
      <c r="CJ609" s="64" t="n">
        <v>767770.606987669</v>
      </c>
      <c r="CK609" s="65" t="n">
        <v>0.841308295427528</v>
      </c>
    </row>
    <row r="610" s="1" customFormat="true" ht="15" hidden="false" customHeight="false" outlineLevel="0" collapsed="false">
      <c r="A610" s="7" t="s">
        <v>488</v>
      </c>
      <c r="B610" s="66" t="n">
        <v>601</v>
      </c>
      <c r="C610" s="8" t="s">
        <v>693</v>
      </c>
      <c r="D610" s="67" t="n">
        <v>41915</v>
      </c>
      <c r="E610" s="4" t="s">
        <v>583</v>
      </c>
      <c r="F610" s="7" t="n">
        <v>1313</v>
      </c>
      <c r="G610" s="68" t="n">
        <v>1</v>
      </c>
      <c r="H610" s="68" t="n">
        <v>198</v>
      </c>
      <c r="I610" s="7" t="n">
        <v>3</v>
      </c>
      <c r="J610" s="8" t="n">
        <v>855</v>
      </c>
      <c r="K610" s="32"/>
      <c r="L610" s="31" t="n">
        <v>929.852</v>
      </c>
      <c r="M610" s="31" t="n">
        <v>144.547587473222</v>
      </c>
      <c r="N610" s="31" t="n">
        <v>307.048862593084</v>
      </c>
      <c r="O610" s="95"/>
      <c r="P610" s="33" t="n">
        <v>36.4174232377843</v>
      </c>
      <c r="Q610" s="33" t="n">
        <v>8.5</v>
      </c>
      <c r="R610" s="31" t="n">
        <v>266.449046210344</v>
      </c>
      <c r="S610" s="34" t="s">
        <v>76</v>
      </c>
      <c r="T610" s="35"/>
      <c r="U610" s="35"/>
      <c r="V610" s="35" t="n">
        <v>25.6666519540644</v>
      </c>
      <c r="W610" s="35" t="n">
        <v>23.8661876527907</v>
      </c>
      <c r="X610" s="35" t="n">
        <v>3.71005261847489</v>
      </c>
      <c r="Y610" s="35" t="n">
        <v>7.88091628906804</v>
      </c>
      <c r="Z610" s="35"/>
      <c r="AA610" s="35" t="n">
        <v>0.934713327308069</v>
      </c>
      <c r="AB610" s="35" t="n">
        <v>0.218166541609548</v>
      </c>
      <c r="AC610" s="71" t="n">
        <v>6.83885493257333</v>
      </c>
      <c r="AD610" s="72"/>
      <c r="AE610" s="72"/>
      <c r="AF610" s="72"/>
      <c r="AG610" s="72"/>
      <c r="AH610" s="72"/>
      <c r="AI610" s="73" t="n">
        <v>28.4817187228158</v>
      </c>
      <c r="AJ610" s="42" t="s">
        <v>16</v>
      </c>
      <c r="AK610" s="43" t="n">
        <v>701.562954022472</v>
      </c>
      <c r="AL610" s="74"/>
      <c r="AM610" s="74"/>
      <c r="AN610" s="74"/>
      <c r="AO610" s="78" t="n">
        <v>36.9183333333333</v>
      </c>
      <c r="AP610" s="76" t="n">
        <v>1.15647846988869</v>
      </c>
      <c r="AQ610" s="76" t="n">
        <v>1.17544887836087</v>
      </c>
      <c r="AR610" s="76" t="n">
        <v>1.6391704122125</v>
      </c>
      <c r="AS610" s="77" t="n">
        <v>32.1145103816637</v>
      </c>
      <c r="AT610" s="78" t="n">
        <v>32.0430179525684</v>
      </c>
      <c r="AU610" s="78" t="n">
        <v>31.325316325819</v>
      </c>
      <c r="AV610" s="78" t="n">
        <v>31.8391642371234</v>
      </c>
      <c r="AW610" s="78" t="n">
        <v>44.3999028182702</v>
      </c>
      <c r="AX610" s="78" t="n">
        <v>20.985</v>
      </c>
      <c r="AY610" s="48" t="n">
        <v>1.24842998650216</v>
      </c>
      <c r="AZ610" s="48" t="n">
        <v>27.1931918008942</v>
      </c>
      <c r="BA610" s="48" t="n">
        <v>-1.52653984682977</v>
      </c>
      <c r="BB610" s="49" t="n">
        <f aca="false">AT610/V610</f>
        <v>1.24842998650216</v>
      </c>
      <c r="BC610" s="49" t="n">
        <f aca="false">AS610/V610</f>
        <v>1.25121540741422</v>
      </c>
      <c r="BD610" s="49" t="n">
        <f aca="false">SUM(AP610:AR610)/V610</f>
        <v>0.154718183250746</v>
      </c>
      <c r="BE610" s="53" t="n">
        <v>6.49</v>
      </c>
      <c r="BF610" s="51" t="n">
        <v>118.278898719251</v>
      </c>
      <c r="BG610" s="51" t="n">
        <v>555.949708378783</v>
      </c>
      <c r="BH610" s="51" t="n">
        <v>294.056854898021</v>
      </c>
      <c r="BI610" s="51" t="n">
        <v>114.685168600274</v>
      </c>
      <c r="BJ610" s="51" t="n">
        <v>6.26418351931444</v>
      </c>
      <c r="BK610" s="51" t="n">
        <v>11.9859818311239</v>
      </c>
      <c r="BL610" s="51" t="n">
        <v>14.79184524908</v>
      </c>
      <c r="BM610" s="51" t="n">
        <v>2.26625752340356</v>
      </c>
      <c r="BN610" s="52" t="n">
        <f aca="false">(BG610*0.5-BH610*0.25+BI610*0.5)/SUM(BG610:BI610)*1000</f>
        <v>271.385372253177</v>
      </c>
      <c r="BO610" s="93" t="n">
        <v>2.68464</v>
      </c>
      <c r="BP610" s="94" t="s">
        <v>491</v>
      </c>
      <c r="BQ610" s="55" t="n">
        <v>361.154761904762</v>
      </c>
      <c r="BR610" s="56" t="n">
        <v>14.0709728152749</v>
      </c>
      <c r="BS610" s="56"/>
      <c r="BT610" s="56" t="n">
        <v>11.2709346678693</v>
      </c>
      <c r="BU610" s="55" t="n">
        <v>11663.7261904762</v>
      </c>
      <c r="BV610" s="55" t="n">
        <v>454.431151026271</v>
      </c>
      <c r="BW610" s="55"/>
      <c r="BX610" s="55" t="n">
        <v>364.002111403532</v>
      </c>
      <c r="BY610" s="96" t="n">
        <v>0.05871</v>
      </c>
      <c r="BZ610" s="96" t="n">
        <v>0.7678</v>
      </c>
      <c r="CA610" s="97" t="n">
        <v>4.1511</v>
      </c>
      <c r="CB610" s="97"/>
      <c r="CC610" s="97" t="n">
        <v>4.83</v>
      </c>
      <c r="CD610" s="97" t="n">
        <v>5.1918</v>
      </c>
      <c r="CE610" s="97" t="n">
        <v>87.55</v>
      </c>
      <c r="CF610" s="97" t="n">
        <v>35.6286</v>
      </c>
      <c r="CG610" s="97" t="n">
        <v>0.0704</v>
      </c>
      <c r="CH610" s="63" t="n">
        <v>79768.8811048885</v>
      </c>
      <c r="CI610" s="63" t="n">
        <v>5210.36880536044</v>
      </c>
      <c r="CJ610" s="64" t="n">
        <v>397454.930567537</v>
      </c>
      <c r="CK610" s="65" t="n">
        <v>1.31093324164338</v>
      </c>
    </row>
    <row r="611" s="1" customFormat="true" ht="15" hidden="false" customHeight="false" outlineLevel="0" collapsed="false">
      <c r="A611" s="7" t="s">
        <v>488</v>
      </c>
      <c r="B611" s="66" t="n">
        <v>602</v>
      </c>
      <c r="C611" s="8" t="s">
        <v>694</v>
      </c>
      <c r="D611" s="67" t="n">
        <v>41915</v>
      </c>
      <c r="E611" s="4" t="s">
        <v>583</v>
      </c>
      <c r="F611" s="7" t="n">
        <v>1625</v>
      </c>
      <c r="G611" s="68" t="n">
        <v>1</v>
      </c>
      <c r="H611" s="68" t="n">
        <v>170</v>
      </c>
      <c r="I611" s="7" t="n">
        <v>2</v>
      </c>
      <c r="J611" s="8" t="n">
        <v>771</v>
      </c>
      <c r="K611" s="32"/>
      <c r="L611" s="31" t="n">
        <v>929.852</v>
      </c>
      <c r="M611" s="31" t="n">
        <v>144.547587473222</v>
      </c>
      <c r="N611" s="31" t="n">
        <v>307.048862593084</v>
      </c>
      <c r="O611" s="95"/>
      <c r="P611" s="33" t="n">
        <v>36.4174232377843</v>
      </c>
      <c r="Q611" s="33" t="n">
        <v>8.5</v>
      </c>
      <c r="R611" s="31" t="n">
        <v>266.449046210344</v>
      </c>
      <c r="S611" s="34" t="s">
        <v>76</v>
      </c>
      <c r="T611" s="35"/>
      <c r="U611" s="35"/>
      <c r="V611" s="35" t="n">
        <v>21.5721893199915</v>
      </c>
      <c r="W611" s="35" t="n">
        <v>20.0589433835728</v>
      </c>
      <c r="X611" s="35" t="n">
        <v>3.11820792272039</v>
      </c>
      <c r="Y611" s="35" t="n">
        <v>6.62371619434607</v>
      </c>
      <c r="Z611" s="35"/>
      <c r="AA611" s="35" t="n">
        <v>0.785603548631743</v>
      </c>
      <c r="AB611" s="35" t="n">
        <v>0.183363609219928</v>
      </c>
      <c r="AC611" s="71" t="n">
        <v>5.74788926898071</v>
      </c>
      <c r="AD611" s="72"/>
      <c r="AE611" s="72"/>
      <c r="AF611" s="72"/>
      <c r="AG611" s="72"/>
      <c r="AH611" s="72"/>
      <c r="AI611" s="73" t="n">
        <v>29.1982452440104</v>
      </c>
      <c r="AJ611" s="42" t="s">
        <v>16</v>
      </c>
      <c r="AK611" s="43" t="n">
        <v>708.886615309745</v>
      </c>
      <c r="AL611" s="74"/>
      <c r="AM611" s="74"/>
      <c r="AN611" s="74"/>
      <c r="AO611" s="78" t="n">
        <v>31.7716666666667</v>
      </c>
      <c r="AP611" s="76" t="n">
        <v>1.00459972093009</v>
      </c>
      <c r="AQ611" s="76" t="n">
        <v>1.12929903628118</v>
      </c>
      <c r="AR611" s="76" t="n">
        <v>1.43651777615808</v>
      </c>
      <c r="AS611" s="77" t="n">
        <v>27.777662480618</v>
      </c>
      <c r="AT611" s="78" t="n">
        <v>28.733402390854</v>
      </c>
      <c r="AU611" s="78" t="n">
        <v>31.6193585772467</v>
      </c>
      <c r="AV611" s="78" t="n">
        <v>35.5442176870748</v>
      </c>
      <c r="AW611" s="78" t="n">
        <v>45.2137998056365</v>
      </c>
      <c r="AX611" s="78" t="n">
        <v>25.305</v>
      </c>
      <c r="AY611" s="48" t="n">
        <v>1.33196505763214</v>
      </c>
      <c r="AZ611" s="48" t="n">
        <v>24.3823491320217</v>
      </c>
      <c r="BA611" s="48" t="n">
        <v>-2.81015981203018</v>
      </c>
      <c r="BB611" s="49" t="n">
        <f aca="false">AT611/V611</f>
        <v>1.33196505763214</v>
      </c>
      <c r="BC611" s="49" t="n">
        <f aca="false">AS611/V611</f>
        <v>1.28766079643459</v>
      </c>
      <c r="BD611" s="49" t="n">
        <f aca="false">SUM(AP611:AR611)/V611</f>
        <v>0.165510161273272</v>
      </c>
      <c r="BE611" s="53" t="n">
        <v>6.93</v>
      </c>
      <c r="BF611" s="51" t="n">
        <v>87.8391537808594</v>
      </c>
      <c r="BG611" s="51" t="n">
        <v>590.726481188032</v>
      </c>
      <c r="BH611" s="51" t="n">
        <v>247.108897161288</v>
      </c>
      <c r="BI611" s="51" t="n">
        <v>116.823263348178</v>
      </c>
      <c r="BJ611" s="51" t="n">
        <v>8.8949213993747</v>
      </c>
      <c r="BK611" s="51" t="n">
        <v>13.0970214591023</v>
      </c>
      <c r="BL611" s="51" t="n">
        <v>19.3815685968143</v>
      </c>
      <c r="BM611" s="51" t="n">
        <v>3.96784684721085</v>
      </c>
      <c r="BN611" s="52" t="n">
        <f aca="false">(BG611*0.5-BH611*0.25+BI611*0.5)/SUM(BG611:BI611)*1000</f>
        <v>305.866029200318</v>
      </c>
      <c r="BO611" s="93" t="n">
        <v>2.34192</v>
      </c>
      <c r="BP611" s="94" t="s">
        <v>491</v>
      </c>
      <c r="BQ611" s="55" t="n">
        <v>332.835606060606</v>
      </c>
      <c r="BR611" s="56" t="n">
        <v>15.4289210577323</v>
      </c>
      <c r="BS611" s="56"/>
      <c r="BT611" s="56" t="n">
        <v>11.5835779394698</v>
      </c>
      <c r="BU611" s="55" t="n">
        <v>11417.6613636364</v>
      </c>
      <c r="BV611" s="55" t="n">
        <v>529.27689416555</v>
      </c>
      <c r="BW611" s="55"/>
      <c r="BX611" s="55" t="n">
        <v>397.365449741193</v>
      </c>
      <c r="BY611" s="96" t="n">
        <v>0.07828</v>
      </c>
      <c r="BZ611" s="96" t="n">
        <v>0.5621</v>
      </c>
      <c r="CA611" s="97" t="n">
        <v>4.0198</v>
      </c>
      <c r="CB611" s="97"/>
      <c r="CC611" s="97" t="n">
        <v>4.9</v>
      </c>
      <c r="CD611" s="97" t="n">
        <v>6.171</v>
      </c>
      <c r="CE611" s="97" t="n">
        <v>86.52</v>
      </c>
      <c r="CF611" s="97" t="n">
        <v>34.4862</v>
      </c>
      <c r="CG611" s="97" t="n">
        <v>0.0806</v>
      </c>
      <c r="CH611" s="63" t="n">
        <v>73638.6713111624</v>
      </c>
      <c r="CI611" s="63" t="n">
        <v>10726.5330894418</v>
      </c>
      <c r="CJ611" s="64" t="n">
        <v>755155.070296627</v>
      </c>
      <c r="CK611" s="65" t="n">
        <v>1.42044111353558</v>
      </c>
    </row>
    <row r="612" s="1" customFormat="true" ht="15" hidden="false" customHeight="false" outlineLevel="0" collapsed="false">
      <c r="A612" s="7" t="s">
        <v>488</v>
      </c>
      <c r="B612" s="66" t="n">
        <v>603</v>
      </c>
      <c r="C612" s="8" t="s">
        <v>695</v>
      </c>
      <c r="D612" s="67" t="n">
        <v>41915</v>
      </c>
      <c r="E612" s="4" t="s">
        <v>583</v>
      </c>
      <c r="F612" s="7" t="n">
        <v>1631</v>
      </c>
      <c r="G612" s="68" t="n">
        <v>1</v>
      </c>
      <c r="H612" s="68" t="n">
        <v>182</v>
      </c>
      <c r="I612" s="7" t="n">
        <v>2</v>
      </c>
      <c r="J612" s="8" t="n">
        <v>625</v>
      </c>
      <c r="K612" s="32"/>
      <c r="L612" s="31" t="n">
        <v>929.852</v>
      </c>
      <c r="M612" s="31" t="n">
        <v>144.547587473222</v>
      </c>
      <c r="N612" s="31" t="n">
        <v>307.048862593084</v>
      </c>
      <c r="O612" s="95"/>
      <c r="P612" s="33" t="n">
        <v>36.4174232377843</v>
      </c>
      <c r="Q612" s="33" t="n">
        <v>8.5</v>
      </c>
      <c r="R612" s="31" t="n">
        <v>266.449046210344</v>
      </c>
      <c r="S612" s="34" t="s">
        <v>76</v>
      </c>
      <c r="T612" s="35"/>
      <c r="U612" s="35"/>
      <c r="V612" s="35" t="n">
        <v>24.6463231401053</v>
      </c>
      <c r="W612" s="35" t="n">
        <v>22.9174328644732</v>
      </c>
      <c r="X612" s="35" t="n">
        <v>3.56256654998768</v>
      </c>
      <c r="Y612" s="35" t="n">
        <v>7.56762548727094</v>
      </c>
      <c r="Z612" s="35"/>
      <c r="AA612" s="35" t="n">
        <v>0.897555581048414</v>
      </c>
      <c r="AB612" s="35" t="n">
        <v>0.209493746690895</v>
      </c>
      <c r="AC612" s="71" t="n">
        <v>6.56698929327299</v>
      </c>
      <c r="AD612" s="72"/>
      <c r="AE612" s="72"/>
      <c r="AF612" s="72"/>
      <c r="AG612" s="72"/>
      <c r="AH612" s="72"/>
      <c r="AI612" s="73" t="n">
        <v>28.1671261645138</v>
      </c>
      <c r="AJ612" s="42" t="s">
        <v>16</v>
      </c>
      <c r="AK612" s="43" t="n">
        <v>698.22977500954</v>
      </c>
      <c r="AL612" s="74"/>
      <c r="AM612" s="74"/>
      <c r="AN612" s="74"/>
      <c r="AO612" s="78" t="n">
        <v>37.6016666666667</v>
      </c>
      <c r="AP612" s="76" t="n">
        <v>1.06897293916013</v>
      </c>
      <c r="AQ612" s="76" t="n">
        <v>1.22171919879063</v>
      </c>
      <c r="AR612" s="76" t="n">
        <v>1.76193102796674</v>
      </c>
      <c r="AS612" s="77" t="n">
        <v>31.0752607540686</v>
      </c>
      <c r="AT612" s="78" t="n">
        <v>31.9834273513172</v>
      </c>
      <c r="AU612" s="78" t="n">
        <v>28.4288712156411</v>
      </c>
      <c r="AV612" s="78" t="n">
        <v>32.4910916747651</v>
      </c>
      <c r="AW612" s="78" t="n">
        <v>46.8577907353418</v>
      </c>
      <c r="AX612" s="78" t="n">
        <v>20.1766666666667</v>
      </c>
      <c r="AY612" s="48" t="n">
        <v>1.29769569154406</v>
      </c>
      <c r="AZ612" s="48" t="n">
        <v>23.5805650242616</v>
      </c>
      <c r="BA612" s="48" t="n">
        <v>1.06575811584374</v>
      </c>
      <c r="BB612" s="49" t="n">
        <f aca="false">AT612/V612</f>
        <v>1.29769569154406</v>
      </c>
      <c r="BC612" s="49" t="n">
        <f aca="false">AS612/V612</f>
        <v>1.26084773689841</v>
      </c>
      <c r="BD612" s="49" t="n">
        <f aca="false">SUM(AP612:AR612)/V612</f>
        <v>0.164431146296339</v>
      </c>
      <c r="BE612" s="53" t="n">
        <v>6.48</v>
      </c>
      <c r="BF612" s="51" t="n">
        <v>106.416538027164</v>
      </c>
      <c r="BG612" s="51" t="n">
        <v>591.725400375757</v>
      </c>
      <c r="BH612" s="51" t="n">
        <v>256.582681139596</v>
      </c>
      <c r="BI612" s="51" t="n">
        <v>113.68156130078</v>
      </c>
      <c r="BJ612" s="51" t="n">
        <v>7.48521933401332</v>
      </c>
      <c r="BK612" s="51" t="n">
        <v>12.1069002301304</v>
      </c>
      <c r="BL612" s="51" t="n">
        <v>14.7772613238503</v>
      </c>
      <c r="BM612" s="51" t="n">
        <v>3.6409762958722</v>
      </c>
      <c r="BN612" s="52" t="n">
        <f aca="false">(BG612*0.5-BH612*0.25+BI612*0.5)/SUM(BG612:BI612)*1000</f>
        <v>299.959373479993</v>
      </c>
      <c r="BO612" s="93" t="n">
        <v>2.79888</v>
      </c>
      <c r="BP612" s="94" t="s">
        <v>491</v>
      </c>
      <c r="BQ612" s="55" t="n">
        <v>337.025694444444</v>
      </c>
      <c r="BR612" s="56" t="n">
        <v>13.6744816875352</v>
      </c>
      <c r="BS612" s="56"/>
      <c r="BT612" s="56" t="n">
        <v>10.5375102781336</v>
      </c>
      <c r="BU612" s="55" t="n">
        <v>10495.3923611111</v>
      </c>
      <c r="BV612" s="55" t="n">
        <v>425.840085819238</v>
      </c>
      <c r="BW612" s="55"/>
      <c r="BX612" s="55" t="n">
        <v>328.150959114732</v>
      </c>
      <c r="BY612" s="96" t="n">
        <v>0.0927</v>
      </c>
      <c r="BZ612" s="96" t="n">
        <v>0.6204</v>
      </c>
      <c r="CA612" s="97" t="n">
        <v>4.0198</v>
      </c>
      <c r="CB612" s="97"/>
      <c r="CC612" s="97" t="n">
        <v>3.91</v>
      </c>
      <c r="CD612" s="97" t="n">
        <v>6.1608</v>
      </c>
      <c r="CE612" s="97" t="n">
        <v>84.46</v>
      </c>
      <c r="CF612" s="97" t="n">
        <v>35.8224</v>
      </c>
      <c r="CG612" s="97" t="n">
        <v>0.0806</v>
      </c>
      <c r="CH612" s="63" t="n">
        <v>136765.858539784</v>
      </c>
      <c r="CI612" s="63" t="n">
        <v>3191.12567003582</v>
      </c>
      <c r="CJ612" s="64" t="n">
        <v>278975.892338963</v>
      </c>
      <c r="CK612" s="65" t="n">
        <v>1.14387148053586</v>
      </c>
    </row>
    <row r="613" s="1" customFormat="true" ht="15" hidden="false" customHeight="false" outlineLevel="0" collapsed="false">
      <c r="A613" s="7" t="s">
        <v>488</v>
      </c>
      <c r="B613" s="66" t="n">
        <v>604</v>
      </c>
      <c r="C613" s="8" t="s">
        <v>696</v>
      </c>
      <c r="D613" s="67" t="n">
        <v>41915</v>
      </c>
      <c r="E613" s="4" t="s">
        <v>583</v>
      </c>
      <c r="F613" s="7" t="n">
        <v>1878</v>
      </c>
      <c r="G613" s="68" t="n">
        <v>1</v>
      </c>
      <c r="H613" s="68" t="n">
        <v>192</v>
      </c>
      <c r="I613" s="7" t="n">
        <v>1</v>
      </c>
      <c r="J613" s="8" t="n">
        <v>604</v>
      </c>
      <c r="K613" s="32"/>
      <c r="L613" s="31" t="n">
        <v>929.852</v>
      </c>
      <c r="M613" s="31" t="n">
        <v>144.547587473222</v>
      </c>
      <c r="N613" s="31" t="n">
        <v>307.048862593084</v>
      </c>
      <c r="O613" s="95"/>
      <c r="P613" s="33" t="n">
        <v>36.4174232377843</v>
      </c>
      <c r="Q613" s="33" t="n">
        <v>8.5</v>
      </c>
      <c r="R613" s="31" t="n">
        <v>266.449046210344</v>
      </c>
      <c r="S613" s="34" t="s">
        <v>76</v>
      </c>
      <c r="T613" s="35"/>
      <c r="U613" s="35"/>
      <c r="V613" s="35" t="n">
        <v>17.7627059344158</v>
      </c>
      <c r="W613" s="35" t="n">
        <v>16.5166876385284</v>
      </c>
      <c r="X613" s="35" t="n">
        <v>2.56755628981609</v>
      </c>
      <c r="Y613" s="35" t="n">
        <v>5.45401865373778</v>
      </c>
      <c r="Z613" s="35"/>
      <c r="AA613" s="35" t="n">
        <v>0.646871979861923</v>
      </c>
      <c r="AB613" s="35" t="n">
        <v>0.150983000442534</v>
      </c>
      <c r="AC613" s="71" t="n">
        <v>4.7328560543399</v>
      </c>
      <c r="AD613" s="72"/>
      <c r="AE613" s="72"/>
      <c r="AF613" s="72"/>
      <c r="AG613" s="72"/>
      <c r="AH613" s="72"/>
      <c r="AI613" s="73" t="n">
        <v>32.1660577183717</v>
      </c>
      <c r="AJ613" s="42" t="s">
        <v>16</v>
      </c>
      <c r="AK613" s="43" t="n">
        <v>735.746292740586</v>
      </c>
      <c r="AL613" s="74"/>
      <c r="AM613" s="74"/>
      <c r="AN613" s="74"/>
      <c r="AO613" s="78" t="n">
        <v>29.9533333333333</v>
      </c>
      <c r="AP613" s="76" t="n">
        <v>0.94763427363939</v>
      </c>
      <c r="AQ613" s="76" t="n">
        <v>0.953325234855847</v>
      </c>
      <c r="AR613" s="76" t="n">
        <v>1.44090379008746</v>
      </c>
      <c r="AS613" s="77" t="n">
        <v>26.1958474379242</v>
      </c>
      <c r="AT613" s="78" t="n">
        <v>26.6934541566709</v>
      </c>
      <c r="AU613" s="78" t="n">
        <v>31.6370222670617</v>
      </c>
      <c r="AV613" s="78" t="n">
        <v>31.8270165208941</v>
      </c>
      <c r="AW613" s="78" t="n">
        <v>48.1049562682216</v>
      </c>
      <c r="AX613" s="78" t="n">
        <v>26.4525</v>
      </c>
      <c r="AY613" s="48" t="n">
        <v>1.50278084066863</v>
      </c>
      <c r="AZ613" s="48" t="n">
        <v>21.4836723346946</v>
      </c>
      <c r="BA613" s="48" t="n">
        <v>-3.72096640027884</v>
      </c>
      <c r="BB613" s="49" t="n">
        <f aca="false">AT613/V613</f>
        <v>1.50278084066863</v>
      </c>
      <c r="BC613" s="49" t="n">
        <f aca="false">AS613/V613</f>
        <v>1.47476671260818</v>
      </c>
      <c r="BD613" s="49" t="n">
        <f aca="false">SUM(AP613:AR613)/V613</f>
        <v>0.188139313397501</v>
      </c>
      <c r="BE613" s="53" t="n">
        <v>6.33</v>
      </c>
      <c r="BF613" s="51" t="n">
        <v>113.442991141117</v>
      </c>
      <c r="BG613" s="51" t="n">
        <v>586.630556839872</v>
      </c>
      <c r="BH613" s="51" t="n">
        <v>261.510308949692</v>
      </c>
      <c r="BI613" s="51" t="n">
        <v>110.625348514392</v>
      </c>
      <c r="BJ613" s="51" t="n">
        <v>8.27520977350194</v>
      </c>
      <c r="BK613" s="51" t="n">
        <v>11.3590110563876</v>
      </c>
      <c r="BL613" s="51" t="n">
        <v>19.2307116130748</v>
      </c>
      <c r="BM613" s="51" t="n">
        <v>2.3688532530797</v>
      </c>
      <c r="BN613" s="52" t="n">
        <f aca="false">(BG613*0.5-BH613*0.25+BI613*0.5)/SUM(BG613:BI613)*1000</f>
        <v>295.432161890835</v>
      </c>
      <c r="BO613" s="93" t="n">
        <v>2.45616</v>
      </c>
      <c r="BP613" s="94" t="s">
        <v>491</v>
      </c>
      <c r="BQ613" s="55" t="n">
        <v>371.087962962963</v>
      </c>
      <c r="BR613" s="56" t="n">
        <v>20.8914094695431</v>
      </c>
      <c r="BS613" s="56"/>
      <c r="BT613" s="56" t="n">
        <v>13.9018337898479</v>
      </c>
      <c r="BU613" s="55" t="n">
        <v>9920.74074074074</v>
      </c>
      <c r="BV613" s="55" t="n">
        <v>558.515170907548</v>
      </c>
      <c r="BW613" s="55"/>
      <c r="BX613" s="55" t="n">
        <v>371.654439418491</v>
      </c>
      <c r="BY613" s="96" t="n">
        <v>0.07725</v>
      </c>
      <c r="BZ613" s="96" t="n">
        <v>0.7348</v>
      </c>
      <c r="CA613" s="97" t="n">
        <v>3.9996</v>
      </c>
      <c r="CB613" s="97"/>
      <c r="CC613" s="97" t="n">
        <v>4.67</v>
      </c>
      <c r="CD613" s="97" t="n">
        <v>5.2326</v>
      </c>
      <c r="CE613" s="97" t="n">
        <v>87.55</v>
      </c>
      <c r="CF613" s="97" t="n">
        <v>35.802</v>
      </c>
      <c r="CG613" s="97" t="n">
        <v>0.1826</v>
      </c>
      <c r="CH613" s="63" t="n">
        <v>70006.974797848</v>
      </c>
      <c r="CI613" s="63" t="n">
        <v>5701.48957788573</v>
      </c>
      <c r="CJ613" s="64" t="n">
        <v>690146.413773088</v>
      </c>
      <c r="CK613" s="65" t="n">
        <v>0.826127538171967</v>
      </c>
    </row>
    <row r="614" s="1" customFormat="true" ht="15" hidden="false" customHeight="false" outlineLevel="0" collapsed="false">
      <c r="A614" s="7" t="s">
        <v>488</v>
      </c>
      <c r="B614" s="66" t="n">
        <v>605</v>
      </c>
      <c r="C614" s="8" t="s">
        <v>697</v>
      </c>
      <c r="D614" s="67" t="n">
        <v>41915</v>
      </c>
      <c r="E614" s="4" t="s">
        <v>583</v>
      </c>
      <c r="F614" s="7" t="n">
        <v>1906</v>
      </c>
      <c r="G614" s="68" t="n">
        <v>1</v>
      </c>
      <c r="H614" s="68" t="n">
        <v>179</v>
      </c>
      <c r="I614" s="7" t="n">
        <v>1</v>
      </c>
      <c r="J614" s="8" t="n">
        <v>625</v>
      </c>
      <c r="K614" s="32"/>
      <c r="L614" s="31" t="n">
        <v>929.852</v>
      </c>
      <c r="M614" s="31" t="n">
        <v>144.547587473222</v>
      </c>
      <c r="N614" s="31" t="n">
        <v>307.048862593084</v>
      </c>
      <c r="O614" s="95"/>
      <c r="P614" s="33" t="n">
        <v>36.4174232377843</v>
      </c>
      <c r="Q614" s="33" t="n">
        <v>8.5</v>
      </c>
      <c r="R614" s="31" t="n">
        <v>266.449046210344</v>
      </c>
      <c r="S614" s="34" t="s">
        <v>76</v>
      </c>
      <c r="T614" s="35"/>
      <c r="U614" s="35"/>
      <c r="V614" s="35" t="n">
        <v>21.1615954907827</v>
      </c>
      <c r="W614" s="35" t="n">
        <v>19.6771518902953</v>
      </c>
      <c r="X614" s="35" t="n">
        <v>3.05885757527687</v>
      </c>
      <c r="Y614" s="35" t="n">
        <v>6.49764382609977</v>
      </c>
      <c r="Z614" s="35"/>
      <c r="AA614" s="35" t="n">
        <v>0.770650779374624</v>
      </c>
      <c r="AB614" s="35" t="n">
        <v>0.179873561671653</v>
      </c>
      <c r="AC614" s="71" t="n">
        <v>5.63848693480818</v>
      </c>
      <c r="AD614" s="72"/>
      <c r="AE614" s="72"/>
      <c r="AF614" s="72"/>
      <c r="AG614" s="72"/>
      <c r="AH614" s="72"/>
      <c r="AI614" s="73" t="n">
        <v>26.968743542811</v>
      </c>
      <c r="AJ614" s="42" t="s">
        <v>16</v>
      </c>
      <c r="AK614" s="43" t="n">
        <v>684.820318510321</v>
      </c>
      <c r="AL614" s="74"/>
      <c r="AM614" s="74"/>
      <c r="AN614" s="74"/>
      <c r="AO614" s="78" t="n">
        <v>31.25</v>
      </c>
      <c r="AP614" s="76" t="n">
        <v>1.21946070193621</v>
      </c>
      <c r="AQ614" s="76" t="n">
        <v>1.16883807094266</v>
      </c>
      <c r="AR614" s="76" t="n">
        <v>1.58831389698737</v>
      </c>
      <c r="AS614" s="77" t="n">
        <v>30.7919105290431</v>
      </c>
      <c r="AT614" s="78" t="n">
        <v>32.4550360054587</v>
      </c>
      <c r="AU614" s="78" t="n">
        <v>39.0227424619587</v>
      </c>
      <c r="AV614" s="78" t="n">
        <v>37.4028182701652</v>
      </c>
      <c r="AW614" s="78" t="n">
        <v>50.8260447035957</v>
      </c>
      <c r="AX614" s="78" t="n">
        <v>23.09</v>
      </c>
      <c r="AY614" s="48" t="n">
        <v>1.53367623058455</v>
      </c>
      <c r="AZ614" s="48" t="n">
        <v>23.4687304019692</v>
      </c>
      <c r="BA614" s="48" t="n">
        <v>-2.30713491118646</v>
      </c>
      <c r="BB614" s="49" t="n">
        <f aca="false">AT614/V614</f>
        <v>1.53367623058455</v>
      </c>
      <c r="BC614" s="49" t="n">
        <f aca="false">AS614/V614</f>
        <v>1.45508454419021</v>
      </c>
      <c r="BD614" s="49" t="n">
        <f aca="false">SUM(AP614:AR614)/V614</f>
        <v>0.1879164863348</v>
      </c>
      <c r="BE614" s="53" t="n">
        <v>6.44</v>
      </c>
      <c r="BF614" s="51" t="n">
        <v>105.261013591802</v>
      </c>
      <c r="BG614" s="51" t="n">
        <v>599.787445411354</v>
      </c>
      <c r="BH614" s="51" t="n">
        <v>235.777412887258</v>
      </c>
      <c r="BI614" s="51" t="n">
        <v>126.051724035116</v>
      </c>
      <c r="BJ614" s="51" t="n">
        <v>7.81175349760848</v>
      </c>
      <c r="BK614" s="51" t="n">
        <v>13.1673215858694</v>
      </c>
      <c r="BL614" s="51" t="n">
        <v>11.4748026788673</v>
      </c>
      <c r="BM614" s="51" t="n">
        <v>5.92953990392664</v>
      </c>
      <c r="BN614" s="52" t="n">
        <f aca="false">(BG614*0.5-BH614*0.25+BI614*0.5)/SUM(BG614:BI614)*1000</f>
        <v>316.108558323432</v>
      </c>
      <c r="BO614" s="93" t="n">
        <v>0.9996</v>
      </c>
      <c r="BP614" s="94" t="s">
        <v>491</v>
      </c>
      <c r="BQ614" s="55" t="n">
        <v>352.033333333333</v>
      </c>
      <c r="BR614" s="56" t="n">
        <v>16.6354816434643</v>
      </c>
      <c r="BS614" s="56"/>
      <c r="BT614" s="56" t="n">
        <v>10.8468015032898</v>
      </c>
      <c r="BU614" s="55" t="n">
        <v>10636.5141025641</v>
      </c>
      <c r="BV614" s="55" t="n">
        <v>502.632899641097</v>
      </c>
      <c r="BW614" s="55"/>
      <c r="BX614" s="55" t="n">
        <v>327.730774995139</v>
      </c>
      <c r="BY614" s="96" t="n">
        <v>0.07004</v>
      </c>
      <c r="BZ614" s="96" t="n">
        <v>0.6017</v>
      </c>
      <c r="CA614" s="97" t="n">
        <v>3.9895</v>
      </c>
      <c r="CB614" s="97"/>
      <c r="CC614" s="97" t="n">
        <v>3.97</v>
      </c>
      <c r="CD614" s="97" t="n">
        <v>5.9262</v>
      </c>
      <c r="CE614" s="97" t="n">
        <v>84.46</v>
      </c>
      <c r="CF614" s="97" t="n">
        <v>35.496</v>
      </c>
      <c r="CG614" s="97" t="n">
        <v>0.4886</v>
      </c>
      <c r="CH614" s="63" t="n">
        <v>87841.0177038726</v>
      </c>
      <c r="CI614" s="63" t="n">
        <v>6094.13086620072</v>
      </c>
      <c r="CJ614" s="64" t="n">
        <v>514174.639619184</v>
      </c>
      <c r="CK614" s="65" t="n">
        <v>1.1852258739782</v>
      </c>
    </row>
    <row r="615" s="1" customFormat="true" ht="15" hidden="false" customHeight="false" outlineLevel="0" collapsed="false">
      <c r="A615" s="7" t="s">
        <v>488</v>
      </c>
      <c r="B615" s="66" t="n">
        <v>606</v>
      </c>
      <c r="C615" s="8" t="s">
        <v>698</v>
      </c>
      <c r="D615" s="67" t="n">
        <v>41915</v>
      </c>
      <c r="E615" s="4" t="s">
        <v>583</v>
      </c>
      <c r="F615" s="7" t="n">
        <v>1908</v>
      </c>
      <c r="G615" s="68" t="n">
        <v>1</v>
      </c>
      <c r="H615" s="68" t="n">
        <v>187</v>
      </c>
      <c r="I615" s="7" t="n">
        <v>1</v>
      </c>
      <c r="J615" s="8" t="n">
        <v>687</v>
      </c>
      <c r="K615" s="32"/>
      <c r="L615" s="31" t="n">
        <v>929.852</v>
      </c>
      <c r="M615" s="31" t="n">
        <v>144.547587473222</v>
      </c>
      <c r="N615" s="31" t="n">
        <v>307.048862593084</v>
      </c>
      <c r="O615" s="95"/>
      <c r="P615" s="33" t="n">
        <v>36.4174232377843</v>
      </c>
      <c r="Q615" s="33" t="n">
        <v>8.5</v>
      </c>
      <c r="R615" s="31" t="n">
        <v>266.449046210344</v>
      </c>
      <c r="S615" s="34" t="s">
        <v>76</v>
      </c>
      <c r="T615" s="35"/>
      <c r="U615" s="35"/>
      <c r="V615" s="35" t="n">
        <v>19.3747303704776</v>
      </c>
      <c r="W615" s="35" t="n">
        <v>18.0156317844493</v>
      </c>
      <c r="X615" s="35" t="n">
        <v>2.80057053299671</v>
      </c>
      <c r="Y615" s="35" t="n">
        <v>5.94898892330282</v>
      </c>
      <c r="Z615" s="35"/>
      <c r="AA615" s="35" t="n">
        <v>0.705577756019637</v>
      </c>
      <c r="AB615" s="35" t="n">
        <v>0.164685208149059</v>
      </c>
      <c r="AC615" s="71" t="n">
        <v>5.16237842779633</v>
      </c>
      <c r="AD615" s="72"/>
      <c r="AE615" s="72"/>
      <c r="AF615" s="72"/>
      <c r="AG615" s="72"/>
      <c r="AH615" s="72"/>
      <c r="AI615" s="73" t="n">
        <v>31.6470444217275</v>
      </c>
      <c r="AJ615" s="42" t="s">
        <v>16</v>
      </c>
      <c r="AK615" s="43" t="n">
        <v>731.412517177614</v>
      </c>
      <c r="AL615" s="74"/>
      <c r="AM615" s="74"/>
      <c r="AN615" s="74"/>
      <c r="AO615" s="78" t="n">
        <v>28.7533333333333</v>
      </c>
      <c r="AP615" s="76" t="n">
        <v>1.07133323330329</v>
      </c>
      <c r="AQ615" s="76" t="n">
        <v>0.947267249757046</v>
      </c>
      <c r="AR615" s="76" t="n">
        <v>1.487265468092</v>
      </c>
      <c r="AS615" s="77" t="n">
        <v>27.5713318328827</v>
      </c>
      <c r="AT615" s="78" t="n">
        <v>28.3918774273497</v>
      </c>
      <c r="AU615" s="78" t="n">
        <v>37.2594447010187</v>
      </c>
      <c r="AV615" s="78" t="n">
        <v>32.9446064139942</v>
      </c>
      <c r="AW615" s="78" t="n">
        <v>51.7249757045675</v>
      </c>
      <c r="AX615" s="78" t="n">
        <v>29.98375</v>
      </c>
      <c r="AY615" s="48" t="n">
        <v>1.46540761520027</v>
      </c>
      <c r="AZ615" s="48" t="n">
        <v>23.1780088667501</v>
      </c>
      <c r="BA615" s="48" t="n">
        <v>-3.80327849627252</v>
      </c>
      <c r="BB615" s="49" t="n">
        <f aca="false">AT615/V615</f>
        <v>1.46540761520027</v>
      </c>
      <c r="BC615" s="49" t="n">
        <f aca="false">AS615/V615</f>
        <v>1.42305628546422</v>
      </c>
      <c r="BD615" s="49" t="n">
        <f aca="false">SUM(AP615:AR615)/V615</f>
        <v>0.180950438231359</v>
      </c>
      <c r="BE615" s="53" t="n">
        <v>6.2</v>
      </c>
      <c r="BF615" s="51" t="n">
        <v>128.399002755473</v>
      </c>
      <c r="BG615" s="51" t="n">
        <v>587.476324693009</v>
      </c>
      <c r="BH615" s="51" t="n">
        <v>253.175043452959</v>
      </c>
      <c r="BI615" s="51" t="n">
        <v>119.809011370393</v>
      </c>
      <c r="BJ615" s="51" t="n">
        <v>7.81589159941522</v>
      </c>
      <c r="BK615" s="51" t="n">
        <v>12.8206633500737</v>
      </c>
      <c r="BL615" s="51" t="n">
        <v>16.3490002367302</v>
      </c>
      <c r="BM615" s="51" t="n">
        <v>2.55406529741989</v>
      </c>
      <c r="BN615" s="52" t="n">
        <f aca="false">(BG615*0.5-BH615*0.25+BI615*0.5)/SUM(BG615:BI615)*1000</f>
        <v>302.301805843013</v>
      </c>
      <c r="BO615" s="93" t="n">
        <v>3.82704</v>
      </c>
      <c r="BP615" s="94" t="s">
        <v>491</v>
      </c>
      <c r="BQ615" s="55" t="n">
        <v>362.114814814815</v>
      </c>
      <c r="BR615" s="56" t="n">
        <v>18.6900569912751</v>
      </c>
      <c r="BS615" s="56"/>
      <c r="BT615" s="56" t="n">
        <v>12.7541694183982</v>
      </c>
      <c r="BU615" s="55" t="n">
        <v>11059.9802469136</v>
      </c>
      <c r="BV615" s="55" t="n">
        <v>570.845634258029</v>
      </c>
      <c r="BW615" s="55"/>
      <c r="BX615" s="55" t="n">
        <v>389.547337093656</v>
      </c>
      <c r="BY615" s="96" t="n">
        <v>0.08446</v>
      </c>
      <c r="BZ615" s="96" t="n">
        <v>0.8844</v>
      </c>
      <c r="CA615" s="97" t="n">
        <v>3.9491</v>
      </c>
      <c r="CB615" s="97"/>
      <c r="CC615" s="97" t="n">
        <v>5.88</v>
      </c>
      <c r="CD615" s="97" t="n">
        <v>4.8756</v>
      </c>
      <c r="CE615" s="97" t="n">
        <v>90.64</v>
      </c>
      <c r="CF615" s="97" t="n">
        <v>35.904</v>
      </c>
      <c r="CG615" s="97" t="n">
        <v>0.0806</v>
      </c>
      <c r="CH615" s="63" t="n">
        <v>63409.7838667366</v>
      </c>
      <c r="CI615" s="63" t="n">
        <v>3873.15170842189</v>
      </c>
      <c r="CJ615" s="64" t="n">
        <v>385225.416921739</v>
      </c>
      <c r="CK615" s="65" t="n">
        <v>1.00542475607438</v>
      </c>
    </row>
    <row r="616" s="1" customFormat="true" ht="15" hidden="false" customHeight="false" outlineLevel="0" collapsed="false">
      <c r="A616" s="7" t="s">
        <v>488</v>
      </c>
      <c r="B616" s="66" t="n">
        <v>607</v>
      </c>
      <c r="C616" s="8" t="s">
        <v>699</v>
      </c>
      <c r="D616" s="67" t="n">
        <v>41915</v>
      </c>
      <c r="E616" s="4" t="s">
        <v>583</v>
      </c>
      <c r="F616" s="7" t="n">
        <v>1911</v>
      </c>
      <c r="G616" s="68" t="n">
        <v>1</v>
      </c>
      <c r="H616" s="68" t="n">
        <v>184</v>
      </c>
      <c r="I616" s="7" t="n">
        <v>1</v>
      </c>
      <c r="J616" s="8" t="n">
        <v>635</v>
      </c>
      <c r="K616" s="32"/>
      <c r="L616" s="31" t="n">
        <v>929.852</v>
      </c>
      <c r="M616" s="31" t="n">
        <v>144.547587473222</v>
      </c>
      <c r="N616" s="31" t="n">
        <v>307.048862593084</v>
      </c>
      <c r="O616" s="95"/>
      <c r="P616" s="33" t="n">
        <v>36.4174232377843</v>
      </c>
      <c r="Q616" s="33" t="n">
        <v>8.5</v>
      </c>
      <c r="R616" s="31" t="n">
        <v>266.449046210344</v>
      </c>
      <c r="S616" s="34" t="s">
        <v>76</v>
      </c>
      <c r="T616" s="35"/>
      <c r="U616" s="35"/>
      <c r="V616" s="35" t="n">
        <v>16.0446911202618</v>
      </c>
      <c r="W616" s="35" t="n">
        <v>14.9191881275577</v>
      </c>
      <c r="X616" s="35" t="n">
        <v>2.31922139318688</v>
      </c>
      <c r="Y616" s="35" t="n">
        <v>4.92650415913374</v>
      </c>
      <c r="Z616" s="35"/>
      <c r="AA616" s="35" t="n">
        <v>0.584306307246094</v>
      </c>
      <c r="AB616" s="35" t="n">
        <v>0.136379874522225</v>
      </c>
      <c r="AC616" s="71" t="n">
        <v>4.27509264573333</v>
      </c>
      <c r="AD616" s="72"/>
      <c r="AE616" s="72"/>
      <c r="AF616" s="72"/>
      <c r="AG616" s="72"/>
      <c r="AH616" s="72"/>
      <c r="AI616" s="73" t="n">
        <v>29.8681542869955</v>
      </c>
      <c r="AJ616" s="42" t="s">
        <v>16</v>
      </c>
      <c r="AK616" s="43" t="n">
        <v>715.415960479993</v>
      </c>
      <c r="AL616" s="74"/>
      <c r="AM616" s="74"/>
      <c r="AN616" s="74"/>
      <c r="AO616" s="78" t="n">
        <v>31.235</v>
      </c>
      <c r="AP616" s="76" t="n">
        <v>1.15940663013611</v>
      </c>
      <c r="AQ616" s="76" t="n">
        <v>0.98121610787172</v>
      </c>
      <c r="AR616" s="76" t="n">
        <v>1.50521434645287</v>
      </c>
      <c r="AS616" s="77" t="n">
        <v>29.8850994520416</v>
      </c>
      <c r="AT616" s="78" t="n">
        <v>29.8386985780379</v>
      </c>
      <c r="AU616" s="78" t="n">
        <v>37.1188292023726</v>
      </c>
      <c r="AV616" s="78" t="n">
        <v>31.4139941690962</v>
      </c>
      <c r="AW616" s="78" t="n">
        <v>48.189990281827</v>
      </c>
      <c r="AX616" s="78" t="n">
        <v>25.30375</v>
      </c>
      <c r="AY616" s="48" t="n">
        <v>1.85972408906997</v>
      </c>
      <c r="AZ616" s="48" t="n">
        <v>23.2879230928536</v>
      </c>
      <c r="BA616" s="48" t="n">
        <v>-7.24323197259183</v>
      </c>
      <c r="BB616" s="49" t="n">
        <f aca="false">AT616/V616</f>
        <v>1.85972408906997</v>
      </c>
      <c r="BC616" s="49" t="n">
        <f aca="false">AS616/V616</f>
        <v>1.8626160658401</v>
      </c>
      <c r="BD616" s="49" t="n">
        <f aca="false">SUM(AP616:AR616)/V616</f>
        <v>0.227230119740766</v>
      </c>
      <c r="BE616" s="53" t="n">
        <v>6.38</v>
      </c>
      <c r="BF616" s="51" t="n">
        <v>113.904624332883</v>
      </c>
      <c r="BG616" s="51" t="n">
        <v>588.149326647875</v>
      </c>
      <c r="BH616" s="51" t="n">
        <v>241.257321476788</v>
      </c>
      <c r="BI616" s="51" t="n">
        <v>127.229865895326</v>
      </c>
      <c r="BJ616" s="51" t="n">
        <v>8.01775467830149</v>
      </c>
      <c r="BK616" s="51" t="n">
        <v>12.3195449290567</v>
      </c>
      <c r="BL616" s="51" t="n">
        <v>19.4278320039316</v>
      </c>
      <c r="BM616" s="51" t="n">
        <v>3.59835436872001</v>
      </c>
      <c r="BN616" s="52" t="n">
        <f aca="false">(BG616*0.5-BH616*0.25+BI616*0.5)/SUM(BG616:BI616)*1000</f>
        <v>310.855023349224</v>
      </c>
      <c r="BO616" s="93" t="n">
        <v>2.5704</v>
      </c>
      <c r="BP616" s="94" t="s">
        <v>491</v>
      </c>
      <c r="BQ616" s="55" t="n">
        <v>341.345977011494</v>
      </c>
      <c r="BR616" s="56" t="n">
        <v>21.2746991794956</v>
      </c>
      <c r="BS616" s="56"/>
      <c r="BT616" s="56" t="n">
        <v>11.4397072686921</v>
      </c>
      <c r="BU616" s="55" t="n">
        <v>10490.0936781609</v>
      </c>
      <c r="BV616" s="55" t="n">
        <v>653.804650992231</v>
      </c>
      <c r="BW616" s="55"/>
      <c r="BX616" s="55" t="n">
        <v>351.560027014111</v>
      </c>
      <c r="BY616" s="96" t="n">
        <v>0.05253</v>
      </c>
      <c r="BZ616" s="96" t="n">
        <v>0.9515</v>
      </c>
      <c r="CA616" s="97" t="n">
        <v>3.838</v>
      </c>
      <c r="CB616" s="97"/>
      <c r="CC616" s="97" t="n">
        <v>5.22</v>
      </c>
      <c r="CD616" s="97" t="n">
        <v>4.233</v>
      </c>
      <c r="CE616" s="97" t="n">
        <v>84.46</v>
      </c>
      <c r="CF616" s="97" t="n">
        <v>37.6584</v>
      </c>
      <c r="CG616" s="97" t="n">
        <v>0.1214</v>
      </c>
      <c r="CH616" s="63" t="n">
        <v>77530.2690556303</v>
      </c>
      <c r="CI616" s="63" t="n">
        <v>5710.75572101096</v>
      </c>
      <c r="CJ616" s="64" t="n">
        <v>527928.462759024</v>
      </c>
      <c r="CK616" s="65" t="n">
        <v>1.08172908336213</v>
      </c>
    </row>
    <row r="617" s="1" customFormat="true" ht="15" hidden="false" customHeight="false" outlineLevel="0" collapsed="false">
      <c r="A617" s="7" t="s">
        <v>488</v>
      </c>
      <c r="B617" s="66" t="n">
        <v>608</v>
      </c>
      <c r="C617" s="8" t="s">
        <v>700</v>
      </c>
      <c r="D617" s="67" t="n">
        <v>41915</v>
      </c>
      <c r="E617" s="4" t="s">
        <v>583</v>
      </c>
      <c r="F617" s="7" t="n">
        <v>1930</v>
      </c>
      <c r="G617" s="68" t="n">
        <v>1</v>
      </c>
      <c r="H617" s="68" t="n">
        <v>184</v>
      </c>
      <c r="I617" s="7" t="n">
        <v>1</v>
      </c>
      <c r="J617" s="8" t="n">
        <v>614</v>
      </c>
      <c r="K617" s="32"/>
      <c r="L617" s="31" t="n">
        <v>929.852</v>
      </c>
      <c r="M617" s="31" t="n">
        <v>144.547587473222</v>
      </c>
      <c r="N617" s="31" t="n">
        <v>307.048862593084</v>
      </c>
      <c r="O617" s="95"/>
      <c r="P617" s="33" t="n">
        <v>36.4174232377843</v>
      </c>
      <c r="Q617" s="33" t="n">
        <v>8.5</v>
      </c>
      <c r="R617" s="31" t="n">
        <v>266.449046210344</v>
      </c>
      <c r="S617" s="34" t="s">
        <v>76</v>
      </c>
      <c r="T617" s="35"/>
      <c r="U617" s="35"/>
      <c r="V617" s="35" t="n">
        <v>15.3887513718321</v>
      </c>
      <c r="W617" s="35" t="n">
        <v>14.3092612406008</v>
      </c>
      <c r="X617" s="35" t="n">
        <v>2.22440688502357</v>
      </c>
      <c r="Y617" s="35" t="n">
        <v>4.7250986054488</v>
      </c>
      <c r="Z617" s="35"/>
      <c r="AA617" s="35" t="n">
        <v>0.560418671809044</v>
      </c>
      <c r="AB617" s="35" t="n">
        <v>0.130804386660573</v>
      </c>
      <c r="AC617" s="71" t="n">
        <v>4.10031812539278</v>
      </c>
      <c r="AD617" s="72"/>
      <c r="AE617" s="72"/>
      <c r="AF617" s="72"/>
      <c r="AG617" s="72"/>
      <c r="AH617" s="72"/>
      <c r="AI617" s="73" t="n">
        <v>27.8935094632583</v>
      </c>
      <c r="AJ617" s="42" t="s">
        <v>16</v>
      </c>
      <c r="AK617" s="43" t="n">
        <v>695.269610616896</v>
      </c>
      <c r="AL617" s="74"/>
      <c r="AM617" s="74"/>
      <c r="AN617" s="74"/>
      <c r="AO617" s="78" t="n">
        <v>37.1333333333333</v>
      </c>
      <c r="AP617" s="76" t="n">
        <v>1.03719609644023</v>
      </c>
      <c r="AQ617" s="76" t="n">
        <v>1.11012066731454</v>
      </c>
      <c r="AR617" s="76" t="n">
        <v>1.7700583090379</v>
      </c>
      <c r="AS617" s="77" t="n">
        <v>30.4112747799367</v>
      </c>
      <c r="AT617" s="78" t="n">
        <v>30.7754633994139</v>
      </c>
      <c r="AU617" s="78" t="n">
        <v>27.9316722560205</v>
      </c>
      <c r="AV617" s="78" t="n">
        <v>29.8955296404276</v>
      </c>
      <c r="AW617" s="78" t="n">
        <v>47.667638483965</v>
      </c>
      <c r="AX617" s="78" t="n">
        <v>19.69125</v>
      </c>
      <c r="AY617" s="48" t="n">
        <v>1.99986747825077</v>
      </c>
      <c r="AZ617" s="48" t="n">
        <v>23.1790220026048</v>
      </c>
      <c r="BA617" s="48" t="n">
        <v>-7.79027063077275</v>
      </c>
      <c r="BB617" s="49" t="n">
        <f aca="false">AT617/V617</f>
        <v>1.99986747825077</v>
      </c>
      <c r="BC617" s="49" t="n">
        <f aca="false">AS617/V617</f>
        <v>1.97620158030509</v>
      </c>
      <c r="BD617" s="49" t="n">
        <f aca="false">SUM(AP617:AR617)/V617</f>
        <v>0.254560943778916</v>
      </c>
      <c r="BE617" s="53" t="n">
        <v>6.51</v>
      </c>
      <c r="BF617" s="51" t="n">
        <v>103.802141346408</v>
      </c>
      <c r="BG617" s="51" t="n">
        <v>582.987014139417</v>
      </c>
      <c r="BH617" s="51" t="n">
        <v>262.930198017223</v>
      </c>
      <c r="BI617" s="51" t="n">
        <v>114.823248444193</v>
      </c>
      <c r="BJ617" s="51" t="n">
        <v>8.14623052807623</v>
      </c>
      <c r="BK617" s="51" t="n">
        <v>12.6572345496279</v>
      </c>
      <c r="BL617" s="51" t="n">
        <v>15.6931809287293</v>
      </c>
      <c r="BM617" s="51" t="n">
        <v>2.76289339273387</v>
      </c>
      <c r="BN617" s="52" t="n">
        <f aca="false">(BG617*0.5-BH617*0.25+BI617*0.5)/SUM(BG617:BI617)*1000</f>
        <v>294.744099369363</v>
      </c>
      <c r="BO617" s="93" t="n">
        <v>3.08448</v>
      </c>
      <c r="BP617" s="94" t="s">
        <v>491</v>
      </c>
      <c r="BQ617" s="55" t="n">
        <v>268.30641025641</v>
      </c>
      <c r="BR617" s="56" t="n">
        <v>17.4352293940835</v>
      </c>
      <c r="BS617" s="56"/>
      <c r="BT617" s="56" t="n">
        <v>8.71819237209342</v>
      </c>
      <c r="BU617" s="55" t="n">
        <v>9553.46282051282</v>
      </c>
      <c r="BV617" s="55" t="n">
        <v>620.808185776507</v>
      </c>
      <c r="BW617" s="55"/>
      <c r="BX617" s="55" t="n">
        <v>310.424661897854</v>
      </c>
      <c r="BY617" s="96" t="n">
        <v>0.04944</v>
      </c>
      <c r="BZ617" s="96" t="n">
        <v>0.407</v>
      </c>
      <c r="CA617" s="97" t="n">
        <v>4.3935</v>
      </c>
      <c r="CB617" s="97"/>
      <c r="CC617" s="97" t="n">
        <v>4.56</v>
      </c>
      <c r="CD617" s="97" t="n">
        <v>6.4158</v>
      </c>
      <c r="CE617" s="97" t="n">
        <v>95.79</v>
      </c>
      <c r="CF617" s="97" t="n">
        <v>36.4548</v>
      </c>
      <c r="CG617" s="97" t="n">
        <v>0.2132</v>
      </c>
      <c r="CH617" s="63" t="n">
        <v>84721.8457269905</v>
      </c>
      <c r="CI617" s="63" t="n">
        <v>8251.45789453063</v>
      </c>
      <c r="CJ617" s="64" t="n">
        <v>673739.145790095</v>
      </c>
      <c r="CK617" s="65" t="n">
        <v>1.2247259115179</v>
      </c>
    </row>
    <row r="618" s="1" customFormat="true" ht="15" hidden="false" customHeight="false" outlineLevel="0" collapsed="false">
      <c r="A618" s="7" t="s">
        <v>488</v>
      </c>
      <c r="B618" s="66" t="n">
        <v>609</v>
      </c>
      <c r="C618" s="8" t="s">
        <v>701</v>
      </c>
      <c r="D618" s="67" t="n">
        <v>41915</v>
      </c>
      <c r="E618" s="4" t="s">
        <v>583</v>
      </c>
      <c r="F618" s="7" t="n">
        <v>1936</v>
      </c>
      <c r="G618" s="68" t="n">
        <v>1</v>
      </c>
      <c r="H618" s="68" t="n">
        <v>177</v>
      </c>
      <c r="I618" s="7" t="n">
        <v>1</v>
      </c>
      <c r="J618" s="8" t="n">
        <v>677</v>
      </c>
      <c r="K618" s="32"/>
      <c r="L618" s="31" t="n">
        <v>929.852</v>
      </c>
      <c r="M618" s="31" t="n">
        <v>144.547587473222</v>
      </c>
      <c r="N618" s="31" t="n">
        <v>307.048862593084</v>
      </c>
      <c r="O618" s="95"/>
      <c r="P618" s="33" t="n">
        <v>36.4174232377843</v>
      </c>
      <c r="Q618" s="33" t="n">
        <v>8.5</v>
      </c>
      <c r="R618" s="31" t="n">
        <v>266.449046210344</v>
      </c>
      <c r="S618" s="34" t="s">
        <v>76</v>
      </c>
      <c r="T618" s="35"/>
      <c r="U618" s="35"/>
      <c r="V618" s="35" t="n">
        <v>19.1030212749662</v>
      </c>
      <c r="W618" s="35" t="n">
        <v>17.7629825385699</v>
      </c>
      <c r="X618" s="35" t="n">
        <v>2.76129563874601</v>
      </c>
      <c r="Y618" s="35" t="n">
        <v>5.86556095456986</v>
      </c>
      <c r="Z618" s="35"/>
      <c r="AA618" s="35" t="n">
        <v>0.695682810890844</v>
      </c>
      <c r="AB618" s="35" t="n">
        <v>0.162375680837213</v>
      </c>
      <c r="AC618" s="71" t="n">
        <v>5.08998179845066</v>
      </c>
      <c r="AD618" s="72"/>
      <c r="AE618" s="72"/>
      <c r="AF618" s="72"/>
      <c r="AG618" s="72"/>
      <c r="AH618" s="72"/>
      <c r="AI618" s="73" t="n">
        <v>31.1397031320963</v>
      </c>
      <c r="AJ618" s="42" t="s">
        <v>16</v>
      </c>
      <c r="AK618" s="43" t="n">
        <v>727.036575655762</v>
      </c>
      <c r="AL618" s="74"/>
      <c r="AM618" s="74"/>
      <c r="AN618" s="74"/>
      <c r="AO618" s="78" t="n">
        <v>32.6533333333333</v>
      </c>
      <c r="AP618" s="76" t="n">
        <v>1.14936437323425</v>
      </c>
      <c r="AQ618" s="76" t="n">
        <v>1.10510430839002</v>
      </c>
      <c r="AR618" s="76" t="n">
        <v>1.5327074829932</v>
      </c>
      <c r="AS618" s="77" t="n">
        <v>30.301798931847</v>
      </c>
      <c r="AT618" s="78" t="n">
        <v>30.8251864734451</v>
      </c>
      <c r="AU618" s="78" t="n">
        <v>35.1989906053771</v>
      </c>
      <c r="AV618" s="78" t="n">
        <v>33.843537414966</v>
      </c>
      <c r="AW618" s="78" t="n">
        <v>46.9387755102041</v>
      </c>
      <c r="AX618" s="78" t="n">
        <v>26.31375</v>
      </c>
      <c r="AY618" s="48" t="n">
        <v>1.61362886162098</v>
      </c>
      <c r="AZ618" s="48" t="n">
        <v>24.0268388248693</v>
      </c>
      <c r="BA618" s="48" t="n">
        <v>-4.9238175499031</v>
      </c>
      <c r="BB618" s="49" t="n">
        <f aca="false">AT618/V618</f>
        <v>1.61362886162098</v>
      </c>
      <c r="BC618" s="49" t="n">
        <f aca="false">AS618/V618</f>
        <v>1.58623070642529</v>
      </c>
      <c r="BD618" s="49" t="n">
        <f aca="false">SUM(AP618:AR618)/V618</f>
        <v>0.198250115000417</v>
      </c>
      <c r="BE618" s="53" t="n">
        <v>6.5</v>
      </c>
      <c r="BF618" s="51" t="n">
        <v>95.1650353464083</v>
      </c>
      <c r="BG618" s="51" t="n">
        <v>636.218383351981</v>
      </c>
      <c r="BH618" s="51" t="n">
        <v>207.087742229778</v>
      </c>
      <c r="BI618" s="51" t="n">
        <v>112.27706981205</v>
      </c>
      <c r="BJ618" s="51" t="n">
        <v>9.5318716548645</v>
      </c>
      <c r="BK618" s="51" t="n">
        <v>11.6519140330843</v>
      </c>
      <c r="BL618" s="51" t="n">
        <v>18.5806274986939</v>
      </c>
      <c r="BM618" s="51" t="n">
        <v>4.65239141954848</v>
      </c>
      <c r="BN618" s="52" t="n">
        <f aca="false">(BG618*0.5-BH618*0.25+BI618*0.5)/SUM(BG618:BI618)*1000</f>
        <v>337.464903714296</v>
      </c>
      <c r="BO618" s="93" t="n">
        <v>2.19912</v>
      </c>
      <c r="BP618" s="94" t="s">
        <v>491</v>
      </c>
      <c r="BQ618" s="55" t="n">
        <v>397.057142857143</v>
      </c>
      <c r="BR618" s="56" t="n">
        <v>20.7850442682316</v>
      </c>
      <c r="BS618" s="56"/>
      <c r="BT618" s="56" t="n">
        <v>12.8809323894665</v>
      </c>
      <c r="BU618" s="55" t="n">
        <v>10826.2152380952</v>
      </c>
      <c r="BV618" s="55" t="n">
        <v>566.727905615777</v>
      </c>
      <c r="BW618" s="55"/>
      <c r="BX618" s="55" t="n">
        <v>351.213292656694</v>
      </c>
      <c r="BY618" s="96" t="n">
        <v>0.05665</v>
      </c>
      <c r="BZ618" s="96" t="n">
        <v>0.4763</v>
      </c>
      <c r="CA618" s="97" t="n">
        <v>4.1814</v>
      </c>
      <c r="CB618" s="97"/>
      <c r="CC618" s="97" t="n">
        <v>4.85</v>
      </c>
      <c r="CD618" s="97" t="n">
        <v>7.1298</v>
      </c>
      <c r="CE618" s="97" t="n">
        <v>88.58</v>
      </c>
      <c r="CF618" s="97" t="n">
        <v>35.19</v>
      </c>
      <c r="CG618" s="97" t="n">
        <v>0.101</v>
      </c>
      <c r="CH618" s="63" t="n">
        <v>73392.1174957929</v>
      </c>
      <c r="CI618" s="63" t="n">
        <v>3277.75156083066</v>
      </c>
      <c r="CJ618" s="64" t="n">
        <v>134948.581900986</v>
      </c>
      <c r="CK618" s="65" t="n">
        <v>2.42888922184866</v>
      </c>
    </row>
    <row r="619" s="1" customFormat="true" ht="15" hidden="false" customHeight="false" outlineLevel="0" collapsed="false">
      <c r="A619" s="7" t="s">
        <v>488</v>
      </c>
      <c r="B619" s="66" t="n">
        <v>610</v>
      </c>
      <c r="C619" s="8" t="s">
        <v>702</v>
      </c>
      <c r="D619" s="67" t="n">
        <v>41915</v>
      </c>
      <c r="E619" s="4" t="s">
        <v>583</v>
      </c>
      <c r="F619" s="7" t="n">
        <v>1938</v>
      </c>
      <c r="G619" s="68" t="n">
        <v>1</v>
      </c>
      <c r="H619" s="68" t="n">
        <v>184</v>
      </c>
      <c r="I619" s="7" t="n">
        <v>1</v>
      </c>
      <c r="J619" s="8" t="n">
        <v>604</v>
      </c>
      <c r="K619" s="32"/>
      <c r="L619" s="31" t="n">
        <v>929.852</v>
      </c>
      <c r="M619" s="31" t="n">
        <v>144.547587473222</v>
      </c>
      <c r="N619" s="31" t="n">
        <v>307.048862593084</v>
      </c>
      <c r="O619" s="95"/>
      <c r="P619" s="33" t="n">
        <v>36.4174232377843</v>
      </c>
      <c r="Q619" s="33" t="n">
        <v>8.5</v>
      </c>
      <c r="R619" s="31" t="n">
        <v>266.449046210344</v>
      </c>
      <c r="S619" s="34" t="s">
        <v>76</v>
      </c>
      <c r="T619" s="35"/>
      <c r="U619" s="35"/>
      <c r="V619" s="35" t="n">
        <v>19.7485037870436</v>
      </c>
      <c r="W619" s="35" t="n">
        <v>18.3631857433901</v>
      </c>
      <c r="X619" s="35" t="n">
        <v>2.85459857862295</v>
      </c>
      <c r="Y619" s="35" t="n">
        <v>6.06375562572695</v>
      </c>
      <c r="Z619" s="35"/>
      <c r="AA619" s="35" t="n">
        <v>0.719189620725754</v>
      </c>
      <c r="AB619" s="35" t="n">
        <v>0.167862282189871</v>
      </c>
      <c r="AC619" s="71" t="n">
        <v>5.26196999813913</v>
      </c>
      <c r="AD619" s="72"/>
      <c r="AE619" s="72"/>
      <c r="AF619" s="72"/>
      <c r="AG619" s="72"/>
      <c r="AH619" s="72"/>
      <c r="AI619" s="73" t="n">
        <v>28.0465861872</v>
      </c>
      <c r="AJ619" s="42" t="s">
        <v>16</v>
      </c>
      <c r="AK619" s="43" t="n">
        <v>696.932812312136</v>
      </c>
      <c r="AL619" s="74"/>
      <c r="AM619" s="74"/>
      <c r="AN619" s="74"/>
      <c r="AO619" s="78" t="n">
        <v>28.55</v>
      </c>
      <c r="AP619" s="76" t="n">
        <v>1.18804805006282</v>
      </c>
      <c r="AQ619" s="76" t="n">
        <v>0.974209791059281</v>
      </c>
      <c r="AR619" s="76" t="n">
        <v>1.3775583090379</v>
      </c>
      <c r="AS619" s="77" t="n">
        <v>29.2407207509423</v>
      </c>
      <c r="AT619" s="78" t="n">
        <v>29.4439225135438</v>
      </c>
      <c r="AU619" s="78" t="n">
        <v>41.6128914207644</v>
      </c>
      <c r="AV619" s="78" t="n">
        <v>34.122934888241</v>
      </c>
      <c r="AW619" s="78" t="n">
        <v>48.2507288629738</v>
      </c>
      <c r="AX619" s="78" t="n">
        <v>18.48125</v>
      </c>
      <c r="AY619" s="48" t="n">
        <v>1.49094447007479</v>
      </c>
      <c r="AZ619" s="48" t="n">
        <v>22.5992792582782</v>
      </c>
      <c r="BA619" s="48" t="n">
        <v>-2.85077547123461</v>
      </c>
      <c r="BB619" s="49" t="n">
        <f aca="false">AT619/V619</f>
        <v>1.49094447007479</v>
      </c>
      <c r="BC619" s="49" t="n">
        <f aca="false">AS619/V619</f>
        <v>1.48065499372799</v>
      </c>
      <c r="BD619" s="49" t="n">
        <f aca="false">SUM(AP619:AR619)/V619</f>
        <v>0.179244776633781</v>
      </c>
      <c r="BE619" s="53" t="n">
        <v>6.19</v>
      </c>
      <c r="BF619" s="51" t="n">
        <v>118.9421602317</v>
      </c>
      <c r="BG619" s="51" t="n">
        <v>567.004070882417</v>
      </c>
      <c r="BH619" s="51" t="n">
        <v>293.906313242467</v>
      </c>
      <c r="BI619" s="51" t="n">
        <v>105.409606594761</v>
      </c>
      <c r="BJ619" s="51" t="n">
        <v>6.55741189002103</v>
      </c>
      <c r="BK619" s="51" t="n">
        <v>10.9625608133155</v>
      </c>
      <c r="BL619" s="51" t="n">
        <v>14.0627063692295</v>
      </c>
      <c r="BM619" s="51" t="n">
        <v>2.09733020778865</v>
      </c>
      <c r="BN619" s="52" t="n">
        <f aca="false">(BG619*0.5-BH619*0.25+BI619*0.5)/SUM(BG619:BI619)*1000</f>
        <v>271.887431649127</v>
      </c>
      <c r="BO619" s="93" t="n">
        <v>1.88496</v>
      </c>
      <c r="BP619" s="94" t="s">
        <v>491</v>
      </c>
      <c r="BQ619" s="55" t="n">
        <v>347.904865424431</v>
      </c>
      <c r="BR619" s="56" t="n">
        <v>17.6167708286174</v>
      </c>
      <c r="BS619" s="56"/>
      <c r="BT619" s="56" t="n">
        <v>11.8158463861056</v>
      </c>
      <c r="BU619" s="55" t="n">
        <v>10849.950931677</v>
      </c>
      <c r="BV619" s="55" t="n">
        <v>549.406225842554</v>
      </c>
      <c r="BW619" s="55"/>
      <c r="BX619" s="55" t="n">
        <v>368.495431499869</v>
      </c>
      <c r="BY619" s="96" t="n">
        <v>0.05871</v>
      </c>
      <c r="BZ619" s="96" t="n">
        <v>0.4774</v>
      </c>
      <c r="CA619" s="97" t="n">
        <v>3.9794</v>
      </c>
      <c r="CB619" s="97"/>
      <c r="CC619" s="97" t="n">
        <v>3.3</v>
      </c>
      <c r="CD619" s="97" t="n">
        <v>3.9882</v>
      </c>
      <c r="CE619" s="97" t="n">
        <v>76.22</v>
      </c>
      <c r="CF619" s="97" t="n">
        <v>30.3858</v>
      </c>
      <c r="CG619" s="97" t="n">
        <v>0.7436</v>
      </c>
      <c r="CH619" s="63" t="n">
        <v>84252.8021509361</v>
      </c>
      <c r="CI619" s="63" t="n">
        <v>8477.56224752006</v>
      </c>
      <c r="CJ619" s="64" t="n">
        <v>415331.296968606</v>
      </c>
      <c r="CK619" s="65" t="n">
        <v>2.04115661627129</v>
      </c>
    </row>
    <row r="620" s="1" customFormat="true" ht="15" hidden="false" customHeight="false" outlineLevel="0" collapsed="false">
      <c r="A620" s="7" t="s">
        <v>488</v>
      </c>
      <c r="B620" s="66" t="n">
        <v>611</v>
      </c>
      <c r="C620" s="8" t="s">
        <v>703</v>
      </c>
      <c r="D620" s="67" t="n">
        <v>41915</v>
      </c>
      <c r="E620" s="4" t="s">
        <v>583</v>
      </c>
      <c r="F620" s="7" t="n">
        <v>1940</v>
      </c>
      <c r="G620" s="68" t="n">
        <v>1</v>
      </c>
      <c r="H620" s="68" t="n">
        <v>170</v>
      </c>
      <c r="I620" s="7" t="n">
        <v>1</v>
      </c>
      <c r="J620" s="8" t="n">
        <v>719</v>
      </c>
      <c r="K620" s="32"/>
      <c r="L620" s="31" t="n">
        <v>929.852</v>
      </c>
      <c r="M620" s="31" t="n">
        <v>144.547587473222</v>
      </c>
      <c r="N620" s="31" t="n">
        <v>307.048862593084</v>
      </c>
      <c r="O620" s="95"/>
      <c r="P620" s="33" t="n">
        <v>36.4174232377843</v>
      </c>
      <c r="Q620" s="33" t="n">
        <v>8.5</v>
      </c>
      <c r="R620" s="31" t="n">
        <v>266.449046210344</v>
      </c>
      <c r="S620" s="34" t="s">
        <v>76</v>
      </c>
      <c r="T620" s="35"/>
      <c r="U620" s="35"/>
      <c r="V620" s="35" t="n">
        <v>18.6634933580925</v>
      </c>
      <c r="W620" s="35" t="n">
        <v>17.354286626009</v>
      </c>
      <c r="X620" s="35" t="n">
        <v>2.69776293873478</v>
      </c>
      <c r="Y620" s="35" t="n">
        <v>5.73060440761587</v>
      </c>
      <c r="Z620" s="35"/>
      <c r="AA620" s="35" t="n">
        <v>0.679676336717231</v>
      </c>
      <c r="AB620" s="35" t="n">
        <v>0.158639693543786</v>
      </c>
      <c r="AC620" s="71" t="n">
        <v>4.97287000421683</v>
      </c>
      <c r="AD620" s="72"/>
      <c r="AE620" s="72"/>
      <c r="AF620" s="72"/>
      <c r="AG620" s="72"/>
      <c r="AH620" s="72"/>
      <c r="AI620" s="73" t="n">
        <v>32.375168943719</v>
      </c>
      <c r="AJ620" s="42" t="s">
        <v>16</v>
      </c>
      <c r="AK620" s="43" t="n">
        <v>737.453107510376</v>
      </c>
      <c r="AL620" s="74"/>
      <c r="AM620" s="74"/>
      <c r="AN620" s="74"/>
      <c r="AO620" s="78" t="n">
        <v>32.9533333333333</v>
      </c>
      <c r="AP620" s="76" t="n">
        <v>0.945129914071681</v>
      </c>
      <c r="AQ620" s="76" t="n">
        <v>1.07042290249433</v>
      </c>
      <c r="AR620" s="76" t="n">
        <v>1.65767436022028</v>
      </c>
      <c r="AS620" s="77" t="n">
        <v>27.3582820444085</v>
      </c>
      <c r="AT620" s="78" t="n">
        <v>28.7269993208126</v>
      </c>
      <c r="AU620" s="78" t="n">
        <v>28.6808592172268</v>
      </c>
      <c r="AV620" s="78" t="n">
        <v>32.4829931972789</v>
      </c>
      <c r="AW620" s="78" t="n">
        <v>50.3036929057337</v>
      </c>
      <c r="AX620" s="78" t="n">
        <v>21.0025</v>
      </c>
      <c r="AY620" s="48" t="n">
        <v>1.53920805551425</v>
      </c>
      <c r="AZ620" s="48" t="n">
        <v>23.5077885088236</v>
      </c>
      <c r="BA620" s="48" t="n">
        <v>-4.84429515073112</v>
      </c>
      <c r="BB620" s="49" t="n">
        <f aca="false">AT620/V620</f>
        <v>1.53920805551425</v>
      </c>
      <c r="BC620" s="49" t="n">
        <f aca="false">AS620/V620</f>
        <v>1.46587144858098</v>
      </c>
      <c r="BD620" s="49" t="n">
        <f aca="false">SUM(AP620:AR620)/V620</f>
        <v>0.196813485359298</v>
      </c>
      <c r="BE620" s="53" t="n">
        <v>6.83</v>
      </c>
      <c r="BF620" s="51" t="n">
        <v>93.1311334444043</v>
      </c>
      <c r="BG620" s="51" t="n">
        <v>562.681827750779</v>
      </c>
      <c r="BH620" s="51" t="n">
        <v>294.376704634378</v>
      </c>
      <c r="BI620" s="51" t="n">
        <v>103.530988703397</v>
      </c>
      <c r="BJ620" s="51" t="n">
        <v>7.23920298128425</v>
      </c>
      <c r="BK620" s="51" t="n">
        <v>14.1270747160661</v>
      </c>
      <c r="BL620" s="51" t="n">
        <v>16.0660518768041</v>
      </c>
      <c r="BM620" s="51" t="n">
        <v>1.97814933729178</v>
      </c>
      <c r="BN620" s="52" t="n">
        <f aca="false">(BG620*0.5-BH620*0.25+BI620*0.5)/SUM(BG620:BI620)*1000</f>
        <v>270.159341082974</v>
      </c>
      <c r="BO620" s="93" t="n">
        <v>3.31296</v>
      </c>
      <c r="BP620" s="94" t="s">
        <v>491</v>
      </c>
      <c r="BQ620" s="55" t="n">
        <v>347.577040816327</v>
      </c>
      <c r="BR620" s="56" t="n">
        <v>18.6233645624342</v>
      </c>
      <c r="BS620" s="56"/>
      <c r="BT620" s="56" t="n">
        <v>12.0993159408929</v>
      </c>
      <c r="BU620" s="55" t="n">
        <v>11823.2784013605</v>
      </c>
      <c r="BV620" s="55" t="n">
        <v>633.497608111719</v>
      </c>
      <c r="BW620" s="55"/>
      <c r="BX620" s="55" t="n">
        <v>411.573734845137</v>
      </c>
      <c r="BY620" s="96" t="n">
        <v>0.11742</v>
      </c>
      <c r="BZ620" s="96" t="n">
        <v>0.5126</v>
      </c>
      <c r="CA620" s="97" t="n">
        <v>4.2925</v>
      </c>
      <c r="CB620" s="97"/>
      <c r="CC620" s="97" t="n">
        <v>3.52</v>
      </c>
      <c r="CD620" s="97" t="n">
        <v>6.9258</v>
      </c>
      <c r="CE620" s="97" t="n">
        <v>83.43</v>
      </c>
      <c r="CF620" s="97" t="n">
        <v>34.5576</v>
      </c>
      <c r="CG620" s="97" t="n">
        <v>0.1418</v>
      </c>
      <c r="CH620" s="63" t="n">
        <v>42035.7796806932</v>
      </c>
      <c r="CI620" s="63" t="n">
        <v>6477.63563870969</v>
      </c>
      <c r="CJ620" s="64" t="n">
        <v>224536.381263673</v>
      </c>
      <c r="CK620" s="65" t="n">
        <v>2.8848935759337</v>
      </c>
    </row>
    <row r="621" s="1" customFormat="true" ht="15" hidden="false" customHeight="false" outlineLevel="0" collapsed="false">
      <c r="A621" s="7" t="s">
        <v>488</v>
      </c>
      <c r="B621" s="66" t="n">
        <v>612</v>
      </c>
      <c r="C621" s="8" t="s">
        <v>704</v>
      </c>
      <c r="D621" s="67" t="n">
        <v>41915</v>
      </c>
      <c r="E621" s="4" t="s">
        <v>583</v>
      </c>
      <c r="F621" s="7" t="n">
        <v>1949</v>
      </c>
      <c r="G621" s="68" t="n">
        <v>1</v>
      </c>
      <c r="H621" s="68" t="n">
        <v>169</v>
      </c>
      <c r="I621" s="7" t="n">
        <v>1</v>
      </c>
      <c r="J621" s="8" t="n">
        <v>646</v>
      </c>
      <c r="K621" s="32"/>
      <c r="L621" s="31" t="n">
        <v>929.852</v>
      </c>
      <c r="M621" s="31" t="n">
        <v>144.547587473222</v>
      </c>
      <c r="N621" s="31" t="n">
        <v>307.048862593084</v>
      </c>
      <c r="O621" s="95"/>
      <c r="P621" s="33" t="n">
        <v>36.4174232377843</v>
      </c>
      <c r="Q621" s="33" t="n">
        <v>8.5</v>
      </c>
      <c r="R621" s="31" t="n">
        <v>266.449046210344</v>
      </c>
      <c r="S621" s="34" t="s">
        <v>76</v>
      </c>
      <c r="T621" s="35"/>
      <c r="U621" s="35"/>
      <c r="V621" s="35" t="n">
        <v>17.6294301389722</v>
      </c>
      <c r="W621" s="35" t="n">
        <v>16.3927608735836</v>
      </c>
      <c r="X621" s="35" t="n">
        <v>2.54829159511615</v>
      </c>
      <c r="Y621" s="35" t="n">
        <v>5.41309647233564</v>
      </c>
      <c r="Z621" s="35"/>
      <c r="AA621" s="35" t="n">
        <v>0.642018418811902</v>
      </c>
      <c r="AB621" s="35" t="n">
        <v>0.149850156181264</v>
      </c>
      <c r="AC621" s="71" t="n">
        <v>4.69734484576103</v>
      </c>
      <c r="AD621" s="72"/>
      <c r="AE621" s="72"/>
      <c r="AF621" s="72"/>
      <c r="AG621" s="72"/>
      <c r="AH621" s="72"/>
      <c r="AI621" s="73" t="n">
        <v>29.1069410393388</v>
      </c>
      <c r="AJ621" s="42" t="s">
        <v>16</v>
      </c>
      <c r="AK621" s="43" t="n">
        <v>707.97343532211</v>
      </c>
      <c r="AL621" s="74"/>
      <c r="AM621" s="74"/>
      <c r="AN621" s="74"/>
      <c r="AO621" s="78" t="n">
        <v>29.1983333333333</v>
      </c>
      <c r="AP621" s="76" t="n">
        <v>1.08224725837667</v>
      </c>
      <c r="AQ621" s="76" t="n">
        <v>0.944547639293813</v>
      </c>
      <c r="AR621" s="76" t="n">
        <v>1.4531774983803</v>
      </c>
      <c r="AS621" s="77" t="n">
        <v>27.9130422089834</v>
      </c>
      <c r="AT621" s="78" t="n">
        <v>28.3274153471169</v>
      </c>
      <c r="AU621" s="78" t="n">
        <v>37.0653778769338</v>
      </c>
      <c r="AV621" s="78" t="n">
        <v>32.3493683187561</v>
      </c>
      <c r="AW621" s="78" t="n">
        <v>49.7691933916424</v>
      </c>
      <c r="AX621" s="78" t="n">
        <v>25.005</v>
      </c>
      <c r="AY621" s="48" t="n">
        <v>1.60682535531851</v>
      </c>
      <c r="AZ621" s="48" t="n">
        <v>22.6780311429228</v>
      </c>
      <c r="BA621" s="48" t="n">
        <v>-5.04860100395058</v>
      </c>
      <c r="BB621" s="49" t="n">
        <f aca="false">AT621/V621</f>
        <v>1.60682535531851</v>
      </c>
      <c r="BC621" s="49" t="n">
        <f aca="false">AS621/V621</f>
        <v>1.58332073067285</v>
      </c>
      <c r="BD621" s="49" t="n">
        <f aca="false">SUM(AP621:AR621)/V621</f>
        <v>0.197395625872095</v>
      </c>
      <c r="BE621" s="53" t="n">
        <v>6.45</v>
      </c>
      <c r="BF621" s="51" t="n">
        <v>110.811968023978</v>
      </c>
      <c r="BG621" s="51" t="n">
        <v>597.021974589105</v>
      </c>
      <c r="BH621" s="51" t="n">
        <v>245.604622501855</v>
      </c>
      <c r="BI621" s="51" t="n">
        <v>117.402095406737</v>
      </c>
      <c r="BJ621" s="51" t="n">
        <v>8.40875322064695</v>
      </c>
      <c r="BK621" s="51" t="n">
        <v>11.8958357346041</v>
      </c>
      <c r="BL621" s="51" t="n">
        <v>17.5292430371428</v>
      </c>
      <c r="BM621" s="51" t="n">
        <v>2.137475509909</v>
      </c>
      <c r="BN621" s="52" t="n">
        <f aca="false">(BG621*0.5-BH621*0.25+BI621*0.5)/SUM(BG621:BI621)*1000</f>
        <v>308.127123370499</v>
      </c>
      <c r="BO621" s="93" t="n">
        <v>4.74096</v>
      </c>
      <c r="BP621" s="94" t="s">
        <v>491</v>
      </c>
      <c r="BQ621" s="55" t="n">
        <v>362.043760262726</v>
      </c>
      <c r="BR621" s="56" t="n">
        <v>20.5363280269837</v>
      </c>
      <c r="BS621" s="56"/>
      <c r="BT621" s="56" t="n">
        <v>12.7806845709831</v>
      </c>
      <c r="BU621" s="55" t="n">
        <v>10445.6494252874</v>
      </c>
      <c r="BV621" s="55" t="n">
        <v>592.512029200301</v>
      </c>
      <c r="BW621" s="55"/>
      <c r="BX621" s="55" t="n">
        <v>368.746999939424</v>
      </c>
      <c r="BY621" s="96" t="n">
        <v>0.06798</v>
      </c>
      <c r="BZ621" s="96" t="n">
        <v>0.5786</v>
      </c>
      <c r="CA621" s="97" t="n">
        <v>4.0501</v>
      </c>
      <c r="CB621" s="97"/>
      <c r="CC621" s="97" t="n">
        <v>4.92</v>
      </c>
      <c r="CD621" s="97" t="n">
        <v>6.3852</v>
      </c>
      <c r="CE621" s="97" t="n">
        <v>91.67</v>
      </c>
      <c r="CF621" s="97" t="n">
        <v>37.4952</v>
      </c>
      <c r="CG621" s="97" t="n">
        <v>0.1724</v>
      </c>
      <c r="CH621" s="63" t="n">
        <v>112874.559267671</v>
      </c>
      <c r="CI621" s="63" t="n">
        <v>4684.6055807296</v>
      </c>
      <c r="CJ621" s="64" t="n">
        <v>340900.080352244</v>
      </c>
      <c r="CK621" s="65" t="n">
        <v>1.37418729144596</v>
      </c>
    </row>
    <row r="622" s="1" customFormat="true" ht="15" hidden="false" customHeight="false" outlineLevel="0" collapsed="false">
      <c r="A622" s="7" t="s">
        <v>488</v>
      </c>
      <c r="B622" s="66" t="n">
        <v>613</v>
      </c>
      <c r="C622" s="8" t="s">
        <v>705</v>
      </c>
      <c r="D622" s="67" t="n">
        <v>41915</v>
      </c>
      <c r="E622" s="4" t="s">
        <v>583</v>
      </c>
      <c r="F622" s="7" t="n">
        <v>1952</v>
      </c>
      <c r="G622" s="68" t="n">
        <v>1</v>
      </c>
      <c r="H622" s="68" t="n">
        <v>172</v>
      </c>
      <c r="I622" s="7" t="n">
        <v>1</v>
      </c>
      <c r="J622" s="8" t="n">
        <v>677</v>
      </c>
      <c r="K622" s="32"/>
      <c r="L622" s="31" t="n">
        <v>929.852</v>
      </c>
      <c r="M622" s="31" t="n">
        <v>144.547587473222</v>
      </c>
      <c r="N622" s="31" t="n">
        <v>307.048862593084</v>
      </c>
      <c r="O622" s="95"/>
      <c r="P622" s="33" t="n">
        <v>36.4174232377843</v>
      </c>
      <c r="Q622" s="33" t="n">
        <v>8.5</v>
      </c>
      <c r="R622" s="31" t="n">
        <v>266.449046210344</v>
      </c>
      <c r="S622" s="34" t="s">
        <v>76</v>
      </c>
      <c r="T622" s="35"/>
      <c r="U622" s="35"/>
      <c r="V622" s="35" t="n">
        <v>21.4624784040411</v>
      </c>
      <c r="W622" s="35" t="n">
        <v>19.9569284689544</v>
      </c>
      <c r="X622" s="35" t="n">
        <v>3.10234947450028</v>
      </c>
      <c r="Y622" s="35" t="n">
        <v>6.59002958238944</v>
      </c>
      <c r="Z622" s="35"/>
      <c r="AA622" s="35" t="n">
        <v>0.781608159771771</v>
      </c>
      <c r="AB622" s="35" t="n">
        <v>0.182431066434349</v>
      </c>
      <c r="AC622" s="71" t="n">
        <v>5.71865690006685</v>
      </c>
      <c r="AD622" s="72"/>
      <c r="AE622" s="72"/>
      <c r="AF622" s="72"/>
      <c r="AG622" s="72"/>
      <c r="AH622" s="72"/>
      <c r="AI622" s="73" t="n">
        <v>26.6280949189048</v>
      </c>
      <c r="AJ622" s="42" t="s">
        <v>16</v>
      </c>
      <c r="AK622" s="43" t="n">
        <v>680.788279225888</v>
      </c>
      <c r="AL622" s="74"/>
      <c r="AM622" s="74"/>
      <c r="AN622" s="74"/>
      <c r="AO622" s="78" t="n">
        <v>29.7183333333333</v>
      </c>
      <c r="AP622" s="76" t="n">
        <v>1.10857040236239</v>
      </c>
      <c r="AQ622" s="76" t="n">
        <v>1.04006946469064</v>
      </c>
      <c r="AR622" s="76" t="n">
        <v>1.46172900469712</v>
      </c>
      <c r="AS622" s="77" t="n">
        <v>28.5158893687692</v>
      </c>
      <c r="AT622" s="78" t="n">
        <v>29.4331511763323</v>
      </c>
      <c r="AU622" s="78" t="n">
        <v>37.3025764913598</v>
      </c>
      <c r="AV622" s="78" t="n">
        <v>34.9975704567541</v>
      </c>
      <c r="AW622" s="78" t="n">
        <v>49.1861030126336</v>
      </c>
      <c r="AX622" s="78" t="n">
        <v>27.6425</v>
      </c>
      <c r="AY622" s="48" t="n">
        <v>1.37137708992594</v>
      </c>
      <c r="AZ622" s="48" t="n">
        <v>23.3517624274554</v>
      </c>
      <c r="BA622" s="48" t="n">
        <v>-1.88928402341432</v>
      </c>
      <c r="BB622" s="49" t="n">
        <f aca="false">AT622/V622</f>
        <v>1.37137708992594</v>
      </c>
      <c r="BC622" s="49" t="n">
        <f aca="false">AS622/V622</f>
        <v>1.32863916421694</v>
      </c>
      <c r="BD622" s="49" t="n">
        <f aca="false">SUM(AP622:AR622)/V622</f>
        <v>0.168217705513002</v>
      </c>
      <c r="BE622" s="53" t="n">
        <v>6.49</v>
      </c>
      <c r="BF622" s="51" t="n">
        <v>109.223307502847</v>
      </c>
      <c r="BG622" s="51" t="n">
        <v>588.718232133254</v>
      </c>
      <c r="BH622" s="51" t="n">
        <v>251.114589131145</v>
      </c>
      <c r="BI622" s="51" t="n">
        <v>116.268933768172</v>
      </c>
      <c r="BJ622" s="51" t="n">
        <v>7.8660254558972</v>
      </c>
      <c r="BK622" s="51" t="n">
        <v>13.6915386633464</v>
      </c>
      <c r="BL622" s="51" t="n">
        <v>18.3868722316502</v>
      </c>
      <c r="BM622" s="51" t="n">
        <v>3.95380861653519</v>
      </c>
      <c r="BN622" s="52" t="n">
        <f aca="false">(BG622*0.5-BH622*0.25+BI622*0.5)/SUM(BG622:BI622)*1000</f>
        <v>303.016843283649</v>
      </c>
      <c r="BO622" s="93" t="n">
        <v>4.96944</v>
      </c>
      <c r="BP622" s="94" t="s">
        <v>491</v>
      </c>
      <c r="BQ622" s="55" t="n">
        <v>369.161764705882</v>
      </c>
      <c r="BR622" s="56" t="n">
        <v>17.2003324945163</v>
      </c>
      <c r="BS622" s="56"/>
      <c r="BT622" s="56" t="n">
        <v>12.5423799339138</v>
      </c>
      <c r="BU622" s="55" t="n">
        <v>12263.9901960784</v>
      </c>
      <c r="BV622" s="55" t="n">
        <v>571.415377348465</v>
      </c>
      <c r="BW622" s="55"/>
      <c r="BX622" s="55" t="n">
        <v>416.672687290789</v>
      </c>
      <c r="BY622" s="96" t="n">
        <v>0.05562</v>
      </c>
      <c r="BZ622" s="96" t="n">
        <v>0.7403</v>
      </c>
      <c r="CA622" s="97" t="n">
        <v>3.7774</v>
      </c>
      <c r="CB622" s="97"/>
      <c r="CC622" s="97" t="n">
        <v>4.93</v>
      </c>
      <c r="CD622" s="97" t="n">
        <v>4.4166</v>
      </c>
      <c r="CE622" s="97" t="n">
        <v>88.58</v>
      </c>
      <c r="CF622" s="97" t="n">
        <v>36.1794</v>
      </c>
      <c r="CG622" s="97" t="n">
        <v>0.152</v>
      </c>
      <c r="CH622" s="63" t="n">
        <v>70912.6899615606</v>
      </c>
      <c r="CI622" s="63" t="n">
        <v>6283.35873050679</v>
      </c>
      <c r="CJ622" s="64" t="n">
        <v>399124.524971272</v>
      </c>
      <c r="CK622" s="65" t="n">
        <v>1.57428530130015</v>
      </c>
    </row>
    <row r="623" s="1" customFormat="true" ht="15" hidden="false" customHeight="false" outlineLevel="0" collapsed="false">
      <c r="A623" s="7" t="s">
        <v>488</v>
      </c>
      <c r="B623" s="66" t="n">
        <v>614</v>
      </c>
      <c r="C623" s="8" t="s">
        <v>706</v>
      </c>
      <c r="D623" s="67" t="n">
        <v>41915</v>
      </c>
      <c r="E623" s="4" t="s">
        <v>583</v>
      </c>
      <c r="F623" s="7" t="n">
        <v>1962</v>
      </c>
      <c r="G623" s="68" t="n">
        <v>1</v>
      </c>
      <c r="H623" s="68" t="n">
        <v>181</v>
      </c>
      <c r="I623" s="7" t="n">
        <v>1</v>
      </c>
      <c r="J623" s="8" t="n">
        <v>625</v>
      </c>
      <c r="K623" s="32"/>
      <c r="L623" s="31" t="n">
        <v>929.852</v>
      </c>
      <c r="M623" s="31" t="n">
        <v>144.547587473222</v>
      </c>
      <c r="N623" s="31" t="n">
        <v>307.048862593084</v>
      </c>
      <c r="O623" s="95"/>
      <c r="P623" s="33" t="n">
        <v>36.4174232377843</v>
      </c>
      <c r="Q623" s="33" t="n">
        <v>8.5</v>
      </c>
      <c r="R623" s="31" t="n">
        <v>266.449046210344</v>
      </c>
      <c r="S623" s="34" t="s">
        <v>76</v>
      </c>
      <c r="T623" s="35"/>
      <c r="U623" s="35"/>
      <c r="V623" s="35" t="n">
        <v>19.472890056284</v>
      </c>
      <c r="W623" s="35" t="n">
        <v>18.1069057646158</v>
      </c>
      <c r="X623" s="35" t="n">
        <v>2.81475927876715</v>
      </c>
      <c r="Y623" s="35" t="n">
        <v>5.97912874318217</v>
      </c>
      <c r="Z623" s="35"/>
      <c r="AA623" s="35" t="n">
        <v>0.709152478842536</v>
      </c>
      <c r="AB623" s="35" t="n">
        <v>0.165519565478414</v>
      </c>
      <c r="AC623" s="71" t="n">
        <v>5.18853298245575</v>
      </c>
      <c r="AD623" s="72"/>
      <c r="AE623" s="72"/>
      <c r="AF623" s="72"/>
      <c r="AG623" s="72"/>
      <c r="AH623" s="72"/>
      <c r="AI623" s="73" t="n">
        <v>28.7693762657396</v>
      </c>
      <c r="AJ623" s="42" t="s">
        <v>16</v>
      </c>
      <c r="AK623" s="43" t="n">
        <v>704.546948759458</v>
      </c>
      <c r="AL623" s="74"/>
      <c r="AM623" s="74"/>
      <c r="AN623" s="74"/>
      <c r="AO623" s="78" t="n">
        <v>34.1583333333333</v>
      </c>
      <c r="AP623" s="76" t="n">
        <v>1.16849488266137</v>
      </c>
      <c r="AQ623" s="76" t="n">
        <v>0.998359450923226</v>
      </c>
      <c r="AR623" s="76" t="n">
        <v>1.61330903790087</v>
      </c>
      <c r="AS623" s="77" t="n">
        <v>31.1907565732538</v>
      </c>
      <c r="AT623" s="78" t="n">
        <v>30.6703381226601</v>
      </c>
      <c r="AU623" s="78" t="n">
        <v>34.2081936861098</v>
      </c>
      <c r="AV623" s="78" t="n">
        <v>29.2274052478134</v>
      </c>
      <c r="AW623" s="78" t="n">
        <v>47.2303206997085</v>
      </c>
      <c r="AX623" s="78" t="n">
        <v>27.905</v>
      </c>
      <c r="AY623" s="48" t="n">
        <v>1.57502754003188</v>
      </c>
      <c r="AZ623" s="48" t="n">
        <v>23.6211723564273</v>
      </c>
      <c r="BA623" s="48" t="n">
        <v>-4.14828230014331</v>
      </c>
      <c r="BB623" s="49" t="n">
        <f aca="false">AT623/V623</f>
        <v>1.57502754003188</v>
      </c>
      <c r="BC623" s="49" t="n">
        <f aca="false">AS623/V623</f>
        <v>1.60175282061886</v>
      </c>
      <c r="BD623" s="49" t="n">
        <f aca="false">SUM(AP623:AR623)/V623</f>
        <v>0.194124414021718</v>
      </c>
      <c r="BE623" s="53" t="n">
        <v>6.29</v>
      </c>
      <c r="BF623" s="51" t="n">
        <v>112.667115874495</v>
      </c>
      <c r="BG623" s="51" t="n">
        <v>637.227800425875</v>
      </c>
      <c r="BH623" s="51" t="n">
        <v>191.816470267837</v>
      </c>
      <c r="BI623" s="51" t="n">
        <v>125.163073137288</v>
      </c>
      <c r="BJ623" s="51" t="n">
        <v>9.51031840056756</v>
      </c>
      <c r="BK623" s="51" t="n">
        <v>12.2654532159059</v>
      </c>
      <c r="BL623" s="51" t="n">
        <v>18.2538114218948</v>
      </c>
      <c r="BM623" s="51" t="n">
        <v>5.76307313063141</v>
      </c>
      <c r="BN623" s="52" t="n">
        <f aca="false">(BG623*0.5-BH623*0.25+BI623*0.5)/SUM(BG623:BI623)*1000</f>
        <v>349.233655943904</v>
      </c>
      <c r="BO623" s="93" t="n">
        <v>3.91272</v>
      </c>
      <c r="BP623" s="94" t="s">
        <v>491</v>
      </c>
      <c r="BQ623" s="55" t="n">
        <v>379.003623188406</v>
      </c>
      <c r="BR623" s="56" t="n">
        <v>19.4631419421022</v>
      </c>
      <c r="BS623" s="56"/>
      <c r="BT623" s="56" t="n">
        <v>12.3573343623619</v>
      </c>
      <c r="BU623" s="55" t="n">
        <v>11086.2760869565</v>
      </c>
      <c r="BV623" s="55" t="n">
        <v>569.318475835534</v>
      </c>
      <c r="BW623" s="55"/>
      <c r="BX623" s="55" t="n">
        <v>361.465727655792</v>
      </c>
      <c r="BY623" s="96" t="n">
        <v>0.10094</v>
      </c>
      <c r="BZ623" s="96" t="n">
        <v>0.9779</v>
      </c>
      <c r="CA623" s="97" t="n">
        <v>3.8481</v>
      </c>
      <c r="CB623" s="97"/>
      <c r="CC623" s="97" t="n">
        <v>5.55</v>
      </c>
      <c r="CD623" s="97" t="n">
        <v>8.262</v>
      </c>
      <c r="CE623" s="97" t="n">
        <v>97.85</v>
      </c>
      <c r="CF623" s="97" t="n">
        <v>38.3724</v>
      </c>
      <c r="CG623" s="97" t="n">
        <v>0.1112</v>
      </c>
      <c r="CH623" s="63" t="n">
        <v>126929.823177876</v>
      </c>
      <c r="CI623" s="63" t="n">
        <v>1664.26434734112</v>
      </c>
      <c r="CJ623" s="64" t="n">
        <v>174201.600024544</v>
      </c>
      <c r="CK623" s="65" t="n">
        <v>0.955366854900663</v>
      </c>
    </row>
    <row r="624" s="1" customFormat="true" ht="15" hidden="false" customHeight="false" outlineLevel="0" collapsed="false">
      <c r="A624" s="7" t="s">
        <v>488</v>
      </c>
      <c r="B624" s="66" t="n">
        <v>615</v>
      </c>
      <c r="C624" s="8" t="s">
        <v>707</v>
      </c>
      <c r="D624" s="67" t="n">
        <v>41915</v>
      </c>
      <c r="E624" s="4" t="s">
        <v>583</v>
      </c>
      <c r="F624" s="7" t="n">
        <v>1964</v>
      </c>
      <c r="G624" s="68" t="n">
        <v>1</v>
      </c>
      <c r="H624" s="68" t="n">
        <v>180</v>
      </c>
      <c r="I624" s="7" t="n">
        <v>1</v>
      </c>
      <c r="J624" s="8" t="n">
        <v>604</v>
      </c>
      <c r="K624" s="32"/>
      <c r="L624" s="31" t="n">
        <v>929.852</v>
      </c>
      <c r="M624" s="31" t="n">
        <v>144.547587473222</v>
      </c>
      <c r="N624" s="31" t="n">
        <v>307.048862593084</v>
      </c>
      <c r="O624" s="95"/>
      <c r="P624" s="33" t="n">
        <v>36.4174232377843</v>
      </c>
      <c r="Q624" s="33" t="n">
        <v>8.5</v>
      </c>
      <c r="R624" s="31" t="n">
        <v>266.449046210344</v>
      </c>
      <c r="S624" s="34" t="s">
        <v>76</v>
      </c>
      <c r="T624" s="35"/>
      <c r="U624" s="35"/>
      <c r="V624" s="35" t="n">
        <v>21.4553488121198</v>
      </c>
      <c r="W624" s="35" t="n">
        <v>19.9502990036472</v>
      </c>
      <c r="X624" s="35" t="n">
        <v>3.10131890918838</v>
      </c>
      <c r="Y624" s="35" t="n">
        <v>6.58784044929925</v>
      </c>
      <c r="Z624" s="35"/>
      <c r="AA624" s="35" t="n">
        <v>0.78134851840526</v>
      </c>
      <c r="AB624" s="35" t="n">
        <v>0.182370464903018</v>
      </c>
      <c r="AC624" s="71" t="n">
        <v>5.71675722709955</v>
      </c>
      <c r="AD624" s="72"/>
      <c r="AE624" s="72"/>
      <c r="AF624" s="72"/>
      <c r="AG624" s="72"/>
      <c r="AH624" s="72"/>
      <c r="AI624" s="73" t="n">
        <v>32.4327004725504</v>
      </c>
      <c r="AJ624" s="42" t="s">
        <v>16</v>
      </c>
      <c r="AK624" s="43" t="n">
        <v>737.9188326549</v>
      </c>
      <c r="AL624" s="74"/>
      <c r="AM624" s="74"/>
      <c r="AN624" s="74"/>
      <c r="AO624" s="78" t="n">
        <v>28.9083333333333</v>
      </c>
      <c r="AP624" s="76" t="n">
        <v>1.21689903398418</v>
      </c>
      <c r="AQ624" s="76" t="n">
        <v>0.94745728053126</v>
      </c>
      <c r="AR624" s="76" t="n">
        <v>1.46227283770651</v>
      </c>
      <c r="AS624" s="77" t="n">
        <v>29.8168188430961</v>
      </c>
      <c r="AT624" s="78" t="n">
        <v>30.0382466325211</v>
      </c>
      <c r="AU624" s="78" t="n">
        <v>42.0950948625258</v>
      </c>
      <c r="AV624" s="78" t="n">
        <v>32.7745383867833</v>
      </c>
      <c r="AW624" s="78" t="n">
        <v>50.5830903790088</v>
      </c>
      <c r="AX624" s="78" t="n">
        <v>26.38875</v>
      </c>
      <c r="AY624" s="48" t="n">
        <v>1.40003534296087</v>
      </c>
      <c r="AZ624" s="48" t="n">
        <v>22.8044728452155</v>
      </c>
      <c r="BA624" s="48" t="n">
        <v>-1.34912403309574</v>
      </c>
      <c r="BB624" s="49" t="n">
        <f aca="false">AT624/V624</f>
        <v>1.40003534296087</v>
      </c>
      <c r="BC624" s="49" t="n">
        <f aca="false">AS624/V624</f>
        <v>1.38971494260923</v>
      </c>
      <c r="BD624" s="49" t="n">
        <f aca="false">SUM(AP624:AR624)/V624</f>
        <v>0.169031470146658</v>
      </c>
      <c r="BE624" s="53" t="n">
        <v>6.49</v>
      </c>
      <c r="BF624" s="51" t="n">
        <v>113.603805258959</v>
      </c>
      <c r="BG624" s="51" t="n">
        <v>605.194456306351</v>
      </c>
      <c r="BH624" s="51" t="n">
        <v>216.553478802091</v>
      </c>
      <c r="BI624" s="51" t="n">
        <v>139.093746370676</v>
      </c>
      <c r="BJ624" s="51" t="n">
        <v>8.31640774763602</v>
      </c>
      <c r="BK624" s="51" t="n">
        <v>12.1429190827214</v>
      </c>
      <c r="BL624" s="51" t="n">
        <v>14.1605058506885</v>
      </c>
      <c r="BM624" s="51" t="n">
        <v>4.53848583983553</v>
      </c>
      <c r="BN624" s="52" t="n">
        <f aca="false">(BG624*0.5-BH624*0.25+BI624*0.5)/SUM(BG624:BI624)*1000</f>
        <v>330.965795684939</v>
      </c>
      <c r="BO624" s="93" t="n">
        <v>4.45536</v>
      </c>
      <c r="BP624" s="94" t="s">
        <v>491</v>
      </c>
      <c r="BQ624" s="55" t="n">
        <v>367.014455782313</v>
      </c>
      <c r="BR624" s="56" t="n">
        <v>17.1059654632598</v>
      </c>
      <c r="BS624" s="56"/>
      <c r="BT624" s="56" t="n">
        <v>12.2182383103867</v>
      </c>
      <c r="BU624" s="55" t="n">
        <v>10794.0039115646</v>
      </c>
      <c r="BV624" s="55" t="n">
        <v>503.091513733269</v>
      </c>
      <c r="BW624" s="55"/>
      <c r="BX624" s="55" t="n">
        <v>359.34200965906</v>
      </c>
      <c r="BY624" s="96" t="n">
        <v>0.04738</v>
      </c>
      <c r="BZ624" s="96" t="n">
        <v>0.9581</v>
      </c>
      <c r="CA624" s="97" t="n">
        <v>3.8178</v>
      </c>
      <c r="CB624" s="97"/>
      <c r="CC624" s="97" t="n">
        <v>5.47</v>
      </c>
      <c r="CD624" s="97" t="n">
        <v>5.0592</v>
      </c>
      <c r="CE624" s="97" t="n">
        <v>82.4</v>
      </c>
      <c r="CF624" s="97" t="n">
        <v>33.7008</v>
      </c>
      <c r="CG624" s="97" t="n">
        <v>0.5906</v>
      </c>
      <c r="CH624" s="63" t="n">
        <v>133473.938631937</v>
      </c>
      <c r="CI624" s="63" t="n">
        <v>1738.68526965782</v>
      </c>
      <c r="CJ624" s="64" t="n">
        <v>102141.496856815</v>
      </c>
      <c r="CK624" s="65" t="n">
        <v>1.70223202436045</v>
      </c>
    </row>
    <row r="625" s="1" customFormat="true" ht="15" hidden="false" customHeight="false" outlineLevel="0" collapsed="false">
      <c r="A625" s="7" t="s">
        <v>488</v>
      </c>
      <c r="B625" s="66" t="n">
        <v>616</v>
      </c>
      <c r="C625" s="8" t="s">
        <v>708</v>
      </c>
      <c r="D625" s="67" t="n">
        <v>41915</v>
      </c>
      <c r="E625" s="4" t="s">
        <v>583</v>
      </c>
      <c r="F625" s="7" t="n">
        <v>1966</v>
      </c>
      <c r="G625" s="68" t="n">
        <v>1</v>
      </c>
      <c r="H625" s="68" t="n">
        <v>157</v>
      </c>
      <c r="I625" s="7" t="n">
        <v>1</v>
      </c>
      <c r="J625" s="8" t="n">
        <v>625</v>
      </c>
      <c r="K625" s="32"/>
      <c r="L625" s="31" t="n">
        <v>929.852</v>
      </c>
      <c r="M625" s="31" t="n">
        <v>144.547587473222</v>
      </c>
      <c r="N625" s="31" t="n">
        <v>307.048862593084</v>
      </c>
      <c r="O625" s="95"/>
      <c r="P625" s="33" t="n">
        <v>36.4174232377843</v>
      </c>
      <c r="Q625" s="33" t="n">
        <v>8.5</v>
      </c>
      <c r="R625" s="31" t="n">
        <v>266.449046210344</v>
      </c>
      <c r="S625" s="34" t="s">
        <v>76</v>
      </c>
      <c r="T625" s="35"/>
      <c r="U625" s="35"/>
      <c r="V625" s="35" t="n">
        <v>24.1664915403997</v>
      </c>
      <c r="W625" s="35" t="n">
        <v>22.4712604918237</v>
      </c>
      <c r="X625" s="35" t="n">
        <v>3.49320804985681</v>
      </c>
      <c r="Y625" s="35" t="n">
        <v>7.4202937403451</v>
      </c>
      <c r="Z625" s="35"/>
      <c r="AA625" s="35" t="n">
        <v>0.88008135059907</v>
      </c>
      <c r="AB625" s="35" t="n">
        <v>0.205415178093397</v>
      </c>
      <c r="AC625" s="71" t="n">
        <v>6.43913862118984</v>
      </c>
      <c r="AD625" s="72"/>
      <c r="AE625" s="72"/>
      <c r="AF625" s="72"/>
      <c r="AG625" s="72"/>
      <c r="AH625" s="72"/>
      <c r="AI625" s="73" t="n">
        <v>28.4163278372278</v>
      </c>
      <c r="AJ625" s="42" t="s">
        <v>16</v>
      </c>
      <c r="AK625" s="43" t="n">
        <v>700.876198758367</v>
      </c>
      <c r="AL625" s="74"/>
      <c r="AM625" s="74"/>
      <c r="AN625" s="74"/>
      <c r="AO625" s="78" t="n">
        <v>31.12</v>
      </c>
      <c r="AP625" s="76" t="n">
        <v>1.22814710457841</v>
      </c>
      <c r="AQ625" s="76" t="n">
        <v>1.04867444120505</v>
      </c>
      <c r="AR625" s="76" t="n">
        <v>1.58246258503401</v>
      </c>
      <c r="AS625" s="77" t="n">
        <v>30.8702065686761</v>
      </c>
      <c r="AT625" s="78" t="n">
        <v>31.6032072417127</v>
      </c>
      <c r="AU625" s="78" t="n">
        <v>39.4648812525196</v>
      </c>
      <c r="AV625" s="78" t="n">
        <v>33.6977648202138</v>
      </c>
      <c r="AW625" s="78" t="n">
        <v>50.8503401360544</v>
      </c>
      <c r="AX625" s="78" t="n">
        <v>27.78125</v>
      </c>
      <c r="AY625" s="48" t="n">
        <v>1.30772839693676</v>
      </c>
      <c r="AZ625" s="48" t="n">
        <v>23.4265377192108</v>
      </c>
      <c r="BA625" s="48" t="n">
        <v>0.739953821188873</v>
      </c>
      <c r="BB625" s="49" t="n">
        <f aca="false">AT625/V625</f>
        <v>1.30772839693676</v>
      </c>
      <c r="BC625" s="49" t="n">
        <f aca="false">AS625/V625</f>
        <v>1.27739711480542</v>
      </c>
      <c r="BD625" s="49" t="n">
        <f aca="false">SUM(AP625:AR625)/V625</f>
        <v>0.159695673009292</v>
      </c>
      <c r="BE625" s="53" t="n">
        <v>6.41</v>
      </c>
      <c r="BF625" s="51" t="n">
        <v>110.150157756603</v>
      </c>
      <c r="BG625" s="51" t="n">
        <v>609.480057805628</v>
      </c>
      <c r="BH625" s="51" t="n">
        <v>228.9950897947</v>
      </c>
      <c r="BI625" s="51" t="n">
        <v>121.747035801299</v>
      </c>
      <c r="BJ625" s="51" t="n">
        <v>8.14582702527013</v>
      </c>
      <c r="BK625" s="51" t="n">
        <v>12.0691099232389</v>
      </c>
      <c r="BL625" s="51" t="n">
        <v>14.873703550192</v>
      </c>
      <c r="BM625" s="51" t="n">
        <v>4.68917609967278</v>
      </c>
      <c r="BN625" s="52" t="n">
        <f aca="false">(BG625*0.5-BH625*0.25+BI625*0.5)/SUM(BG625:BI625)*1000</f>
        <v>321.138981878541</v>
      </c>
      <c r="BO625" s="93" t="n">
        <v>1.428</v>
      </c>
      <c r="BP625" s="94" t="s">
        <v>491</v>
      </c>
      <c r="BQ625" s="55" t="n">
        <v>366.302619047619</v>
      </c>
      <c r="BR625" s="56" t="n">
        <v>15.1574595938042</v>
      </c>
      <c r="BS625" s="56"/>
      <c r="BT625" s="56" t="n">
        <v>11.5906786373296</v>
      </c>
      <c r="BU625" s="55" t="n">
        <v>10871.1509126984</v>
      </c>
      <c r="BV625" s="55" t="n">
        <v>449.843987263309</v>
      </c>
      <c r="BW625" s="55"/>
      <c r="BX625" s="55" t="n">
        <v>343.988849914881</v>
      </c>
      <c r="BY625" s="96" t="n">
        <v>0.09785</v>
      </c>
      <c r="BZ625" s="96" t="n">
        <v>1.1187</v>
      </c>
      <c r="CA625" s="97" t="n">
        <v>3.7976</v>
      </c>
      <c r="CB625" s="97"/>
      <c r="CC625" s="97" t="n">
        <v>5.02</v>
      </c>
      <c r="CD625" s="97" t="n">
        <v>7.7826</v>
      </c>
      <c r="CE625" s="97" t="n">
        <v>88.58</v>
      </c>
      <c r="CF625" s="97" t="n">
        <v>36.4038</v>
      </c>
      <c r="CG625" s="97" t="n">
        <v>0.1214</v>
      </c>
      <c r="CH625" s="63" t="n">
        <v>77002.076067195</v>
      </c>
      <c r="CI625" s="63" t="n">
        <v>2793.90864266673</v>
      </c>
      <c r="CJ625" s="64" t="n">
        <v>329088.754687076</v>
      </c>
      <c r="CK625" s="65" t="n">
        <v>0.848983322241869</v>
      </c>
    </row>
    <row r="626" s="1" customFormat="true" ht="15" hidden="false" customHeight="false" outlineLevel="0" collapsed="false">
      <c r="A626" s="7" t="s">
        <v>488</v>
      </c>
      <c r="B626" s="66" t="n">
        <v>617</v>
      </c>
      <c r="C626" s="8" t="s">
        <v>709</v>
      </c>
      <c r="D626" s="67" t="n">
        <v>41915</v>
      </c>
      <c r="E626" s="4" t="s">
        <v>583</v>
      </c>
      <c r="F626" s="7" t="n">
        <v>1970</v>
      </c>
      <c r="G626" s="68" t="n">
        <v>1</v>
      </c>
      <c r="H626" s="68" t="n">
        <v>179</v>
      </c>
      <c r="I626" s="7" t="n">
        <v>1</v>
      </c>
      <c r="J626" s="8" t="n">
        <v>573</v>
      </c>
      <c r="K626" s="32"/>
      <c r="L626" s="31" t="n">
        <v>929.852</v>
      </c>
      <c r="M626" s="31" t="n">
        <v>144.547587473222</v>
      </c>
      <c r="N626" s="31" t="n">
        <v>307.048862593084</v>
      </c>
      <c r="O626" s="95"/>
      <c r="P626" s="33" t="n">
        <v>36.4174232377843</v>
      </c>
      <c r="Q626" s="33" t="n">
        <v>8.5</v>
      </c>
      <c r="R626" s="31" t="n">
        <v>266.449046210344</v>
      </c>
      <c r="S626" s="34" t="s">
        <v>76</v>
      </c>
      <c r="T626" s="35"/>
      <c r="U626" s="35"/>
      <c r="V626" s="35" t="n">
        <v>20.0017209776032</v>
      </c>
      <c r="W626" s="35" t="n">
        <v>18.5986402544663</v>
      </c>
      <c r="X626" s="35" t="n">
        <v>2.89120051262508</v>
      </c>
      <c r="Y626" s="35" t="n">
        <v>6.14150567607727</v>
      </c>
      <c r="Z626" s="35"/>
      <c r="AA626" s="35" t="n">
        <v>0.728411138325444</v>
      </c>
      <c r="AB626" s="35" t="n">
        <v>0.170014628309627</v>
      </c>
      <c r="AC626" s="71" t="n">
        <v>5.32943947704779</v>
      </c>
      <c r="AD626" s="72"/>
      <c r="AE626" s="72"/>
      <c r="AF626" s="72"/>
      <c r="AG626" s="72"/>
      <c r="AH626" s="72"/>
      <c r="AI626" s="73" t="n">
        <v>25.0165810506106</v>
      </c>
      <c r="AJ626" s="42" t="s">
        <v>16</v>
      </c>
      <c r="AK626" s="43" t="n">
        <v>660.225352824841</v>
      </c>
      <c r="AL626" s="74"/>
      <c r="AM626" s="74"/>
      <c r="AN626" s="74"/>
      <c r="AO626" s="78" t="n">
        <v>24.8616666666667</v>
      </c>
      <c r="AP626" s="76" t="n">
        <v>0.68858843537415</v>
      </c>
      <c r="AQ626" s="76" t="n">
        <v>0.855299319727891</v>
      </c>
      <c r="AR626" s="76" t="n">
        <v>1.2352310090703</v>
      </c>
      <c r="AS626" s="77" t="n">
        <v>20.2734931972789</v>
      </c>
      <c r="AT626" s="78" t="n">
        <v>21.6613178351171</v>
      </c>
      <c r="AU626" s="78" t="n">
        <v>27.6967930029155</v>
      </c>
      <c r="AV626" s="78" t="n">
        <v>34.402332361516</v>
      </c>
      <c r="AW626" s="78" t="n">
        <v>49.6841593780369</v>
      </c>
      <c r="AX626" s="78" t="n">
        <v>21.04125</v>
      </c>
      <c r="AY626" s="48" t="n">
        <v>1.0829727031675</v>
      </c>
      <c r="AZ626" s="48" t="n">
        <v>18.8097459370748</v>
      </c>
      <c r="BA626" s="48" t="n">
        <v>1.19197504052838</v>
      </c>
      <c r="BB626" s="49" t="n">
        <f aca="false">AT626/V626</f>
        <v>1.0829727031675</v>
      </c>
      <c r="BC626" s="49" t="n">
        <f aca="false">AS626/V626</f>
        <v>1.01358744179964</v>
      </c>
      <c r="BD626" s="49" t="n">
        <f aca="false">SUM(AP626:AR626)/V626</f>
        <v>0.138943982234541</v>
      </c>
      <c r="BE626" s="53" t="n">
        <v>6.19</v>
      </c>
      <c r="BF626" s="51" t="n">
        <v>133.804825195429</v>
      </c>
      <c r="BG626" s="51" t="n">
        <v>602.40449301012</v>
      </c>
      <c r="BH626" s="51" t="n">
        <v>219.660404527316</v>
      </c>
      <c r="BI626" s="51" t="n">
        <v>139.681037964556</v>
      </c>
      <c r="BJ626" s="51" t="n">
        <v>7.81494709534828</v>
      </c>
      <c r="BK626" s="51" t="n">
        <v>11.8678368095866</v>
      </c>
      <c r="BL626" s="51" t="n">
        <v>14.9726724876424</v>
      </c>
      <c r="BM626" s="51" t="n">
        <v>3.59860810543111</v>
      </c>
      <c r="BN626" s="52" t="n">
        <f aca="false">(BG626*0.5-BH626*0.25+BI626*0.5)/SUM(BG626:BI626)*1000</f>
        <v>328.701845971933</v>
      </c>
      <c r="BO626" s="93" t="n">
        <v>3.17016</v>
      </c>
      <c r="BP626" s="94" t="s">
        <v>491</v>
      </c>
      <c r="BQ626" s="55" t="n">
        <v>370.424603174603</v>
      </c>
      <c r="BR626" s="56" t="n">
        <v>18.5196365647428</v>
      </c>
      <c r="BS626" s="56"/>
      <c r="BT626" s="56" t="n">
        <v>17.1007417920841</v>
      </c>
      <c r="BU626" s="55" t="n">
        <v>11053.4325396825</v>
      </c>
      <c r="BV626" s="55" t="n">
        <v>552.624074301385</v>
      </c>
      <c r="BW626" s="55"/>
      <c r="BX626" s="55" t="n">
        <v>510.284398383318</v>
      </c>
      <c r="BY626" s="96" t="n">
        <v>0.0618</v>
      </c>
      <c r="BZ626" s="96" t="n">
        <v>0.7579</v>
      </c>
      <c r="CA626" s="97" t="n">
        <v>4.2824</v>
      </c>
      <c r="CB626" s="97"/>
      <c r="CC626" s="97" t="n">
        <v>4.18</v>
      </c>
      <c r="CD626" s="97" t="n">
        <v>4.6206</v>
      </c>
      <c r="CE626" s="97" t="n">
        <v>77.25</v>
      </c>
      <c r="CF626" s="97" t="n">
        <v>33.2418</v>
      </c>
      <c r="CG626" s="97" t="n">
        <v>0.7232</v>
      </c>
      <c r="CH626" s="63" t="n">
        <v>134842.541915568</v>
      </c>
      <c r="CI626" s="63" t="n">
        <v>2128.51861619248</v>
      </c>
      <c r="CJ626" s="64" t="n">
        <v>190653.095434972</v>
      </c>
      <c r="CK626" s="65" t="n">
        <v>1.11643538298516</v>
      </c>
    </row>
    <row r="627" s="1" customFormat="true" ht="15" hidden="false" customHeight="false" outlineLevel="0" collapsed="false">
      <c r="A627" s="7" t="s">
        <v>488</v>
      </c>
      <c r="B627" s="66" t="n">
        <v>618</v>
      </c>
      <c r="C627" s="8" t="s">
        <v>710</v>
      </c>
      <c r="D627" s="67" t="n">
        <v>41915</v>
      </c>
      <c r="E627" s="4" t="s">
        <v>583</v>
      </c>
      <c r="F627" s="7" t="n">
        <v>1983</v>
      </c>
      <c r="G627" s="68" t="n">
        <v>1</v>
      </c>
      <c r="H627" s="68" t="n">
        <v>173</v>
      </c>
      <c r="I627" s="7" t="n">
        <v>1</v>
      </c>
      <c r="J627" s="8" t="n">
        <v>698</v>
      </c>
      <c r="K627" s="32"/>
      <c r="L627" s="31" t="n">
        <v>929.852</v>
      </c>
      <c r="M627" s="31" t="n">
        <v>144.547587473222</v>
      </c>
      <c r="N627" s="31" t="n">
        <v>307.048862593084</v>
      </c>
      <c r="O627" s="95"/>
      <c r="P627" s="33" t="n">
        <v>36.4174232377843</v>
      </c>
      <c r="Q627" s="33" t="n">
        <v>8.5</v>
      </c>
      <c r="R627" s="31" t="n">
        <v>266.449046210344</v>
      </c>
      <c r="S627" s="34" t="s">
        <v>76</v>
      </c>
      <c r="T627" s="35"/>
      <c r="U627" s="35"/>
      <c r="V627" s="35" t="n">
        <v>17.3867930093871</v>
      </c>
      <c r="W627" s="35" t="n">
        <v>16.1671442533646</v>
      </c>
      <c r="X627" s="35" t="n">
        <v>2.51321898340319</v>
      </c>
      <c r="Y627" s="35" t="n">
        <v>5.33859501767369</v>
      </c>
      <c r="Z627" s="35"/>
      <c r="AA627" s="35" t="n">
        <v>0.6331821997706</v>
      </c>
      <c r="AB627" s="35" t="n">
        <v>0.14778774057979</v>
      </c>
      <c r="AC627" s="71" t="n">
        <v>4.63269441400787</v>
      </c>
      <c r="AD627" s="72"/>
      <c r="AE627" s="72"/>
      <c r="AF627" s="72"/>
      <c r="AG627" s="72"/>
      <c r="AH627" s="72"/>
      <c r="AI627" s="73" t="n">
        <v>24.9836435861008</v>
      </c>
      <c r="AJ627" s="42" t="s">
        <v>16</v>
      </c>
      <c r="AK627" s="43" t="n">
        <v>659.777407138131</v>
      </c>
      <c r="AL627" s="74"/>
      <c r="AM627" s="74"/>
      <c r="AN627" s="74"/>
      <c r="AO627" s="78" t="n">
        <v>37.6983333333333</v>
      </c>
      <c r="AP627" s="76" t="n">
        <v>1.01724347054805</v>
      </c>
      <c r="AQ627" s="76" t="n">
        <v>1.21768547538063</v>
      </c>
      <c r="AR627" s="76" t="n">
        <v>1.89636538305799</v>
      </c>
      <c r="AS627" s="77" t="n">
        <v>30.3379853915541</v>
      </c>
      <c r="AT627" s="78" t="n">
        <v>32.030144064325</v>
      </c>
      <c r="AU627" s="78" t="n">
        <v>26.9837783424922</v>
      </c>
      <c r="AV627" s="78" t="n">
        <v>32.3007774538387</v>
      </c>
      <c r="AW627" s="78" t="n">
        <v>50.3036929057337</v>
      </c>
      <c r="AX627" s="78" t="n">
        <v>26.51625</v>
      </c>
      <c r="AY627" s="48" t="n">
        <v>1.84221115688396</v>
      </c>
      <c r="AZ627" s="48" t="n">
        <v>24.3259367958909</v>
      </c>
      <c r="BA627" s="48" t="n">
        <v>-6.9391437865038</v>
      </c>
      <c r="BB627" s="49" t="n">
        <f aca="false">AT627/V627</f>
        <v>1.84221115688396</v>
      </c>
      <c r="BC627" s="49" t="n">
        <f aca="false">AS627/V627</f>
        <v>1.74488678706733</v>
      </c>
      <c r="BD627" s="49" t="n">
        <f aca="false">SUM(AP627:AR627)/V627</f>
        <v>0.237611060691652</v>
      </c>
      <c r="BE627" s="53" t="n">
        <v>6.27</v>
      </c>
      <c r="BF627" s="51" t="n">
        <v>124.273480034687</v>
      </c>
      <c r="BG627" s="51" t="n">
        <v>571.471649768259</v>
      </c>
      <c r="BH627" s="51" t="n">
        <v>269.142670779241</v>
      </c>
      <c r="BI627" s="51" t="n">
        <v>115.917778424342</v>
      </c>
      <c r="BJ627" s="51" t="n">
        <v>8.2485041984983</v>
      </c>
      <c r="BK627" s="51" t="n">
        <v>14.8411842186828</v>
      </c>
      <c r="BL627" s="51" t="n">
        <v>18.3252646361071</v>
      </c>
      <c r="BM627" s="51" t="n">
        <v>2.05294797487015</v>
      </c>
      <c r="BN627" s="52" t="n">
        <f aca="false">(BG627*0.5-BH627*0.25+BI627*0.5)/SUM(BG627:BI627)*1000</f>
        <v>288.969964205694</v>
      </c>
      <c r="BO627" s="93" t="n">
        <v>5.22648</v>
      </c>
      <c r="BP627" s="94" t="s">
        <v>491</v>
      </c>
      <c r="BQ627" s="55" t="n">
        <v>347.036507936508</v>
      </c>
      <c r="BR627" s="56" t="n">
        <v>19.9597768115801</v>
      </c>
      <c r="BS627" s="56"/>
      <c r="BT627" s="56" t="n">
        <v>10.8346845783636</v>
      </c>
      <c r="BU627" s="55" t="n">
        <v>10132.9992063492</v>
      </c>
      <c r="BV627" s="55" t="n">
        <v>582.798633473028</v>
      </c>
      <c r="BW627" s="55"/>
      <c r="BX627" s="55" t="n">
        <v>316.358215123836</v>
      </c>
      <c r="BY627" s="96" t="n">
        <v>0.07725</v>
      </c>
      <c r="BZ627" s="96" t="n">
        <v>0.5566</v>
      </c>
      <c r="CA627" s="97" t="n">
        <v>3.434</v>
      </c>
      <c r="CB627" s="97"/>
      <c r="CC627" s="97" t="n">
        <v>4.2</v>
      </c>
      <c r="CD627" s="97" t="n">
        <v>6.9768</v>
      </c>
      <c r="CE627" s="97" t="n">
        <v>88.58</v>
      </c>
      <c r="CF627" s="97" t="n">
        <v>38.0868</v>
      </c>
      <c r="CG627" s="97" t="n">
        <v>0.1214</v>
      </c>
      <c r="CH627" s="63" t="n">
        <v>15601.8275911185</v>
      </c>
      <c r="CI627" s="63" t="n">
        <v>9984.19390942488</v>
      </c>
      <c r="CJ627" s="64" t="n">
        <v>694120.694234125</v>
      </c>
      <c r="CK627" s="65" t="n">
        <v>1.43839450291007</v>
      </c>
    </row>
    <row r="628" s="1" customFormat="true" ht="15" hidden="false" customHeight="false" outlineLevel="0" collapsed="false">
      <c r="A628" s="7" t="s">
        <v>488</v>
      </c>
      <c r="B628" s="66" t="n">
        <v>619</v>
      </c>
      <c r="C628" s="8" t="s">
        <v>711</v>
      </c>
      <c r="D628" s="67" t="n">
        <v>41915</v>
      </c>
      <c r="E628" s="4" t="s">
        <v>583</v>
      </c>
      <c r="F628" s="7" t="n">
        <v>1996</v>
      </c>
      <c r="G628" s="68" t="n">
        <v>1</v>
      </c>
      <c r="H628" s="68" t="n">
        <v>163</v>
      </c>
      <c r="I628" s="7" t="n">
        <v>1</v>
      </c>
      <c r="J628" s="8" t="n">
        <v>635</v>
      </c>
      <c r="K628" s="32"/>
      <c r="L628" s="31" t="n">
        <v>929.852</v>
      </c>
      <c r="M628" s="31" t="n">
        <v>144.547587473222</v>
      </c>
      <c r="N628" s="31" t="n">
        <v>307.048862593084</v>
      </c>
      <c r="O628" s="95"/>
      <c r="P628" s="33" t="n">
        <v>36.4174232377843</v>
      </c>
      <c r="Q628" s="33" t="n">
        <v>8.5</v>
      </c>
      <c r="R628" s="31" t="n">
        <v>266.449046210344</v>
      </c>
      <c r="S628" s="34" t="s">
        <v>76</v>
      </c>
      <c r="T628" s="35"/>
      <c r="U628" s="35"/>
      <c r="V628" s="35" t="n">
        <v>18.8017205174954</v>
      </c>
      <c r="W628" s="35" t="n">
        <v>17.4828174266342</v>
      </c>
      <c r="X628" s="35" t="n">
        <v>2.71774334114975</v>
      </c>
      <c r="Y628" s="35" t="n">
        <v>5.77304689969002</v>
      </c>
      <c r="Z628" s="35"/>
      <c r="AA628" s="35" t="n">
        <v>0.684710213684165</v>
      </c>
      <c r="AB628" s="35" t="n">
        <v>0.159814624398711</v>
      </c>
      <c r="AC628" s="71" t="n">
        <v>5.00970049900011</v>
      </c>
      <c r="AD628" s="72"/>
      <c r="AE628" s="72"/>
      <c r="AF628" s="72"/>
      <c r="AG628" s="72"/>
      <c r="AH628" s="72"/>
      <c r="AI628" s="73" t="n">
        <v>30.0600023873014</v>
      </c>
      <c r="AJ628" s="42" t="s">
        <v>16</v>
      </c>
      <c r="AK628" s="43" t="n">
        <v>717.232224718959</v>
      </c>
      <c r="AL628" s="74"/>
      <c r="AM628" s="74"/>
      <c r="AN628" s="74"/>
      <c r="AO628" s="78" t="n">
        <v>28.005</v>
      </c>
      <c r="AP628" s="76" t="n">
        <v>0.917797918496733</v>
      </c>
      <c r="AQ628" s="76" t="n">
        <v>0.886212645772595</v>
      </c>
      <c r="AR628" s="76" t="n">
        <v>1.36929209183673</v>
      </c>
      <c r="AS628" s="77" t="n">
        <v>24.968968777451</v>
      </c>
      <c r="AT628" s="78" t="n">
        <v>25.422229619459</v>
      </c>
      <c r="AU628" s="78" t="n">
        <v>32.7726448311635</v>
      </c>
      <c r="AV628" s="78" t="n">
        <v>31.6448007774538</v>
      </c>
      <c r="AW628" s="78" t="n">
        <v>48.8945578231293</v>
      </c>
      <c r="AX628" s="78" t="n">
        <v>19.0375</v>
      </c>
      <c r="AY628" s="48" t="n">
        <v>1.35212251430942</v>
      </c>
      <c r="AZ628" s="48" t="n">
        <v>21.4116310398728</v>
      </c>
      <c r="BA628" s="48" t="n">
        <v>-2.60991052237735</v>
      </c>
      <c r="BB628" s="49" t="n">
        <f aca="false">AT628/V628</f>
        <v>1.35212251430942</v>
      </c>
      <c r="BC628" s="49" t="n">
        <f aca="false">AS628/V628</f>
        <v>1.3280151012891</v>
      </c>
      <c r="BD628" s="49" t="n">
        <f aca="false">SUM(AP628:AR628)/V628</f>
        <v>0.168777248505169</v>
      </c>
      <c r="BE628" s="53" t="n">
        <v>6.47</v>
      </c>
      <c r="BF628" s="51" t="n">
        <v>114.980375993078</v>
      </c>
      <c r="BG628" s="51" t="n">
        <v>617.381232584669</v>
      </c>
      <c r="BH628" s="51" t="n">
        <v>210.191973549142</v>
      </c>
      <c r="BI628" s="51" t="n">
        <v>127.0893085953</v>
      </c>
      <c r="BJ628" s="51" t="n">
        <v>8.95974764531343</v>
      </c>
      <c r="BK628" s="51" t="n">
        <v>13.0097290179274</v>
      </c>
      <c r="BL628" s="51" t="n">
        <v>17.0199588345898</v>
      </c>
      <c r="BM628" s="51" t="n">
        <v>6.34804977305915</v>
      </c>
      <c r="BN628" s="52" t="n">
        <f aca="false">(BG628*0.5-BH628*0.25+BI628*0.5)/SUM(BG628:BI628)*1000</f>
        <v>334.869414343153</v>
      </c>
      <c r="BO628" s="93" t="n">
        <v>3.08448</v>
      </c>
      <c r="BP628" s="94" t="s">
        <v>491</v>
      </c>
      <c r="BQ628" s="55" t="n">
        <v>354.483333333333</v>
      </c>
      <c r="BR628" s="56" t="n">
        <v>18.8537710154493</v>
      </c>
      <c r="BS628" s="56"/>
      <c r="BT628" s="56" t="n">
        <v>13.9438333552774</v>
      </c>
      <c r="BU628" s="55" t="n">
        <v>10447.0020833333</v>
      </c>
      <c r="BV628" s="55" t="n">
        <v>555.640749665019</v>
      </c>
      <c r="BW628" s="55"/>
      <c r="BX628" s="55" t="n">
        <v>410.939647690731</v>
      </c>
      <c r="BY628" s="96" t="n">
        <v>0.06489</v>
      </c>
      <c r="BZ628" s="96" t="n">
        <v>1.2364</v>
      </c>
      <c r="CA628" s="97" t="n">
        <v>3.6966</v>
      </c>
      <c r="CB628" s="97"/>
      <c r="CC628" s="97" t="n">
        <v>3.67</v>
      </c>
      <c r="CD628" s="97" t="n">
        <v>5.0898</v>
      </c>
      <c r="CE628" s="97" t="n">
        <v>81.37</v>
      </c>
      <c r="CF628" s="97" t="n">
        <v>34.1802</v>
      </c>
      <c r="CG628" s="97" t="n">
        <v>0.0704</v>
      </c>
      <c r="CH628" s="63" t="n">
        <v>38990.758478779</v>
      </c>
      <c r="CI628" s="63" t="n">
        <v>6107.99002040136</v>
      </c>
      <c r="CJ628" s="64" t="n">
        <v>3107433.31945776</v>
      </c>
      <c r="CK628" s="65" t="n">
        <v>0.196560614258561</v>
      </c>
    </row>
    <row r="629" s="1" customFormat="true" ht="15" hidden="false" customHeight="false" outlineLevel="0" collapsed="false">
      <c r="A629" s="7" t="s">
        <v>488</v>
      </c>
      <c r="B629" s="66" t="n">
        <v>620</v>
      </c>
      <c r="C629" s="8" t="s">
        <v>712</v>
      </c>
      <c r="D629" s="67" t="n">
        <v>41915</v>
      </c>
      <c r="E629" s="4" t="s">
        <v>583</v>
      </c>
      <c r="F629" s="7" t="n">
        <v>1997</v>
      </c>
      <c r="G629" s="68" t="n">
        <v>1</v>
      </c>
      <c r="H629" s="68" t="n">
        <v>178</v>
      </c>
      <c r="I629" s="7" t="n">
        <v>1</v>
      </c>
      <c r="J629" s="8" t="n">
        <v>625</v>
      </c>
      <c r="K629" s="32"/>
      <c r="L629" s="31" t="n">
        <v>929.852</v>
      </c>
      <c r="M629" s="31" t="n">
        <v>144.547587473222</v>
      </c>
      <c r="N629" s="31" t="n">
        <v>307.048862593084</v>
      </c>
      <c r="O629" s="95"/>
      <c r="P629" s="33" t="n">
        <v>36.4174232377843</v>
      </c>
      <c r="Q629" s="33" t="n">
        <v>8.5</v>
      </c>
      <c r="R629" s="31" t="n">
        <v>266.449046210344</v>
      </c>
      <c r="S629" s="34" t="s">
        <v>76</v>
      </c>
      <c r="T629" s="35"/>
      <c r="U629" s="35"/>
      <c r="V629" s="35" t="n">
        <v>16.3574908197336</v>
      </c>
      <c r="W629" s="35" t="n">
        <v>15.2100455537109</v>
      </c>
      <c r="X629" s="35" t="n">
        <v>2.36443583510788</v>
      </c>
      <c r="Y629" s="35" t="n">
        <v>5.02254895107601</v>
      </c>
      <c r="Z629" s="35"/>
      <c r="AA629" s="35" t="n">
        <v>0.59569766629041</v>
      </c>
      <c r="AB629" s="35" t="n">
        <v>0.139038671967736</v>
      </c>
      <c r="AC629" s="71" t="n">
        <v>4.35843782731247</v>
      </c>
      <c r="AD629" s="72"/>
      <c r="AE629" s="72"/>
      <c r="AF629" s="72"/>
      <c r="AG629" s="72"/>
      <c r="AH629" s="72"/>
      <c r="AI629" s="73" t="n">
        <v>31.2010165146673</v>
      </c>
      <c r="AJ629" s="42" t="s">
        <v>16</v>
      </c>
      <c r="AK629" s="43" t="n">
        <v>727.572978399462</v>
      </c>
      <c r="AL629" s="74"/>
      <c r="AM629" s="74"/>
      <c r="AN629" s="74"/>
      <c r="AO629" s="78" t="n">
        <v>34.1216666666667</v>
      </c>
      <c r="AP629" s="76" t="n">
        <v>0.938237282853154</v>
      </c>
      <c r="AQ629" s="76" t="n">
        <v>1.1368362217903</v>
      </c>
      <c r="AR629" s="76" t="n">
        <v>1.68397664938991</v>
      </c>
      <c r="AS629" s="77" t="n">
        <v>27.722225909464</v>
      </c>
      <c r="AT629" s="78" t="n">
        <v>29.3010244527103</v>
      </c>
      <c r="AU629" s="78" t="n">
        <v>27.4968187228004</v>
      </c>
      <c r="AV629" s="78" t="n">
        <v>33.3171363783609</v>
      </c>
      <c r="AW629" s="78" t="n">
        <v>49.3521218011014</v>
      </c>
      <c r="AX629" s="78" t="n">
        <v>15.95</v>
      </c>
      <c r="AY629" s="48" t="n">
        <v>1.79129090002983</v>
      </c>
      <c r="AZ629" s="48" t="n">
        <v>22.3286983482591</v>
      </c>
      <c r="BA629" s="48" t="n">
        <v>-5.97120752852549</v>
      </c>
      <c r="BB629" s="49" t="n">
        <f aca="false">AT629/V629</f>
        <v>1.79129090002983</v>
      </c>
      <c r="BC629" s="49" t="n">
        <f aca="false">AS629/V629</f>
        <v>1.69477251828991</v>
      </c>
      <c r="BD629" s="49" t="n">
        <f aca="false">SUM(AP629:AR629)/V629</f>
        <v>0.229806037824485</v>
      </c>
      <c r="BE629" s="53" t="n">
        <v>6.21</v>
      </c>
      <c r="BF629" s="51" t="n">
        <v>122.768191127734</v>
      </c>
      <c r="BG629" s="51" t="n">
        <v>554.635994476335</v>
      </c>
      <c r="BH629" s="51" t="n">
        <v>312.567051877475</v>
      </c>
      <c r="BI629" s="51" t="n">
        <v>98.5556418348324</v>
      </c>
      <c r="BJ629" s="51" t="n">
        <v>6.41169462278605</v>
      </c>
      <c r="BK629" s="51" t="n">
        <v>13.2763746542772</v>
      </c>
      <c r="BL629" s="51" t="n">
        <v>12.0210362390867</v>
      </c>
      <c r="BM629" s="51" t="n">
        <v>2.53220629520771</v>
      </c>
      <c r="BN629" s="52" t="n">
        <f aca="false">(BG629*0.5-BH629*0.25+BI629*0.5)/SUM(BG629:BI629)*1000</f>
        <v>257.263080544696</v>
      </c>
      <c r="BO629" s="93" t="n">
        <v>1.22808</v>
      </c>
      <c r="BP629" s="94" t="s">
        <v>491</v>
      </c>
      <c r="BQ629" s="55" t="n">
        <v>331.012030075188</v>
      </c>
      <c r="BR629" s="56" t="n">
        <v>20.2361128441446</v>
      </c>
      <c r="BS629" s="56"/>
      <c r="BT629" s="56" t="n">
        <v>11.296943921173</v>
      </c>
      <c r="BU629" s="55" t="n">
        <v>10712.9421052632</v>
      </c>
      <c r="BV629" s="55" t="n">
        <v>654.925759905616</v>
      </c>
      <c r="BW629" s="55"/>
      <c r="BX629" s="55" t="n">
        <v>365.616639873908</v>
      </c>
      <c r="BY629" s="96" t="n">
        <v>0.09682</v>
      </c>
      <c r="BZ629" s="96" t="n">
        <v>0.5478</v>
      </c>
      <c r="CA629" s="97" t="n">
        <v>4.4238</v>
      </c>
      <c r="CB629" s="97"/>
      <c r="CC629" s="97" t="n">
        <v>3.15</v>
      </c>
      <c r="CD629" s="97" t="n">
        <v>5.2122</v>
      </c>
      <c r="CE629" s="97" t="n">
        <v>79.31</v>
      </c>
      <c r="CF629" s="97" t="n">
        <v>36.0468</v>
      </c>
      <c r="CG629" s="97" t="n">
        <v>0.101</v>
      </c>
      <c r="CH629" s="63" t="n">
        <v>43448.0313408551</v>
      </c>
      <c r="CI629" s="63" t="n">
        <v>5265.43805688396</v>
      </c>
      <c r="CJ629" s="64" t="n">
        <v>739582.069682651</v>
      </c>
      <c r="CK629" s="65" t="n">
        <v>0.711947770602838</v>
      </c>
    </row>
    <row r="630" s="1" customFormat="true" ht="15" hidden="false" customHeight="false" outlineLevel="0" collapsed="false">
      <c r="A630" s="7" t="s">
        <v>488</v>
      </c>
      <c r="B630" s="66" t="n">
        <v>621</v>
      </c>
      <c r="C630" s="8" t="s">
        <v>713</v>
      </c>
      <c r="D630" s="67" t="n">
        <v>41915</v>
      </c>
      <c r="E630" s="4" t="s">
        <v>583</v>
      </c>
      <c r="F630" s="7" t="n">
        <v>1999</v>
      </c>
      <c r="G630" s="68" t="n">
        <v>1</v>
      </c>
      <c r="H630" s="68" t="n">
        <v>167</v>
      </c>
      <c r="I630" s="7" t="n">
        <v>1</v>
      </c>
      <c r="J630" s="8" t="n">
        <v>677</v>
      </c>
      <c r="K630" s="32"/>
      <c r="L630" s="31" t="n">
        <v>929.852</v>
      </c>
      <c r="M630" s="31" t="n">
        <v>144.547587473222</v>
      </c>
      <c r="N630" s="31" t="n">
        <v>307.048862593084</v>
      </c>
      <c r="O630" s="95"/>
      <c r="P630" s="33" t="n">
        <v>36.4174232377843</v>
      </c>
      <c r="Q630" s="33" t="n">
        <v>8.5</v>
      </c>
      <c r="R630" s="31" t="n">
        <v>266.449046210344</v>
      </c>
      <c r="S630" s="34" t="s">
        <v>76</v>
      </c>
      <c r="T630" s="35"/>
      <c r="U630" s="35"/>
      <c r="V630" s="35" t="n">
        <v>19.3420257346122</v>
      </c>
      <c r="W630" s="35" t="n">
        <v>17.9852213133806</v>
      </c>
      <c r="X630" s="35" t="n">
        <v>2.79584315678318</v>
      </c>
      <c r="Y630" s="35" t="n">
        <v>5.93894700205883</v>
      </c>
      <c r="Z630" s="35"/>
      <c r="AA630" s="35" t="n">
        <v>0.70438673745349</v>
      </c>
      <c r="AB630" s="35" t="n">
        <v>0.164407218744204</v>
      </c>
      <c r="AC630" s="71" t="n">
        <v>5.15366430876335</v>
      </c>
      <c r="AD630" s="72"/>
      <c r="AE630" s="72"/>
      <c r="AF630" s="72"/>
      <c r="AG630" s="72"/>
      <c r="AH630" s="72"/>
      <c r="AI630" s="73" t="n">
        <v>30.0350216905079</v>
      </c>
      <c r="AJ630" s="42" t="s">
        <v>16</v>
      </c>
      <c r="AK630" s="43" t="n">
        <v>716.997041400963</v>
      </c>
      <c r="AL630" s="74"/>
      <c r="AM630" s="74"/>
      <c r="AN630" s="74"/>
      <c r="AO630" s="78" t="n">
        <v>27.5216666666667</v>
      </c>
      <c r="AP630" s="76" t="n">
        <v>1.26454492325025</v>
      </c>
      <c r="AQ630" s="76" t="n">
        <v>1.02604464285714</v>
      </c>
      <c r="AR630" s="76" t="n">
        <v>1.28514682539683</v>
      </c>
      <c r="AS630" s="77" t="n">
        <v>29.9768405154204</v>
      </c>
      <c r="AT630" s="78" t="n">
        <v>30.2829229011754</v>
      </c>
      <c r="AU630" s="78" t="n">
        <v>45.9472508902167</v>
      </c>
      <c r="AV630" s="78" t="n">
        <v>37.2813411078717</v>
      </c>
      <c r="AW630" s="78" t="n">
        <v>46.6958211856171</v>
      </c>
      <c r="AX630" s="78" t="n">
        <v>25.7875</v>
      </c>
      <c r="AY630" s="48" t="n">
        <v>1.56565415208732</v>
      </c>
      <c r="AZ630" s="48" t="n">
        <v>23.8772552352404</v>
      </c>
      <c r="BA630" s="48" t="n">
        <v>-4.53522950062824</v>
      </c>
      <c r="BB630" s="49" t="n">
        <f aca="false">AT630/V630</f>
        <v>1.56565415208732</v>
      </c>
      <c r="BC630" s="49" t="n">
        <f aca="false">AS630/V630</f>
        <v>1.54982941945824</v>
      </c>
      <c r="BD630" s="49" t="n">
        <f aca="false">SUM(AP630:AR630)/V630</f>
        <v>0.184868764035687</v>
      </c>
      <c r="BE630" s="53" t="n">
        <v>6.57</v>
      </c>
      <c r="BF630" s="51" t="n">
        <v>107.850824194097</v>
      </c>
      <c r="BG630" s="51" t="n">
        <v>581.861871795106</v>
      </c>
      <c r="BH630" s="51" t="n">
        <v>268.859115700122</v>
      </c>
      <c r="BI630" s="51" t="n">
        <v>103.486905267587</v>
      </c>
      <c r="BJ630" s="51" t="n">
        <v>9.19439992625622</v>
      </c>
      <c r="BK630" s="51" t="n">
        <v>15.4175950342265</v>
      </c>
      <c r="BL630" s="51" t="n">
        <v>18.8975947416185</v>
      </c>
      <c r="BM630" s="51" t="n">
        <v>2.28251753508325</v>
      </c>
      <c r="BN630" s="52" t="n">
        <f aca="false">(BG630*0.5-BH630*0.25+BI630*0.5)/SUM(BG630:BI630)*1000</f>
        <v>288.678821141114</v>
      </c>
      <c r="BO630" s="93" t="n">
        <v>4.59816</v>
      </c>
      <c r="BP630" s="94" t="s">
        <v>491</v>
      </c>
      <c r="BQ630" s="55" t="n">
        <v>345.108</v>
      </c>
      <c r="BR630" s="56" t="n">
        <v>17.8423917295506</v>
      </c>
      <c r="BS630" s="56"/>
      <c r="BT630" s="56" t="n">
        <v>11.3961258338971</v>
      </c>
      <c r="BU630" s="55" t="n">
        <v>11402.7194285714</v>
      </c>
      <c r="BV630" s="55" t="n">
        <v>589.530775370982</v>
      </c>
      <c r="BW630" s="55"/>
      <c r="BX630" s="55" t="n">
        <v>376.539591828134</v>
      </c>
      <c r="BY630" s="96" t="n">
        <v>0.09167</v>
      </c>
      <c r="BZ630" s="96" t="n">
        <v>0.5632</v>
      </c>
      <c r="CA630" s="97" t="n">
        <v>4.0097</v>
      </c>
      <c r="CB630" s="97"/>
      <c r="CC630" s="97" t="n">
        <v>5.47</v>
      </c>
      <c r="CD630" s="97" t="n">
        <v>5.2224</v>
      </c>
      <c r="CE630" s="97" t="n">
        <v>83.43</v>
      </c>
      <c r="CF630" s="97" t="n">
        <v>36.1692</v>
      </c>
      <c r="CG630" s="97" t="n">
        <v>0.3764</v>
      </c>
      <c r="CH630" s="63" t="n">
        <v>38591.8603226041</v>
      </c>
      <c r="CI630" s="63" t="n">
        <v>4870.64613700739</v>
      </c>
      <c r="CJ630" s="64" t="n">
        <v>1305668.44461493</v>
      </c>
      <c r="CK630" s="65" t="n">
        <v>0.373038511966479</v>
      </c>
    </row>
    <row r="631" s="1" customFormat="true" ht="15" hidden="false" customHeight="false" outlineLevel="0" collapsed="false">
      <c r="A631" s="7" t="s">
        <v>488</v>
      </c>
      <c r="B631" s="66" t="n">
        <v>622</v>
      </c>
      <c r="C631" s="8" t="s">
        <v>714</v>
      </c>
      <c r="D631" s="67" t="n">
        <v>41915</v>
      </c>
      <c r="E631" s="4" t="s">
        <v>583</v>
      </c>
      <c r="F631" s="7" t="n">
        <v>2001</v>
      </c>
      <c r="G631" s="68" t="n">
        <v>1</v>
      </c>
      <c r="H631" s="68" t="n">
        <v>184</v>
      </c>
      <c r="I631" s="7" t="n">
        <v>1</v>
      </c>
      <c r="J631" s="8" t="n">
        <v>781</v>
      </c>
      <c r="K631" s="32"/>
      <c r="L631" s="31" t="n">
        <v>929.852</v>
      </c>
      <c r="M631" s="31" t="n">
        <v>144.547587473222</v>
      </c>
      <c r="N631" s="31" t="n">
        <v>307.048862593084</v>
      </c>
      <c r="O631" s="95"/>
      <c r="P631" s="33" t="n">
        <v>36.4174232377843</v>
      </c>
      <c r="Q631" s="33" t="n">
        <v>8.5</v>
      </c>
      <c r="R631" s="31" t="n">
        <v>266.449046210344</v>
      </c>
      <c r="S631" s="34" t="s">
        <v>76</v>
      </c>
      <c r="T631" s="35"/>
      <c r="U631" s="35"/>
      <c r="V631" s="35" t="n">
        <v>18.7576917449493</v>
      </c>
      <c r="W631" s="35" t="n">
        <v>17.4418771844246</v>
      </c>
      <c r="X631" s="35" t="n">
        <v>2.7113790882988</v>
      </c>
      <c r="Y631" s="35" t="n">
        <v>5.75952791515836</v>
      </c>
      <c r="Z631" s="35"/>
      <c r="AA631" s="35" t="n">
        <v>0.683106799239712</v>
      </c>
      <c r="AB631" s="35" t="n">
        <v>0.159440379832069</v>
      </c>
      <c r="AC631" s="71" t="n">
        <v>4.99796907454938</v>
      </c>
      <c r="AD631" s="72"/>
      <c r="AE631" s="72"/>
      <c r="AF631" s="72"/>
      <c r="AG631" s="72"/>
      <c r="AH631" s="72"/>
      <c r="AI631" s="73" t="n">
        <v>26.9335308979011</v>
      </c>
      <c r="AJ631" s="42" t="s">
        <v>16</v>
      </c>
      <c r="AK631" s="43" t="n">
        <v>684.408255559898</v>
      </c>
      <c r="AL631" s="74"/>
      <c r="AM631" s="74"/>
      <c r="AN631" s="74"/>
      <c r="AO631" s="78" t="n">
        <v>21.62</v>
      </c>
      <c r="AP631" s="76" t="n">
        <v>0.792365524725128</v>
      </c>
      <c r="AQ631" s="76" t="n">
        <v>0.73432361516035</v>
      </c>
      <c r="AR631" s="76" t="n">
        <v>1.06182774538387</v>
      </c>
      <c r="AS631" s="77" t="n">
        <v>20.5334828708769</v>
      </c>
      <c r="AT631" s="78" t="n">
        <v>21.0599987237268</v>
      </c>
      <c r="AU631" s="78" t="n">
        <v>36.6496542426054</v>
      </c>
      <c r="AV631" s="78" t="n">
        <v>33.9650145772595</v>
      </c>
      <c r="AW631" s="78" t="n">
        <v>49.1132167152575</v>
      </c>
      <c r="AX631" s="78" t="n">
        <v>20.01125</v>
      </c>
      <c r="AY631" s="48" t="n">
        <v>1.12273935461155</v>
      </c>
      <c r="AZ631" s="48" t="n">
        <v>21.8696405619786</v>
      </c>
      <c r="BA631" s="48" t="n">
        <v>-3.11194881702933</v>
      </c>
      <c r="BB631" s="49" t="n">
        <f aca="false">AT631/V631</f>
        <v>1.12273935461155</v>
      </c>
      <c r="BC631" s="49" t="n">
        <f aca="false">AS631/V631</f>
        <v>1.09467002390664</v>
      </c>
      <c r="BD631" s="49" t="n">
        <f aca="false">SUM(AP631:AR631)/V631</f>
        <v>0.137997623613062</v>
      </c>
      <c r="BE631" s="53" t="n">
        <v>6.54</v>
      </c>
      <c r="BF631" s="51" t="n">
        <v>104.0269610105</v>
      </c>
      <c r="BG631" s="51" t="n">
        <v>623.543262268729</v>
      </c>
      <c r="BH631" s="51" t="n">
        <v>210.4163704066</v>
      </c>
      <c r="BI631" s="51" t="n">
        <v>118.107913953958</v>
      </c>
      <c r="BJ631" s="51" t="n">
        <v>9.86347206110869</v>
      </c>
      <c r="BK631" s="51" t="n">
        <v>12.7732557677759</v>
      </c>
      <c r="BL631" s="51" t="n">
        <v>20.1603487810417</v>
      </c>
      <c r="BM631" s="51" t="n">
        <v>5.13537676078672</v>
      </c>
      <c r="BN631" s="52" t="n">
        <f aca="false">(BG631*0.5-BH631*0.25+BI631*0.5)/SUM(BG631:BI631)*1000</f>
        <v>334.242561503466</v>
      </c>
      <c r="BO631" s="93" t="n">
        <v>2.22768</v>
      </c>
      <c r="BP631" s="94" t="s">
        <v>491</v>
      </c>
      <c r="BQ631" s="55" t="n">
        <v>344.679304029304</v>
      </c>
      <c r="BR631" s="56" t="n">
        <v>18.3753581579201</v>
      </c>
      <c r="BS631" s="56"/>
      <c r="BT631" s="56" t="n">
        <v>16.3665396447047</v>
      </c>
      <c r="BU631" s="55" t="n">
        <v>10848.214010989</v>
      </c>
      <c r="BV631" s="55" t="n">
        <v>578.334165978072</v>
      </c>
      <c r="BW631" s="55"/>
      <c r="BX631" s="55" t="n">
        <v>515.109908281577</v>
      </c>
      <c r="BY631" s="96" t="n">
        <v>0.07107</v>
      </c>
      <c r="BZ631" s="96" t="n">
        <v>0.4829</v>
      </c>
      <c r="CA631" s="97" t="n">
        <v>4.1107</v>
      </c>
      <c r="CB631" s="97"/>
      <c r="CC631" s="97" t="n">
        <v>5.08</v>
      </c>
      <c r="CD631" s="97" t="n">
        <v>4.7634</v>
      </c>
      <c r="CE631" s="97" t="n">
        <v>89.61</v>
      </c>
      <c r="CF631" s="97" t="n">
        <v>32.3748</v>
      </c>
      <c r="CG631" s="97" t="n">
        <v>0.0908</v>
      </c>
      <c r="CH631" s="63" t="n">
        <v>32863.965903203</v>
      </c>
      <c r="CI631" s="63" t="n">
        <v>4369.11083333817</v>
      </c>
      <c r="CJ631" s="64" t="n">
        <v>1681987.50256222</v>
      </c>
      <c r="CK631" s="65" t="n">
        <v>0.259758816678637</v>
      </c>
    </row>
    <row r="632" s="1" customFormat="true" ht="15" hidden="false" customHeight="false" outlineLevel="0" collapsed="false">
      <c r="A632" s="7" t="s">
        <v>488</v>
      </c>
      <c r="B632" s="66" t="n">
        <v>623</v>
      </c>
      <c r="C632" s="8" t="s">
        <v>715</v>
      </c>
      <c r="D632" s="67" t="n">
        <v>41915</v>
      </c>
      <c r="E632" s="4" t="s">
        <v>583</v>
      </c>
      <c r="F632" s="7" t="n">
        <v>2002</v>
      </c>
      <c r="G632" s="68" t="n">
        <v>1</v>
      </c>
      <c r="H632" s="68" t="n">
        <v>166</v>
      </c>
      <c r="I632" s="7" t="n">
        <v>1</v>
      </c>
      <c r="J632" s="8" t="n">
        <v>740</v>
      </c>
      <c r="K632" s="32"/>
      <c r="L632" s="31" t="n">
        <v>929.852</v>
      </c>
      <c r="M632" s="31" t="n">
        <v>144.547587473222</v>
      </c>
      <c r="N632" s="31" t="n">
        <v>307.048862593084</v>
      </c>
      <c r="O632" s="95"/>
      <c r="P632" s="33" t="n">
        <v>36.4174232377843</v>
      </c>
      <c r="Q632" s="33" t="n">
        <v>8.5</v>
      </c>
      <c r="R632" s="31" t="n">
        <v>266.449046210344</v>
      </c>
      <c r="S632" s="34" t="s">
        <v>76</v>
      </c>
      <c r="T632" s="35"/>
      <c r="U632" s="35"/>
      <c r="V632" s="35" t="n">
        <v>18.1915128505056</v>
      </c>
      <c r="W632" s="35" t="n">
        <v>16.9154146070684</v>
      </c>
      <c r="X632" s="35" t="n">
        <v>2.62953929502871</v>
      </c>
      <c r="Y632" s="35" t="n">
        <v>5.58568332959522</v>
      </c>
      <c r="Z632" s="35"/>
      <c r="AA632" s="35" t="n">
        <v>0.662488022812456</v>
      </c>
      <c r="AB632" s="35" t="n">
        <v>0.154627859229298</v>
      </c>
      <c r="AC632" s="71" t="n">
        <v>4.84711124814044</v>
      </c>
      <c r="AD632" s="72"/>
      <c r="AE632" s="72"/>
      <c r="AF632" s="72"/>
      <c r="AG632" s="72"/>
      <c r="AH632" s="72"/>
      <c r="AI632" s="73" t="n">
        <v>37.1650400719456</v>
      </c>
      <c r="AJ632" s="42" t="s">
        <v>16</v>
      </c>
      <c r="AK632" s="43" t="n">
        <v>771.290438983912</v>
      </c>
      <c r="AL632" s="74"/>
      <c r="AM632" s="74"/>
      <c r="AN632" s="74"/>
      <c r="AO632" s="78" t="n">
        <v>20.3833333333333</v>
      </c>
      <c r="AP632" s="76" t="n">
        <v>0.626395156958141</v>
      </c>
      <c r="AQ632" s="76" t="n">
        <v>0.669292395529641</v>
      </c>
      <c r="AR632" s="76" t="n">
        <v>1.00133867832847</v>
      </c>
      <c r="AS632" s="77" t="n">
        <v>17.5492606877054</v>
      </c>
      <c r="AT632" s="78" t="n">
        <v>18.2076073958175</v>
      </c>
      <c r="AU632" s="78" t="n">
        <v>30.7307517722718</v>
      </c>
      <c r="AV632" s="78" t="n">
        <v>32.83527696793</v>
      </c>
      <c r="AW632" s="78" t="n">
        <v>49.1253644314869</v>
      </c>
      <c r="AX632" s="78" t="n">
        <v>19.93</v>
      </c>
      <c r="AY632" s="48" t="n">
        <v>1.00088472824906</v>
      </c>
      <c r="AZ632" s="48" t="n">
        <v>20.1568885595468</v>
      </c>
      <c r="BA632" s="48" t="n">
        <v>-1.96537570904114</v>
      </c>
      <c r="BB632" s="49" t="n">
        <f aca="false">AT632/V632</f>
        <v>1.00088472824906</v>
      </c>
      <c r="BC632" s="49" t="n">
        <f aca="false">AS632/V632</f>
        <v>0.964694955934777</v>
      </c>
      <c r="BD632" s="49" t="n">
        <f aca="false">SUM(AP632:AR632)/V632</f>
        <v>0.12626911514687</v>
      </c>
      <c r="BE632" s="53" t="n">
        <v>6.59</v>
      </c>
      <c r="BF632" s="51" t="n">
        <v>99.5124472235277</v>
      </c>
      <c r="BG632" s="51" t="n">
        <v>620.125357746928</v>
      </c>
      <c r="BH632" s="51" t="n">
        <v>199.242993343277</v>
      </c>
      <c r="BI632" s="51" t="n">
        <v>127.779380991817</v>
      </c>
      <c r="BJ632" s="51" t="n">
        <v>10.3043538272173</v>
      </c>
      <c r="BK632" s="51" t="n">
        <v>12.9657966674577</v>
      </c>
      <c r="BL632" s="51" t="n">
        <v>23.9120179165454</v>
      </c>
      <c r="BM632" s="51" t="n">
        <v>5.67009950675715</v>
      </c>
      <c r="BN632" s="52" t="n">
        <f aca="false">(BG632*0.5-BH632*0.25+BI632*0.5)/SUM(BG632:BI632)*1000</f>
        <v>342.229210981717</v>
      </c>
      <c r="BO632" s="93" t="n">
        <v>3.74136</v>
      </c>
      <c r="BP632" s="94" t="s">
        <v>491</v>
      </c>
      <c r="BQ632" s="55" t="n">
        <v>378.404385964912</v>
      </c>
      <c r="BR632" s="56" t="n">
        <v>20.8011499139498</v>
      </c>
      <c r="BS632" s="56"/>
      <c r="BT632" s="56" t="n">
        <v>20.7827628165926</v>
      </c>
      <c r="BU632" s="55" t="n">
        <v>11543.3684210526</v>
      </c>
      <c r="BV632" s="55" t="n">
        <v>634.546918440144</v>
      </c>
      <c r="BW632" s="55"/>
      <c r="BX632" s="55" t="n">
        <v>633.986013104844</v>
      </c>
      <c r="BY632" s="96" t="n">
        <v>0.06489</v>
      </c>
      <c r="BZ632" s="96" t="n">
        <v>0.7018</v>
      </c>
      <c r="CA632" s="97" t="n">
        <v>4.3733</v>
      </c>
      <c r="CB632" s="97"/>
      <c r="CC632" s="97" t="n">
        <v>3.92</v>
      </c>
      <c r="CD632" s="97" t="n">
        <v>4.6308</v>
      </c>
      <c r="CE632" s="97" t="n">
        <v>83.43</v>
      </c>
      <c r="CF632" s="97" t="n">
        <v>34.1088</v>
      </c>
      <c r="CG632" s="97" t="n">
        <v>0.0806</v>
      </c>
      <c r="CH632" s="63" t="n">
        <v>43076.5501519751</v>
      </c>
      <c r="CI632" s="63" t="n">
        <v>4071.64698342797</v>
      </c>
      <c r="CJ632" s="64" t="n">
        <v>2264581.40273633</v>
      </c>
      <c r="CK632" s="65" t="n">
        <v>0.179796892198625</v>
      </c>
    </row>
    <row r="633" s="1" customFormat="true" ht="15" hidden="false" customHeight="false" outlineLevel="0" collapsed="false">
      <c r="A633" s="7" t="s">
        <v>488</v>
      </c>
      <c r="B633" s="66" t="n">
        <v>624</v>
      </c>
      <c r="C633" s="8" t="s">
        <v>716</v>
      </c>
      <c r="D633" s="67" t="n">
        <v>41915</v>
      </c>
      <c r="E633" s="4" t="s">
        <v>583</v>
      </c>
      <c r="F633" s="7" t="n">
        <v>2009</v>
      </c>
      <c r="G633" s="68" t="n">
        <v>1</v>
      </c>
      <c r="H633" s="68" t="n">
        <v>161</v>
      </c>
      <c r="I633" s="7" t="n">
        <v>1</v>
      </c>
      <c r="J633" s="8" t="n">
        <v>553</v>
      </c>
      <c r="K633" s="32"/>
      <c r="L633" s="31" t="n">
        <v>929.852</v>
      </c>
      <c r="M633" s="31" t="n">
        <v>144.547587473222</v>
      </c>
      <c r="N633" s="31" t="n">
        <v>307.048862593084</v>
      </c>
      <c r="O633" s="95"/>
      <c r="P633" s="33" t="n">
        <v>36.4174232377843</v>
      </c>
      <c r="Q633" s="33" t="n">
        <v>8.5</v>
      </c>
      <c r="R633" s="31" t="n">
        <v>266.449046210344</v>
      </c>
      <c r="S633" s="34" t="s">
        <v>76</v>
      </c>
      <c r="T633" s="35"/>
      <c r="U633" s="35"/>
      <c r="V633" s="35" t="n">
        <v>16.7979966715259</v>
      </c>
      <c r="W633" s="35" t="n">
        <v>15.6196508010117</v>
      </c>
      <c r="X633" s="35" t="n">
        <v>2.42810989325229</v>
      </c>
      <c r="Y633" s="35" t="n">
        <v>5.15780577183443</v>
      </c>
      <c r="Z633" s="35"/>
      <c r="AA633" s="35" t="n">
        <v>0.611739754333851</v>
      </c>
      <c r="AB633" s="35" t="n">
        <v>0.14278297170797</v>
      </c>
      <c r="AC633" s="71" t="n">
        <v>4.4758101913726</v>
      </c>
      <c r="AD633" s="72"/>
      <c r="AE633" s="72"/>
      <c r="AF633" s="72"/>
      <c r="AG633" s="72"/>
      <c r="AH633" s="72"/>
      <c r="AI633" s="73" t="n">
        <v>29.481049759058</v>
      </c>
      <c r="AJ633" s="42" t="s">
        <v>16</v>
      </c>
      <c r="AK633" s="43" t="n">
        <v>711.679194958504</v>
      </c>
      <c r="AL633" s="74"/>
      <c r="AM633" s="74"/>
      <c r="AN633" s="74"/>
      <c r="AO633" s="78" t="n">
        <v>29.1833333333333</v>
      </c>
      <c r="AP633" s="76" t="n">
        <v>1.02419411610255</v>
      </c>
      <c r="AQ633" s="76" t="n">
        <v>0.955052235179786</v>
      </c>
      <c r="AR633" s="76" t="n">
        <v>1.44356818918043</v>
      </c>
      <c r="AS633" s="77" t="n">
        <v>27.0362450748716</v>
      </c>
      <c r="AT633" s="78" t="n">
        <v>27.6495578302939</v>
      </c>
      <c r="AU633" s="78" t="n">
        <v>35.0951724535425</v>
      </c>
      <c r="AV633" s="78" t="n">
        <v>32.7259475218659</v>
      </c>
      <c r="AW633" s="78" t="n">
        <v>49.4655004859087</v>
      </c>
      <c r="AX633" s="78" t="n">
        <v>18.88375</v>
      </c>
      <c r="AY633" s="48" t="n">
        <v>1.64600329259276</v>
      </c>
      <c r="AZ633" s="48" t="n">
        <v>20.9702247718036</v>
      </c>
      <c r="BA633" s="48" t="n">
        <v>-4.17222810027767</v>
      </c>
      <c r="BB633" s="49" t="n">
        <f aca="false">AT633/V633</f>
        <v>1.64600329259276</v>
      </c>
      <c r="BC633" s="49" t="n">
        <f aca="false">AS633/V633</f>
        <v>1.60949222717138</v>
      </c>
      <c r="BD633" s="49" t="n">
        <f aca="false">SUM(AP633:AR633)/V633</f>
        <v>0.203763258642904</v>
      </c>
      <c r="BE633" s="53" t="n">
        <v>6.47</v>
      </c>
      <c r="BF633" s="51" t="n">
        <v>107.434072115917</v>
      </c>
      <c r="BG633" s="51" t="n">
        <v>614.131006632294</v>
      </c>
      <c r="BH633" s="51" t="n">
        <v>193.66608349376</v>
      </c>
      <c r="BI633" s="51" t="n">
        <v>132.989968364011</v>
      </c>
      <c r="BJ633" s="51" t="n">
        <v>8.80563839713199</v>
      </c>
      <c r="BK633" s="51" t="n">
        <v>13.0542145295802</v>
      </c>
      <c r="BL633" s="51" t="n">
        <v>30.17425293165</v>
      </c>
      <c r="BM633" s="51" t="n">
        <v>7.17883565157266</v>
      </c>
      <c r="BN633" s="52" t="n">
        <f aca="false">(BG633*0.5-BH633*0.25+BI633*0.5)/SUM(BG633:BI633)*1000</f>
        <v>345.6084601616</v>
      </c>
      <c r="BO633" s="93" t="n">
        <v>2.37048</v>
      </c>
      <c r="BP633" s="94" t="s">
        <v>491</v>
      </c>
      <c r="BQ633" s="55" t="n">
        <v>338.178231292517</v>
      </c>
      <c r="BR633" s="56" t="n">
        <v>20.1320572866739</v>
      </c>
      <c r="BS633" s="56"/>
      <c r="BT633" s="56" t="n">
        <v>12.2308730348663</v>
      </c>
      <c r="BU633" s="55" t="n">
        <v>11261.6368197279</v>
      </c>
      <c r="BV633" s="55" t="n">
        <v>670.415469174213</v>
      </c>
      <c r="BW633" s="55"/>
      <c r="BX633" s="55" t="n">
        <v>407.298984267633</v>
      </c>
      <c r="BY633" s="96" t="n">
        <v>0.07931</v>
      </c>
      <c r="BZ633" s="96" t="n">
        <v>0.9284</v>
      </c>
      <c r="CA633" s="97" t="n">
        <v>3.7875</v>
      </c>
      <c r="CB633" s="97"/>
      <c r="CC633" s="97" t="n">
        <v>3.77</v>
      </c>
      <c r="CD633" s="97" t="n">
        <v>5.8038</v>
      </c>
      <c r="CE633" s="97" t="n">
        <v>77.25</v>
      </c>
      <c r="CF633" s="97" t="n">
        <v>36.261</v>
      </c>
      <c r="CG633" s="97" t="n">
        <v>0.152</v>
      </c>
      <c r="CH633" s="63" t="n">
        <v>45123.4874991724</v>
      </c>
      <c r="CI633" s="63" t="n">
        <v>2433.69187937365</v>
      </c>
      <c r="CJ633" s="64" t="n">
        <v>2446991.23475941</v>
      </c>
      <c r="CK633" s="65" t="n">
        <v>0.0994565017153784</v>
      </c>
    </row>
    <row r="634" s="1" customFormat="true" ht="15" hidden="false" customHeight="false" outlineLevel="0" collapsed="false">
      <c r="A634" s="7" t="s">
        <v>488</v>
      </c>
      <c r="B634" s="66" t="n">
        <v>625</v>
      </c>
      <c r="C634" s="8" t="s">
        <v>717</v>
      </c>
      <c r="D634" s="67" t="n">
        <v>41915</v>
      </c>
      <c r="E634" s="4" t="s">
        <v>583</v>
      </c>
      <c r="F634" s="7" t="n">
        <v>2022</v>
      </c>
      <c r="G634" s="68" t="n">
        <v>1</v>
      </c>
      <c r="H634" s="68" t="n">
        <v>169</v>
      </c>
      <c r="I634" s="7" t="n">
        <v>1</v>
      </c>
      <c r="J634" s="8" t="n">
        <v>614</v>
      </c>
      <c r="K634" s="32"/>
      <c r="L634" s="31" t="n">
        <v>929.852</v>
      </c>
      <c r="M634" s="31" t="n">
        <v>144.547587473222</v>
      </c>
      <c r="N634" s="31" t="n">
        <v>307.048862593084</v>
      </c>
      <c r="O634" s="95"/>
      <c r="P634" s="33" t="n">
        <v>36.4174232377843</v>
      </c>
      <c r="Q634" s="33" t="n">
        <v>8.5</v>
      </c>
      <c r="R634" s="31" t="n">
        <v>266.449046210344</v>
      </c>
      <c r="S634" s="34" t="s">
        <v>76</v>
      </c>
      <c r="T634" s="35"/>
      <c r="U634" s="35"/>
      <c r="V634" s="35" t="n">
        <v>23.1991869608953</v>
      </c>
      <c r="W634" s="35" t="n">
        <v>21.5718103939624</v>
      </c>
      <c r="X634" s="35" t="n">
        <v>3.35338650653765</v>
      </c>
      <c r="Y634" s="35" t="n">
        <v>7.12328396942719</v>
      </c>
      <c r="Z634" s="35"/>
      <c r="AA634" s="35" t="n">
        <v>0.844854610327411</v>
      </c>
      <c r="AB634" s="35" t="n">
        <v>0.19719308916761</v>
      </c>
      <c r="AC634" s="71" t="n">
        <v>6.18140123858599</v>
      </c>
      <c r="AD634" s="72"/>
      <c r="AE634" s="72"/>
      <c r="AF634" s="72"/>
      <c r="AG634" s="72"/>
      <c r="AH634" s="72"/>
      <c r="AI634" s="73" t="n">
        <v>26.2700283238085</v>
      </c>
      <c r="AJ634" s="42" t="s">
        <v>16</v>
      </c>
      <c r="AK634" s="43" t="n">
        <v>676.437349239687</v>
      </c>
      <c r="AL634" s="74"/>
      <c r="AM634" s="74"/>
      <c r="AN634" s="74"/>
      <c r="AO634" s="78" t="n">
        <v>33.835</v>
      </c>
      <c r="AP634" s="76" t="n">
        <v>1.14976531497518</v>
      </c>
      <c r="AQ634" s="76" t="n">
        <v>1.09536291302235</v>
      </c>
      <c r="AR634" s="76" t="n">
        <v>1.69092796404276</v>
      </c>
      <c r="AS634" s="77" t="n">
        <v>30.7804797246277</v>
      </c>
      <c r="AT634" s="78" t="n">
        <v>31.596218816547</v>
      </c>
      <c r="AU634" s="78" t="n">
        <v>33.9815373126992</v>
      </c>
      <c r="AV634" s="78" t="n">
        <v>32.3736637512148</v>
      </c>
      <c r="AW634" s="78" t="n">
        <v>49.9757045675413</v>
      </c>
      <c r="AX634" s="78" t="n">
        <v>32.9475</v>
      </c>
      <c r="AY634" s="48" t="n">
        <v>1.36195371285234</v>
      </c>
      <c r="AZ634" s="48" t="n">
        <v>23.278095478509</v>
      </c>
      <c r="BA634" s="48" t="n">
        <v>-0.0789085176137334</v>
      </c>
      <c r="BB634" s="49" t="n">
        <f aca="false">AT634/V634</f>
        <v>1.36195371285234</v>
      </c>
      <c r="BC634" s="49" t="n">
        <f aca="false">AS634/V634</f>
        <v>1.32679131283831</v>
      </c>
      <c r="BD634" s="49" t="n">
        <f aca="false">SUM(AP634:AR634)/V634</f>
        <v>0.169663540307466</v>
      </c>
      <c r="BE634" s="53" t="n">
        <v>6.62</v>
      </c>
      <c r="BF634" s="51" t="n">
        <v>100.711493032069</v>
      </c>
      <c r="BG634" s="51" t="n">
        <v>628.836554294391</v>
      </c>
      <c r="BH634" s="51" t="n">
        <v>211.601966767635</v>
      </c>
      <c r="BI634" s="51" t="n">
        <v>121.577514761092</v>
      </c>
      <c r="BJ634" s="51" t="n">
        <v>8.80298810350655</v>
      </c>
      <c r="BK634" s="51" t="n">
        <v>11.0553690317607</v>
      </c>
      <c r="BL634" s="51" t="n">
        <v>13.5055786109029</v>
      </c>
      <c r="BM634" s="51" t="n">
        <v>4.6200284307128</v>
      </c>
      <c r="BN634" s="52" t="n">
        <f aca="false">(BG634*0.5-BH634*0.25+BI634*0.5)/SUM(BG634:BI634)*1000</f>
        <v>335.032401575366</v>
      </c>
      <c r="BO634" s="93" t="n">
        <v>1.65648</v>
      </c>
      <c r="BP634" s="94" t="s">
        <v>491</v>
      </c>
      <c r="BQ634" s="55" t="n">
        <v>410.501333333333</v>
      </c>
      <c r="BR634" s="56" t="n">
        <v>17.6946430935393</v>
      </c>
      <c r="BS634" s="56"/>
      <c r="BT634" s="56" t="n">
        <v>12.99210312844</v>
      </c>
      <c r="BU634" s="55" t="n">
        <v>11906.8133333333</v>
      </c>
      <c r="BV634" s="55" t="n">
        <v>513.242699125773</v>
      </c>
      <c r="BW634" s="55"/>
      <c r="BX634" s="55" t="n">
        <v>376.842982461487</v>
      </c>
      <c r="BY634" s="96" t="n">
        <v>0.08034</v>
      </c>
      <c r="BZ634" s="96" t="n">
        <v>0.8745</v>
      </c>
      <c r="CA634" s="97" t="n">
        <v>3.8582</v>
      </c>
      <c r="CB634" s="97"/>
      <c r="CC634" s="97" t="n">
        <v>6.5</v>
      </c>
      <c r="CD634" s="97" t="n">
        <v>5.3856</v>
      </c>
      <c r="CE634" s="97" t="n">
        <v>94.76</v>
      </c>
      <c r="CF634" s="97" t="n">
        <v>35.955</v>
      </c>
      <c r="CG634" s="97" t="n">
        <v>0.0704</v>
      </c>
      <c r="CH634" s="63" t="n">
        <v>72381.9918399883</v>
      </c>
      <c r="CI634" s="63" t="n">
        <v>3211.89451035013</v>
      </c>
      <c r="CJ634" s="64" t="n">
        <v>2110371.42942175</v>
      </c>
      <c r="CK634" s="65" t="n">
        <v>0.152195697192044</v>
      </c>
    </row>
    <row r="635" s="1" customFormat="true" ht="15" hidden="false" customHeight="false" outlineLevel="0" collapsed="false">
      <c r="A635" s="7" t="s">
        <v>488</v>
      </c>
      <c r="B635" s="66" t="n">
        <v>626</v>
      </c>
      <c r="C635" s="8" t="s">
        <v>718</v>
      </c>
      <c r="D635" s="67" t="n">
        <v>41915</v>
      </c>
      <c r="E635" s="4" t="s">
        <v>583</v>
      </c>
      <c r="F635" s="7" t="n">
        <v>2035</v>
      </c>
      <c r="G635" s="68" t="n">
        <v>1</v>
      </c>
      <c r="H635" s="68" t="n">
        <v>178</v>
      </c>
      <c r="I635" s="7" t="n">
        <v>1</v>
      </c>
      <c r="J635" s="8" t="n">
        <v>666</v>
      </c>
      <c r="K635" s="32"/>
      <c r="L635" s="31" t="n">
        <v>929.852</v>
      </c>
      <c r="M635" s="31" t="n">
        <v>144.547587473222</v>
      </c>
      <c r="N635" s="31" t="n">
        <v>307.048862593084</v>
      </c>
      <c r="O635" s="95"/>
      <c r="P635" s="33" t="n">
        <v>36.4174232377843</v>
      </c>
      <c r="Q635" s="33" t="n">
        <v>8.5</v>
      </c>
      <c r="R635" s="31" t="n">
        <v>266.449046210344</v>
      </c>
      <c r="S635" s="34" t="s">
        <v>76</v>
      </c>
      <c r="T635" s="35"/>
      <c r="U635" s="35"/>
      <c r="V635" s="35" t="n">
        <v>16.4971390496767</v>
      </c>
      <c r="W635" s="35" t="n">
        <v>15.33989773962</v>
      </c>
      <c r="X635" s="35" t="n">
        <v>2.38462164984106</v>
      </c>
      <c r="Y635" s="35" t="n">
        <v>5.06542778124318</v>
      </c>
      <c r="Z635" s="35"/>
      <c r="AA635" s="35" t="n">
        <v>0.600783294984656</v>
      </c>
      <c r="AB635" s="35" t="n">
        <v>0.140225681922252</v>
      </c>
      <c r="AC635" s="71" t="n">
        <v>4.39564696498578</v>
      </c>
      <c r="AD635" s="72"/>
      <c r="AE635" s="72"/>
      <c r="AF635" s="72"/>
      <c r="AG635" s="72"/>
      <c r="AH635" s="72"/>
      <c r="AI635" s="73" t="n">
        <v>27.1271828331967</v>
      </c>
      <c r="AJ635" s="42" t="s">
        <v>16</v>
      </c>
      <c r="AK635" s="43" t="n">
        <v>686.661160052411</v>
      </c>
      <c r="AL635" s="74"/>
      <c r="AM635" s="74"/>
      <c r="AN635" s="74"/>
      <c r="AO635" s="78" t="n">
        <v>31.0016666666667</v>
      </c>
      <c r="AP635" s="76" t="n">
        <v>1.19363471956927</v>
      </c>
      <c r="AQ635" s="76" t="n">
        <v>0.950537010042112</v>
      </c>
      <c r="AR635" s="76" t="n">
        <v>1.52937036362164</v>
      </c>
      <c r="AS635" s="77" t="n">
        <v>30.3051874602058</v>
      </c>
      <c r="AT635" s="78" t="n">
        <v>30.145454049944</v>
      </c>
      <c r="AU635" s="78" t="n">
        <v>38.5022757777304</v>
      </c>
      <c r="AV635" s="78" t="n">
        <v>30.6608357628766</v>
      </c>
      <c r="AW635" s="78" t="n">
        <v>49.3318756073858</v>
      </c>
      <c r="AX635" s="78" t="n">
        <v>26.735</v>
      </c>
      <c r="AY635" s="48" t="n">
        <v>1.82731405482909</v>
      </c>
      <c r="AZ635" s="48" t="n">
        <v>23.8743146577432</v>
      </c>
      <c r="BA635" s="48" t="n">
        <v>-7.37717560806653</v>
      </c>
      <c r="BB635" s="49" t="n">
        <f aca="false">AT635/V635</f>
        <v>1.82731405482909</v>
      </c>
      <c r="BC635" s="49" t="n">
        <f aca="false">AS635/V635</f>
        <v>1.83699654642843</v>
      </c>
      <c r="BD635" s="49" t="n">
        <f aca="false">SUM(AP635:AR635)/V635</f>
        <v>0.222677525004253</v>
      </c>
      <c r="BE635" s="53" t="n">
        <v>6.52</v>
      </c>
      <c r="BF635" s="51" t="n">
        <v>110.081137503403</v>
      </c>
      <c r="BG635" s="51" t="n">
        <v>614.792382301901</v>
      </c>
      <c r="BH635" s="51" t="n">
        <v>210.986553287748</v>
      </c>
      <c r="BI635" s="51" t="n">
        <v>137.541760417707</v>
      </c>
      <c r="BJ635" s="51" t="n">
        <v>8.21803478132312</v>
      </c>
      <c r="BK635" s="51" t="n">
        <v>12.0135587873187</v>
      </c>
      <c r="BL635" s="51" t="n">
        <v>10.6003322516795</v>
      </c>
      <c r="BM635" s="51" t="n">
        <v>5.84737817232209</v>
      </c>
      <c r="BN635" s="52" t="n">
        <f aca="false">(BG635*0.5-BH635*0.25+BI635*0.5)/SUM(BG635:BI635)*1000</f>
        <v>335.734957608964</v>
      </c>
      <c r="BO635" s="93" t="n">
        <v>2.45616</v>
      </c>
      <c r="BP635" s="94" t="s">
        <v>491</v>
      </c>
      <c r="BQ635" s="55" t="n">
        <v>361.785256410256</v>
      </c>
      <c r="BR635" s="56" t="n">
        <v>21.9301816709453</v>
      </c>
      <c r="BS635" s="56"/>
      <c r="BT635" s="56" t="n">
        <v>12.0013205245097</v>
      </c>
      <c r="BU635" s="55" t="n">
        <v>11622.0814102564</v>
      </c>
      <c r="BV635" s="55" t="n">
        <v>704.490722619215</v>
      </c>
      <c r="BW635" s="55"/>
      <c r="BX635" s="55" t="n">
        <v>385.533466870372</v>
      </c>
      <c r="BY635" s="96" t="n">
        <v>0.07519</v>
      </c>
      <c r="BZ635" s="96" t="n">
        <v>0.8668</v>
      </c>
      <c r="CA635" s="97" t="n">
        <v>4.2319</v>
      </c>
      <c r="CB635" s="97"/>
      <c r="CC635" s="97" t="n">
        <v>4.66</v>
      </c>
      <c r="CD635" s="97" t="n">
        <v>6.171</v>
      </c>
      <c r="CE635" s="97" t="n">
        <v>82.4</v>
      </c>
      <c r="CF635" s="97" t="n">
        <v>34.8228</v>
      </c>
      <c r="CG635" s="97" t="n">
        <v>0.1418</v>
      </c>
      <c r="CH635" s="63" t="n">
        <v>4652.08082889393</v>
      </c>
      <c r="CI635" s="63" t="n">
        <v>2116.27485376725</v>
      </c>
      <c r="CJ635" s="64" t="n">
        <v>3204371.50164016</v>
      </c>
      <c r="CK635" s="65" t="n">
        <v>0.0660433677145122</v>
      </c>
    </row>
    <row r="636" s="1" customFormat="true" ht="15" hidden="false" customHeight="false" outlineLevel="0" collapsed="false">
      <c r="A636" s="7" t="s">
        <v>488</v>
      </c>
      <c r="B636" s="66" t="n">
        <v>627</v>
      </c>
      <c r="C636" s="8" t="s">
        <v>719</v>
      </c>
      <c r="D636" s="67" t="n">
        <v>41915</v>
      </c>
      <c r="E636" s="4" t="s">
        <v>583</v>
      </c>
      <c r="F636" s="7" t="n">
        <v>2041</v>
      </c>
      <c r="G636" s="68" t="n">
        <v>1</v>
      </c>
      <c r="H636" s="68" t="n">
        <v>165</v>
      </c>
      <c r="I636" s="7" t="n">
        <v>1</v>
      </c>
      <c r="J636" s="8" t="n">
        <v>573</v>
      </c>
      <c r="K636" s="32"/>
      <c r="L636" s="31" t="n">
        <v>929.852</v>
      </c>
      <c r="M636" s="31" t="n">
        <v>144.547587473222</v>
      </c>
      <c r="N636" s="31" t="n">
        <v>307.048862593084</v>
      </c>
      <c r="O636" s="95"/>
      <c r="P636" s="33" t="n">
        <v>36.4174232377843</v>
      </c>
      <c r="Q636" s="33" t="n">
        <v>8.5</v>
      </c>
      <c r="R636" s="31" t="n">
        <v>266.449046210344</v>
      </c>
      <c r="S636" s="34" t="s">
        <v>76</v>
      </c>
      <c r="T636" s="35"/>
      <c r="U636" s="35"/>
      <c r="V636" s="35" t="n">
        <v>18.5702281028679</v>
      </c>
      <c r="W636" s="35" t="n">
        <v>17.2675637419079</v>
      </c>
      <c r="X636" s="35" t="n">
        <v>2.684281671097</v>
      </c>
      <c r="Y636" s="35" t="n">
        <v>5.70196741707971</v>
      </c>
      <c r="Z636" s="35"/>
      <c r="AA636" s="35" t="n">
        <v>0.676279856444338</v>
      </c>
      <c r="AB636" s="35" t="n">
        <v>0.157846938874377</v>
      </c>
      <c r="AC636" s="71" t="n">
        <v>4.94801956591768</v>
      </c>
      <c r="AD636" s="72"/>
      <c r="AE636" s="72"/>
      <c r="AF636" s="72"/>
      <c r="AG636" s="72"/>
      <c r="AH636" s="72"/>
      <c r="AI636" s="73" t="n">
        <v>31.1499613974848</v>
      </c>
      <c r="AJ636" s="42" t="s">
        <v>16</v>
      </c>
      <c r="AK636" s="43" t="n">
        <v>727.126467621037</v>
      </c>
      <c r="AL636" s="74"/>
      <c r="AM636" s="74"/>
      <c r="AN636" s="74"/>
      <c r="AO636" s="78" t="n">
        <v>32.575</v>
      </c>
      <c r="AP636" s="76" t="n">
        <v>1.12798014385286</v>
      </c>
      <c r="AQ636" s="76" t="n">
        <v>0.982156827016521</v>
      </c>
      <c r="AR636" s="76" t="n">
        <v>1.62162718658892</v>
      </c>
      <c r="AS636" s="77" t="n">
        <v>29.9497021577929</v>
      </c>
      <c r="AT636" s="78" t="n">
        <v>30.0846658883902</v>
      </c>
      <c r="AU636" s="78" t="n">
        <v>34.6271724897272</v>
      </c>
      <c r="AV636" s="78" t="n">
        <v>30.1506316812439</v>
      </c>
      <c r="AW636" s="78" t="n">
        <v>49.7813411078717</v>
      </c>
      <c r="AX636" s="78" t="n">
        <v>23.4625</v>
      </c>
      <c r="AY636" s="48" t="n">
        <v>1.6200482687525</v>
      </c>
      <c r="AZ636" s="48" t="n">
        <v>22.357816587232</v>
      </c>
      <c r="BA636" s="48" t="n">
        <v>-3.78758848436404</v>
      </c>
      <c r="BB636" s="49" t="n">
        <f aca="false">AT636/V636</f>
        <v>1.6200482687525</v>
      </c>
      <c r="BC636" s="49" t="n">
        <f aca="false">AS636/V636</f>
        <v>1.61278052115944</v>
      </c>
      <c r="BD636" s="49" t="n">
        <f aca="false">SUM(AP636:AR636)/V636</f>
        <v>0.200954136739009</v>
      </c>
      <c r="BE636" s="53" t="n">
        <v>6.27</v>
      </c>
      <c r="BF636" s="51" t="n">
        <v>118.666226726198</v>
      </c>
      <c r="BG636" s="51" t="n">
        <v>569.088907207689</v>
      </c>
      <c r="BH636" s="51" t="n">
        <v>288.203105630857</v>
      </c>
      <c r="BI636" s="51" t="n">
        <v>103.538294213367</v>
      </c>
      <c r="BJ636" s="51" t="n">
        <v>7.55042704539486</v>
      </c>
      <c r="BK636" s="51" t="n">
        <v>12.7904282478313</v>
      </c>
      <c r="BL636" s="51" t="n">
        <v>16.5964318342045</v>
      </c>
      <c r="BM636" s="51" t="n">
        <v>2.23240582065726</v>
      </c>
      <c r="BN636" s="52" t="n">
        <f aca="false">(BG636*0.5-BH636*0.25+BI636*0.5)/SUM(BG636:BI636)*1000</f>
        <v>275.035895894712</v>
      </c>
      <c r="BO636" s="93" t="n">
        <v>4.11264</v>
      </c>
      <c r="BP636" s="94" t="s">
        <v>491</v>
      </c>
      <c r="BQ636" s="55" t="n">
        <v>357.015350877193</v>
      </c>
      <c r="BR636" s="56" t="n">
        <v>19.2251462340442</v>
      </c>
      <c r="BS636" s="56"/>
      <c r="BT636" s="56" t="n">
        <v>11.8670206344212</v>
      </c>
      <c r="BU636" s="55" t="n">
        <v>10054.4763157895</v>
      </c>
      <c r="BV636" s="55" t="n">
        <v>541.429876902626</v>
      </c>
      <c r="BW636" s="55"/>
      <c r="BX636" s="55" t="n">
        <v>334.206015552579</v>
      </c>
      <c r="BY636" s="96" t="n">
        <v>0.08652</v>
      </c>
      <c r="BZ636" s="96" t="n">
        <v>0.7612</v>
      </c>
      <c r="CA636" s="97" t="n">
        <v>4.0198</v>
      </c>
      <c r="CB636" s="97"/>
      <c r="CC636" s="97" t="n">
        <v>4.96</v>
      </c>
      <c r="CD636" s="97" t="n">
        <v>5.1816</v>
      </c>
      <c r="CE636" s="97" t="n">
        <v>86.52</v>
      </c>
      <c r="CF636" s="97" t="n">
        <v>36.3528</v>
      </c>
      <c r="CG636" s="97" t="n">
        <v>0.1112</v>
      </c>
      <c r="CH636" s="63" t="n">
        <v>72648.9107788905</v>
      </c>
      <c r="CI636" s="63" t="n">
        <v>2425.15872479374</v>
      </c>
      <c r="CJ636" s="64" t="n">
        <v>2083067.55927041</v>
      </c>
      <c r="CK636" s="65" t="n">
        <v>0.116422470985202</v>
      </c>
    </row>
    <row r="637" s="1" customFormat="true" ht="15" hidden="false" customHeight="false" outlineLevel="0" collapsed="false">
      <c r="A637" s="7" t="s">
        <v>488</v>
      </c>
      <c r="B637" s="66" t="n">
        <v>628</v>
      </c>
      <c r="C637" s="8" t="s">
        <v>720</v>
      </c>
      <c r="D637" s="67" t="n">
        <v>41963</v>
      </c>
      <c r="E637" s="4" t="s">
        <v>583</v>
      </c>
      <c r="F637" s="7" t="n">
        <v>730</v>
      </c>
      <c r="G637" s="68" t="n">
        <v>1</v>
      </c>
      <c r="H637" s="68" t="n">
        <v>120</v>
      </c>
      <c r="I637" s="7" t="n">
        <v>5</v>
      </c>
      <c r="J637" s="8" t="n">
        <v>730</v>
      </c>
      <c r="K637" s="32"/>
      <c r="L637" s="31" t="n">
        <v>927.386</v>
      </c>
      <c r="M637" s="31" t="n">
        <v>159.236968275018</v>
      </c>
      <c r="N637" s="31" t="n">
        <v>314.393552993981</v>
      </c>
      <c r="O637" s="95"/>
      <c r="P637" s="33" t="n">
        <v>36.2134040599816</v>
      </c>
      <c r="Q637" s="33" t="n">
        <v>7.9</v>
      </c>
      <c r="R637" s="31" t="n">
        <v>258.288279098235</v>
      </c>
      <c r="S637" s="34" t="s">
        <v>76</v>
      </c>
      <c r="T637" s="35"/>
      <c r="U637" s="35"/>
      <c r="V637" s="35" t="n">
        <v>28.9243429285152</v>
      </c>
      <c r="W637" s="35" t="n">
        <v>26.824030691104</v>
      </c>
      <c r="X637" s="35" t="n">
        <v>4.60582467728371</v>
      </c>
      <c r="Y637" s="35" t="n">
        <v>9.09362694131223</v>
      </c>
      <c r="Z637" s="35"/>
      <c r="AA637" s="35" t="n">
        <v>1.04744891763979</v>
      </c>
      <c r="AB637" s="35" t="n">
        <v>0.22850230913527</v>
      </c>
      <c r="AC637" s="71" t="n">
        <v>7.4708187590534</v>
      </c>
      <c r="AD637" s="72"/>
      <c r="AE637" s="72"/>
      <c r="AF637" s="72"/>
      <c r="AG637" s="72"/>
      <c r="AH637" s="72"/>
      <c r="AI637" s="73" t="n">
        <v>24.5456997934752</v>
      </c>
      <c r="AJ637" s="42" t="s">
        <v>16</v>
      </c>
      <c r="AK637" s="43" t="n">
        <v>678.151363926484</v>
      </c>
      <c r="AL637" s="74"/>
      <c r="AM637" s="74"/>
      <c r="AN637" s="74"/>
      <c r="AO637" s="78" t="n">
        <v>31.8</v>
      </c>
      <c r="AP637" s="76" t="n">
        <v>1.12380502026595</v>
      </c>
      <c r="AQ637" s="76" t="n">
        <v>1.02986880466472</v>
      </c>
      <c r="AR637" s="76" t="n">
        <v>1.5150583090379</v>
      </c>
      <c r="AS637" s="77" t="n">
        <v>29.5770753039892</v>
      </c>
      <c r="AT637" s="78" t="n">
        <v>29.8349941976302</v>
      </c>
      <c r="AU637" s="78" t="n">
        <v>35.3397805115077</v>
      </c>
      <c r="AV637" s="78" t="n">
        <v>32.3858114674441</v>
      </c>
      <c r="AW637" s="78" t="n">
        <v>47.6433430515063</v>
      </c>
      <c r="AX637" s="78" t="n">
        <v>20.8925</v>
      </c>
      <c r="AY637" s="48" t="n">
        <v>1.03148390514404</v>
      </c>
      <c r="AZ637" s="48" t="n">
        <v>24.1450154474973</v>
      </c>
      <c r="BA637" s="48" t="n">
        <v>4.77932748101793</v>
      </c>
      <c r="BB637" s="49" t="n">
        <f aca="false">AT637/V637</f>
        <v>1.03148390514404</v>
      </c>
      <c r="BC637" s="49" t="n">
        <f aca="false">AS637/V637</f>
        <v>1.02256688689825</v>
      </c>
      <c r="BD637" s="49" t="n">
        <f aca="false">SUM(AP637:AR637)/V637</f>
        <v>0.126838910153832</v>
      </c>
      <c r="BE637" s="53" t="n">
        <v>6.26</v>
      </c>
      <c r="BF637" s="51" t="n">
        <v>127.241568645339</v>
      </c>
      <c r="BG637" s="51" t="n">
        <v>639.93273397502</v>
      </c>
      <c r="BH637" s="51" t="n">
        <v>206.518790313866</v>
      </c>
      <c r="BI637" s="51" t="n">
        <v>106.158330614179</v>
      </c>
      <c r="BJ637" s="51" t="n">
        <v>8.42649720096521</v>
      </c>
      <c r="BK637" s="51" t="n">
        <v>15.4962080557351</v>
      </c>
      <c r="BL637" s="51" t="n">
        <v>15.5375379126539</v>
      </c>
      <c r="BM637" s="51" t="n">
        <v>7.92990192758056</v>
      </c>
      <c r="BN637" s="52" t="n">
        <f aca="false">(BG637*0.5-BH637*0.25+BI637*0.5)/SUM(BG637:BI637)*1000</f>
        <v>337.405531825869</v>
      </c>
      <c r="BO637" s="93" t="n">
        <v>6.68304</v>
      </c>
      <c r="BP637" s="94" t="s">
        <v>491</v>
      </c>
      <c r="BQ637" s="55" t="n">
        <v>538</v>
      </c>
      <c r="BR637" s="56" t="n">
        <v>18.6002496696169</v>
      </c>
      <c r="BS637" s="56"/>
      <c r="BT637" s="56" t="n">
        <v>18.0325156571585</v>
      </c>
      <c r="BU637" s="55" t="n">
        <v>13175.25</v>
      </c>
      <c r="BV637" s="55" t="n">
        <v>455.50732241565</v>
      </c>
      <c r="BW637" s="55"/>
      <c r="BX637" s="55" t="n">
        <v>441.603906899586</v>
      </c>
      <c r="BY637" s="96" t="n">
        <v>0.04841</v>
      </c>
      <c r="BZ637" s="96" t="n">
        <v>1.2716</v>
      </c>
      <c r="CA637" s="97" t="n">
        <v>3.25</v>
      </c>
      <c r="CB637" s="97"/>
      <c r="CC637" s="97" t="n">
        <v>5.53</v>
      </c>
      <c r="CD637" s="97" t="n">
        <v>3.57</v>
      </c>
      <c r="CE637" s="97" t="n">
        <v>83.83</v>
      </c>
      <c r="CF637" s="97" t="n">
        <v>30.19</v>
      </c>
      <c r="CG637" s="97" t="n">
        <v>0.05</v>
      </c>
      <c r="CH637" s="63"/>
      <c r="CI637" s="63"/>
      <c r="CJ637" s="64"/>
      <c r="CK637" s="65"/>
    </row>
    <row r="638" s="1" customFormat="true" ht="15" hidden="false" customHeight="false" outlineLevel="0" collapsed="false">
      <c r="A638" s="7" t="s">
        <v>488</v>
      </c>
      <c r="B638" s="66" t="n">
        <v>629</v>
      </c>
      <c r="C638" s="8" t="s">
        <v>721</v>
      </c>
      <c r="D638" s="67" t="n">
        <v>41963</v>
      </c>
      <c r="E638" s="4" t="s">
        <v>583</v>
      </c>
      <c r="F638" s="7" t="n">
        <v>1276</v>
      </c>
      <c r="G638" s="68" t="n">
        <v>1</v>
      </c>
      <c r="H638" s="68" t="n">
        <v>142</v>
      </c>
      <c r="I638" s="7" t="n">
        <v>3</v>
      </c>
      <c r="J638" s="8" t="n">
        <v>850</v>
      </c>
      <c r="K638" s="32"/>
      <c r="L638" s="31" t="n">
        <v>927.386</v>
      </c>
      <c r="M638" s="31" t="n">
        <v>159.236968275018</v>
      </c>
      <c r="N638" s="31" t="n">
        <v>314.393552993981</v>
      </c>
      <c r="O638" s="95"/>
      <c r="P638" s="33" t="n">
        <v>36.2134040599816</v>
      </c>
      <c r="Q638" s="33" t="n">
        <v>7.9</v>
      </c>
      <c r="R638" s="31" t="n">
        <v>258.288279098235</v>
      </c>
      <c r="S638" s="34" t="s">
        <v>76</v>
      </c>
      <c r="T638" s="35"/>
      <c r="U638" s="35"/>
      <c r="V638" s="35" t="n">
        <v>28.917458560874</v>
      </c>
      <c r="W638" s="35" t="n">
        <v>26.8176462249347</v>
      </c>
      <c r="X638" s="35" t="n">
        <v>4.60472843145203</v>
      </c>
      <c r="Y638" s="35" t="n">
        <v>9.09146254050939</v>
      </c>
      <c r="Z638" s="35"/>
      <c r="AA638" s="35" t="n">
        <v>1.0471996112527</v>
      </c>
      <c r="AB638" s="35" t="n">
        <v>0.228447922630904</v>
      </c>
      <c r="AC638" s="71" t="n">
        <v>7.46904060758267</v>
      </c>
      <c r="AD638" s="72"/>
      <c r="AE638" s="72"/>
      <c r="AF638" s="72"/>
      <c r="AG638" s="72"/>
      <c r="AH638" s="72"/>
      <c r="AI638" s="73" t="n">
        <v>22.4530054162773</v>
      </c>
      <c r="AJ638" s="42" t="s">
        <v>16</v>
      </c>
      <c r="AK638" s="43" t="n">
        <v>648.154006399834</v>
      </c>
      <c r="AL638" s="74"/>
      <c r="AM638" s="74"/>
      <c r="AN638" s="74"/>
      <c r="AO638" s="78" t="n">
        <v>33.2</v>
      </c>
      <c r="AP638" s="76" t="n">
        <v>1.16318065921361</v>
      </c>
      <c r="AQ638" s="76" t="n">
        <v>1.12642857142857</v>
      </c>
      <c r="AR638" s="76" t="n">
        <v>1.55514091350826</v>
      </c>
      <c r="AS638" s="77" t="n">
        <v>30.7277098882041</v>
      </c>
      <c r="AT638" s="78" t="n">
        <v>31.2798284668405</v>
      </c>
      <c r="AU638" s="78" t="n">
        <v>35.0355620245063</v>
      </c>
      <c r="AV638" s="78" t="n">
        <v>33.9285714285714</v>
      </c>
      <c r="AW638" s="78" t="n">
        <v>46.8415937803693</v>
      </c>
      <c r="AX638" s="78" t="n">
        <v>29.3825</v>
      </c>
      <c r="AY638" s="48" t="n">
        <v>1.08169355204551</v>
      </c>
      <c r="AZ638" s="48" t="n">
        <v>26.4009060768565</v>
      </c>
      <c r="BA638" s="48" t="n">
        <v>2.51655248401746</v>
      </c>
      <c r="BB638" s="49" t="n">
        <f aca="false">AT638/V638</f>
        <v>1.08169355204551</v>
      </c>
      <c r="BC638" s="49" t="n">
        <f aca="false">AS638/V638</f>
        <v>1.06260063703453</v>
      </c>
      <c r="BD638" s="49" t="n">
        <f aca="false">SUM(AP638:AR638)/V638</f>
        <v>0.132956018111235</v>
      </c>
      <c r="BE638" s="53" t="n">
        <v>6.43</v>
      </c>
      <c r="BF638" s="51" t="n">
        <v>118.98574364531</v>
      </c>
      <c r="BG638" s="51" t="n">
        <v>605.78039975871</v>
      </c>
      <c r="BH638" s="51" t="n">
        <v>218.884888785044</v>
      </c>
      <c r="BI638" s="51" t="n">
        <v>129.946687538053</v>
      </c>
      <c r="BJ638" s="51" t="n">
        <v>7.87835101000168</v>
      </c>
      <c r="BK638" s="51" t="n">
        <v>15.9809494042691</v>
      </c>
      <c r="BL638" s="51" t="n">
        <v>14.6502872788171</v>
      </c>
      <c r="BM638" s="51" t="n">
        <v>6.8784362251052</v>
      </c>
      <c r="BN638" s="52" t="n">
        <f aca="false">(BG638*0.5-BH638*0.25+BI638*0.5)/SUM(BG638:BI638)*1000</f>
        <v>328.031000341531</v>
      </c>
      <c r="BO638" s="93" t="n">
        <v>5.68344</v>
      </c>
      <c r="BP638" s="94" t="s">
        <v>491</v>
      </c>
      <c r="BQ638" s="55" t="n">
        <v>376.338235294118</v>
      </c>
      <c r="BR638" s="56" t="n">
        <v>13.0142223425994</v>
      </c>
      <c r="BS638" s="56"/>
      <c r="BT638" s="56" t="n">
        <v>12.0313394842644</v>
      </c>
      <c r="BU638" s="55" t="n">
        <v>12270.3823529412</v>
      </c>
      <c r="BV638" s="55" t="n">
        <v>424.324368862183</v>
      </c>
      <c r="BW638" s="55"/>
      <c r="BX638" s="55" t="n">
        <v>392.277801841174</v>
      </c>
      <c r="BY638" s="96" t="n">
        <v>0.06489</v>
      </c>
      <c r="BZ638" s="96" t="n">
        <v>0.9086</v>
      </c>
      <c r="CA638" s="97" t="n">
        <v>3.7</v>
      </c>
      <c r="CB638" s="97"/>
      <c r="CC638" s="97" t="n">
        <v>6.47</v>
      </c>
      <c r="CD638" s="97" t="n">
        <v>5.62</v>
      </c>
      <c r="CE638" s="97" t="n">
        <v>92.92</v>
      </c>
      <c r="CF638" s="97" t="n">
        <v>35.38</v>
      </c>
      <c r="CG638" s="97" t="n">
        <v>0.0916</v>
      </c>
      <c r="CH638" s="63" t="n">
        <v>77566.4939175723</v>
      </c>
      <c r="CI638" s="63" t="n">
        <v>4530.94117179263</v>
      </c>
      <c r="CJ638" s="64" t="n">
        <v>577981.110763802</v>
      </c>
      <c r="CK638" s="65" t="n">
        <v>0.78392547566217</v>
      </c>
    </row>
    <row r="639" s="1" customFormat="true" ht="15" hidden="false" customHeight="false" outlineLevel="0" collapsed="false">
      <c r="A639" s="7" t="s">
        <v>488</v>
      </c>
      <c r="B639" s="66" t="n">
        <v>630</v>
      </c>
      <c r="C639" s="8" t="s">
        <v>722</v>
      </c>
      <c r="D639" s="67" t="n">
        <v>41963</v>
      </c>
      <c r="E639" s="4" t="s">
        <v>583</v>
      </c>
      <c r="F639" s="7" t="n">
        <v>1314</v>
      </c>
      <c r="G639" s="68" t="n">
        <v>1</v>
      </c>
      <c r="H639" s="68" t="n">
        <v>144</v>
      </c>
      <c r="I639" s="7" t="n">
        <v>3</v>
      </c>
      <c r="J639" s="8" t="n">
        <v>740</v>
      </c>
      <c r="K639" s="32"/>
      <c r="L639" s="31" t="n">
        <v>927.386</v>
      </c>
      <c r="M639" s="31" t="n">
        <v>159.236968275018</v>
      </c>
      <c r="N639" s="31" t="n">
        <v>314.393552993981</v>
      </c>
      <c r="O639" s="95"/>
      <c r="P639" s="33" t="n">
        <v>36.2134040599816</v>
      </c>
      <c r="Q639" s="33" t="n">
        <v>7.9</v>
      </c>
      <c r="R639" s="31" t="n">
        <v>258.288279098235</v>
      </c>
      <c r="S639" s="34" t="s">
        <v>76</v>
      </c>
      <c r="T639" s="35"/>
      <c r="U639" s="35"/>
      <c r="V639" s="35" t="n">
        <v>22.9272351868559</v>
      </c>
      <c r="W639" s="35" t="n">
        <v>21.2623969309975</v>
      </c>
      <c r="X639" s="35" t="n">
        <v>3.65086342208324</v>
      </c>
      <c r="Y639" s="35" t="n">
        <v>7.20817493072426</v>
      </c>
      <c r="Z639" s="35"/>
      <c r="AA639" s="35" t="n">
        <v>0.830273231799841</v>
      </c>
      <c r="AB639" s="35" t="n">
        <v>0.181125157976162</v>
      </c>
      <c r="AC639" s="71" t="n">
        <v>5.92183612089352</v>
      </c>
      <c r="AD639" s="72"/>
      <c r="AE639" s="72"/>
      <c r="AF639" s="72"/>
      <c r="AG639" s="72"/>
      <c r="AH639" s="72"/>
      <c r="AI639" s="73" t="n">
        <v>24.6506718191202</v>
      </c>
      <c r="AJ639" s="42" t="s">
        <v>16</v>
      </c>
      <c r="AK639" s="43" t="n">
        <v>679.52191899807</v>
      </c>
      <c r="AL639" s="74"/>
      <c r="AM639" s="74"/>
      <c r="AN639" s="74"/>
      <c r="AO639" s="78" t="n">
        <v>35.5857142857143</v>
      </c>
      <c r="AP639" s="76" t="n">
        <v>0.733782129829157</v>
      </c>
      <c r="AQ639" s="76" t="n">
        <v>1.18964875746217</v>
      </c>
      <c r="AR639" s="76" t="n">
        <v>1.69369325281133</v>
      </c>
      <c r="AS639" s="77" t="n">
        <v>25.2410176617231</v>
      </c>
      <c r="AT639" s="78" t="n">
        <v>27.2750529268328</v>
      </c>
      <c r="AU639" s="78" t="n">
        <v>20.6201321108153</v>
      </c>
      <c r="AV639" s="78" t="n">
        <v>33.4305150631681</v>
      </c>
      <c r="AW639" s="78" t="n">
        <v>47.5947521865889</v>
      </c>
      <c r="AX639" s="78" t="n">
        <v>16.835</v>
      </c>
      <c r="AY639" s="48" t="n">
        <v>1.18963550138263</v>
      </c>
      <c r="AZ639" s="48" t="n">
        <v>22.9035858924637</v>
      </c>
      <c r="BA639" s="48" t="n">
        <v>0.023649294392218</v>
      </c>
      <c r="BB639" s="49" t="n">
        <f aca="false">AT639/V639</f>
        <v>1.18963550138263</v>
      </c>
      <c r="BC639" s="49" t="n">
        <f aca="false">AS639/V639</f>
        <v>1.10091851267761</v>
      </c>
      <c r="BD639" s="49" t="n">
        <f aca="false">SUM(AP639:AR639)/V639</f>
        <v>0.157765387349293</v>
      </c>
      <c r="BE639" s="53" t="n">
        <v>6.96</v>
      </c>
      <c r="BF639" s="51" t="n">
        <v>94.2847850439052</v>
      </c>
      <c r="BG639" s="51" t="n">
        <v>579.395027635916</v>
      </c>
      <c r="BH639" s="51" t="n">
        <v>265.388787846136</v>
      </c>
      <c r="BI639" s="51" t="n">
        <v>113.802970120029</v>
      </c>
      <c r="BJ639" s="51" t="n">
        <v>7.82428489975409</v>
      </c>
      <c r="BK639" s="51" t="n">
        <v>14.4530553695491</v>
      </c>
      <c r="BL639" s="51" t="n">
        <v>14.902119042901</v>
      </c>
      <c r="BM639" s="51" t="n">
        <v>4.23375508571562</v>
      </c>
      <c r="BN639" s="52" t="n">
        <f aca="false">(BG639*0.5-BH639*0.25+BI639*0.5)/SUM(BG639:BI639)*1000</f>
        <v>292.359342029125</v>
      </c>
      <c r="BO639" s="93" t="n">
        <v>5.5692</v>
      </c>
      <c r="BP639" s="94" t="s">
        <v>491</v>
      </c>
      <c r="BQ639" s="55" t="n">
        <v>422.692307692308</v>
      </c>
      <c r="BR639" s="56" t="n">
        <v>18.4362529649731</v>
      </c>
      <c r="BS639" s="56"/>
      <c r="BT639" s="56" t="n">
        <v>15.4973964239853</v>
      </c>
      <c r="BU639" s="55" t="n">
        <v>15495.4153846154</v>
      </c>
      <c r="BV639" s="55" t="n">
        <v>675.851896590604</v>
      </c>
      <c r="BW639" s="55"/>
      <c r="BX639" s="55" t="n">
        <v>568.116785187656</v>
      </c>
      <c r="BY639" s="96" t="n">
        <v>0.10403</v>
      </c>
      <c r="BZ639" s="96" t="n">
        <v>0.6292</v>
      </c>
      <c r="CA639" s="97" t="n">
        <v>3.87</v>
      </c>
      <c r="CB639" s="97"/>
      <c r="CC639" s="97" t="n">
        <v>4.91</v>
      </c>
      <c r="CD639" s="97" t="n">
        <v>4.34</v>
      </c>
      <c r="CE639" s="97" t="n">
        <v>78.78</v>
      </c>
      <c r="CF639" s="97" t="n">
        <v>31.25</v>
      </c>
      <c r="CG639" s="97" t="n">
        <v>0.1436</v>
      </c>
      <c r="CH639" s="63" t="n">
        <v>34263.9531666106</v>
      </c>
      <c r="CI639" s="63" t="n">
        <v>5465.85226317393</v>
      </c>
      <c r="CJ639" s="64" t="n">
        <v>1273765.94044503</v>
      </c>
      <c r="CK639" s="65" t="n">
        <v>0.42910962600117</v>
      </c>
    </row>
    <row r="640" s="1" customFormat="true" ht="15" hidden="false" customHeight="false" outlineLevel="0" collapsed="false">
      <c r="A640" s="7" t="s">
        <v>488</v>
      </c>
      <c r="B640" s="66" t="n">
        <v>631</v>
      </c>
      <c r="C640" s="8" t="s">
        <v>723</v>
      </c>
      <c r="D640" s="67" t="n">
        <v>41963</v>
      </c>
      <c r="E640" s="4" t="s">
        <v>583</v>
      </c>
      <c r="F640" s="7" t="n">
        <v>1324</v>
      </c>
      <c r="G640" s="68" t="n">
        <v>1</v>
      </c>
      <c r="H640" s="68" t="n">
        <v>150</v>
      </c>
      <c r="I640" s="7" t="n">
        <v>3</v>
      </c>
      <c r="J640" s="8" t="n">
        <v>680</v>
      </c>
      <c r="K640" s="32"/>
      <c r="L640" s="31" t="n">
        <v>927.386</v>
      </c>
      <c r="M640" s="31" t="n">
        <v>159.236968275018</v>
      </c>
      <c r="N640" s="31" t="n">
        <v>314.393552993981</v>
      </c>
      <c r="O640" s="95"/>
      <c r="P640" s="33" t="n">
        <v>36.2134040599816</v>
      </c>
      <c r="Q640" s="33" t="n">
        <v>7.9</v>
      </c>
      <c r="R640" s="31" t="n">
        <v>258.288279098235</v>
      </c>
      <c r="S640" s="34" t="s">
        <v>76</v>
      </c>
      <c r="T640" s="35"/>
      <c r="U640" s="35"/>
      <c r="V640" s="35" t="n">
        <v>19.8901495933608</v>
      </c>
      <c r="W640" s="35" t="n">
        <v>18.4458462707885</v>
      </c>
      <c r="X640" s="35" t="n">
        <v>3.16724711978335</v>
      </c>
      <c r="Y640" s="35" t="n">
        <v>6.25333480023849</v>
      </c>
      <c r="Z640" s="35"/>
      <c r="AA640" s="35" t="n">
        <v>0.720290024037854</v>
      </c>
      <c r="AB640" s="35" t="n">
        <v>0.15713218178755</v>
      </c>
      <c r="AC640" s="71" t="n">
        <v>5.13739250947562</v>
      </c>
      <c r="AD640" s="72"/>
      <c r="AE640" s="72"/>
      <c r="AF640" s="72"/>
      <c r="AG640" s="72"/>
      <c r="AH640" s="72"/>
      <c r="AI640" s="73" t="n">
        <v>26.8884801225292</v>
      </c>
      <c r="AJ640" s="42" t="s">
        <v>16</v>
      </c>
      <c r="AK640" s="43" t="n">
        <v>706.193880650741</v>
      </c>
      <c r="AL640" s="74"/>
      <c r="AM640" s="74"/>
      <c r="AN640" s="74"/>
      <c r="AO640" s="78" t="n">
        <v>39.4</v>
      </c>
      <c r="AP640" s="76" t="n">
        <v>1.33803037464754</v>
      </c>
      <c r="AQ640" s="76" t="n">
        <v>1.24154033041788</v>
      </c>
      <c r="AR640" s="76" t="n">
        <v>1.92213799805637</v>
      </c>
      <c r="AS640" s="77" t="n">
        <v>35.8304556197131</v>
      </c>
      <c r="AT640" s="78" t="n">
        <v>36.2737521761038</v>
      </c>
      <c r="AU640" s="78" t="n">
        <v>33.9601617930849</v>
      </c>
      <c r="AV640" s="78" t="n">
        <v>31.511175898931</v>
      </c>
      <c r="AW640" s="78" t="n">
        <v>48.7852283770651</v>
      </c>
      <c r="AX640" s="78" t="n">
        <v>26.425</v>
      </c>
      <c r="AY640" s="48" t="n">
        <v>1.82370434198302</v>
      </c>
      <c r="AZ640" s="48" t="n">
        <v>26.0073210591322</v>
      </c>
      <c r="BA640" s="48" t="n">
        <v>-6.1171714657714</v>
      </c>
      <c r="BB640" s="49" t="n">
        <f aca="false">AT640/V640</f>
        <v>1.82370434198302</v>
      </c>
      <c r="BC640" s="49" t="n">
        <f aca="false">AS640/V640</f>
        <v>1.80141710103946</v>
      </c>
      <c r="BD640" s="49" t="n">
        <f aca="false">SUM(AP640:AR640)/V640</f>
        <v>0.226328549314905</v>
      </c>
      <c r="BE640" s="53" t="n">
        <v>6.5</v>
      </c>
      <c r="BF640" s="51" t="n">
        <v>102.149510774313</v>
      </c>
      <c r="BG640" s="51" t="n">
        <v>587.322816666244</v>
      </c>
      <c r="BH640" s="51" t="n">
        <v>243.56086344644</v>
      </c>
      <c r="BI640" s="51" t="n">
        <v>129.837901299074</v>
      </c>
      <c r="BJ640" s="51" t="n">
        <v>6.65637539263584</v>
      </c>
      <c r="BK640" s="51" t="n">
        <v>14.2749907495969</v>
      </c>
      <c r="BL640" s="51" t="n">
        <v>11.3222096338889</v>
      </c>
      <c r="BM640" s="51" t="n">
        <v>7.02484281212097</v>
      </c>
      <c r="BN640" s="52" t="n">
        <f aca="false">(BG640*0.5-BH640*0.25+BI640*0.5)/SUM(BG640:BI640)*1000</f>
        <v>309.860992904521</v>
      </c>
      <c r="BO640" s="93" t="n">
        <v>1.79928</v>
      </c>
      <c r="BP640" s="94" t="s">
        <v>491</v>
      </c>
      <c r="BQ640" s="55" t="n">
        <v>436.42</v>
      </c>
      <c r="BR640" s="56" t="n">
        <v>21.9415142129285</v>
      </c>
      <c r="BS640" s="56"/>
      <c r="BT640" s="56" t="n">
        <v>12.0312891228138</v>
      </c>
      <c r="BU640" s="55" t="n">
        <v>14449.07</v>
      </c>
      <c r="BV640" s="55" t="n">
        <v>726.443505725216</v>
      </c>
      <c r="BW640" s="55"/>
      <c r="BX640" s="55" t="n">
        <v>398.334033100625</v>
      </c>
      <c r="BY640" s="96" t="n">
        <v>0.07313</v>
      </c>
      <c r="BZ640" s="96" t="n">
        <v>0.7689</v>
      </c>
      <c r="CA640" s="97" t="n">
        <v>3.77</v>
      </c>
      <c r="CB640" s="97"/>
      <c r="CC640" s="97" t="n">
        <v>4.95</v>
      </c>
      <c r="CD640" s="97" t="n">
        <v>7.54</v>
      </c>
      <c r="CE640" s="97" t="n">
        <v>88.88</v>
      </c>
      <c r="CF640" s="97" t="n">
        <v>35.11</v>
      </c>
      <c r="CG640" s="97" t="n">
        <v>0.726</v>
      </c>
      <c r="CH640" s="63" t="n">
        <v>49137.1002336484</v>
      </c>
      <c r="CI640" s="63" t="n">
        <v>3288.91550482483</v>
      </c>
      <c r="CJ640" s="64" t="n">
        <v>804013.17948657</v>
      </c>
      <c r="CK640" s="65" t="n">
        <v>0.409062387127172</v>
      </c>
    </row>
    <row r="641" s="1" customFormat="true" ht="15" hidden="false" customHeight="false" outlineLevel="0" collapsed="false">
      <c r="A641" s="7" t="s">
        <v>488</v>
      </c>
      <c r="B641" s="66" t="n">
        <v>632</v>
      </c>
      <c r="C641" s="8" t="s">
        <v>724</v>
      </c>
      <c r="D641" s="67" t="n">
        <v>41963</v>
      </c>
      <c r="E641" s="4" t="s">
        <v>583</v>
      </c>
      <c r="F641" s="7" t="n">
        <v>1342</v>
      </c>
      <c r="G641" s="68" t="n">
        <v>1</v>
      </c>
      <c r="H641" s="68" t="n">
        <v>149</v>
      </c>
      <c r="I641" s="7" t="n">
        <v>3</v>
      </c>
      <c r="J641" s="8" t="n">
        <v>775</v>
      </c>
      <c r="K641" s="32"/>
      <c r="L641" s="31" t="n">
        <v>927.386</v>
      </c>
      <c r="M641" s="31" t="n">
        <v>159.236968275018</v>
      </c>
      <c r="N641" s="31" t="n">
        <v>314.393552993981</v>
      </c>
      <c r="O641" s="95"/>
      <c r="P641" s="33" t="n">
        <v>36.2134040599816</v>
      </c>
      <c r="Q641" s="33" t="n">
        <v>7.9</v>
      </c>
      <c r="R641" s="31" t="n">
        <v>258.288279098235</v>
      </c>
      <c r="S641" s="34" t="s">
        <v>76</v>
      </c>
      <c r="T641" s="35"/>
      <c r="U641" s="35"/>
      <c r="V641" s="35" t="n">
        <v>25.9008404956632</v>
      </c>
      <c r="W641" s="35" t="n">
        <v>24.0200768639111</v>
      </c>
      <c r="X641" s="35" t="n">
        <v>4.12437131630422</v>
      </c>
      <c r="Y641" s="35" t="n">
        <v>8.14305726896195</v>
      </c>
      <c r="Z641" s="35"/>
      <c r="AA641" s="35" t="n">
        <v>0.937957602362586</v>
      </c>
      <c r="AB641" s="35" t="n">
        <v>0.204616639915739</v>
      </c>
      <c r="AC641" s="71" t="n">
        <v>6.68988351882273</v>
      </c>
      <c r="AD641" s="72"/>
      <c r="AE641" s="72"/>
      <c r="AF641" s="72"/>
      <c r="AG641" s="72"/>
      <c r="AH641" s="72"/>
      <c r="AI641" s="73" t="n">
        <v>23.1756284157738</v>
      </c>
      <c r="AJ641" s="42" t="s">
        <v>16</v>
      </c>
      <c r="AK641" s="43" t="n">
        <v>659.12466931757</v>
      </c>
      <c r="AL641" s="74"/>
      <c r="AM641" s="74"/>
      <c r="AN641" s="74"/>
      <c r="AO641" s="78" t="n">
        <v>43.7857142857143</v>
      </c>
      <c r="AP641" s="76" t="n">
        <v>1.2008201251949</v>
      </c>
      <c r="AQ641" s="76" t="n">
        <v>1.33683303253274</v>
      </c>
      <c r="AR641" s="76" t="n">
        <v>2.04390068952751</v>
      </c>
      <c r="AS641" s="77" t="n">
        <v>35.5265875922092</v>
      </c>
      <c r="AT641" s="78" t="n">
        <v>36.0048572843173</v>
      </c>
      <c r="AU641" s="78" t="n">
        <v>27.4249294498019</v>
      </c>
      <c r="AV641" s="78" t="n">
        <v>30.5312601230969</v>
      </c>
      <c r="AW641" s="78" t="n">
        <v>46.6796242306446</v>
      </c>
      <c r="AX641" s="78" t="n">
        <v>23.0666666666667</v>
      </c>
      <c r="AY641" s="48" t="n">
        <v>1.39010381884502</v>
      </c>
      <c r="AZ641" s="48" t="n">
        <v>27.2066148010122</v>
      </c>
      <c r="BA641" s="48" t="n">
        <v>-1.30577430534898</v>
      </c>
      <c r="BB641" s="49" t="n">
        <f aca="false">AT641/V641</f>
        <v>1.39010381884502</v>
      </c>
      <c r="BC641" s="49" t="n">
        <f aca="false">AS641/V641</f>
        <v>1.37163840679833</v>
      </c>
      <c r="BD641" s="49" t="n">
        <f aca="false">SUM(AP641:AR641)/V641</f>
        <v>0.176888230635692</v>
      </c>
      <c r="BE641" s="53" t="n">
        <v>6.47</v>
      </c>
      <c r="BF641" s="51" t="n">
        <v>99.2565416237445</v>
      </c>
      <c r="BG641" s="51" t="n">
        <v>614.981177453115</v>
      </c>
      <c r="BH641" s="51" t="n">
        <v>221.911289642927</v>
      </c>
      <c r="BI641" s="51" t="n">
        <v>117.289973443872</v>
      </c>
      <c r="BJ641" s="51" t="n">
        <v>7.22930413416846</v>
      </c>
      <c r="BK641" s="51" t="n">
        <v>15.8397989514372</v>
      </c>
      <c r="BL641" s="51" t="n">
        <v>14.2073209678524</v>
      </c>
      <c r="BM641" s="51" t="n">
        <v>8.54113540662717</v>
      </c>
      <c r="BN641" s="52" t="n">
        <f aca="false">(BG641*0.5-BH641*0.25+BI641*0.5)/SUM(BG641:BI641)*1000</f>
        <v>325.574795593575</v>
      </c>
      <c r="BO641" s="93" t="n">
        <v>2.82744</v>
      </c>
      <c r="BP641" s="94" t="s">
        <v>491</v>
      </c>
      <c r="BQ641" s="55" t="n">
        <v>375.006060606061</v>
      </c>
      <c r="BR641" s="56" t="n">
        <v>14.4785286280131</v>
      </c>
      <c r="BS641" s="56"/>
      <c r="BT641" s="56" t="n">
        <v>10.4154297195174</v>
      </c>
      <c r="BU641" s="55" t="n">
        <v>11327.6378787879</v>
      </c>
      <c r="BV641" s="55" t="n">
        <v>437.346343285059</v>
      </c>
      <c r="BW641" s="55"/>
      <c r="BX641" s="55" t="n">
        <v>314.614158565819</v>
      </c>
      <c r="BY641" s="96" t="n">
        <v>0.05459</v>
      </c>
      <c r="BZ641" s="96" t="n">
        <v>0.9768</v>
      </c>
      <c r="CA641" s="97" t="n">
        <v>3.92</v>
      </c>
      <c r="CB641" s="97"/>
      <c r="CC641" s="97" t="n">
        <v>5.9</v>
      </c>
      <c r="CD641" s="97" t="n">
        <v>5.2</v>
      </c>
      <c r="CE641" s="97" t="n">
        <v>87.87</v>
      </c>
      <c r="CF641" s="97" t="n">
        <v>34.63</v>
      </c>
      <c r="CG641" s="97" t="n">
        <v>0.2268</v>
      </c>
      <c r="CH641" s="63" t="n">
        <v>53213.5008193621</v>
      </c>
      <c r="CI641" s="63" t="n">
        <v>2911.38470613823</v>
      </c>
      <c r="CJ641" s="64" t="n">
        <v>714344.428176322</v>
      </c>
      <c r="CK641" s="65" t="n">
        <v>0.407560357623397</v>
      </c>
    </row>
    <row r="642" s="1" customFormat="true" ht="15" hidden="false" customHeight="false" outlineLevel="0" collapsed="false">
      <c r="A642" s="7" t="s">
        <v>488</v>
      </c>
      <c r="B642" s="66" t="n">
        <v>633</v>
      </c>
      <c r="C642" s="8" t="s">
        <v>725</v>
      </c>
      <c r="D642" s="67" t="n">
        <v>41963</v>
      </c>
      <c r="E642" s="4" t="s">
        <v>583</v>
      </c>
      <c r="F642" s="7" t="n">
        <v>1403</v>
      </c>
      <c r="G642" s="68" t="n">
        <v>1</v>
      </c>
      <c r="H642" s="68" t="n">
        <v>139</v>
      </c>
      <c r="I642" s="7" t="n">
        <v>3</v>
      </c>
      <c r="J642" s="8" t="n">
        <v>710</v>
      </c>
      <c r="K642" s="32"/>
      <c r="L642" s="31" t="n">
        <v>927.386</v>
      </c>
      <c r="M642" s="31" t="n">
        <v>159.236968275018</v>
      </c>
      <c r="N642" s="31" t="n">
        <v>314.393552993981</v>
      </c>
      <c r="O642" s="95"/>
      <c r="P642" s="33" t="n">
        <v>36.2134040599816</v>
      </c>
      <c r="Q642" s="33" t="n">
        <v>7.9</v>
      </c>
      <c r="R642" s="31" t="n">
        <v>258.288279098235</v>
      </c>
      <c r="S642" s="34" t="s">
        <v>76</v>
      </c>
      <c r="T642" s="35"/>
      <c r="U642" s="35"/>
      <c r="V642" s="35" t="n">
        <v>26.5231289414469</v>
      </c>
      <c r="W642" s="35" t="n">
        <v>24.5971784564927</v>
      </c>
      <c r="X642" s="35" t="n">
        <v>4.22346264180338</v>
      </c>
      <c r="Y642" s="35" t="n">
        <v>8.33870074441898</v>
      </c>
      <c r="Z642" s="35"/>
      <c r="AA642" s="35" t="n">
        <v>0.960492785291609</v>
      </c>
      <c r="AB642" s="35" t="n">
        <v>0.20953271863743</v>
      </c>
      <c r="AC642" s="71" t="n">
        <v>6.85061333058691</v>
      </c>
      <c r="AD642" s="72"/>
      <c r="AE642" s="72"/>
      <c r="AF642" s="72"/>
      <c r="AG642" s="72"/>
      <c r="AH642" s="72"/>
      <c r="AI642" s="73" t="n">
        <v>26.916561018471</v>
      </c>
      <c r="AJ642" s="42" t="s">
        <v>16</v>
      </c>
      <c r="AK642" s="43" t="n">
        <v>706.500395998629</v>
      </c>
      <c r="AL642" s="74"/>
      <c r="AM642" s="74"/>
      <c r="AN642" s="74"/>
      <c r="AO642" s="78" t="n">
        <v>39.9428571428571</v>
      </c>
      <c r="AP642" s="76" t="n">
        <v>1.42059237336052</v>
      </c>
      <c r="AQ642" s="76" t="n">
        <v>1.33239900041649</v>
      </c>
      <c r="AR642" s="76" t="n">
        <v>1.90349645980841</v>
      </c>
      <c r="AS642" s="77" t="n">
        <v>37.2860284575507</v>
      </c>
      <c r="AT642" s="78" t="n">
        <v>37.8864306681132</v>
      </c>
      <c r="AU642" s="78" t="n">
        <v>35.5656173588114</v>
      </c>
      <c r="AV642" s="78" t="n">
        <v>33.357628765792</v>
      </c>
      <c r="AW642" s="78" t="n">
        <v>47.6554907677357</v>
      </c>
      <c r="AX642" s="78" t="n">
        <v>23.4425</v>
      </c>
      <c r="AY642" s="48" t="n">
        <v>1.42842990929736</v>
      </c>
      <c r="AZ642" s="48" t="n">
        <v>26.8878847733103</v>
      </c>
      <c r="BA642" s="48" t="n">
        <v>-0.364755831863473</v>
      </c>
      <c r="BB642" s="49" t="n">
        <f aca="false">AT642/V642</f>
        <v>1.42842990929736</v>
      </c>
      <c r="BC642" s="49" t="n">
        <f aca="false">AS642/V642</f>
        <v>1.40579297939788</v>
      </c>
      <c r="BD642" s="49" t="n">
        <f aca="false">SUM(AP642:AR642)/V642</f>
        <v>0.175563292093675</v>
      </c>
      <c r="BE642" s="53" t="n">
        <v>6.22</v>
      </c>
      <c r="BF642" s="51" t="n">
        <v>123.505985246774</v>
      </c>
      <c r="BG642" s="51" t="n">
        <v>611.557002063474</v>
      </c>
      <c r="BH642" s="51" t="n">
        <v>225.799317962036</v>
      </c>
      <c r="BI642" s="51" t="n">
        <v>117.32150879716</v>
      </c>
      <c r="BJ642" s="51" t="n">
        <v>8.57907070771164</v>
      </c>
      <c r="BK642" s="51" t="n">
        <v>14.0038730210741</v>
      </c>
      <c r="BL642" s="51" t="n">
        <v>17.9514003379185</v>
      </c>
      <c r="BM642" s="51" t="n">
        <v>4.78782711062595</v>
      </c>
      <c r="BN642" s="52" t="n">
        <f aca="false">(BG642*0.5-BH642*0.25+BI642*0.5)/SUM(BG642:BI642)*1000</f>
        <v>322.610850112259</v>
      </c>
      <c r="BO642" s="93" t="n">
        <v>6.59736</v>
      </c>
      <c r="BP642" s="94" t="s">
        <v>491</v>
      </c>
      <c r="BQ642" s="55" t="n">
        <v>443.073148148148</v>
      </c>
      <c r="BR642" s="56" t="n">
        <v>16.7051613377248</v>
      </c>
      <c r="BS642" s="56"/>
      <c r="BT642" s="56" t="n">
        <v>11.6947714613047</v>
      </c>
      <c r="BU642" s="55" t="n">
        <v>11798.4888888889</v>
      </c>
      <c r="BV642" s="55" t="n">
        <v>444.837745762784</v>
      </c>
      <c r="BW642" s="55"/>
      <c r="BX642" s="55" t="n">
        <v>311.417272116346</v>
      </c>
      <c r="BY642" s="96" t="n">
        <v>0.0927</v>
      </c>
      <c r="BZ642" s="96" t="n">
        <v>1.1935</v>
      </c>
      <c r="CA642" s="97" t="n">
        <v>3.9</v>
      </c>
      <c r="CB642" s="97"/>
      <c r="CC642" s="97" t="n">
        <v>6.01</v>
      </c>
      <c r="CD642" s="97" t="n">
        <v>6.2</v>
      </c>
      <c r="CE642" s="97" t="n">
        <v>84.84</v>
      </c>
      <c r="CF642" s="97" t="n">
        <v>36.54</v>
      </c>
      <c r="CG642" s="97" t="n">
        <v>0.05</v>
      </c>
      <c r="CH642" s="63" t="n">
        <v>15925.0954660076</v>
      </c>
      <c r="CI642" s="63" t="n">
        <v>2530.56271048233</v>
      </c>
      <c r="CJ642" s="64" t="n">
        <v>3762935.22532103</v>
      </c>
      <c r="CK642" s="65" t="n">
        <v>0.0672497016013992</v>
      </c>
    </row>
    <row r="643" s="1" customFormat="true" ht="15" hidden="false" customHeight="false" outlineLevel="0" collapsed="false">
      <c r="A643" s="7" t="s">
        <v>488</v>
      </c>
      <c r="B643" s="66" t="n">
        <v>634</v>
      </c>
      <c r="C643" s="8" t="s">
        <v>726</v>
      </c>
      <c r="D643" s="67" t="n">
        <v>41963</v>
      </c>
      <c r="E643" s="4" t="s">
        <v>583</v>
      </c>
      <c r="F643" s="7" t="n">
        <v>1584</v>
      </c>
      <c r="G643" s="68" t="n">
        <v>1</v>
      </c>
      <c r="H643" s="68" t="n">
        <v>120</v>
      </c>
      <c r="I643" s="7" t="n">
        <v>2</v>
      </c>
      <c r="J643" s="8" t="n">
        <v>740</v>
      </c>
      <c r="K643" s="32"/>
      <c r="L643" s="31" t="n">
        <v>927.386</v>
      </c>
      <c r="M643" s="31" t="n">
        <v>159.236968275018</v>
      </c>
      <c r="N643" s="31" t="n">
        <v>314.393552993981</v>
      </c>
      <c r="O643" s="95"/>
      <c r="P643" s="33" t="n">
        <v>36.2134040599816</v>
      </c>
      <c r="Q643" s="33" t="n">
        <v>7.9</v>
      </c>
      <c r="R643" s="31" t="n">
        <v>258.288279098235</v>
      </c>
      <c r="S643" s="34" t="s">
        <v>76</v>
      </c>
      <c r="T643" s="35"/>
      <c r="U643" s="35"/>
      <c r="V643" s="35" t="n">
        <v>27.4071205596819</v>
      </c>
      <c r="W643" s="35" t="n">
        <v>25.4169799073612</v>
      </c>
      <c r="X643" s="35" t="n">
        <v>4.36422678707166</v>
      </c>
      <c r="Y643" s="35" t="n">
        <v>8.6166220100928</v>
      </c>
      <c r="Z643" s="35"/>
      <c r="AA643" s="35" t="n">
        <v>0.992505130948392</v>
      </c>
      <c r="AB643" s="35" t="n">
        <v>0.216516252421487</v>
      </c>
      <c r="AC643" s="71" t="n">
        <v>7.07893800439811</v>
      </c>
      <c r="AD643" s="72"/>
      <c r="AE643" s="72"/>
      <c r="AF643" s="72"/>
      <c r="AG643" s="72"/>
      <c r="AH643" s="72"/>
      <c r="AI643" s="73" t="n">
        <v>25.579413919869</v>
      </c>
      <c r="AJ643" s="42" t="s">
        <v>16</v>
      </c>
      <c r="AK643" s="43" t="n">
        <v>691.157896551194</v>
      </c>
      <c r="AL643" s="74"/>
      <c r="AM643" s="74"/>
      <c r="AN643" s="74"/>
      <c r="AO643" s="78" t="n">
        <v>30.9428571428571</v>
      </c>
      <c r="AP643" s="76" t="n">
        <v>0.938034859813702</v>
      </c>
      <c r="AQ643" s="76" t="n">
        <v>0.974294044148272</v>
      </c>
      <c r="AR643" s="76" t="n">
        <v>1.58548313202832</v>
      </c>
      <c r="AS643" s="77" t="n">
        <v>26.4476657543484</v>
      </c>
      <c r="AT643" s="78" t="n">
        <v>27.5060697916747</v>
      </c>
      <c r="AU643" s="78" t="n">
        <v>30.3150693383929</v>
      </c>
      <c r="AV643" s="78" t="n">
        <v>31.4868804664723</v>
      </c>
      <c r="AW643" s="78" t="n">
        <v>51.2390670553936</v>
      </c>
      <c r="AX643" s="78" t="n">
        <v>22.9625</v>
      </c>
      <c r="AY643" s="48" t="n">
        <v>1.00361034760209</v>
      </c>
      <c r="AZ643" s="48" t="n">
        <v>23.1391502780983</v>
      </c>
      <c r="BA643" s="48" t="n">
        <v>4.26797028158369</v>
      </c>
      <c r="BB643" s="49" t="n">
        <f aca="false">AT643/V643</f>
        <v>1.00361034760209</v>
      </c>
      <c r="BC643" s="49" t="n">
        <f aca="false">AS643/V643</f>
        <v>0.964992498819997</v>
      </c>
      <c r="BD643" s="49" t="n">
        <f aca="false">SUM(AP643:AR643)/V643</f>
        <v>0.127624207306763</v>
      </c>
      <c r="BE643" s="53" t="n">
        <v>6.42</v>
      </c>
      <c r="BF643" s="51" t="n">
        <v>105.923466253407</v>
      </c>
      <c r="BG643" s="51" t="n">
        <v>647.372352309155</v>
      </c>
      <c r="BH643" s="51" t="n">
        <v>189.303868272992</v>
      </c>
      <c r="BI643" s="51" t="n">
        <v>107.210816973264</v>
      </c>
      <c r="BJ643" s="51" t="n">
        <v>9.60632230854948</v>
      </c>
      <c r="BK643" s="51" t="n">
        <v>16.1291872356344</v>
      </c>
      <c r="BL643" s="51" t="n">
        <v>20.0701951554016</v>
      </c>
      <c r="BM643" s="51" t="n">
        <v>10.307257745003</v>
      </c>
      <c r="BN643" s="52" t="n">
        <f aca="false">(BG643*0.5-BH643*0.25+BI643*0.5)/SUM(BG643:BI643)*1000</f>
        <v>349.581681328673</v>
      </c>
      <c r="BO643" s="93" t="n">
        <v>4.34112</v>
      </c>
      <c r="BP643" s="94" t="s">
        <v>491</v>
      </c>
      <c r="BQ643" s="55" t="n">
        <v>438.656432748538</v>
      </c>
      <c r="BR643" s="56" t="n">
        <v>16.0051995171589</v>
      </c>
      <c r="BS643" s="56"/>
      <c r="BT643" s="56" t="n">
        <v>15.9476230545051</v>
      </c>
      <c r="BU643" s="55" t="n">
        <v>11525.1485380117</v>
      </c>
      <c r="BV643" s="55" t="n">
        <v>420.516577541025</v>
      </c>
      <c r="BW643" s="55"/>
      <c r="BX643" s="55" t="n">
        <v>419.003828075069</v>
      </c>
      <c r="BY643" s="96" t="n">
        <v>0.07725</v>
      </c>
      <c r="BZ643" s="96" t="n">
        <v>1.056</v>
      </c>
      <c r="CA643" s="97" t="n">
        <v>3.58</v>
      </c>
      <c r="CB643" s="97"/>
      <c r="CC643" s="97" t="n">
        <v>3.85</v>
      </c>
      <c r="CD643" s="97" t="n">
        <v>6.53</v>
      </c>
      <c r="CE643" s="97" t="n">
        <v>73.73</v>
      </c>
      <c r="CF643" s="97" t="n">
        <v>30.91</v>
      </c>
      <c r="CG643" s="97" t="n">
        <v>0.0812</v>
      </c>
      <c r="CH643" s="63" t="n">
        <v>40940.1514126061</v>
      </c>
      <c r="CI643" s="63" t="n">
        <v>2596.84297775168</v>
      </c>
      <c r="CJ643" s="64" t="n">
        <v>2162943.47817882</v>
      </c>
      <c r="CK643" s="65" t="n">
        <v>0.12006060278275</v>
      </c>
    </row>
    <row r="644" s="1" customFormat="true" ht="15" hidden="false" customHeight="false" outlineLevel="0" collapsed="false">
      <c r="A644" s="7" t="s">
        <v>488</v>
      </c>
      <c r="B644" s="66" t="n">
        <v>635</v>
      </c>
      <c r="C644" s="8" t="s">
        <v>727</v>
      </c>
      <c r="D644" s="67" t="n">
        <v>41963</v>
      </c>
      <c r="E644" s="4" t="s">
        <v>583</v>
      </c>
      <c r="F644" s="7" t="n">
        <v>1629</v>
      </c>
      <c r="G644" s="68" t="n">
        <v>1</v>
      </c>
      <c r="H644" s="68" t="n">
        <v>144</v>
      </c>
      <c r="I644" s="7" t="n">
        <v>2</v>
      </c>
      <c r="J644" s="8" t="n">
        <v>740</v>
      </c>
      <c r="K644" s="32"/>
      <c r="L644" s="31" t="n">
        <v>927.386</v>
      </c>
      <c r="M644" s="31" t="n">
        <v>159.236968275018</v>
      </c>
      <c r="N644" s="31" t="n">
        <v>314.393552993981</v>
      </c>
      <c r="O644" s="95"/>
      <c r="P644" s="33" t="n">
        <v>36.2134040599816</v>
      </c>
      <c r="Q644" s="33" t="n">
        <v>7.9</v>
      </c>
      <c r="R644" s="31" t="n">
        <v>258.288279098235</v>
      </c>
      <c r="S644" s="34" t="s">
        <v>76</v>
      </c>
      <c r="T644" s="35"/>
      <c r="U644" s="35"/>
      <c r="V644" s="35" t="n">
        <v>27.9689674855733</v>
      </c>
      <c r="W644" s="35" t="n">
        <v>25.9380288805759</v>
      </c>
      <c r="X644" s="35" t="n">
        <v>4.45369358818525</v>
      </c>
      <c r="Y644" s="35" t="n">
        <v>8.79326306136255</v>
      </c>
      <c r="Z644" s="35"/>
      <c r="AA644" s="35" t="n">
        <v>1.01285152069556</v>
      </c>
      <c r="AB644" s="35" t="n">
        <v>0.220954843136029</v>
      </c>
      <c r="AC644" s="71" t="n">
        <v>7.22405648000323</v>
      </c>
      <c r="AD644" s="72"/>
      <c r="AE644" s="72"/>
      <c r="AF644" s="72"/>
      <c r="AG644" s="72"/>
      <c r="AH644" s="72"/>
      <c r="AI644" s="73" t="n">
        <v>28.1898828418342</v>
      </c>
      <c r="AJ644" s="42" t="s">
        <v>16</v>
      </c>
      <c r="AK644" s="43" t="n">
        <v>719.757615016537</v>
      </c>
      <c r="AL644" s="74"/>
      <c r="AM644" s="74"/>
      <c r="AN644" s="74"/>
      <c r="AO644" s="78" t="n">
        <v>27.9571428571429</v>
      </c>
      <c r="AP644" s="76" t="n">
        <v>1.11212097658839</v>
      </c>
      <c r="AQ644" s="76" t="n">
        <v>1.08065632375399</v>
      </c>
      <c r="AR644" s="76" t="n">
        <v>1.34487713452728</v>
      </c>
      <c r="AS644" s="77" t="n">
        <v>27.864671791683</v>
      </c>
      <c r="AT644" s="78" t="n">
        <v>29.1621328345242</v>
      </c>
      <c r="AU644" s="78" t="n">
        <v>39.7794932862481</v>
      </c>
      <c r="AV644" s="78" t="n">
        <v>38.6540330417881</v>
      </c>
      <c r="AW644" s="78" t="n">
        <v>48.1049562682216</v>
      </c>
      <c r="AX644" s="78" t="n">
        <v>21.06125</v>
      </c>
      <c r="AY644" s="48" t="n">
        <v>1.04266032879356</v>
      </c>
      <c r="AZ644" s="48" t="n">
        <v>23.8702936580352</v>
      </c>
      <c r="BA644" s="48" t="n">
        <v>4.09867382753811</v>
      </c>
      <c r="BB644" s="49" t="n">
        <f aca="false">AT644/V644</f>
        <v>1.04266032879356</v>
      </c>
      <c r="BC644" s="49" t="n">
        <f aca="false">AS644/V644</f>
        <v>0.996271020946909</v>
      </c>
      <c r="BD644" s="49" t="n">
        <f aca="false">SUM(AP644:AR644)/V644</f>
        <v>0.126484985071202</v>
      </c>
      <c r="BE644" s="53" t="n">
        <v>6.6</v>
      </c>
      <c r="BF644" s="51" t="n">
        <v>104.5112741718</v>
      </c>
      <c r="BG644" s="51" t="n">
        <v>621.202405644952</v>
      </c>
      <c r="BH644" s="51" t="n">
        <v>205.439610881264</v>
      </c>
      <c r="BI644" s="51" t="n">
        <v>121.229927121328</v>
      </c>
      <c r="BJ644" s="51" t="n">
        <v>7.65639085303385</v>
      </c>
      <c r="BK644" s="51" t="n">
        <v>17.7564302453212</v>
      </c>
      <c r="BL644" s="51" t="n">
        <v>15.3404687413828</v>
      </c>
      <c r="BM644" s="51" t="n">
        <v>11.3747665127179</v>
      </c>
      <c r="BN644" s="52" t="n">
        <f aca="false">(BG644*0.5-BH644*0.25+BI644*0.5)/SUM(BG644:BI644)*1000</f>
        <v>337.446704490453</v>
      </c>
      <c r="BO644" s="93" t="n">
        <v>4.39824</v>
      </c>
      <c r="BP644" s="94" t="s">
        <v>491</v>
      </c>
      <c r="BQ644" s="55" t="n">
        <v>427.557291666667</v>
      </c>
      <c r="BR644" s="56" t="n">
        <v>15.2868457474236</v>
      </c>
      <c r="BS644" s="56"/>
      <c r="BT644" s="56" t="n">
        <v>14.6613861919075</v>
      </c>
      <c r="BU644" s="55" t="n">
        <v>14797.3333333333</v>
      </c>
      <c r="BV644" s="55" t="n">
        <v>529.062552665412</v>
      </c>
      <c r="BW644" s="55"/>
      <c r="BX644" s="55" t="n">
        <v>507.416018481857</v>
      </c>
      <c r="BY644" s="96" t="n">
        <v>0.05459</v>
      </c>
      <c r="BZ644" s="96" t="n">
        <v>0.9658</v>
      </c>
      <c r="CA644" s="97" t="n">
        <v>3.99</v>
      </c>
      <c r="CB644" s="97"/>
      <c r="CC644" s="97" t="n">
        <v>4.67</v>
      </c>
      <c r="CD644" s="97" t="n">
        <v>4.19</v>
      </c>
      <c r="CE644" s="97" t="n">
        <v>77.77</v>
      </c>
      <c r="CF644" s="97" t="n">
        <v>31.68</v>
      </c>
      <c r="CG644" s="97" t="n">
        <v>0.1228</v>
      </c>
      <c r="CH644" s="63" t="n">
        <v>66686.003579781</v>
      </c>
      <c r="CI644" s="63" t="n">
        <v>2093.20402033474</v>
      </c>
      <c r="CJ644" s="64" t="n">
        <v>3359076.83667644</v>
      </c>
      <c r="CK644" s="65" t="n">
        <v>0.0623148597697994</v>
      </c>
    </row>
    <row r="645" s="1" customFormat="true" ht="15" hidden="false" customHeight="false" outlineLevel="0" collapsed="false">
      <c r="A645" s="7" t="s">
        <v>488</v>
      </c>
      <c r="B645" s="66" t="n">
        <v>636</v>
      </c>
      <c r="C645" s="8" t="s">
        <v>728</v>
      </c>
      <c r="D645" s="67" t="n">
        <v>41963</v>
      </c>
      <c r="E645" s="4" t="s">
        <v>583</v>
      </c>
      <c r="F645" s="7" t="n">
        <v>1901</v>
      </c>
      <c r="G645" s="68" t="n">
        <v>1</v>
      </c>
      <c r="H645" s="68" t="n">
        <v>192</v>
      </c>
      <c r="I645" s="7" t="n">
        <v>1</v>
      </c>
      <c r="J645" s="8" t="n">
        <v>670</v>
      </c>
      <c r="K645" s="32"/>
      <c r="L645" s="31" t="n">
        <v>927.386</v>
      </c>
      <c r="M645" s="31" t="n">
        <v>159.236968275018</v>
      </c>
      <c r="N645" s="31" t="n">
        <v>314.393552993981</v>
      </c>
      <c r="O645" s="95"/>
      <c r="P645" s="33" t="n">
        <v>36.2134040599816</v>
      </c>
      <c r="Q645" s="33" t="n">
        <v>7.9</v>
      </c>
      <c r="R645" s="31" t="n">
        <v>258.288279098235</v>
      </c>
      <c r="S645" s="34" t="s">
        <v>76</v>
      </c>
      <c r="T645" s="35"/>
      <c r="U645" s="35"/>
      <c r="V645" s="35" t="n">
        <v>19.3476936234784</v>
      </c>
      <c r="W645" s="35" t="n">
        <v>17.9427801987032</v>
      </c>
      <c r="X645" s="35" t="n">
        <v>3.0808680757166</v>
      </c>
      <c r="Y645" s="35" t="n">
        <v>6.08279014052438</v>
      </c>
      <c r="Z645" s="35"/>
      <c r="AA645" s="35" t="n">
        <v>0.700645846815754</v>
      </c>
      <c r="AB645" s="35" t="n">
        <v>0.152846779625479</v>
      </c>
      <c r="AC645" s="71" t="n">
        <v>4.99728249052814</v>
      </c>
      <c r="AD645" s="72"/>
      <c r="AE645" s="72"/>
      <c r="AF645" s="72"/>
      <c r="AG645" s="72"/>
      <c r="AH645" s="72"/>
      <c r="AI645" s="73" t="n">
        <v>25.3956043362395</v>
      </c>
      <c r="AJ645" s="42" t="s">
        <v>16</v>
      </c>
      <c r="AK645" s="43" t="n">
        <v>688.922543625917</v>
      </c>
      <c r="AL645" s="74"/>
      <c r="AM645" s="74"/>
      <c r="AN645" s="74"/>
      <c r="AO645" s="78" t="n">
        <v>28.2</v>
      </c>
      <c r="AP645" s="76" t="n">
        <v>1.05855624392614</v>
      </c>
      <c r="AQ645" s="76" t="n">
        <v>1.00337463556851</v>
      </c>
      <c r="AR645" s="76" t="n">
        <v>1.42233236151603</v>
      </c>
      <c r="AS645" s="77" t="n">
        <v>27.1583436588921</v>
      </c>
      <c r="AT645" s="78" t="n">
        <v>28.3227667460524</v>
      </c>
      <c r="AU645" s="78" t="n">
        <v>37.5374554583738</v>
      </c>
      <c r="AV645" s="78" t="n">
        <v>35.5806608357629</v>
      </c>
      <c r="AW645" s="78" t="n">
        <v>50.4373177842566</v>
      </c>
      <c r="AX645" s="78" t="n">
        <v>22.9225</v>
      </c>
      <c r="AY645" s="48" t="n">
        <v>1.46388335980691</v>
      </c>
      <c r="AZ645" s="48" t="n">
        <v>22.7922809068942</v>
      </c>
      <c r="BA645" s="48" t="n">
        <v>-3.44458728341581</v>
      </c>
      <c r="BB645" s="49" t="n">
        <f aca="false">AT645/V645</f>
        <v>1.46388335980691</v>
      </c>
      <c r="BC645" s="49" t="n">
        <f aca="false">AS645/V645</f>
        <v>1.40369928258196</v>
      </c>
      <c r="BD645" s="49" t="n">
        <f aca="false">SUM(AP645:AR645)/V645</f>
        <v>0.180086748778291</v>
      </c>
      <c r="BE645" s="53" t="n">
        <v>6.7</v>
      </c>
      <c r="BF645" s="51" t="n">
        <v>101.844481757693</v>
      </c>
      <c r="BG645" s="51" t="n">
        <v>639.768196083309</v>
      </c>
      <c r="BH645" s="51" t="n">
        <v>189.81501858203</v>
      </c>
      <c r="BI645" s="51" t="n">
        <v>110.471560736253</v>
      </c>
      <c r="BJ645" s="51" t="n">
        <v>11.4603058548841</v>
      </c>
      <c r="BK645" s="51" t="n">
        <v>13.957119763968</v>
      </c>
      <c r="BL645" s="51" t="n">
        <v>31.7926250864883</v>
      </c>
      <c r="BM645" s="51" t="n">
        <v>2.73517389306789</v>
      </c>
      <c r="BN645" s="52" t="n">
        <f aca="false">(BG645*0.5-BH645*0.25+BI645*0.5)/SUM(BG645:BI645)*1000</f>
        <v>348.560671503737</v>
      </c>
      <c r="BO645" s="93" t="n">
        <v>4.5696</v>
      </c>
      <c r="BP645" s="94" t="s">
        <v>491</v>
      </c>
      <c r="BQ645" s="55" t="n">
        <v>342.074637681159</v>
      </c>
      <c r="BR645" s="56" t="n">
        <v>17.680383219737</v>
      </c>
      <c r="BS645" s="56"/>
      <c r="BT645" s="56" t="n">
        <v>12.0777267541787</v>
      </c>
      <c r="BU645" s="55" t="n">
        <v>10953.2456521739</v>
      </c>
      <c r="BV645" s="55" t="n">
        <v>566.126684933762</v>
      </c>
      <c r="BW645" s="55"/>
      <c r="BX645" s="55" t="n">
        <v>386.729366886467</v>
      </c>
      <c r="BY645" s="96" t="n">
        <v>0.05562</v>
      </c>
      <c r="BZ645" s="96" t="n">
        <v>0.5577</v>
      </c>
      <c r="CA645" s="97" t="n">
        <v>3.95</v>
      </c>
      <c r="CB645" s="97"/>
      <c r="CC645" s="97" t="n">
        <v>5.84</v>
      </c>
      <c r="CD645" s="97" t="n">
        <v>6.56</v>
      </c>
      <c r="CE645" s="97" t="n">
        <v>90.9</v>
      </c>
      <c r="CF645" s="97" t="n">
        <v>38.16</v>
      </c>
      <c r="CG645" s="97" t="n">
        <v>0.01</v>
      </c>
      <c r="CH645" s="63" t="n">
        <v>118020.392764174</v>
      </c>
      <c r="CI645" s="63" t="n">
        <v>2583.64807982287</v>
      </c>
      <c r="CJ645" s="64" t="n">
        <v>316719.118677126</v>
      </c>
      <c r="CK645" s="65" t="n">
        <v>0.815753747552173</v>
      </c>
    </row>
    <row r="646" s="1" customFormat="true" ht="15" hidden="false" customHeight="false" outlineLevel="0" collapsed="false">
      <c r="A646" s="7" t="s">
        <v>488</v>
      </c>
      <c r="B646" s="66" t="n">
        <v>637</v>
      </c>
      <c r="C646" s="8" t="s">
        <v>729</v>
      </c>
      <c r="D646" s="67" t="n">
        <v>41963</v>
      </c>
      <c r="E646" s="4" t="s">
        <v>583</v>
      </c>
      <c r="F646" s="7" t="n">
        <v>1978</v>
      </c>
      <c r="G646" s="68" t="n">
        <v>1</v>
      </c>
      <c r="H646" s="68" t="n">
        <v>196</v>
      </c>
      <c r="I646" s="7" t="n">
        <v>1</v>
      </c>
      <c r="J646" s="8" t="n">
        <v>700</v>
      </c>
      <c r="K646" s="32"/>
      <c r="L646" s="31" t="n">
        <v>927.386</v>
      </c>
      <c r="M646" s="31" t="n">
        <v>159.236968275018</v>
      </c>
      <c r="N646" s="31" t="n">
        <v>314.393552993981</v>
      </c>
      <c r="O646" s="95"/>
      <c r="P646" s="33" t="n">
        <v>36.2134040599816</v>
      </c>
      <c r="Q646" s="33" t="n">
        <v>7.9</v>
      </c>
      <c r="R646" s="31" t="n">
        <v>258.288279098235</v>
      </c>
      <c r="S646" s="34" t="s">
        <v>76</v>
      </c>
      <c r="T646" s="35"/>
      <c r="U646" s="35"/>
      <c r="V646" s="35" t="n">
        <v>27.2661784434669</v>
      </c>
      <c r="W646" s="35" t="n">
        <v>25.286272161973</v>
      </c>
      <c r="X646" s="35" t="n">
        <v>4.34178359178331</v>
      </c>
      <c r="Y646" s="35" t="n">
        <v>8.57231071740945</v>
      </c>
      <c r="Z646" s="35"/>
      <c r="AA646" s="35" t="n">
        <v>0.987401137144827</v>
      </c>
      <c r="AB646" s="35" t="n">
        <v>0.215402809703388</v>
      </c>
      <c r="AC646" s="71" t="n">
        <v>7.04253430774845</v>
      </c>
      <c r="AD646" s="72"/>
      <c r="AE646" s="72"/>
      <c r="AF646" s="72"/>
      <c r="AG646" s="72"/>
      <c r="AH646" s="72"/>
      <c r="AI646" s="73" t="n">
        <v>25.5654418625178</v>
      </c>
      <c r="AJ646" s="42" t="s">
        <v>16</v>
      </c>
      <c r="AK646" s="43" t="n">
        <v>690.989107777463</v>
      </c>
      <c r="AL646" s="74"/>
      <c r="AM646" s="74"/>
      <c r="AN646" s="74"/>
      <c r="AO646" s="78" t="n">
        <v>37.5857142857143</v>
      </c>
      <c r="AP646" s="76" t="n">
        <v>1.28086713541704</v>
      </c>
      <c r="AQ646" s="76" t="n">
        <v>1.17158579758434</v>
      </c>
      <c r="AR646" s="76" t="n">
        <v>1.7413983756768</v>
      </c>
      <c r="AS646" s="77" t="n">
        <v>34.2472927455413</v>
      </c>
      <c r="AT646" s="78" t="n">
        <v>34.0733570087331</v>
      </c>
      <c r="AU646" s="78" t="n">
        <v>34.0785630859721</v>
      </c>
      <c r="AV646" s="78" t="n">
        <v>31.1710398445092</v>
      </c>
      <c r="AW646" s="78" t="n">
        <v>46.3313896987366</v>
      </c>
      <c r="AX646" s="78" t="n">
        <v>22.58375</v>
      </c>
      <c r="AY646" s="48" t="n">
        <v>1.24965649584448</v>
      </c>
      <c r="AZ646" s="48" t="n">
        <v>25.8541669311891</v>
      </c>
      <c r="BA646" s="48" t="n">
        <v>1.41201151227777</v>
      </c>
      <c r="BB646" s="49" t="n">
        <f aca="false">AT646/V646</f>
        <v>1.24965649584448</v>
      </c>
      <c r="BC646" s="49" t="n">
        <f aca="false">AS646/V646</f>
        <v>1.25603567131892</v>
      </c>
      <c r="BD646" s="49" t="n">
        <f aca="false">SUM(AP646:AR646)/V646</f>
        <v>0.153811481773055</v>
      </c>
      <c r="BE646" s="53" t="n">
        <v>6.78</v>
      </c>
      <c r="BF646" s="51" t="n">
        <v>96.8917079281055</v>
      </c>
      <c r="BG646" s="51" t="n">
        <v>620.309432029047</v>
      </c>
      <c r="BH646" s="51" t="n">
        <v>199.913468193104</v>
      </c>
      <c r="BI646" s="51" t="n">
        <v>121.997097939155</v>
      </c>
      <c r="BJ646" s="51" t="n">
        <v>8.45511051261932</v>
      </c>
      <c r="BK646" s="51" t="n">
        <v>15.5611641553738</v>
      </c>
      <c r="BL646" s="51" t="n">
        <v>23.5130272114796</v>
      </c>
      <c r="BM646" s="51" t="n">
        <v>10.2506999592214</v>
      </c>
      <c r="BN646" s="52" t="n">
        <f aca="false">(BG646*0.5-BH646*0.25+BI646*0.5)/SUM(BG646:BI646)*1000</f>
        <v>340.870389678187</v>
      </c>
      <c r="BO646" s="93" t="n">
        <v>3.22728</v>
      </c>
      <c r="BP646" s="94" t="s">
        <v>491</v>
      </c>
      <c r="BQ646" s="55" t="n">
        <v>401.761111111111</v>
      </c>
      <c r="BR646" s="56" t="n">
        <v>14.7347789109543</v>
      </c>
      <c r="BS646" s="56"/>
      <c r="BT646" s="56" t="n">
        <v>11.791063352171</v>
      </c>
      <c r="BU646" s="55" t="n">
        <v>13701.2888888889</v>
      </c>
      <c r="BV646" s="55" t="n">
        <v>502.501255073089</v>
      </c>
      <c r="BW646" s="55"/>
      <c r="BX646" s="55" t="n">
        <v>402.111505637005</v>
      </c>
      <c r="BY646" s="96" t="n">
        <v>0.06695</v>
      </c>
      <c r="BZ646" s="96" t="n">
        <v>0.8723</v>
      </c>
      <c r="CA646" s="97" t="n">
        <v>4.02</v>
      </c>
      <c r="CB646" s="97"/>
      <c r="CC646" s="97" t="n">
        <v>5.87</v>
      </c>
      <c r="CD646" s="97" t="n">
        <v>5.33</v>
      </c>
      <c r="CE646" s="97" t="n">
        <v>83.83</v>
      </c>
      <c r="CF646" s="97" t="n">
        <v>33.47</v>
      </c>
      <c r="CG646" s="97" t="n">
        <v>0.05</v>
      </c>
      <c r="CH646" s="63" t="n">
        <v>32800.625844519</v>
      </c>
      <c r="CI646" s="63" t="n">
        <v>3072.97727264388</v>
      </c>
      <c r="CJ646" s="64" t="n">
        <v>680534.272130099</v>
      </c>
      <c r="CK646" s="65" t="n">
        <v>0.451553639323019</v>
      </c>
    </row>
    <row r="647" s="1" customFormat="true" ht="15" hidden="false" customHeight="false" outlineLevel="0" collapsed="false">
      <c r="A647" s="7" t="s">
        <v>488</v>
      </c>
      <c r="B647" s="66" t="n">
        <v>638</v>
      </c>
      <c r="C647" s="8" t="s">
        <v>730</v>
      </c>
      <c r="D647" s="67" t="n">
        <v>41963</v>
      </c>
      <c r="E647" s="4" t="s">
        <v>583</v>
      </c>
      <c r="F647" s="7" t="n">
        <v>1980</v>
      </c>
      <c r="G647" s="68" t="n">
        <v>1</v>
      </c>
      <c r="H647" s="68" t="n">
        <v>120</v>
      </c>
      <c r="I647" s="7" t="n">
        <v>1</v>
      </c>
      <c r="J647" s="8" t="n">
        <v>615</v>
      </c>
      <c r="K647" s="32"/>
      <c r="L647" s="31" t="n">
        <v>927.386</v>
      </c>
      <c r="M647" s="31" t="n">
        <v>159.236968275018</v>
      </c>
      <c r="N647" s="31" t="n">
        <v>314.393552993981</v>
      </c>
      <c r="O647" s="95"/>
      <c r="P647" s="33" t="n">
        <v>36.2134040599816</v>
      </c>
      <c r="Q647" s="33" t="n">
        <v>7.9</v>
      </c>
      <c r="R647" s="31" t="n">
        <v>258.288279098235</v>
      </c>
      <c r="S647" s="34" t="s">
        <v>76</v>
      </c>
      <c r="T647" s="35"/>
      <c r="U647" s="35"/>
      <c r="V647" s="35" t="n">
        <v>21.2648668173612</v>
      </c>
      <c r="W647" s="35" t="n">
        <v>19.7207397782853</v>
      </c>
      <c r="X647" s="35" t="n">
        <v>3.38615292276862</v>
      </c>
      <c r="Y647" s="35" t="n">
        <v>6.685537032654</v>
      </c>
      <c r="Z647" s="35"/>
      <c r="AA647" s="35" t="n">
        <v>0.770073214338797</v>
      </c>
      <c r="AB647" s="35" t="n">
        <v>0.167992447857153</v>
      </c>
      <c r="AC647" s="71" t="n">
        <v>5.49246585550939</v>
      </c>
      <c r="AD647" s="72"/>
      <c r="AE647" s="72"/>
      <c r="AF647" s="72"/>
      <c r="AG647" s="72"/>
      <c r="AH647" s="72"/>
      <c r="AI647" s="73" t="n">
        <v>23.4706108296275</v>
      </c>
      <c r="AJ647" s="42" t="s">
        <v>16</v>
      </c>
      <c r="AK647" s="43" t="n">
        <v>663.408845328063</v>
      </c>
      <c r="AL647" s="74"/>
      <c r="AM647" s="74"/>
      <c r="AN647" s="74"/>
      <c r="AO647" s="78" t="n">
        <v>28.8571428571429</v>
      </c>
      <c r="AP647" s="76" t="n">
        <v>1.1663694215996</v>
      </c>
      <c r="AQ647" s="76" t="n">
        <v>1.00712550326253</v>
      </c>
      <c r="AR647" s="76" t="n">
        <v>1.43584617520478</v>
      </c>
      <c r="AS647" s="77" t="n">
        <v>29.0383984668512</v>
      </c>
      <c r="AT647" s="78" t="n">
        <v>29.7422371405248</v>
      </c>
      <c r="AU647" s="78" t="n">
        <v>40.4187423326595</v>
      </c>
      <c r="AV647" s="78" t="n">
        <v>34.9003887269193</v>
      </c>
      <c r="AW647" s="78" t="n">
        <v>49.757045675413</v>
      </c>
      <c r="AX647" s="78" t="n">
        <v>22.35</v>
      </c>
      <c r="AY647" s="48" t="n">
        <v>1.39865616822215</v>
      </c>
      <c r="AZ647" s="48" t="n">
        <v>22.338344828668</v>
      </c>
      <c r="BA647" s="48" t="n">
        <v>-1.07347801130685</v>
      </c>
      <c r="BB647" s="49" t="n">
        <f aca="false">AT647/V647</f>
        <v>1.39865616822215</v>
      </c>
      <c r="BC647" s="49" t="n">
        <f aca="false">AS647/V647</f>
        <v>1.36555750460395</v>
      </c>
      <c r="BD647" s="49" t="n">
        <f aca="false">SUM(AP647:AR647)/V647</f>
        <v>0.169732598424748</v>
      </c>
      <c r="BE647" s="53" t="n">
        <v>6.33</v>
      </c>
      <c r="BF647" s="51" t="n">
        <v>116.482867488446</v>
      </c>
      <c r="BG647" s="51" t="n">
        <v>640.144664474513</v>
      </c>
      <c r="BH647" s="51" t="n">
        <v>203.464096801775</v>
      </c>
      <c r="BI647" s="51" t="n">
        <v>116.836142258723</v>
      </c>
      <c r="BJ647" s="51" t="n">
        <v>7.26342719330097</v>
      </c>
      <c r="BK647" s="51" t="n">
        <v>12.9428552306766</v>
      </c>
      <c r="BL647" s="51" t="n">
        <v>12.5204155920321</v>
      </c>
      <c r="BM647" s="51" t="n">
        <v>6.82839844897994</v>
      </c>
      <c r="BN647" s="52" t="n">
        <f aca="false">(BG647*0.5-BH647*0.25+BI647*0.5)/SUM(BG647:BI647)*1000</f>
        <v>341.117307156632</v>
      </c>
      <c r="BO647" s="93" t="n">
        <v>4.96944</v>
      </c>
      <c r="BP647" s="94" t="s">
        <v>491</v>
      </c>
      <c r="BQ647" s="55" t="n">
        <v>373.958333333333</v>
      </c>
      <c r="BR647" s="56" t="n">
        <v>17.5857359721634</v>
      </c>
      <c r="BS647" s="56"/>
      <c r="BT647" s="56" t="n">
        <v>12.5733088458165</v>
      </c>
      <c r="BU647" s="55" t="n">
        <v>9923.97222222222</v>
      </c>
      <c r="BV647" s="55" t="n">
        <v>466.68395844925</v>
      </c>
      <c r="BW647" s="55"/>
      <c r="BX647" s="55" t="n">
        <v>333.665963839031</v>
      </c>
      <c r="BY647" s="96" t="n">
        <v>0.12051</v>
      </c>
      <c r="BZ647" s="96" t="n">
        <v>1.0076</v>
      </c>
      <c r="CA647" s="97" t="n">
        <v>3.89</v>
      </c>
      <c r="CB647" s="97"/>
      <c r="CC647" s="97" t="n">
        <v>5.12</v>
      </c>
      <c r="CD647" s="97" t="n">
        <v>5.65</v>
      </c>
      <c r="CE647" s="97" t="n">
        <v>80.8</v>
      </c>
      <c r="CF647" s="97" t="n">
        <v>37.42</v>
      </c>
      <c r="CG647" s="97" t="n">
        <v>0.0604</v>
      </c>
      <c r="CH647" s="63" t="n">
        <v>9536.24070706019</v>
      </c>
      <c r="CI647" s="63" t="n">
        <v>5969.19350469553</v>
      </c>
      <c r="CJ647" s="64" t="n">
        <v>1846008.91224564</v>
      </c>
      <c r="CK647" s="65" t="n">
        <v>0.323356700235759</v>
      </c>
    </row>
    <row r="648" s="1" customFormat="true" ht="15" hidden="false" customHeight="false" outlineLevel="0" collapsed="false">
      <c r="A648" s="7" t="s">
        <v>488</v>
      </c>
      <c r="B648" s="66" t="n">
        <v>639</v>
      </c>
      <c r="C648" s="8" t="s">
        <v>731</v>
      </c>
      <c r="D648" s="67" t="n">
        <v>41963</v>
      </c>
      <c r="E648" s="4" t="s">
        <v>583</v>
      </c>
      <c r="F648" s="7" t="n">
        <v>1982</v>
      </c>
      <c r="G648" s="68" t="n">
        <v>1</v>
      </c>
      <c r="H648" s="68" t="n">
        <v>198</v>
      </c>
      <c r="I648" s="7" t="n">
        <v>1</v>
      </c>
      <c r="J648" s="8" t="n">
        <v>605</v>
      </c>
      <c r="K648" s="32"/>
      <c r="L648" s="31" t="n">
        <v>927.386</v>
      </c>
      <c r="M648" s="31" t="n">
        <v>159.236968275018</v>
      </c>
      <c r="N648" s="31" t="n">
        <v>314.393552993981</v>
      </c>
      <c r="O648" s="95"/>
      <c r="P648" s="33" t="n">
        <v>36.2134040599816</v>
      </c>
      <c r="Q648" s="33" t="n">
        <v>7.9</v>
      </c>
      <c r="R648" s="31" t="n">
        <v>258.288279098235</v>
      </c>
      <c r="S648" s="34" t="s">
        <v>76</v>
      </c>
      <c r="T648" s="35"/>
      <c r="U648" s="35"/>
      <c r="V648" s="35" t="n">
        <v>18.8687815256755</v>
      </c>
      <c r="W648" s="35" t="n">
        <v>17.4986438239701</v>
      </c>
      <c r="X648" s="35" t="n">
        <v>3.00460756519223</v>
      </c>
      <c r="Y648" s="35" t="n">
        <v>5.93222326452432</v>
      </c>
      <c r="Z648" s="35"/>
      <c r="AA648" s="35" t="n">
        <v>0.683302809508804</v>
      </c>
      <c r="AB648" s="35" t="n">
        <v>0.149063374052836</v>
      </c>
      <c r="AC648" s="71" t="n">
        <v>4.8735851089473</v>
      </c>
      <c r="AD648" s="72"/>
      <c r="AE648" s="72"/>
      <c r="AF648" s="72"/>
      <c r="AG648" s="72"/>
      <c r="AH648" s="72"/>
      <c r="AI648" s="73" t="n">
        <v>24.9241882950776</v>
      </c>
      <c r="AJ648" s="42" t="s">
        <v>16</v>
      </c>
      <c r="AK648" s="43" t="n">
        <v>683.038825318126</v>
      </c>
      <c r="AL648" s="74"/>
      <c r="AM648" s="74"/>
      <c r="AN648" s="74"/>
      <c r="AO648" s="78" t="n">
        <v>31.1428571428571</v>
      </c>
      <c r="AP648" s="76" t="n">
        <v>1.06891717025663</v>
      </c>
      <c r="AQ648" s="76" t="n">
        <v>1.09332916840205</v>
      </c>
      <c r="AR648" s="76" t="n">
        <v>1.60708038317368</v>
      </c>
      <c r="AS648" s="77" t="n">
        <v>28.4909004109923</v>
      </c>
      <c r="AT648" s="78" t="n">
        <v>30.134987317423</v>
      </c>
      <c r="AU648" s="78" t="n">
        <v>34.3230284027358</v>
      </c>
      <c r="AV648" s="78" t="n">
        <v>35.1068999028183</v>
      </c>
      <c r="AW648" s="78" t="n">
        <v>51.6034985422741</v>
      </c>
      <c r="AX648" s="78" t="n">
        <v>21.8275</v>
      </c>
      <c r="AY648" s="48" t="n">
        <v>1.59708178699389</v>
      </c>
      <c r="AZ648" s="48" t="n">
        <v>22.3585342129237</v>
      </c>
      <c r="BA648" s="48" t="n">
        <v>-3.48975268724818</v>
      </c>
      <c r="BB648" s="49" t="n">
        <f aca="false">AT648/V648</f>
        <v>1.59708178699389</v>
      </c>
      <c r="BC648" s="49" t="n">
        <f aca="false">AS648/V648</f>
        <v>1.50994913859295</v>
      </c>
      <c r="BD648" s="49" t="n">
        <f aca="false">SUM(AP648:AR648)/V648</f>
        <v>0.199765242747831</v>
      </c>
      <c r="BE648" s="53" t="n">
        <v>6.3</v>
      </c>
      <c r="BF648" s="51" t="n">
        <v>120.97465820271</v>
      </c>
      <c r="BG648" s="51" t="n">
        <v>604.644031829074</v>
      </c>
      <c r="BH648" s="51" t="n">
        <v>210.691073220424</v>
      </c>
      <c r="BI648" s="51" t="n">
        <v>137.958201049492</v>
      </c>
      <c r="BJ648" s="51" t="n">
        <v>8.45702804731749</v>
      </c>
      <c r="BK648" s="51" t="n">
        <v>13.7502588136095</v>
      </c>
      <c r="BL648" s="51" t="n">
        <v>20.4522212136959</v>
      </c>
      <c r="BM648" s="51" t="n">
        <v>4.04718582638686</v>
      </c>
      <c r="BN648" s="52" t="n">
        <f aca="false">(BG648*0.5-BH648*0.25+BI648*0.5)/SUM(BG648:BI648)*1000</f>
        <v>334.239573587324</v>
      </c>
      <c r="BO648" s="93" t="n">
        <v>5.82624</v>
      </c>
      <c r="BP648" s="94" t="s">
        <v>491</v>
      </c>
      <c r="BQ648" s="55" t="n">
        <v>337.00641025641</v>
      </c>
      <c r="BR648" s="56" t="n">
        <v>17.8605285030108</v>
      </c>
      <c r="BS648" s="56"/>
      <c r="BT648" s="56" t="n">
        <v>11.1832272138228</v>
      </c>
      <c r="BU648" s="55" t="n">
        <v>12345.9493589744</v>
      </c>
      <c r="BV648" s="55" t="n">
        <v>654.305596902203</v>
      </c>
      <c r="BW648" s="55"/>
      <c r="BX648" s="55" t="n">
        <v>409.688221499146</v>
      </c>
      <c r="BY648" s="96" t="n">
        <v>0.08961</v>
      </c>
      <c r="BZ648" s="96" t="n">
        <v>1.2111</v>
      </c>
      <c r="CA648" s="97" t="n">
        <v>3.64</v>
      </c>
      <c r="CB648" s="97"/>
      <c r="CC648" s="97" t="n">
        <v>5.74</v>
      </c>
      <c r="CD648" s="97" t="n">
        <v>6.62</v>
      </c>
      <c r="CE648" s="97" t="n">
        <v>86.86</v>
      </c>
      <c r="CF648" s="97" t="n">
        <v>36.33</v>
      </c>
      <c r="CG648" s="97" t="n">
        <v>0.1228</v>
      </c>
      <c r="CH648" s="63" t="n">
        <v>69948.128474226</v>
      </c>
      <c r="CI648" s="63" t="n">
        <v>3686.80719006091</v>
      </c>
      <c r="CJ648" s="64" t="n">
        <v>1119350.58799266</v>
      </c>
      <c r="CK648" s="65" t="n">
        <v>0.329370192825153</v>
      </c>
    </row>
    <row r="649" s="1" customFormat="true" ht="15" hidden="false" customHeight="false" outlineLevel="0" collapsed="false">
      <c r="A649" s="7" t="s">
        <v>488</v>
      </c>
      <c r="B649" s="66" t="n">
        <v>640</v>
      </c>
      <c r="C649" s="8" t="s">
        <v>732</v>
      </c>
      <c r="D649" s="67" t="n">
        <v>41963</v>
      </c>
      <c r="E649" s="4" t="s">
        <v>583</v>
      </c>
      <c r="F649" s="7" t="n">
        <v>2013</v>
      </c>
      <c r="G649" s="68" t="n">
        <v>1</v>
      </c>
      <c r="H649" s="68" t="n">
        <v>194</v>
      </c>
      <c r="I649" s="7" t="n">
        <v>1</v>
      </c>
      <c r="J649" s="8" t="n">
        <v>740</v>
      </c>
      <c r="K649" s="32"/>
      <c r="L649" s="31" t="n">
        <v>927.386</v>
      </c>
      <c r="M649" s="31" t="n">
        <v>159.236968275018</v>
      </c>
      <c r="N649" s="31" t="n">
        <v>314.393552993981</v>
      </c>
      <c r="O649" s="95"/>
      <c r="P649" s="33" t="n">
        <v>36.2134040599816</v>
      </c>
      <c r="Q649" s="33" t="n">
        <v>7.9</v>
      </c>
      <c r="R649" s="31" t="n">
        <v>258.288279098235</v>
      </c>
      <c r="S649" s="34" t="s">
        <v>76</v>
      </c>
      <c r="T649" s="35"/>
      <c r="U649" s="35"/>
      <c r="V649" s="35" t="n">
        <v>27.4158203819099</v>
      </c>
      <c r="W649" s="35" t="n">
        <v>25.4250480006979</v>
      </c>
      <c r="X649" s="35" t="n">
        <v>4.36561212038777</v>
      </c>
      <c r="Y649" s="35" t="n">
        <v>8.61935717811347</v>
      </c>
      <c r="Z649" s="35"/>
      <c r="AA649" s="35" t="n">
        <v>0.992820181125983</v>
      </c>
      <c r="AB649" s="35" t="n">
        <v>0.216584981017088</v>
      </c>
      <c r="AC649" s="71" t="n">
        <v>7.08118506650983</v>
      </c>
      <c r="AD649" s="72"/>
      <c r="AE649" s="72"/>
      <c r="AF649" s="72"/>
      <c r="AG649" s="72"/>
      <c r="AH649" s="72"/>
      <c r="AI649" s="73" t="n">
        <v>22.701843017404</v>
      </c>
      <c r="AJ649" s="42" t="s">
        <v>16</v>
      </c>
      <c r="AK649" s="43" t="n">
        <v>652.010632178912</v>
      </c>
      <c r="AL649" s="74"/>
      <c r="AM649" s="74"/>
      <c r="AN649" s="74"/>
      <c r="AO649" s="78" t="n">
        <v>30.5142857142857</v>
      </c>
      <c r="AP649" s="76" t="n">
        <v>1.28154307564478</v>
      </c>
      <c r="AQ649" s="76" t="n">
        <v>1.1954394002499</v>
      </c>
      <c r="AR649" s="76" t="n">
        <v>1.54165347771762</v>
      </c>
      <c r="AS649" s="77" t="n">
        <v>31.428860420386</v>
      </c>
      <c r="AT649" s="78" t="n">
        <v>33.166664814961</v>
      </c>
      <c r="AU649" s="78" t="n">
        <v>41.9981345014675</v>
      </c>
      <c r="AV649" s="78" t="n">
        <v>39.1763848396501</v>
      </c>
      <c r="AW649" s="78" t="n">
        <v>50.522351797862</v>
      </c>
      <c r="AX649" s="78" t="n">
        <v>21.95875</v>
      </c>
      <c r="AY649" s="48" t="n">
        <v>1.2097637186464</v>
      </c>
      <c r="AZ649" s="48" t="n">
        <v>25.3641830104991</v>
      </c>
      <c r="BA649" s="48" t="n">
        <v>2.05163737141083</v>
      </c>
      <c r="BB649" s="49" t="n">
        <f aca="false">AT649/V649</f>
        <v>1.2097637186464</v>
      </c>
      <c r="BC649" s="49" t="n">
        <f aca="false">AS649/V649</f>
        <v>1.14637679932876</v>
      </c>
      <c r="BD649" s="49" t="n">
        <f aca="false">SUM(AP649:AR649)/V649</f>
        <v>0.146580911956367</v>
      </c>
      <c r="BE649" s="53" t="n">
        <v>6.28</v>
      </c>
      <c r="BF649" s="51" t="n">
        <v>115.579045852361</v>
      </c>
      <c r="BG649" s="51" t="n">
        <v>631.923306342492</v>
      </c>
      <c r="BH649" s="51" t="n">
        <v>187.294768960253</v>
      </c>
      <c r="BI649" s="51" t="n">
        <v>132.658457049106</v>
      </c>
      <c r="BJ649" s="51" t="n">
        <v>7.76049427244474</v>
      </c>
      <c r="BK649" s="51" t="n">
        <v>14.3983805724364</v>
      </c>
      <c r="BL649" s="51" t="n">
        <v>16.6374835817196</v>
      </c>
      <c r="BM649" s="51" t="n">
        <v>9.32710922154843</v>
      </c>
      <c r="BN649" s="52" t="n">
        <f aca="false">(BG649*0.5-BH649*0.25+BI649*0.5)/SUM(BG649:BI649)*1000</f>
        <v>352.427208838608</v>
      </c>
      <c r="BO649" s="93" t="n">
        <v>3.45576</v>
      </c>
      <c r="BP649" s="94" t="s">
        <v>491</v>
      </c>
      <c r="BQ649" s="55" t="n">
        <v>393.464746543779</v>
      </c>
      <c r="BR649" s="56" t="n">
        <v>14.3517407490532</v>
      </c>
      <c r="BS649" s="56"/>
      <c r="BT649" s="56" t="n">
        <v>11.8632593520917</v>
      </c>
      <c r="BU649" s="55" t="n">
        <v>11151.5395545315</v>
      </c>
      <c r="BV649" s="55" t="n">
        <v>406.755639597411</v>
      </c>
      <c r="BW649" s="55"/>
      <c r="BX649" s="55" t="n">
        <v>336.227342023886</v>
      </c>
      <c r="BY649" s="96" t="n">
        <v>0.06592</v>
      </c>
      <c r="BZ649" s="96" t="n">
        <v>1.5873</v>
      </c>
      <c r="CA649" s="97" t="n">
        <v>3.48</v>
      </c>
      <c r="CB649" s="97"/>
      <c r="CC649" s="97" t="n">
        <v>5.06</v>
      </c>
      <c r="CD649" s="97" t="n">
        <v>5.38</v>
      </c>
      <c r="CE649" s="97" t="n">
        <v>76.76</v>
      </c>
      <c r="CF649" s="97" t="n">
        <v>36.45</v>
      </c>
      <c r="CG649" s="97" t="n">
        <v>0.0708</v>
      </c>
      <c r="CH649" s="63"/>
      <c r="CI649" s="63"/>
      <c r="CJ649" s="64"/>
      <c r="CK649" s="65"/>
    </row>
    <row r="650" s="1" customFormat="true" ht="15" hidden="false" customHeight="false" outlineLevel="0" collapsed="false">
      <c r="A650" s="7" t="s">
        <v>488</v>
      </c>
      <c r="B650" s="66" t="n">
        <v>641</v>
      </c>
      <c r="C650" s="8" t="s">
        <v>733</v>
      </c>
      <c r="D650" s="67" t="n">
        <v>41963</v>
      </c>
      <c r="E650" s="4" t="s">
        <v>583</v>
      </c>
      <c r="F650" s="7" t="n">
        <v>2026</v>
      </c>
      <c r="G650" s="68" t="n">
        <v>1</v>
      </c>
      <c r="H650" s="68" t="n">
        <v>135</v>
      </c>
      <c r="I650" s="7" t="n">
        <v>1</v>
      </c>
      <c r="J650" s="8" t="n">
        <v>560</v>
      </c>
      <c r="K650" s="32"/>
      <c r="L650" s="31" t="n">
        <v>927.386</v>
      </c>
      <c r="M650" s="31" t="n">
        <v>159.236968275018</v>
      </c>
      <c r="N650" s="31" t="n">
        <v>314.393552993981</v>
      </c>
      <c r="O650" s="95"/>
      <c r="P650" s="33" t="n">
        <v>36.2134040599816</v>
      </c>
      <c r="Q650" s="33" t="n">
        <v>7.9</v>
      </c>
      <c r="R650" s="31" t="n">
        <v>258.288279098235</v>
      </c>
      <c r="S650" s="34" t="s">
        <v>76</v>
      </c>
      <c r="T650" s="35"/>
      <c r="U650" s="35"/>
      <c r="V650" s="35" t="n">
        <v>26.972418309858</v>
      </c>
      <c r="W650" s="35" t="n">
        <v>25.013843126706</v>
      </c>
      <c r="X650" s="35" t="n">
        <v>4.29500611870737</v>
      </c>
      <c r="Y650" s="35" t="n">
        <v>8.47995442527618</v>
      </c>
      <c r="Z650" s="35"/>
      <c r="AA650" s="35" t="n">
        <v>0.976763082729735</v>
      </c>
      <c r="AB650" s="35" t="n">
        <v>0.213082104647878</v>
      </c>
      <c r="AC650" s="71" t="n">
        <v>6.96665950837095</v>
      </c>
      <c r="AD650" s="72"/>
      <c r="AE650" s="72"/>
      <c r="AF650" s="72"/>
      <c r="AG650" s="72"/>
      <c r="AH650" s="72"/>
      <c r="AI650" s="73" t="n">
        <v>23.0834939232902</v>
      </c>
      <c r="AJ650" s="42" t="s">
        <v>16</v>
      </c>
      <c r="AK650" s="43" t="n">
        <v>657.764113775287</v>
      </c>
      <c r="AL650" s="74"/>
      <c r="AM650" s="74"/>
      <c r="AN650" s="74"/>
      <c r="AO650" s="78" t="n">
        <v>31.5285714285714</v>
      </c>
      <c r="AP650" s="76" t="n">
        <v>1.36824617172843</v>
      </c>
      <c r="AQ650" s="76" t="n">
        <v>1.08159239205886</v>
      </c>
      <c r="AR650" s="76" t="n">
        <v>1.51131854782729</v>
      </c>
      <c r="AS650" s="77" t="n">
        <v>33.135121147355</v>
      </c>
      <c r="AT650" s="78" t="n">
        <v>33.1936988772797</v>
      </c>
      <c r="AU650" s="78" t="n">
        <v>43.39702402401</v>
      </c>
      <c r="AV650" s="78" t="n">
        <v>34.3051506316813</v>
      </c>
      <c r="AW650" s="78" t="n">
        <v>47.9348882410107</v>
      </c>
      <c r="AX650" s="78" t="n">
        <v>27.61</v>
      </c>
      <c r="AY650" s="48" t="n">
        <v>1.23065342143044</v>
      </c>
      <c r="AZ650" s="48" t="n">
        <v>23.1836381705535</v>
      </c>
      <c r="BA650" s="48" t="n">
        <v>3.78878013930453</v>
      </c>
      <c r="BB650" s="49" t="n">
        <f aca="false">AT650/V650</f>
        <v>1.23065342143044</v>
      </c>
      <c r="BC650" s="49" t="n">
        <f aca="false">AS650/V650</f>
        <v>1.22848165732491</v>
      </c>
      <c r="BD650" s="49" t="n">
        <f aca="false">SUM(AP650:AR650)/V650</f>
        <v>0.146859546152258</v>
      </c>
      <c r="BE650" s="53" t="n">
        <v>6.71</v>
      </c>
      <c r="BF650" s="51" t="n">
        <v>104.356511245612</v>
      </c>
      <c r="BG650" s="51" t="n">
        <v>649.503208983395</v>
      </c>
      <c r="BH650" s="51" t="n">
        <v>189.392941194941</v>
      </c>
      <c r="BI650" s="51" t="n">
        <v>110.431005932388</v>
      </c>
      <c r="BJ650" s="51" t="n">
        <v>10.6639095211008</v>
      </c>
      <c r="BK650" s="51" t="n">
        <v>14.1348583720121</v>
      </c>
      <c r="BL650" s="51" t="n">
        <v>18.6349565908823</v>
      </c>
      <c r="BM650" s="51" t="n">
        <v>7.23911940528153</v>
      </c>
      <c r="BN650" s="52" t="n">
        <f aca="false">(BG650*0.5-BH650*0.25+BI650*0.5)/SUM(BG650:BI650)*1000</f>
        <v>350.373282822599</v>
      </c>
      <c r="BO650" s="93" t="n">
        <v>3.22728</v>
      </c>
      <c r="BP650" s="94" t="s">
        <v>491</v>
      </c>
      <c r="BQ650" s="55" t="n">
        <v>396.681818181818</v>
      </c>
      <c r="BR650" s="56" t="n">
        <v>14.706942982448</v>
      </c>
      <c r="BS650" s="56"/>
      <c r="BT650" s="56" t="n">
        <v>11.9505156580588</v>
      </c>
      <c r="BU650" s="55" t="n">
        <v>10066.8333333333</v>
      </c>
      <c r="BV650" s="55" t="n">
        <v>373.226946790087</v>
      </c>
      <c r="BW650" s="55"/>
      <c r="BX650" s="55" t="n">
        <v>303.275430995244</v>
      </c>
      <c r="BY650" s="96" t="n">
        <v>0.10403</v>
      </c>
      <c r="BZ650" s="96" t="n">
        <v>0.7689</v>
      </c>
      <c r="CA650" s="97" t="n">
        <v>4.08</v>
      </c>
      <c r="CB650" s="97"/>
      <c r="CC650" s="97" t="n">
        <v>6.42</v>
      </c>
      <c r="CD650" s="97" t="n">
        <v>8.7</v>
      </c>
      <c r="CE650" s="97" t="n">
        <v>84.84</v>
      </c>
      <c r="CF650" s="97" t="n">
        <v>37.67</v>
      </c>
      <c r="CG650" s="97" t="n">
        <v>0.05</v>
      </c>
      <c r="CH650" s="63" t="n">
        <v>23923.6775298708</v>
      </c>
      <c r="CI650" s="63" t="n">
        <v>2462.54108402803</v>
      </c>
      <c r="CJ650" s="64" t="n">
        <v>4023897.43965091</v>
      </c>
      <c r="CK650" s="65" t="n">
        <v>0.0611979087678157</v>
      </c>
    </row>
    <row r="651" s="1" customFormat="true" ht="15" hidden="false" customHeight="false" outlineLevel="0" collapsed="false">
      <c r="A651" s="7" t="s">
        <v>488</v>
      </c>
      <c r="B651" s="66" t="n">
        <v>642</v>
      </c>
      <c r="C651" s="8" t="s">
        <v>734</v>
      </c>
      <c r="D651" s="67" t="n">
        <v>41963</v>
      </c>
      <c r="E651" s="4" t="s">
        <v>583</v>
      </c>
      <c r="F651" s="7" t="n">
        <v>2053</v>
      </c>
      <c r="G651" s="68" t="n">
        <v>1</v>
      </c>
      <c r="H651" s="68" t="n">
        <v>185</v>
      </c>
      <c r="I651" s="7" t="n">
        <v>1</v>
      </c>
      <c r="J651" s="8" t="n">
        <v>660</v>
      </c>
      <c r="K651" s="32"/>
      <c r="L651" s="31" t="n">
        <v>927.386</v>
      </c>
      <c r="M651" s="31" t="n">
        <v>159.236968275018</v>
      </c>
      <c r="N651" s="31" t="n">
        <v>314.393552993981</v>
      </c>
      <c r="O651" s="95"/>
      <c r="P651" s="33" t="n">
        <v>36.2134040599816</v>
      </c>
      <c r="Q651" s="33" t="n">
        <v>7.9</v>
      </c>
      <c r="R651" s="31" t="n">
        <v>258.288279098235</v>
      </c>
      <c r="S651" s="34" t="s">
        <v>76</v>
      </c>
      <c r="T651" s="35"/>
      <c r="U651" s="35"/>
      <c r="V651" s="35" t="n">
        <v>23.3290525588725</v>
      </c>
      <c r="W651" s="35" t="n">
        <v>21.6350367363625</v>
      </c>
      <c r="X651" s="35" t="n">
        <v>3.7148476022034</v>
      </c>
      <c r="Y651" s="35" t="n">
        <v>7.33450372196726</v>
      </c>
      <c r="Z651" s="35"/>
      <c r="AA651" s="35" t="n">
        <v>0.844824406650998</v>
      </c>
      <c r="AB651" s="35" t="n">
        <v>0.184299515215093</v>
      </c>
      <c r="AC651" s="71" t="n">
        <v>6.02562083842346</v>
      </c>
      <c r="AD651" s="72"/>
      <c r="AE651" s="72"/>
      <c r="AF651" s="72"/>
      <c r="AG651" s="72"/>
      <c r="AH651" s="72"/>
      <c r="AI651" s="73" t="n">
        <v>25.6624205846441</v>
      </c>
      <c r="AJ651" s="42" t="s">
        <v>16</v>
      </c>
      <c r="AK651" s="43" t="n">
        <v>692.156865174005</v>
      </c>
      <c r="AL651" s="74"/>
      <c r="AM651" s="74"/>
      <c r="AN651" s="74"/>
      <c r="AO651" s="78" t="n">
        <v>33.8142857142857</v>
      </c>
      <c r="AP651" s="76" t="n">
        <v>1.29957449689797</v>
      </c>
      <c r="AQ651" s="76" t="n">
        <v>1.0716894002499</v>
      </c>
      <c r="AR651" s="76" t="n">
        <v>1.74616774260725</v>
      </c>
      <c r="AS651" s="77" t="n">
        <v>33.0193317391838</v>
      </c>
      <c r="AT651" s="78" t="n">
        <v>33.5318971000794</v>
      </c>
      <c r="AU651" s="78" t="n">
        <v>38.4327058651702</v>
      </c>
      <c r="AV651" s="78" t="n">
        <v>31.6933916423712</v>
      </c>
      <c r="AW651" s="78" t="n">
        <v>51.6399416909621</v>
      </c>
      <c r="AX651" s="78" t="n">
        <v>27.88125</v>
      </c>
      <c r="AY651" s="48" t="n">
        <v>1.43734500213668</v>
      </c>
      <c r="AZ651" s="48" t="n">
        <v>24.8109601783478</v>
      </c>
      <c r="BA651" s="48" t="n">
        <v>-1.48190761947529</v>
      </c>
      <c r="BB651" s="49" t="n">
        <f aca="false">AT651/V651</f>
        <v>1.43734500213668</v>
      </c>
      <c r="BC651" s="49" t="n">
        <f aca="false">AS651/V651</f>
        <v>1.41537388438117</v>
      </c>
      <c r="BD651" s="49" t="n">
        <f aca="false">SUM(AP651:AR651)/V651</f>
        <v>0.176493735841371</v>
      </c>
      <c r="BE651" s="53" t="n">
        <v>6.59</v>
      </c>
      <c r="BF651" s="51" t="n">
        <v>109.735434973466</v>
      </c>
      <c r="BG651" s="51" t="n">
        <v>664.562926444262</v>
      </c>
      <c r="BH651" s="51" t="n">
        <v>170.639588082649</v>
      </c>
      <c r="BI651" s="51" t="n">
        <v>113.242081987956</v>
      </c>
      <c r="BJ651" s="51" t="n">
        <v>9.80989709339757</v>
      </c>
      <c r="BK651" s="51" t="n">
        <v>13.6830791468968</v>
      </c>
      <c r="BL651" s="51" t="n">
        <v>18.8052253523728</v>
      </c>
      <c r="BM651" s="51" t="n">
        <v>9.2572018924662</v>
      </c>
      <c r="BN651" s="52" t="n">
        <f aca="false">(BG651*0.5-BH651*0.25+BI651*0.5)/SUM(BG651:BI651)*1000</f>
        <v>365.063608847309</v>
      </c>
      <c r="BO651" s="93" t="n">
        <v>2.5704</v>
      </c>
      <c r="BP651" s="94" t="s">
        <v>491</v>
      </c>
      <c r="BQ651" s="55" t="n">
        <v>440.521428571429</v>
      </c>
      <c r="BR651" s="56" t="n">
        <v>18.88295409596</v>
      </c>
      <c r="BS651" s="56"/>
      <c r="BT651" s="56" t="n">
        <v>13.1373846000018</v>
      </c>
      <c r="BU651" s="55" t="n">
        <v>12132.1666666667</v>
      </c>
      <c r="BV651" s="55" t="n">
        <v>520.04540844727</v>
      </c>
      <c r="BW651" s="55"/>
      <c r="BX651" s="55" t="n">
        <v>361.809730909557</v>
      </c>
      <c r="BY651" s="96" t="n">
        <v>0.08343</v>
      </c>
      <c r="BZ651" s="96" t="n">
        <v>1.4003</v>
      </c>
      <c r="CA651" s="97" t="n">
        <v>3.69</v>
      </c>
      <c r="CB651" s="97"/>
      <c r="CC651" s="97" t="n">
        <v>6.24</v>
      </c>
      <c r="CD651" s="97" t="n">
        <v>6.7</v>
      </c>
      <c r="CE651" s="97" t="n">
        <v>85.85</v>
      </c>
      <c r="CF651" s="97" t="n">
        <v>36.33</v>
      </c>
      <c r="CG651" s="97" t="n">
        <v>0.05</v>
      </c>
      <c r="CH651" s="63" t="n">
        <v>77788.9078840774</v>
      </c>
      <c r="CI651" s="63" t="n">
        <v>2056.28820250101</v>
      </c>
      <c r="CJ651" s="64" t="n">
        <v>3271406.37050817</v>
      </c>
      <c r="CK651" s="65" t="n">
        <v>0.0628563978183361</v>
      </c>
    </row>
    <row r="652" s="1" customFormat="true" ht="15" hidden="false" customHeight="false" outlineLevel="0" collapsed="false">
      <c r="A652" s="7" t="s">
        <v>488</v>
      </c>
      <c r="B652" s="66" t="n">
        <v>643</v>
      </c>
      <c r="C652" s="8" t="s">
        <v>735</v>
      </c>
      <c r="D652" s="67" t="n">
        <v>41963</v>
      </c>
      <c r="E652" s="4" t="s">
        <v>583</v>
      </c>
      <c r="F652" s="7" t="n">
        <v>2058</v>
      </c>
      <c r="G652" s="68" t="n">
        <v>1</v>
      </c>
      <c r="H652" s="68" t="n">
        <v>120</v>
      </c>
      <c r="I652" s="7" t="n">
        <v>1</v>
      </c>
      <c r="J652" s="8" t="n">
        <v>730</v>
      </c>
      <c r="K652" s="32"/>
      <c r="L652" s="31" t="n">
        <v>927.386</v>
      </c>
      <c r="M652" s="31" t="n">
        <v>159.236968275018</v>
      </c>
      <c r="N652" s="31" t="n">
        <v>314.393552993981</v>
      </c>
      <c r="O652" s="95"/>
      <c r="P652" s="33" t="n">
        <v>36.2134040599816</v>
      </c>
      <c r="Q652" s="33" t="n">
        <v>7.9</v>
      </c>
      <c r="R652" s="31" t="n">
        <v>258.288279098235</v>
      </c>
      <c r="S652" s="34" t="s">
        <v>76</v>
      </c>
      <c r="T652" s="35"/>
      <c r="U652" s="35"/>
      <c r="V652" s="35" t="n">
        <v>20.3978267118088</v>
      </c>
      <c r="W652" s="35" t="n">
        <v>18.9166589229575</v>
      </c>
      <c r="X652" s="35" t="n">
        <v>3.2480880849876</v>
      </c>
      <c r="Y652" s="35" t="n">
        <v>6.4129452132811</v>
      </c>
      <c r="Z652" s="35"/>
      <c r="AA652" s="35" t="n">
        <v>0.738674740660217</v>
      </c>
      <c r="AB652" s="35" t="n">
        <v>0.161142831023289</v>
      </c>
      <c r="AC652" s="71" t="n">
        <v>5.2685195587371</v>
      </c>
      <c r="AD652" s="72"/>
      <c r="AE652" s="72"/>
      <c r="AF652" s="72"/>
      <c r="AG652" s="72"/>
      <c r="AH652" s="72"/>
      <c r="AI652" s="73" t="n">
        <v>24.7701554764711</v>
      </c>
      <c r="AJ652" s="42" t="s">
        <v>16</v>
      </c>
      <c r="AK652" s="43" t="n">
        <v>681.067807285096</v>
      </c>
      <c r="AL652" s="74"/>
      <c r="AM652" s="74"/>
      <c r="AN652" s="74"/>
      <c r="AO652" s="78" t="n">
        <v>19.8142857142857</v>
      </c>
      <c r="AP652" s="76" t="n">
        <v>0.883003280615432</v>
      </c>
      <c r="AQ652" s="76" t="n">
        <v>0.660476190476191</v>
      </c>
      <c r="AR652" s="76" t="n">
        <v>1.00250850340136</v>
      </c>
      <c r="AS652" s="77" t="n">
        <v>21.1707634949458</v>
      </c>
      <c r="AT652" s="78" t="n">
        <v>21.2720368845984</v>
      </c>
      <c r="AU652" s="78" t="n">
        <v>44.5639723454075</v>
      </c>
      <c r="AV652" s="78" t="n">
        <v>33.3333333333333</v>
      </c>
      <c r="AW652" s="78" t="n">
        <v>50.5952380952381</v>
      </c>
      <c r="AX652" s="78" t="n">
        <v>20.89</v>
      </c>
      <c r="AY652" s="48" t="n">
        <v>1.04285800566604</v>
      </c>
      <c r="AZ652" s="48" t="n">
        <v>21.075368786511</v>
      </c>
      <c r="BA652" s="48" t="n">
        <v>-0.677542074702277</v>
      </c>
      <c r="BB652" s="49" t="n">
        <f aca="false">AT652/V652</f>
        <v>1.04285800566604</v>
      </c>
      <c r="BC652" s="49" t="n">
        <f aca="false">AS652/V652</f>
        <v>1.03789309488984</v>
      </c>
      <c r="BD652" s="49" t="n">
        <f aca="false">SUM(AP652:AR652)/V652</f>
        <v>0.124816629264678</v>
      </c>
      <c r="BE652" s="53" t="n">
        <v>6.02</v>
      </c>
      <c r="BF652" s="51" t="n">
        <v>127.554853809944</v>
      </c>
      <c r="BG652" s="51" t="n">
        <v>634.884330622077</v>
      </c>
      <c r="BH652" s="51" t="n">
        <v>203.586796497617</v>
      </c>
      <c r="BI652" s="51" t="n">
        <v>114.545278040663</v>
      </c>
      <c r="BJ652" s="51" t="n">
        <v>8.28765542451579</v>
      </c>
      <c r="BK652" s="51" t="n">
        <v>14.6599250510734</v>
      </c>
      <c r="BL652" s="51" t="n">
        <v>16.2400647884019</v>
      </c>
      <c r="BM652" s="51" t="n">
        <v>7.79594957565289</v>
      </c>
      <c r="BN652" s="52" t="n">
        <f aca="false">(BG652*0.5-BH652*0.25+BI652*0.5)/SUM(BG652:BI652)*1000</f>
        <v>339.782299080654</v>
      </c>
      <c r="BO652" s="93" t="n">
        <v>5.4264</v>
      </c>
      <c r="BP652" s="94" t="s">
        <v>491</v>
      </c>
      <c r="BQ652" s="55" t="n">
        <v>430.84375</v>
      </c>
      <c r="BR652" s="56" t="n">
        <v>21.1220418766758</v>
      </c>
      <c r="BS652" s="56"/>
      <c r="BT652" s="56" t="n">
        <v>20.2539960012924</v>
      </c>
      <c r="BU652" s="55" t="n">
        <v>11444.78125</v>
      </c>
      <c r="BV652" s="55" t="n">
        <v>561.078462509654</v>
      </c>
      <c r="BW652" s="55"/>
      <c r="BX652" s="55" t="n">
        <v>538.019998371024</v>
      </c>
      <c r="BY652" s="96" t="n">
        <v>0.0618</v>
      </c>
      <c r="BZ652" s="96" t="n">
        <v>0.8327</v>
      </c>
      <c r="CA652" s="97" t="n">
        <v>4.19</v>
      </c>
      <c r="CB652" s="97"/>
      <c r="CC652" s="97" t="n">
        <v>5.85</v>
      </c>
      <c r="CD652" s="97" t="n">
        <v>5.36</v>
      </c>
      <c r="CE652" s="97" t="n">
        <v>85.85</v>
      </c>
      <c r="CF652" s="97" t="n">
        <v>35.94</v>
      </c>
      <c r="CG652" s="97" t="n">
        <v>0.0604</v>
      </c>
      <c r="CH652" s="63" t="n">
        <v>35008.2093937432</v>
      </c>
      <c r="CI652" s="63" t="n">
        <v>7272.38813833996</v>
      </c>
      <c r="CJ652" s="64" t="n">
        <v>3982903.1939601</v>
      </c>
      <c r="CK652" s="65" t="n">
        <v>0.18259013046986</v>
      </c>
    </row>
    <row r="653" s="1" customFormat="true" ht="15" hidden="false" customHeight="false" outlineLevel="0" collapsed="false">
      <c r="A653" s="7" t="s">
        <v>488</v>
      </c>
      <c r="B653" s="66" t="n">
        <v>644</v>
      </c>
      <c r="C653" s="8" t="s">
        <v>736</v>
      </c>
      <c r="D653" s="67" t="n">
        <v>41963</v>
      </c>
      <c r="E653" s="4" t="s">
        <v>583</v>
      </c>
      <c r="F653" s="7" t="n">
        <v>2062</v>
      </c>
      <c r="G653" s="68" t="n">
        <v>1</v>
      </c>
      <c r="H653" s="68" t="n">
        <v>192</v>
      </c>
      <c r="I653" s="7" t="n">
        <v>1</v>
      </c>
      <c r="J653" s="8" t="n">
        <v>640</v>
      </c>
      <c r="K653" s="32"/>
      <c r="L653" s="31" t="n">
        <v>927.386</v>
      </c>
      <c r="M653" s="31" t="n">
        <v>159.236968275018</v>
      </c>
      <c r="N653" s="31" t="n">
        <v>314.393552993981</v>
      </c>
      <c r="O653" s="95"/>
      <c r="P653" s="33" t="n">
        <v>36.2134040599816</v>
      </c>
      <c r="Q653" s="33" t="n">
        <v>7.9</v>
      </c>
      <c r="R653" s="31" t="n">
        <v>258.288279098235</v>
      </c>
      <c r="S653" s="34" t="s">
        <v>76</v>
      </c>
      <c r="T653" s="35"/>
      <c r="U653" s="35"/>
      <c r="V653" s="35" t="n">
        <v>18.4625021082029</v>
      </c>
      <c r="W653" s="35" t="n">
        <v>17.1218659801178</v>
      </c>
      <c r="X653" s="35" t="n">
        <v>2.93991286248135</v>
      </c>
      <c r="Y653" s="35" t="n">
        <v>5.80449163495678</v>
      </c>
      <c r="Z653" s="35"/>
      <c r="AA653" s="35" t="n">
        <v>0.668590048802614</v>
      </c>
      <c r="AB653" s="35" t="n">
        <v>0.145853766654803</v>
      </c>
      <c r="AC653" s="71" t="n">
        <v>4.76864789737526</v>
      </c>
      <c r="AD653" s="72"/>
      <c r="AE653" s="72"/>
      <c r="AF653" s="72"/>
      <c r="AG653" s="72"/>
      <c r="AH653" s="72"/>
      <c r="AI653" s="73" t="n">
        <v>23.8089945626652</v>
      </c>
      <c r="AJ653" s="42" t="s">
        <v>16</v>
      </c>
      <c r="AK653" s="43" t="n">
        <v>668.19262446353</v>
      </c>
      <c r="AL653" s="74"/>
      <c r="AM653" s="74"/>
      <c r="AN653" s="74"/>
      <c r="AO653" s="78" t="n">
        <v>20.7428571428571</v>
      </c>
      <c r="AP653" s="76" t="n">
        <v>0.781919398355767</v>
      </c>
      <c r="AQ653" s="76" t="n">
        <v>0.738044564764681</v>
      </c>
      <c r="AR653" s="76" t="n">
        <v>1.02807163681799</v>
      </c>
      <c r="AS653" s="77" t="n">
        <v>20.0259338324794</v>
      </c>
      <c r="AT653" s="78" t="n">
        <v>20.7776667006872</v>
      </c>
      <c r="AU653" s="78" t="n">
        <v>37.6958387637078</v>
      </c>
      <c r="AV653" s="78" t="n">
        <v>35.5806608357629</v>
      </c>
      <c r="AW653" s="78" t="n">
        <v>49.5626822157434</v>
      </c>
      <c r="AX653" s="78" t="n">
        <v>20.9475</v>
      </c>
      <c r="AY653" s="48" t="n">
        <v>1.12539820328338</v>
      </c>
      <c r="AZ653" s="48" t="n">
        <v>19.7163579693689</v>
      </c>
      <c r="BA653" s="48" t="n">
        <v>-1.25385586116597</v>
      </c>
      <c r="BB653" s="49" t="n">
        <f aca="false">AT653/V653</f>
        <v>1.12539820328338</v>
      </c>
      <c r="BC653" s="49" t="n">
        <f aca="false">AS653/V653</f>
        <v>1.08468146490187</v>
      </c>
      <c r="BD653" s="49" t="n">
        <f aca="false">SUM(AP653:AR653)/V653</f>
        <v>0.138011391143259</v>
      </c>
      <c r="BE653" s="53" t="n">
        <v>6.69</v>
      </c>
      <c r="BF653" s="51" t="n">
        <v>107.697146417516</v>
      </c>
      <c r="BG653" s="51" t="n">
        <v>607.096095114684</v>
      </c>
      <c r="BH653" s="51" t="n">
        <v>199.044269978437</v>
      </c>
      <c r="BI653" s="51" t="n">
        <v>143.636051443252</v>
      </c>
      <c r="BJ653" s="51" t="n">
        <v>9.36488131729153</v>
      </c>
      <c r="BK653" s="51" t="n">
        <v>15.2826590778252</v>
      </c>
      <c r="BL653" s="51" t="n">
        <v>18.4266762707839</v>
      </c>
      <c r="BM653" s="51" t="n">
        <v>7.1493667977273</v>
      </c>
      <c r="BN653" s="52" t="n">
        <f aca="false">(BG653*0.5-BH653*0.25+BI653*0.5)/SUM(BG653:BI653)*1000</f>
        <v>342.822795044511</v>
      </c>
      <c r="BO653" s="93" t="n">
        <v>6.68304</v>
      </c>
      <c r="BP653" s="94" t="s">
        <v>491</v>
      </c>
      <c r="BQ653" s="55" t="n">
        <v>336.383333333333</v>
      </c>
      <c r="BR653" s="56" t="n">
        <v>18.2198128597032</v>
      </c>
      <c r="BS653" s="56"/>
      <c r="BT653" s="56" t="n">
        <v>16.1896587417204</v>
      </c>
      <c r="BU653" s="55" t="n">
        <v>11337.7575757576</v>
      </c>
      <c r="BV653" s="55" t="n">
        <v>614.096481035483</v>
      </c>
      <c r="BW653" s="55"/>
      <c r="BX653" s="55" t="n">
        <v>545.670394038161</v>
      </c>
      <c r="BY653" s="96" t="n">
        <v>0.06283</v>
      </c>
      <c r="BZ653" s="96" t="n">
        <v>0.9339</v>
      </c>
      <c r="CA653" s="97" t="n">
        <v>4.04</v>
      </c>
      <c r="CB653" s="97"/>
      <c r="CC653" s="97" t="n">
        <v>5.89</v>
      </c>
      <c r="CD653" s="97" t="n">
        <v>3.82</v>
      </c>
      <c r="CE653" s="97" t="n">
        <v>79.79</v>
      </c>
      <c r="CF653" s="97" t="n">
        <v>33.17</v>
      </c>
      <c r="CG653" s="97" t="n">
        <v>0.0708</v>
      </c>
      <c r="CH653" s="63"/>
      <c r="CI653" s="63"/>
      <c r="CJ653" s="64"/>
      <c r="CK653" s="65"/>
    </row>
    <row r="654" s="1" customFormat="true" ht="15" hidden="false" customHeight="false" outlineLevel="0" collapsed="false">
      <c r="A654" s="7" t="s">
        <v>488</v>
      </c>
      <c r="B654" s="66" t="n">
        <v>645</v>
      </c>
      <c r="C654" s="8" t="s">
        <v>737</v>
      </c>
      <c r="D654" s="67" t="n">
        <v>41963</v>
      </c>
      <c r="E654" s="4" t="s">
        <v>583</v>
      </c>
      <c r="F654" s="7" t="n">
        <v>2123</v>
      </c>
      <c r="G654" s="68" t="n">
        <v>1</v>
      </c>
      <c r="H654" s="68" t="n">
        <v>122</v>
      </c>
      <c r="I654" s="7" t="n">
        <v>1</v>
      </c>
      <c r="J654" s="8" t="n">
        <v>650</v>
      </c>
      <c r="K654" s="32"/>
      <c r="L654" s="31" t="n">
        <v>927.386</v>
      </c>
      <c r="M654" s="31" t="n">
        <v>159.236968275018</v>
      </c>
      <c r="N654" s="31" t="n">
        <v>314.393552993981</v>
      </c>
      <c r="O654" s="95"/>
      <c r="P654" s="33" t="n">
        <v>36.2134040599816</v>
      </c>
      <c r="Q654" s="33" t="n">
        <v>7.9</v>
      </c>
      <c r="R654" s="31" t="n">
        <v>258.288279098235</v>
      </c>
      <c r="S654" s="34" t="s">
        <v>76</v>
      </c>
      <c r="T654" s="35"/>
      <c r="U654" s="35"/>
      <c r="V654" s="35" t="n">
        <v>20.4009273023503</v>
      </c>
      <c r="W654" s="35" t="n">
        <v>18.9195343672174</v>
      </c>
      <c r="X654" s="35" t="n">
        <v>3.2485818136253</v>
      </c>
      <c r="Y654" s="35" t="n">
        <v>6.41392001895782</v>
      </c>
      <c r="Z654" s="35"/>
      <c r="AA654" s="35" t="n">
        <v>0.738787023598322</v>
      </c>
      <c r="AB654" s="35" t="n">
        <v>0.161167325688567</v>
      </c>
      <c r="AC654" s="71" t="n">
        <v>5.26932040493225</v>
      </c>
      <c r="AD654" s="72"/>
      <c r="AE654" s="72"/>
      <c r="AF654" s="72"/>
      <c r="AG654" s="72"/>
      <c r="AH654" s="72"/>
      <c r="AI654" s="73" t="n">
        <v>22.1870927829418</v>
      </c>
      <c r="AJ654" s="42" t="s">
        <v>16</v>
      </c>
      <c r="AK654" s="43" t="n">
        <v>643.937126991518</v>
      </c>
      <c r="AL654" s="74"/>
      <c r="AM654" s="74"/>
      <c r="AN654" s="74"/>
      <c r="AO654" s="78" t="n">
        <v>37.1714285714286</v>
      </c>
      <c r="AP654" s="76" t="n">
        <v>1.25832482970212</v>
      </c>
      <c r="AQ654" s="76" t="n">
        <v>1.22595272802999</v>
      </c>
      <c r="AR654" s="76" t="n">
        <v>1.8581198806053</v>
      </c>
      <c r="AS654" s="77" t="n">
        <v>33.7434438741032</v>
      </c>
      <c r="AT654" s="78" t="n">
        <v>34.8295058575023</v>
      </c>
      <c r="AU654" s="78" t="n">
        <v>33.8519362333391</v>
      </c>
      <c r="AV654" s="78" t="n">
        <v>32.9810495626822</v>
      </c>
      <c r="AW654" s="78" t="n">
        <v>49.9878522837707</v>
      </c>
      <c r="AX654" s="78" t="n">
        <v>19.23125</v>
      </c>
      <c r="AY654" s="48" t="n">
        <v>1.70725111370255</v>
      </c>
      <c r="AZ654" s="48" t="n">
        <v>24.5783795752552</v>
      </c>
      <c r="BA654" s="48" t="n">
        <v>-4.17745227290494</v>
      </c>
      <c r="BB654" s="49" t="n">
        <f aca="false">AT654/V654</f>
        <v>1.70725111370255</v>
      </c>
      <c r="BC654" s="49" t="n">
        <f aca="false">AS654/V654</f>
        <v>1.6540152010745</v>
      </c>
      <c r="BD654" s="49" t="n">
        <f aca="false">SUM(AP654:AR654)/V654</f>
        <v>0.212852944083436</v>
      </c>
      <c r="BE654" s="53" t="n">
        <v>6.58</v>
      </c>
      <c r="BF654" s="51" t="n">
        <v>101.482312320666</v>
      </c>
      <c r="BG654" s="51" t="n">
        <v>599.181108737195</v>
      </c>
      <c r="BH654" s="51" t="n">
        <v>237.788397359417</v>
      </c>
      <c r="BI654" s="51" t="n">
        <v>110.746420285877</v>
      </c>
      <c r="BJ654" s="51" t="n">
        <v>10.041499945829</v>
      </c>
      <c r="BK654" s="51" t="n">
        <v>15.1209801534995</v>
      </c>
      <c r="BL654" s="51" t="n">
        <v>22.9668354900342</v>
      </c>
      <c r="BM654" s="51" t="n">
        <v>4.15475802814776</v>
      </c>
      <c r="BN654" s="52" t="n">
        <f aca="false">(BG654*0.5-BH654*0.25+BI654*0.5)/SUM(BG654:BI654)*1000</f>
        <v>311.819878663107</v>
      </c>
      <c r="BO654" s="93" t="n">
        <v>4.25544</v>
      </c>
      <c r="BP654" s="94" t="s">
        <v>491</v>
      </c>
      <c r="BQ654" s="55" t="n">
        <v>402.731481481481</v>
      </c>
      <c r="BR654" s="56" t="n">
        <v>19.7408419486444</v>
      </c>
      <c r="BS654" s="56"/>
      <c r="BT654" s="56" t="n">
        <v>11.5629398570618</v>
      </c>
      <c r="BU654" s="55" t="n">
        <v>12501.7037037037</v>
      </c>
      <c r="BV654" s="55" t="n">
        <v>612.800757456915</v>
      </c>
      <c r="BW654" s="55"/>
      <c r="BX654" s="55" t="n">
        <v>358.940025013614</v>
      </c>
      <c r="BY654" s="96" t="n">
        <v>0.06798</v>
      </c>
      <c r="BZ654" s="96" t="n">
        <v>0.8459</v>
      </c>
      <c r="CA654" s="97" t="n">
        <v>3.65</v>
      </c>
      <c r="CB654" s="97"/>
      <c r="CC654" s="97" t="n">
        <v>7.4</v>
      </c>
      <c r="CD654" s="97" t="n">
        <v>6.66</v>
      </c>
      <c r="CE654" s="97" t="n">
        <v>90.9</v>
      </c>
      <c r="CF654" s="97" t="n">
        <v>37.08</v>
      </c>
      <c r="CG654" s="97" t="n">
        <v>0.0708</v>
      </c>
      <c r="CH654" s="63" t="n">
        <v>80471.1482118152</v>
      </c>
      <c r="CI654" s="63" t="n">
        <v>3812.63267240458</v>
      </c>
      <c r="CJ654" s="64" t="n">
        <v>1632309.22431505</v>
      </c>
      <c r="CK654" s="65" t="n">
        <v>0.233572941671296</v>
      </c>
    </row>
    <row r="655" s="1" customFormat="true" ht="15" hidden="false" customHeight="false" outlineLevel="0" collapsed="false">
      <c r="A655" s="7" t="s">
        <v>488</v>
      </c>
      <c r="B655" s="66" t="n">
        <v>646</v>
      </c>
      <c r="C655" s="8" t="s">
        <v>738</v>
      </c>
      <c r="D655" s="67" t="n">
        <v>41991</v>
      </c>
      <c r="E655" s="4" t="s">
        <v>490</v>
      </c>
      <c r="F655" s="7" t="n">
        <v>4</v>
      </c>
      <c r="G655" s="68" t="n">
        <v>1</v>
      </c>
      <c r="H655" s="68" t="n">
        <v>174</v>
      </c>
      <c r="I655" s="7" t="n">
        <v>5</v>
      </c>
      <c r="J655" s="8" t="n">
        <v>771</v>
      </c>
      <c r="K655" s="32"/>
      <c r="L655" s="31" t="n">
        <v>930.928</v>
      </c>
      <c r="M655" s="31" t="n">
        <v>161.175150464144</v>
      </c>
      <c r="N655" s="31" t="n">
        <v>319.596042027951</v>
      </c>
      <c r="O655" s="95"/>
      <c r="P655" s="33" t="n">
        <v>38.4576150158115</v>
      </c>
      <c r="Q655" s="33" t="n">
        <v>8.6</v>
      </c>
      <c r="R655" s="31" t="n">
        <v>256.146077731307</v>
      </c>
      <c r="S655" s="34" t="s">
        <v>76</v>
      </c>
      <c r="T655" s="35"/>
      <c r="U655" s="35"/>
      <c r="V655" s="35" t="n">
        <v>34.2246371921383</v>
      </c>
      <c r="W655" s="35" t="n">
        <v>31.8606730520029</v>
      </c>
      <c r="X655" s="35" t="n">
        <v>5.51616104902362</v>
      </c>
      <c r="Y655" s="35" t="n">
        <v>10.93805858645</v>
      </c>
      <c r="Z655" s="35"/>
      <c r="AA655" s="35" t="n">
        <v>1.31619792119108</v>
      </c>
      <c r="AB655" s="35" t="n">
        <v>0.294331879852389</v>
      </c>
      <c r="AC655" s="71" t="n">
        <v>8.76650657854323</v>
      </c>
      <c r="AD655" s="72"/>
      <c r="AE655" s="72"/>
      <c r="AF655" s="72"/>
      <c r="AG655" s="72"/>
      <c r="AH655" s="72"/>
      <c r="AI655" s="73" t="n">
        <v>21.2903385312254</v>
      </c>
      <c r="AJ655" s="42" t="s">
        <v>16</v>
      </c>
      <c r="AK655" s="43" t="n">
        <v>596.060908689318</v>
      </c>
      <c r="AL655" s="74"/>
      <c r="AM655" s="74"/>
      <c r="AN655" s="74"/>
      <c r="AO655" s="78" t="n">
        <v>45.8857142857143</v>
      </c>
      <c r="AP655" s="76" t="n">
        <v>1.47384507998211</v>
      </c>
      <c r="AQ655" s="76" t="n">
        <v>1.35672775232542</v>
      </c>
      <c r="AR655" s="76" t="n">
        <v>2.17054144106622</v>
      </c>
      <c r="AS655" s="77" t="n">
        <v>40.4619619140173</v>
      </c>
      <c r="AT655" s="78" t="n">
        <v>40.1693209842482</v>
      </c>
      <c r="AU655" s="78" t="n">
        <v>32.1199114566461</v>
      </c>
      <c r="AV655" s="78" t="n">
        <v>29.5675413022352</v>
      </c>
      <c r="AW655" s="78" t="n">
        <v>47.3032069970846</v>
      </c>
      <c r="AX655" s="78" t="n">
        <v>26.2675</v>
      </c>
      <c r="AY655" s="48" t="n">
        <v>1.17369603536588</v>
      </c>
      <c r="AZ655" s="48" t="n">
        <v>29.0930568704686</v>
      </c>
      <c r="BA655" s="48" t="n">
        <v>5.13158032166968</v>
      </c>
      <c r="BB655" s="49" t="n">
        <f aca="false">AT655/V655</f>
        <v>1.17369603536588</v>
      </c>
      <c r="BC655" s="49" t="n">
        <f aca="false">AS655/V655</f>
        <v>1.18224662797336</v>
      </c>
      <c r="BD655" s="49" t="n">
        <f aca="false">SUM(AP655:AR655)/V655</f>
        <v>0.146126144312278</v>
      </c>
      <c r="BE655" s="53" t="n">
        <v>6.17</v>
      </c>
      <c r="BF655" s="51" t="n">
        <v>115.86</v>
      </c>
      <c r="BG655" s="51" t="n">
        <v>649.663386846194</v>
      </c>
      <c r="BH655" s="51" t="n">
        <v>195.839806663214</v>
      </c>
      <c r="BI655" s="51" t="n">
        <v>122.04384602106</v>
      </c>
      <c r="BJ655" s="51" t="n">
        <v>5.69653029518384</v>
      </c>
      <c r="BK655" s="51" t="n">
        <v>10.7025720697393</v>
      </c>
      <c r="BL655" s="51" t="n">
        <v>11.3067495252891</v>
      </c>
      <c r="BM655" s="51" t="n">
        <v>4.74710857931987</v>
      </c>
      <c r="BN655" s="52" t="n">
        <f aca="false">(BG655*0.5-BH655*0.25+BI655*0.5)/SUM(BG655:BI655)*1000</f>
        <v>348.193577163247</v>
      </c>
      <c r="BO655" s="93" t="n">
        <v>7.39704</v>
      </c>
      <c r="BP655" s="94" t="s">
        <v>491</v>
      </c>
      <c r="BQ655" s="55" t="n">
        <v>446.322829131653</v>
      </c>
      <c r="BR655" s="56" t="n">
        <v>13.0409805844246</v>
      </c>
      <c r="BS655" s="56"/>
      <c r="BT655" s="56" t="n">
        <v>11.1110374334351</v>
      </c>
      <c r="BU655" s="55" t="n">
        <v>13704.2362745098</v>
      </c>
      <c r="BV655" s="55" t="n">
        <v>400.420205992944</v>
      </c>
      <c r="BW655" s="55"/>
      <c r="BX655" s="55" t="n">
        <v>341.161760734858</v>
      </c>
      <c r="BY655" s="96" t="n">
        <v>0.11124</v>
      </c>
      <c r="BZ655" s="96" t="n">
        <v>1.0824</v>
      </c>
      <c r="CA655" s="97" t="n">
        <v>4.52</v>
      </c>
      <c r="CB655" s="97"/>
      <c r="CC655" s="97" t="n">
        <v>6.13</v>
      </c>
      <c r="CD655" s="97" t="n">
        <v>6.47</v>
      </c>
      <c r="CE655" s="97" t="n">
        <v>79.79</v>
      </c>
      <c r="CF655" s="97" t="n">
        <v>36.15</v>
      </c>
      <c r="CG655" s="97" t="n">
        <v>0.3308</v>
      </c>
      <c r="CH655" s="63" t="n">
        <v>62945.4405063072</v>
      </c>
      <c r="CI655" s="63" t="n">
        <v>6456.92102484453</v>
      </c>
      <c r="CJ655" s="64" t="n">
        <v>1770875.28102746</v>
      </c>
      <c r="CK655" s="65" t="n">
        <v>0.364617491362702</v>
      </c>
    </row>
    <row r="656" s="1" customFormat="true" ht="15" hidden="false" customHeight="false" outlineLevel="0" collapsed="false">
      <c r="A656" s="7" t="s">
        <v>488</v>
      </c>
      <c r="B656" s="66" t="n">
        <v>647</v>
      </c>
      <c r="C656" s="8" t="s">
        <v>739</v>
      </c>
      <c r="D656" s="67" t="n">
        <v>41991</v>
      </c>
      <c r="E656" s="4" t="s">
        <v>490</v>
      </c>
      <c r="F656" s="7" t="n">
        <v>22</v>
      </c>
      <c r="G656" s="68" t="n">
        <v>1</v>
      </c>
      <c r="H656" s="68" t="n">
        <v>130</v>
      </c>
      <c r="I656" s="7" t="n">
        <v>5</v>
      </c>
      <c r="J656" s="8" t="n">
        <v>833</v>
      </c>
      <c r="K656" s="32"/>
      <c r="L656" s="31" t="n">
        <v>930.928</v>
      </c>
      <c r="M656" s="31" t="n">
        <v>161.175150464144</v>
      </c>
      <c r="N656" s="31" t="n">
        <v>319.596042027951</v>
      </c>
      <c r="O656" s="95"/>
      <c r="P656" s="33" t="n">
        <v>38.4576150158115</v>
      </c>
      <c r="Q656" s="33" t="n">
        <v>8.6</v>
      </c>
      <c r="R656" s="31" t="n">
        <v>256.146077731307</v>
      </c>
      <c r="S656" s="34" t="s">
        <v>76</v>
      </c>
      <c r="T656" s="35"/>
      <c r="U656" s="35"/>
      <c r="V656" s="35" t="n">
        <v>22.2779684405118</v>
      </c>
      <c r="W656" s="35" t="n">
        <v>20.7391846043888</v>
      </c>
      <c r="X656" s="35" t="n">
        <v>3.59065491543494</v>
      </c>
      <c r="Y656" s="35" t="n">
        <v>7.11995053801118</v>
      </c>
      <c r="Z656" s="35"/>
      <c r="AA656" s="35" t="n">
        <v>0.856757533619602</v>
      </c>
      <c r="AB656" s="35" t="n">
        <v>0.191590528588402</v>
      </c>
      <c r="AC656" s="71" t="n">
        <v>5.70641423585894</v>
      </c>
      <c r="AD656" s="72"/>
      <c r="AE656" s="72"/>
      <c r="AF656" s="72"/>
      <c r="AG656" s="72"/>
      <c r="AH656" s="72"/>
      <c r="AI656" s="73" t="n">
        <v>26.3173421049333</v>
      </c>
      <c r="AJ656" s="42" t="s">
        <v>16</v>
      </c>
      <c r="AK656" s="43" t="n">
        <v>673.21928005838</v>
      </c>
      <c r="AL656" s="74"/>
      <c r="AM656" s="74"/>
      <c r="AN656" s="74"/>
      <c r="AO656" s="78" t="n">
        <v>36.0857142857143</v>
      </c>
      <c r="AP656" s="76" t="n">
        <v>1.35586239111071</v>
      </c>
      <c r="AQ656" s="76" t="n">
        <v>1.2037338608913</v>
      </c>
      <c r="AR656" s="76" t="n">
        <v>1.7639566847147</v>
      </c>
      <c r="AS656" s="77" t="n">
        <v>34.7722215809463</v>
      </c>
      <c r="AT656" s="78" t="n">
        <v>35.3448111031862</v>
      </c>
      <c r="AU656" s="78" t="n">
        <v>37.5733837599958</v>
      </c>
      <c r="AV656" s="78" t="n">
        <v>33.357628765792</v>
      </c>
      <c r="AW656" s="78" t="n">
        <v>48.8824101068999</v>
      </c>
      <c r="AX656" s="78" t="n">
        <v>22.175</v>
      </c>
      <c r="AY656" s="48" t="n">
        <v>1.58653654607539</v>
      </c>
      <c r="AZ656" s="48" t="n">
        <v>27.5539446432947</v>
      </c>
      <c r="BA656" s="48" t="n">
        <v>-5.27597620278288</v>
      </c>
      <c r="BB656" s="49" t="n">
        <f aca="false">AT656/V656</f>
        <v>1.58653654607539</v>
      </c>
      <c r="BC656" s="49" t="n">
        <f aca="false">AS656/V656</f>
        <v>1.56083449322578</v>
      </c>
      <c r="BD656" s="49" t="n">
        <f aca="false">SUM(AP656:AR656)/V656</f>
        <v>0.194073034453826</v>
      </c>
      <c r="BE656" s="53" t="n">
        <v>6.4</v>
      </c>
      <c r="BF656" s="51" t="n">
        <v>105.22</v>
      </c>
      <c r="BG656" s="51" t="n">
        <v>636.000760311728</v>
      </c>
      <c r="BH656" s="51" t="n">
        <v>171.925489450675</v>
      </c>
      <c r="BI656" s="51" t="n">
        <v>150.256605208135</v>
      </c>
      <c r="BJ656" s="51" t="n">
        <v>8.74358486979662</v>
      </c>
      <c r="BK656" s="51" t="n">
        <v>11.9749097129823</v>
      </c>
      <c r="BL656" s="51" t="n">
        <v>19.1978711271621</v>
      </c>
      <c r="BM656" s="51" t="n">
        <v>1.900779319521</v>
      </c>
      <c r="BN656" s="52" t="n">
        <f aca="false">(BG656*0.5-BH656*0.25+BI656*0.5)/SUM(BG656:BI656)*1000</f>
        <v>365.428486411426</v>
      </c>
      <c r="BO656" s="93" t="n">
        <v>6.81942857142857</v>
      </c>
      <c r="BP656" s="94" t="s">
        <v>491</v>
      </c>
      <c r="BQ656" s="55" t="n">
        <v>397.486666666667</v>
      </c>
      <c r="BR656" s="56" t="n">
        <v>17.8421415636737</v>
      </c>
      <c r="BS656" s="56"/>
      <c r="BT656" s="56" t="n">
        <v>11.2459694721875</v>
      </c>
      <c r="BU656" s="55" t="n">
        <v>13161.7066666667</v>
      </c>
      <c r="BV656" s="55" t="n">
        <v>590.794744225084</v>
      </c>
      <c r="BW656" s="55"/>
      <c r="BX656" s="55" t="n">
        <v>372.380167155008</v>
      </c>
      <c r="BY656" s="96" t="n">
        <v>0.07725</v>
      </c>
      <c r="BZ656" s="96" t="n">
        <v>0.6732</v>
      </c>
      <c r="CA656" s="97" t="n">
        <v>4.11</v>
      </c>
      <c r="CB656" s="97"/>
      <c r="CC656" s="97" t="n">
        <v>5.7</v>
      </c>
      <c r="CD656" s="97" t="n">
        <v>4.04</v>
      </c>
      <c r="CE656" s="97" t="n">
        <v>83.83</v>
      </c>
      <c r="CF656" s="97" t="n">
        <v>31.27</v>
      </c>
      <c r="CG656" s="97" t="n">
        <v>0.8196</v>
      </c>
      <c r="CH656" s="63" t="n">
        <v>47811.6901969848</v>
      </c>
      <c r="CI656" s="63" t="n">
        <v>4868.35752072975</v>
      </c>
      <c r="CJ656" s="64" t="n">
        <v>708070.869767995</v>
      </c>
      <c r="CK656" s="65" t="n">
        <v>0.687552295764533</v>
      </c>
    </row>
    <row r="657" s="1" customFormat="true" ht="15" hidden="false" customHeight="false" outlineLevel="0" collapsed="false">
      <c r="A657" s="7" t="s">
        <v>488</v>
      </c>
      <c r="B657" s="66" t="n">
        <v>648</v>
      </c>
      <c r="C657" s="8" t="s">
        <v>740</v>
      </c>
      <c r="D657" s="67" t="n">
        <v>41991</v>
      </c>
      <c r="E657" s="4" t="s">
        <v>490</v>
      </c>
      <c r="F657" s="7" t="n">
        <v>102</v>
      </c>
      <c r="G657" s="68" t="n">
        <v>1</v>
      </c>
      <c r="H657" s="68" t="n">
        <v>259</v>
      </c>
      <c r="I657" s="7" t="n">
        <v>3</v>
      </c>
      <c r="J657" s="8" t="n">
        <v>740</v>
      </c>
      <c r="K657" s="32"/>
      <c r="L657" s="31" t="n">
        <v>930.928</v>
      </c>
      <c r="M657" s="31" t="n">
        <v>161.175150464144</v>
      </c>
      <c r="N657" s="31" t="n">
        <v>319.596042027951</v>
      </c>
      <c r="O657" s="95"/>
      <c r="P657" s="33" t="n">
        <v>38.4576150158115</v>
      </c>
      <c r="Q657" s="33" t="n">
        <v>8.6</v>
      </c>
      <c r="R657" s="31" t="n">
        <v>256.146077731307</v>
      </c>
      <c r="S657" s="34" t="s">
        <v>76</v>
      </c>
      <c r="T657" s="35"/>
      <c r="U657" s="35"/>
      <c r="V657" s="35" t="n">
        <v>21.5774259699899</v>
      </c>
      <c r="W657" s="35" t="n">
        <v>20.0870300033908</v>
      </c>
      <c r="X657" s="35" t="n">
        <v>3.47774487734205</v>
      </c>
      <c r="Y657" s="35" t="n">
        <v>6.8960599371599</v>
      </c>
      <c r="Z657" s="35"/>
      <c r="AA657" s="35" t="n">
        <v>0.829816340986046</v>
      </c>
      <c r="AB657" s="35" t="n">
        <v>0.185565863341914</v>
      </c>
      <c r="AC657" s="71" t="n">
        <v>5.52697302975056</v>
      </c>
      <c r="AD657" s="72"/>
      <c r="AE657" s="72"/>
      <c r="AF657" s="72"/>
      <c r="AG657" s="72"/>
      <c r="AH657" s="72"/>
      <c r="AI657" s="73" t="n">
        <v>25.8534128499906</v>
      </c>
      <c r="AJ657" s="42" t="s">
        <v>16</v>
      </c>
      <c r="AK657" s="43" t="n">
        <v>667.355329453027</v>
      </c>
      <c r="AL657" s="74"/>
      <c r="AM657" s="74"/>
      <c r="AN657" s="74"/>
      <c r="AO657" s="78" t="n">
        <v>32.3285714285714</v>
      </c>
      <c r="AP657" s="76" t="n">
        <v>1.36761822404507</v>
      </c>
      <c r="AQ657" s="76" t="n">
        <v>1.17344231570179</v>
      </c>
      <c r="AR657" s="76" t="n">
        <v>1.54888102179647</v>
      </c>
      <c r="AS657" s="77" t="n">
        <v>33.4457019321046</v>
      </c>
      <c r="AT657" s="78" t="n">
        <v>34.0970622770683</v>
      </c>
      <c r="AU657" s="78" t="n">
        <v>42.3037011414735</v>
      </c>
      <c r="AV657" s="78" t="n">
        <v>36.2973760932945</v>
      </c>
      <c r="AW657" s="78" t="n">
        <v>47.910592808552</v>
      </c>
      <c r="AX657" s="78" t="n">
        <v>28.715</v>
      </c>
      <c r="AY657" s="48" t="n">
        <v>1.58021917556296</v>
      </c>
      <c r="AZ657" s="48" t="n">
        <v>26.1652347544165</v>
      </c>
      <c r="BA657" s="48" t="n">
        <v>-4.5878087844266</v>
      </c>
      <c r="BB657" s="49" t="n">
        <f aca="false">AT657/V657</f>
        <v>1.58021917556296</v>
      </c>
      <c r="BC657" s="49" t="n">
        <f aca="false">AS657/V657</f>
        <v>1.55003205565952</v>
      </c>
      <c r="BD657" s="49" t="n">
        <f aca="false">SUM(AP657:AR657)/V657</f>
        <v>0.189547241048661</v>
      </c>
      <c r="BE657" s="53" t="n">
        <v>6.8</v>
      </c>
      <c r="BF657" s="51" t="n">
        <v>94.86</v>
      </c>
      <c r="BG657" s="51" t="n">
        <v>613.324899852414</v>
      </c>
      <c r="BH657" s="51" t="n">
        <v>201.560193970061</v>
      </c>
      <c r="BI657" s="51" t="n">
        <v>142.420409023825</v>
      </c>
      <c r="BJ657" s="51" t="n">
        <v>7.59013282732448</v>
      </c>
      <c r="BK657" s="51" t="n">
        <v>14.336917562724</v>
      </c>
      <c r="BL657" s="51" t="n">
        <v>14.9694286316677</v>
      </c>
      <c r="BM657" s="51" t="n">
        <v>5.79801813198398</v>
      </c>
      <c r="BN657" s="52" t="n">
        <f aca="false">(BG657*0.5-BH657*0.25+BI657*0.5)/SUM(BG657:BI657)*1000</f>
        <v>342.087875784605</v>
      </c>
      <c r="BO657" s="93" t="n">
        <v>7.81028571428571</v>
      </c>
      <c r="BP657" s="94" t="s">
        <v>491</v>
      </c>
      <c r="BQ657" s="55" t="n">
        <v>453.848245614035</v>
      </c>
      <c r="BR657" s="56" t="n">
        <v>21.0334748104455</v>
      </c>
      <c r="BS657" s="56"/>
      <c r="BT657" s="56" t="n">
        <v>13.3104794168519</v>
      </c>
      <c r="BU657" s="55" t="n">
        <v>14687.6368421053</v>
      </c>
      <c r="BV657" s="55" t="n">
        <v>680.694576940408</v>
      </c>
      <c r="BW657" s="55"/>
      <c r="BX657" s="55" t="n">
        <v>430.759598077847</v>
      </c>
      <c r="BY657" s="96" t="n">
        <v>0.05562</v>
      </c>
      <c r="BZ657" s="96" t="n">
        <v>1.1616</v>
      </c>
      <c r="CA657" s="97" t="n">
        <v>4.05</v>
      </c>
      <c r="CB657" s="97"/>
      <c r="CC657" s="97" t="n">
        <v>8.29</v>
      </c>
      <c r="CD657" s="97" t="n">
        <v>6.21</v>
      </c>
      <c r="CE657" s="97" t="n">
        <v>90.9</v>
      </c>
      <c r="CF657" s="97" t="n">
        <v>36.41</v>
      </c>
      <c r="CG657" s="97" t="n">
        <v>0.0084</v>
      </c>
      <c r="CH657" s="63" t="n">
        <v>81421.6821326176</v>
      </c>
      <c r="CI657" s="63" t="n">
        <v>2424.33999510783</v>
      </c>
      <c r="CJ657" s="64" t="n">
        <v>1540768.13823498</v>
      </c>
      <c r="CK657" s="65" t="n">
        <v>0.157346192132777</v>
      </c>
    </row>
    <row r="658" s="1" customFormat="true" ht="15" hidden="false" customHeight="false" outlineLevel="0" collapsed="false">
      <c r="A658" s="7" t="s">
        <v>488</v>
      </c>
      <c r="B658" s="66" t="n">
        <v>649</v>
      </c>
      <c r="C658" s="8" t="s">
        <v>741</v>
      </c>
      <c r="D658" s="67" t="n">
        <v>41991</v>
      </c>
      <c r="E658" s="4" t="s">
        <v>490</v>
      </c>
      <c r="F658" s="7" t="n">
        <v>178</v>
      </c>
      <c r="G658" s="68" t="n">
        <v>1</v>
      </c>
      <c r="H658" s="68" t="n">
        <v>175</v>
      </c>
      <c r="I658" s="7" t="n">
        <v>4</v>
      </c>
      <c r="J658" s="8" t="n">
        <v>792</v>
      </c>
      <c r="K658" s="32"/>
      <c r="L658" s="31" t="n">
        <v>930.928</v>
      </c>
      <c r="M658" s="31" t="n">
        <v>161.175150464144</v>
      </c>
      <c r="N658" s="31" t="n">
        <v>319.596042027951</v>
      </c>
      <c r="O658" s="95"/>
      <c r="P658" s="33" t="n">
        <v>38.4576150158115</v>
      </c>
      <c r="Q658" s="33" t="n">
        <v>8.6</v>
      </c>
      <c r="R658" s="31" t="n">
        <v>256.146077731307</v>
      </c>
      <c r="S658" s="34" t="s">
        <v>76</v>
      </c>
      <c r="T658" s="35"/>
      <c r="U658" s="35"/>
      <c r="V658" s="35" t="n">
        <v>30.0909690846643</v>
      </c>
      <c r="W658" s="35" t="n">
        <v>28.0125256680484</v>
      </c>
      <c r="X658" s="35" t="n">
        <v>4.84991646983266</v>
      </c>
      <c r="Y658" s="35" t="n">
        <v>9.61695462024413</v>
      </c>
      <c r="Z658" s="35"/>
      <c r="AA658" s="35" t="n">
        <v>1.1572269045107</v>
      </c>
      <c r="AB658" s="35" t="n">
        <v>0.258782334128113</v>
      </c>
      <c r="AC658" s="71" t="n">
        <v>7.70768370617077</v>
      </c>
      <c r="AD658" s="72"/>
      <c r="AE658" s="72"/>
      <c r="AF658" s="72"/>
      <c r="AG658" s="72"/>
      <c r="AH658" s="72"/>
      <c r="AI658" s="73" t="n">
        <v>25.4082801316372</v>
      </c>
      <c r="AJ658" s="42" t="s">
        <v>16</v>
      </c>
      <c r="AK658" s="43" t="n">
        <v>661.527661240963</v>
      </c>
      <c r="AL658" s="74"/>
      <c r="AM658" s="74"/>
      <c r="AN658" s="74"/>
      <c r="AO658" s="78" t="n">
        <v>41.0857142857143</v>
      </c>
      <c r="AP658" s="76" t="n">
        <v>1.55472920251853</v>
      </c>
      <c r="AQ658" s="76" t="n">
        <v>1.41144800777454</v>
      </c>
      <c r="AR658" s="76" t="n">
        <v>2.03032902957101</v>
      </c>
      <c r="AS658" s="77" t="n">
        <v>39.7552237520636</v>
      </c>
      <c r="AT658" s="78" t="n">
        <v>40.8074161399434</v>
      </c>
      <c r="AU658" s="78" t="n">
        <v>37.8411141085873</v>
      </c>
      <c r="AV658" s="78" t="n">
        <v>34.3537414965986</v>
      </c>
      <c r="AW658" s="78" t="n">
        <v>49.4169096209913</v>
      </c>
      <c r="AX658" s="78" t="n">
        <v>33.225</v>
      </c>
      <c r="AY658" s="48" t="n">
        <v>1.35613499269921</v>
      </c>
      <c r="AZ658" s="48" t="n">
        <v>29.1217067442257</v>
      </c>
      <c r="BA658" s="48" t="n">
        <v>0.969262340438625</v>
      </c>
      <c r="BB658" s="49" t="n">
        <f aca="false">AT658/V658</f>
        <v>1.35613499269921</v>
      </c>
      <c r="BC658" s="49" t="n">
        <f aca="false">AS658/V658</f>
        <v>1.32116794378433</v>
      </c>
      <c r="BD658" s="49" t="n">
        <f aca="false">SUM(AP658:AR658)/V658</f>
        <v>0.166046704106001</v>
      </c>
      <c r="BE658" s="53" t="n">
        <v>6.86</v>
      </c>
      <c r="BF658" s="51" t="n">
        <v>82.55</v>
      </c>
      <c r="BG658" s="51" t="n">
        <v>654.270139309509</v>
      </c>
      <c r="BH658" s="51" t="n">
        <v>194.791035735918</v>
      </c>
      <c r="BI658" s="51" t="n">
        <v>117.504542701393</v>
      </c>
      <c r="BJ658" s="51" t="n">
        <v>7.02604482132041</v>
      </c>
      <c r="BK658" s="51" t="n">
        <v>10.175651120533</v>
      </c>
      <c r="BL658" s="51" t="n">
        <v>11.8715929739552</v>
      </c>
      <c r="BM658" s="51" t="n">
        <v>4.36099333737129</v>
      </c>
      <c r="BN658" s="52" t="n">
        <f aca="false">(BG658*0.5-BH658*0.25+BI658*0.5)/SUM(BG658:BI658)*1000</f>
        <v>348.853239754355</v>
      </c>
      <c r="BO658" s="93" t="n">
        <v>2.30228571428571</v>
      </c>
      <c r="BP658" s="94" t="s">
        <v>491</v>
      </c>
      <c r="BQ658" s="55" t="n">
        <v>450.216666666667</v>
      </c>
      <c r="BR658" s="56" t="n">
        <v>14.9618533520782</v>
      </c>
      <c r="BS658" s="56"/>
      <c r="BT658" s="56" t="n">
        <v>11.0327168258512</v>
      </c>
      <c r="BU658" s="55" t="n">
        <v>14191.3611111111</v>
      </c>
      <c r="BV658" s="55" t="n">
        <v>471.615289995551</v>
      </c>
      <c r="BW658" s="55"/>
      <c r="BX658" s="55" t="n">
        <v>347.764265751201</v>
      </c>
      <c r="BY658" s="96" t="n">
        <v>0.10506</v>
      </c>
      <c r="BZ658" s="96" t="n">
        <v>0.5786</v>
      </c>
      <c r="CA658" s="97" t="n">
        <v>3.98</v>
      </c>
      <c r="CB658" s="97"/>
      <c r="CC658" s="97" t="n">
        <v>8.38</v>
      </c>
      <c r="CD658" s="97" t="n">
        <v>5.67</v>
      </c>
      <c r="CE658" s="97" t="n">
        <v>99.99</v>
      </c>
      <c r="CF658" s="97" t="n">
        <v>37.38</v>
      </c>
      <c r="CG658" s="97" t="n">
        <v>0.0604</v>
      </c>
      <c r="CH658" s="63" t="n">
        <v>74388.5266029965</v>
      </c>
      <c r="CI658" s="63" t="n">
        <v>2632.4643577756</v>
      </c>
      <c r="CJ658" s="64" t="n">
        <v>512332.043205956</v>
      </c>
      <c r="CK658" s="65" t="n">
        <v>0.513819971380816</v>
      </c>
    </row>
    <row r="659" s="1" customFormat="true" ht="15" hidden="false" customHeight="false" outlineLevel="0" collapsed="false">
      <c r="A659" s="7" t="s">
        <v>488</v>
      </c>
      <c r="B659" s="66" t="n">
        <v>650</v>
      </c>
      <c r="C659" s="8" t="s">
        <v>742</v>
      </c>
      <c r="D659" s="67" t="n">
        <v>41991</v>
      </c>
      <c r="E659" s="4" t="s">
        <v>490</v>
      </c>
      <c r="F659" s="7" t="n">
        <v>187</v>
      </c>
      <c r="G659" s="68" t="n">
        <v>1</v>
      </c>
      <c r="H659" s="68" t="n">
        <v>295</v>
      </c>
      <c r="I659" s="7" t="n">
        <v>4</v>
      </c>
      <c r="J659" s="8" t="n">
        <v>833</v>
      </c>
      <c r="K659" s="32"/>
      <c r="L659" s="31" t="n">
        <v>930.928</v>
      </c>
      <c r="M659" s="31" t="n">
        <v>161.175150464144</v>
      </c>
      <c r="N659" s="31" t="n">
        <v>319.596042027951</v>
      </c>
      <c r="O659" s="95"/>
      <c r="P659" s="33" t="n">
        <v>38.4576150158115</v>
      </c>
      <c r="Q659" s="33" t="n">
        <v>8.6</v>
      </c>
      <c r="R659" s="31" t="n">
        <v>256.146077731307</v>
      </c>
      <c r="S659" s="34" t="s">
        <v>76</v>
      </c>
      <c r="T659" s="35"/>
      <c r="U659" s="35"/>
      <c r="V659" s="35" t="n">
        <v>25.3536075296122</v>
      </c>
      <c r="W659" s="35" t="n">
        <v>23.6023831503268</v>
      </c>
      <c r="X659" s="35" t="n">
        <v>4.08637150839409</v>
      </c>
      <c r="Y659" s="35" t="n">
        <v>8.10291261759411</v>
      </c>
      <c r="Z659" s="35"/>
      <c r="AA659" s="35" t="n">
        <v>0.975039277635806</v>
      </c>
      <c r="AB659" s="35" t="n">
        <v>0.218041024754665</v>
      </c>
      <c r="AC659" s="71" t="n">
        <v>6.49422712504909</v>
      </c>
      <c r="AD659" s="72"/>
      <c r="AE659" s="72"/>
      <c r="AF659" s="72"/>
      <c r="AG659" s="72"/>
      <c r="AH659" s="72"/>
      <c r="AI659" s="73" t="n">
        <v>28.0021697023206</v>
      </c>
      <c r="AJ659" s="42" t="s">
        <v>16</v>
      </c>
      <c r="AK659" s="43" t="n">
        <v>692.880941319083</v>
      </c>
      <c r="AL659" s="74"/>
      <c r="AM659" s="74"/>
      <c r="AN659" s="74"/>
      <c r="AO659" s="78" t="n">
        <v>30.5</v>
      </c>
      <c r="AP659" s="76" t="n">
        <v>1.47261200599902</v>
      </c>
      <c r="AQ659" s="76" t="n">
        <v>1.15004859086492</v>
      </c>
      <c r="AR659" s="76" t="n">
        <v>1.32418610301263</v>
      </c>
      <c r="AS659" s="77" t="n">
        <v>34.2891800899853</v>
      </c>
      <c r="AT659" s="78" t="n">
        <v>34.0017846727778</v>
      </c>
      <c r="AU659" s="78" t="n">
        <v>48.2823608524268</v>
      </c>
      <c r="AV659" s="78" t="n">
        <v>37.7065111758989</v>
      </c>
      <c r="AW659" s="78" t="n">
        <v>43.4159378036929</v>
      </c>
      <c r="AX659" s="78" t="n">
        <v>34.7425</v>
      </c>
      <c r="AY659" s="48" t="n">
        <v>1.34110243021885</v>
      </c>
      <c r="AZ659" s="48" t="n">
        <v>27.7606274704462</v>
      </c>
      <c r="BA659" s="48" t="n">
        <v>-2.40701994083394</v>
      </c>
      <c r="BB659" s="49" t="n">
        <f aca="false">AT659/V659</f>
        <v>1.34110243021885</v>
      </c>
      <c r="BC659" s="49" t="n">
        <f aca="false">AS659/V659</f>
        <v>1.35243791440475</v>
      </c>
      <c r="BD659" s="49" t="n">
        <f aca="false">SUM(AP659:AR659)/V659</f>
        <v>0.155671996392102</v>
      </c>
      <c r="BE659" s="53" t="n">
        <v>6.49</v>
      </c>
      <c r="BF659" s="51" t="n">
        <v>112.91</v>
      </c>
      <c r="BG659" s="51" t="n">
        <v>631.033566557435</v>
      </c>
      <c r="BH659" s="51" t="n">
        <v>183.420423346028</v>
      </c>
      <c r="BI659" s="51" t="n">
        <v>144.36276680542</v>
      </c>
      <c r="BJ659" s="51" t="n">
        <v>6.73102470994597</v>
      </c>
      <c r="BK659" s="51" t="n">
        <v>13.1963510760783</v>
      </c>
      <c r="BL659" s="51" t="n">
        <v>11.4250287839872</v>
      </c>
      <c r="BM659" s="51" t="n">
        <v>9.83083872110531</v>
      </c>
      <c r="BN659" s="52" t="n">
        <f aca="false">(BG659*0.5-BH659*0.25+BI659*0.5)/SUM(BG659:BI659)*1000</f>
        <v>356.525956031775</v>
      </c>
      <c r="BO659" s="93" t="n">
        <v>3.58457142857143</v>
      </c>
      <c r="BP659" s="94" t="s">
        <v>491</v>
      </c>
      <c r="BQ659" s="55" t="n">
        <v>435.214814814815</v>
      </c>
      <c r="BR659" s="56" t="n">
        <v>17.165794426158</v>
      </c>
      <c r="BS659" s="56"/>
      <c r="BT659" s="56" t="n">
        <v>12.7997638654318</v>
      </c>
      <c r="BU659" s="55" t="n">
        <v>12835.3527777778</v>
      </c>
      <c r="BV659" s="55" t="n">
        <v>506.253509004054</v>
      </c>
      <c r="BW659" s="55"/>
      <c r="BX659" s="55" t="n">
        <v>377.490561195569</v>
      </c>
      <c r="BY659" s="96" t="n">
        <v>0.09167</v>
      </c>
      <c r="BZ659" s="96" t="n">
        <v>0.869</v>
      </c>
      <c r="CA659" s="97" t="n">
        <v>4.21</v>
      </c>
      <c r="CB659" s="97"/>
      <c r="CC659" s="97" t="n">
        <v>6.8</v>
      </c>
      <c r="CD659" s="97" t="n">
        <v>5.48</v>
      </c>
      <c r="CE659" s="97" t="n">
        <v>91.91</v>
      </c>
      <c r="CF659" s="97" t="n">
        <v>38.29</v>
      </c>
      <c r="CG659" s="97" t="n">
        <v>0.0812</v>
      </c>
      <c r="CH659" s="63" t="n">
        <v>94362.571361057</v>
      </c>
      <c r="CI659" s="63" t="n">
        <v>2234.80333184935</v>
      </c>
      <c r="CJ659" s="64" t="n">
        <v>1828886.27544332</v>
      </c>
      <c r="CK659" s="65" t="n">
        <v>0.122194767485345</v>
      </c>
    </row>
    <row r="660" s="1" customFormat="true" ht="15" hidden="false" customHeight="false" outlineLevel="0" collapsed="false">
      <c r="A660" s="7" t="s">
        <v>488</v>
      </c>
      <c r="B660" s="66" t="n">
        <v>651</v>
      </c>
      <c r="C660" s="8" t="s">
        <v>743</v>
      </c>
      <c r="D660" s="67" t="n">
        <v>41991</v>
      </c>
      <c r="E660" s="4" t="s">
        <v>490</v>
      </c>
      <c r="F660" s="7" t="n">
        <v>220</v>
      </c>
      <c r="G660" s="68" t="n">
        <v>1</v>
      </c>
      <c r="H660" s="68" t="n">
        <v>139</v>
      </c>
      <c r="I660" s="7" t="n">
        <v>3</v>
      </c>
      <c r="J660" s="8" t="n">
        <v>614</v>
      </c>
      <c r="K660" s="32"/>
      <c r="L660" s="31" t="n">
        <v>930.928</v>
      </c>
      <c r="M660" s="31" t="n">
        <v>161.175150464144</v>
      </c>
      <c r="N660" s="31" t="n">
        <v>319.596042027951</v>
      </c>
      <c r="O660" s="95"/>
      <c r="P660" s="33" t="n">
        <v>38.4576150158115</v>
      </c>
      <c r="Q660" s="33" t="n">
        <v>8.6</v>
      </c>
      <c r="R660" s="31" t="n">
        <v>256.146077731307</v>
      </c>
      <c r="S660" s="34" t="s">
        <v>76</v>
      </c>
      <c r="T660" s="35"/>
      <c r="U660" s="35"/>
      <c r="V660" s="35" t="n">
        <v>22.1442089586288</v>
      </c>
      <c r="W660" s="35" t="n">
        <v>20.6146641574384</v>
      </c>
      <c r="X660" s="35" t="n">
        <v>3.56909621081644</v>
      </c>
      <c r="Y660" s="35" t="n">
        <v>7.07720153701766</v>
      </c>
      <c r="Z660" s="35"/>
      <c r="AA660" s="35" t="n">
        <v>0.851613462960631</v>
      </c>
      <c r="AB660" s="35" t="n">
        <v>0.190440197044208</v>
      </c>
      <c r="AC660" s="71" t="n">
        <v>5.67215226921524</v>
      </c>
      <c r="AD660" s="72"/>
      <c r="AE660" s="72"/>
      <c r="AF660" s="72"/>
      <c r="AG660" s="72"/>
      <c r="AH660" s="72"/>
      <c r="AI660" s="73" t="n">
        <v>25.5138158195693</v>
      </c>
      <c r="AJ660" s="42" t="s">
        <v>16</v>
      </c>
      <c r="AK660" s="43" t="n">
        <v>662.927722735862</v>
      </c>
      <c r="AL660" s="74"/>
      <c r="AM660" s="74"/>
      <c r="AN660" s="74"/>
      <c r="AO660" s="78" t="n">
        <v>49.8142857142857</v>
      </c>
      <c r="AP660" s="76" t="n">
        <v>1.12861968380086</v>
      </c>
      <c r="AQ660" s="76" t="n">
        <v>1.35185998889352</v>
      </c>
      <c r="AR660" s="76" t="n">
        <v>2.29223170901014</v>
      </c>
      <c r="AS660" s="77" t="n">
        <v>36.8550095427272</v>
      </c>
      <c r="AT660" s="78" t="n">
        <v>36.5878387904807</v>
      </c>
      <c r="AU660" s="78" t="n">
        <v>22.6565465632521</v>
      </c>
      <c r="AV660" s="78" t="n">
        <v>27.1379980563654</v>
      </c>
      <c r="AW660" s="78" t="n">
        <v>46.0155490767736</v>
      </c>
      <c r="AX660" s="78" t="n">
        <v>28.83</v>
      </c>
      <c r="AY660" s="48" t="n">
        <v>1.65225314026057</v>
      </c>
      <c r="AZ660" s="48" t="n">
        <v>25.3699062755366</v>
      </c>
      <c r="BA660" s="48" t="n">
        <v>-3.22569731690782</v>
      </c>
      <c r="BB660" s="49" t="n">
        <f aca="false">AT660/V660</f>
        <v>1.65225314026057</v>
      </c>
      <c r="BC660" s="49" t="n">
        <f aca="false">AS660/V660</f>
        <v>1.66431817960091</v>
      </c>
      <c r="BD660" s="49" t="n">
        <f aca="false">SUM(AP660:AR660)/V660</f>
        <v>0.215528646366243</v>
      </c>
      <c r="BE660" s="53" t="n">
        <v>6.7</v>
      </c>
      <c r="BF660" s="51" t="n">
        <v>81.24</v>
      </c>
      <c r="BG660" s="51" t="n">
        <v>605.366814377154</v>
      </c>
      <c r="BH660" s="51" t="n">
        <v>215.164943377646</v>
      </c>
      <c r="BI660" s="51" t="n">
        <v>139.832594780896</v>
      </c>
      <c r="BJ660" s="51" t="n">
        <v>6.8931560807484</v>
      </c>
      <c r="BK660" s="51" t="n">
        <v>15.5096011816839</v>
      </c>
      <c r="BL660" s="51" t="n">
        <v>14.0324963072378</v>
      </c>
      <c r="BM660" s="51" t="n">
        <v>3.20039389463319</v>
      </c>
      <c r="BN660" s="52" t="n">
        <f aca="false">(BG660*0.5-BH660*0.25+BI660*0.5)/SUM(BG660:BI660)*1000</f>
        <v>331.96616252243</v>
      </c>
      <c r="BO660" s="93" t="n">
        <v>11.7445714285714</v>
      </c>
      <c r="BP660" s="94" t="s">
        <v>491</v>
      </c>
      <c r="BQ660" s="55" t="n">
        <v>352.084259259259</v>
      </c>
      <c r="BR660" s="56" t="n">
        <v>15.8996087833639</v>
      </c>
      <c r="BS660" s="56"/>
      <c r="BT660" s="56" t="n">
        <v>9.62298596742652</v>
      </c>
      <c r="BU660" s="55" t="n">
        <v>12348.5388888889</v>
      </c>
      <c r="BV660" s="55" t="n">
        <v>557.641905924894</v>
      </c>
      <c r="BW660" s="55"/>
      <c r="BX660" s="55" t="n">
        <v>337.503916522713</v>
      </c>
      <c r="BY660" s="96" t="n">
        <v>0.1236</v>
      </c>
      <c r="BZ660" s="96" t="n">
        <v>1.133</v>
      </c>
      <c r="CA660" s="97" t="n">
        <v>4.05</v>
      </c>
      <c r="CB660" s="97"/>
      <c r="CC660" s="97" t="n">
        <v>8.18</v>
      </c>
      <c r="CD660" s="97" t="n">
        <v>6.2</v>
      </c>
      <c r="CE660" s="97" t="n">
        <v>86.86</v>
      </c>
      <c r="CF660" s="97" t="n">
        <v>37.73</v>
      </c>
      <c r="CG660" s="97" t="n">
        <v>0.0916</v>
      </c>
      <c r="CH660" s="63" t="n">
        <v>101873.966797665</v>
      </c>
      <c r="CI660" s="63" t="n">
        <v>1648.46360364899</v>
      </c>
      <c r="CJ660" s="64" t="n">
        <v>1976148.62957505</v>
      </c>
      <c r="CK660" s="65" t="n">
        <v>0.0834179969551925</v>
      </c>
    </row>
    <row r="661" s="1" customFormat="true" ht="15" hidden="false" customHeight="false" outlineLevel="0" collapsed="false">
      <c r="A661" s="7" t="s">
        <v>488</v>
      </c>
      <c r="B661" s="66" t="n">
        <v>652</v>
      </c>
      <c r="C661" s="8" t="s">
        <v>744</v>
      </c>
      <c r="D661" s="67" t="n">
        <v>41991</v>
      </c>
      <c r="E661" s="4" t="s">
        <v>490</v>
      </c>
      <c r="F661" s="7" t="n">
        <v>281</v>
      </c>
      <c r="G661" s="68" t="n">
        <v>1</v>
      </c>
      <c r="H661" s="68" t="n">
        <v>139</v>
      </c>
      <c r="I661" s="7" t="n">
        <v>2</v>
      </c>
      <c r="J661" s="8" t="n">
        <v>760</v>
      </c>
      <c r="K661" s="32"/>
      <c r="L661" s="31" t="n">
        <v>930.928</v>
      </c>
      <c r="M661" s="31" t="n">
        <v>161.175150464144</v>
      </c>
      <c r="N661" s="31" t="n">
        <v>319.596042027951</v>
      </c>
      <c r="O661" s="95"/>
      <c r="P661" s="33" t="n">
        <v>38.4576150158115</v>
      </c>
      <c r="Q661" s="33" t="n">
        <v>8.6</v>
      </c>
      <c r="R661" s="31" t="n">
        <v>256.146077731307</v>
      </c>
      <c r="S661" s="34" t="s">
        <v>76</v>
      </c>
      <c r="T661" s="35"/>
      <c r="U661" s="35"/>
      <c r="V661" s="35" t="n">
        <v>32.211063619806</v>
      </c>
      <c r="W661" s="35" t="n">
        <v>29.9861810334588</v>
      </c>
      <c r="X661" s="35" t="n">
        <v>5.19162302553233</v>
      </c>
      <c r="Y661" s="35" t="n">
        <v>10.2945284424005</v>
      </c>
      <c r="Z661" s="35"/>
      <c r="AA661" s="35" t="n">
        <v>1.23876068394031</v>
      </c>
      <c r="AB661" s="35" t="n">
        <v>0.277015147130332</v>
      </c>
      <c r="AC661" s="71" t="n">
        <v>8.25073760576689</v>
      </c>
      <c r="AD661" s="72"/>
      <c r="AE661" s="72"/>
      <c r="AF661" s="72"/>
      <c r="AG661" s="72"/>
      <c r="AH661" s="72"/>
      <c r="AI661" s="73" t="n">
        <v>29.196411582488</v>
      </c>
      <c r="AJ661" s="42" t="s">
        <v>16</v>
      </c>
      <c r="AK661" s="43" t="n">
        <v>705.443253678535</v>
      </c>
      <c r="AL661" s="74"/>
      <c r="AM661" s="74"/>
      <c r="AN661" s="74"/>
      <c r="AO661" s="78" t="n">
        <v>44.2</v>
      </c>
      <c r="AP661" s="76" t="n">
        <v>1.69956579936557</v>
      </c>
      <c r="AQ661" s="76" t="n">
        <v>1.37453838678328</v>
      </c>
      <c r="AR661" s="76" t="n">
        <v>2.25080660835763</v>
      </c>
      <c r="AS661" s="77" t="n">
        <v>43.1734869904835</v>
      </c>
      <c r="AT661" s="78" t="n">
        <v>43.4714905662713</v>
      </c>
      <c r="AU661" s="78" t="n">
        <v>38.451714917773</v>
      </c>
      <c r="AV661" s="78" t="n">
        <v>31.0981535471331</v>
      </c>
      <c r="AW661" s="78" t="n">
        <v>50.9232264334305</v>
      </c>
      <c r="AX661" s="78" t="n">
        <v>33.1075</v>
      </c>
      <c r="AY661" s="48" t="n">
        <v>1.34958258688302</v>
      </c>
      <c r="AZ661" s="48" t="n">
        <v>29.7436969995286</v>
      </c>
      <c r="BA661" s="48" t="n">
        <v>2.46736662027738</v>
      </c>
      <c r="BB661" s="49" t="n">
        <f aca="false">AT661/V661</f>
        <v>1.34958258688302</v>
      </c>
      <c r="BC661" s="49" t="n">
        <f aca="false">AS661/V661</f>
        <v>1.34033099620892</v>
      </c>
      <c r="BD661" s="49" t="n">
        <f aca="false">SUM(AP661:AR661)/V661</f>
        <v>0.165313100410391</v>
      </c>
      <c r="BE661" s="53" t="n">
        <v>6.69</v>
      </c>
      <c r="BF661" s="51" t="n">
        <v>97.41</v>
      </c>
      <c r="BG661" s="51" t="n">
        <v>607.535160661123</v>
      </c>
      <c r="BH661" s="51" t="n">
        <v>225.028231187763</v>
      </c>
      <c r="BI661" s="51" t="n">
        <v>134.483112616774</v>
      </c>
      <c r="BJ661" s="51" t="n">
        <v>6.0568730109845</v>
      </c>
      <c r="BK661" s="51" t="n">
        <v>12.4217226157479</v>
      </c>
      <c r="BL661" s="51" t="n">
        <v>9.34195667795914</v>
      </c>
      <c r="BM661" s="51" t="n">
        <v>5.13294322964788</v>
      </c>
      <c r="BN661" s="52" t="n">
        <f aca="false">(BG661*0.5-BH661*0.25+BI661*0.5)/SUM(BG661:BI661)*1000</f>
        <v>325.477707006369</v>
      </c>
      <c r="BO661" s="93" t="n">
        <v>7.344</v>
      </c>
      <c r="BP661" s="94" t="s">
        <v>491</v>
      </c>
      <c r="BQ661" s="55" t="n">
        <v>429.3125</v>
      </c>
      <c r="BR661" s="56" t="n">
        <v>13.3281069221205</v>
      </c>
      <c r="BS661" s="56"/>
      <c r="BT661" s="56" t="n">
        <v>9.87572531807996</v>
      </c>
      <c r="BU661" s="55" t="n">
        <v>14265.9375</v>
      </c>
      <c r="BV661" s="55" t="n">
        <v>442.889364610367</v>
      </c>
      <c r="BW661" s="55"/>
      <c r="BX661" s="55" t="n">
        <v>328.167663776145</v>
      </c>
      <c r="BY661" s="96" t="n">
        <v>0.10815</v>
      </c>
      <c r="BZ661" s="96" t="n">
        <v>0.935</v>
      </c>
      <c r="CA661" s="97" t="n">
        <v>3.96</v>
      </c>
      <c r="CB661" s="97"/>
      <c r="CC661" s="97" t="n">
        <v>7.8</v>
      </c>
      <c r="CD661" s="97" t="n">
        <v>5.45</v>
      </c>
      <c r="CE661" s="97" t="n">
        <v>85.85</v>
      </c>
      <c r="CF661" s="97" t="n">
        <v>34.42</v>
      </c>
      <c r="CG661" s="97" t="n">
        <v>0.778</v>
      </c>
      <c r="CH661" s="63" t="n">
        <v>83108.7289865315</v>
      </c>
      <c r="CI661" s="63" t="n">
        <v>1157.25839559493</v>
      </c>
      <c r="CJ661" s="64" t="n">
        <v>2961548.13310574</v>
      </c>
      <c r="CK661" s="65" t="n">
        <v>0.039076129901739</v>
      </c>
    </row>
    <row r="662" s="1" customFormat="true" ht="15" hidden="false" customHeight="false" outlineLevel="0" collapsed="false">
      <c r="A662" s="7" t="s">
        <v>488</v>
      </c>
      <c r="B662" s="66" t="n">
        <v>653</v>
      </c>
      <c r="C662" s="8" t="s">
        <v>745</v>
      </c>
      <c r="D662" s="67" t="n">
        <v>41991</v>
      </c>
      <c r="E662" s="4" t="s">
        <v>490</v>
      </c>
      <c r="F662" s="7" t="n">
        <v>294</v>
      </c>
      <c r="G662" s="68" t="n">
        <v>1</v>
      </c>
      <c r="H662" s="68" t="n">
        <v>135</v>
      </c>
      <c r="I662" s="7" t="n">
        <v>3</v>
      </c>
      <c r="J662" s="8" t="n">
        <v>698</v>
      </c>
      <c r="K662" s="32"/>
      <c r="L662" s="31" t="n">
        <v>930.928</v>
      </c>
      <c r="M662" s="31" t="n">
        <v>161.175150464144</v>
      </c>
      <c r="N662" s="31" t="n">
        <v>319.596042027951</v>
      </c>
      <c r="O662" s="95"/>
      <c r="P662" s="33" t="n">
        <v>38.4576150158115</v>
      </c>
      <c r="Q662" s="33" t="n">
        <v>8.6</v>
      </c>
      <c r="R662" s="31" t="n">
        <v>256.146077731307</v>
      </c>
      <c r="S662" s="34" t="s">
        <v>76</v>
      </c>
      <c r="T662" s="35"/>
      <c r="U662" s="35"/>
      <c r="V662" s="35" t="n">
        <v>31.3201517128164</v>
      </c>
      <c r="W662" s="35" t="n">
        <v>29.1568061937087</v>
      </c>
      <c r="X662" s="35" t="n">
        <v>5.04803016487299</v>
      </c>
      <c r="Y662" s="35" t="n">
        <v>10.0097965231311</v>
      </c>
      <c r="Z662" s="35"/>
      <c r="AA662" s="35" t="n">
        <v>1.2044983368083</v>
      </c>
      <c r="AB662" s="35" t="n">
        <v>0.269353304730221</v>
      </c>
      <c r="AC662" s="71" t="n">
        <v>8.02253401518739</v>
      </c>
      <c r="AD662" s="72"/>
      <c r="AE662" s="72"/>
      <c r="AF662" s="72"/>
      <c r="AG662" s="72"/>
      <c r="AH662" s="72"/>
      <c r="AI662" s="73" t="n">
        <v>21.3235228410872</v>
      </c>
      <c r="AJ662" s="42" t="s">
        <v>16</v>
      </c>
      <c r="AK662" s="43" t="n">
        <v>596.689530895472</v>
      </c>
      <c r="AL662" s="74"/>
      <c r="AM662" s="74"/>
      <c r="AN662" s="74"/>
      <c r="AO662" s="78" t="n">
        <v>35.9142857142857</v>
      </c>
      <c r="AP662" s="76" t="n">
        <v>1.30598558909492</v>
      </c>
      <c r="AQ662" s="76" t="n">
        <v>1.22419200333194</v>
      </c>
      <c r="AR662" s="76" t="n">
        <v>1.7119491878384</v>
      </c>
      <c r="AS662" s="77" t="n">
        <v>33.9554981221381</v>
      </c>
      <c r="AT662" s="78" t="n">
        <v>34.6190317911151</v>
      </c>
      <c r="AU662" s="78" t="n">
        <v>36.3639583280209</v>
      </c>
      <c r="AV662" s="78" t="n">
        <v>34.086491739553</v>
      </c>
      <c r="AW662" s="78" t="n">
        <v>47.667638483965</v>
      </c>
      <c r="AX662" s="78" t="n">
        <v>27.5175</v>
      </c>
      <c r="AY662" s="48" t="n">
        <v>1.10532771707325</v>
      </c>
      <c r="AZ662" s="48" t="n">
        <v>25.4625322159584</v>
      </c>
      <c r="BA662" s="48" t="n">
        <v>5.85761949685802</v>
      </c>
      <c r="BB662" s="49" t="n">
        <f aca="false">AT662/V662</f>
        <v>1.10532771707325</v>
      </c>
      <c r="BC662" s="49" t="n">
        <f aca="false">AS662/V662</f>
        <v>1.0841421980802</v>
      </c>
      <c r="BD662" s="49" t="n">
        <f aca="false">SUM(AP662:AR662)/V662</f>
        <v>0.135444004842715</v>
      </c>
      <c r="BE662" s="53" t="n">
        <v>6.52</v>
      </c>
      <c r="BF662" s="51" t="n">
        <v>109.53</v>
      </c>
      <c r="BG662" s="51" t="n">
        <v>605.952707020908</v>
      </c>
      <c r="BH662" s="51" t="n">
        <v>219.483246599105</v>
      </c>
      <c r="BI662" s="51" t="n">
        <v>135.579293344289</v>
      </c>
      <c r="BJ662" s="51" t="n">
        <v>6.0257463708573</v>
      </c>
      <c r="BK662" s="51" t="n">
        <v>14.973066739706</v>
      </c>
      <c r="BL662" s="51" t="n">
        <v>8.85602118141149</v>
      </c>
      <c r="BM662" s="51" t="n">
        <v>9.12991874372318</v>
      </c>
      <c r="BN662" s="52" t="n">
        <f aca="false">(BG662*0.5-BH662*0.25+BI662*0.5)/SUM(BG662:BI662)*1000</f>
        <v>328.709861295839</v>
      </c>
      <c r="BO662" s="93" t="n">
        <v>3.00171428571429</v>
      </c>
      <c r="BP662" s="94" t="s">
        <v>491</v>
      </c>
      <c r="BQ662" s="55" t="n">
        <v>332.794444444444</v>
      </c>
      <c r="BR662" s="56" t="n">
        <v>10.6255693617302</v>
      </c>
      <c r="BS662" s="56"/>
      <c r="BT662" s="56" t="n">
        <v>9.61304887012627</v>
      </c>
      <c r="BU662" s="55" t="n">
        <v>10637.7817460317</v>
      </c>
      <c r="BV662" s="55" t="n">
        <v>339.646558662061</v>
      </c>
      <c r="BW662" s="55"/>
      <c r="BX662" s="55" t="n">
        <v>307.281318848493</v>
      </c>
      <c r="BY662" s="96" t="n">
        <v>0.10094</v>
      </c>
      <c r="BZ662" s="96" t="n">
        <v>0.6149</v>
      </c>
      <c r="CA662" s="97" t="n">
        <v>3.95</v>
      </c>
      <c r="CB662" s="97"/>
      <c r="CC662" s="97" t="n">
        <v>5.75</v>
      </c>
      <c r="CD662" s="97" t="n">
        <v>5.95</v>
      </c>
      <c r="CE662" s="97" t="n">
        <v>84.84</v>
      </c>
      <c r="CF662" s="97" t="n">
        <v>36.54</v>
      </c>
      <c r="CG662" s="97" t="n">
        <v>0.102</v>
      </c>
      <c r="CH662" s="63" t="n">
        <v>85526.2931995196</v>
      </c>
      <c r="CI662" s="63" t="n">
        <v>1141.79282785229</v>
      </c>
      <c r="CJ662" s="64" t="n">
        <v>2162449.24873771</v>
      </c>
      <c r="CK662" s="65" t="n">
        <v>0.0528009075134961</v>
      </c>
    </row>
    <row r="663" s="1" customFormat="true" ht="15" hidden="false" customHeight="false" outlineLevel="0" collapsed="false">
      <c r="A663" s="7" t="s">
        <v>488</v>
      </c>
      <c r="B663" s="66" t="n">
        <v>654</v>
      </c>
      <c r="C663" s="8" t="s">
        <v>746</v>
      </c>
      <c r="D663" s="67" t="n">
        <v>41991</v>
      </c>
      <c r="E663" s="4" t="s">
        <v>490</v>
      </c>
      <c r="F663" s="7" t="n">
        <v>336</v>
      </c>
      <c r="G663" s="68" t="n">
        <v>1</v>
      </c>
      <c r="H663" s="68" t="n">
        <v>189</v>
      </c>
      <c r="I663" s="7" t="n">
        <v>3</v>
      </c>
      <c r="J663" s="8" t="n">
        <v>792</v>
      </c>
      <c r="K663" s="32"/>
      <c r="L663" s="31" t="n">
        <v>930.928</v>
      </c>
      <c r="M663" s="31" t="n">
        <v>161.175150464144</v>
      </c>
      <c r="N663" s="31" t="n">
        <v>319.596042027951</v>
      </c>
      <c r="O663" s="95"/>
      <c r="P663" s="33" t="n">
        <v>38.4576150158115</v>
      </c>
      <c r="Q663" s="33" t="n">
        <v>8.6</v>
      </c>
      <c r="R663" s="31" t="n">
        <v>256.146077731307</v>
      </c>
      <c r="S663" s="34" t="s">
        <v>76</v>
      </c>
      <c r="T663" s="35"/>
      <c r="U663" s="35"/>
      <c r="V663" s="35" t="n">
        <v>20.9617354567211</v>
      </c>
      <c r="W663" s="35" t="n">
        <v>19.5138664652544</v>
      </c>
      <c r="X663" s="35" t="n">
        <v>3.37851086622659</v>
      </c>
      <c r="Y663" s="35" t="n">
        <v>6.69928768600501</v>
      </c>
      <c r="Z663" s="35"/>
      <c r="AA663" s="35" t="n">
        <v>0.806138352257864</v>
      </c>
      <c r="AB663" s="35" t="n">
        <v>0.180270924927801</v>
      </c>
      <c r="AC663" s="71" t="n">
        <v>5.36926631968036</v>
      </c>
      <c r="AD663" s="72"/>
      <c r="AE663" s="72"/>
      <c r="AF663" s="72"/>
      <c r="AG663" s="72"/>
      <c r="AH663" s="72"/>
      <c r="AI663" s="73" t="n">
        <v>27.9695748791254</v>
      </c>
      <c r="AJ663" s="42" t="s">
        <v>16</v>
      </c>
      <c r="AK663" s="43" t="n">
        <v>692.523034863199</v>
      </c>
      <c r="AL663" s="74"/>
      <c r="AM663" s="74"/>
      <c r="AN663" s="74"/>
      <c r="AO663" s="78" t="n">
        <v>47.5857142857143</v>
      </c>
      <c r="AP663" s="76" t="n">
        <v>1.46710034781476</v>
      </c>
      <c r="AQ663" s="76" t="n">
        <v>1.43011488268777</v>
      </c>
      <c r="AR663" s="76" t="n">
        <v>2.24517631542413</v>
      </c>
      <c r="AS663" s="77" t="n">
        <v>41.0407909315071</v>
      </c>
      <c r="AT663" s="78" t="n">
        <v>41.0569949124773</v>
      </c>
      <c r="AU663" s="78" t="n">
        <v>30.8306887862604</v>
      </c>
      <c r="AV663" s="78" t="n">
        <v>30.0534499514091</v>
      </c>
      <c r="AW663" s="78" t="n">
        <v>47.1817298347911</v>
      </c>
      <c r="AX663" s="78" t="n">
        <v>30.5325</v>
      </c>
      <c r="AY663" s="48" t="n">
        <v>1.95866391870302</v>
      </c>
      <c r="AZ663" s="48" t="n">
        <v>29.6365410357424</v>
      </c>
      <c r="BA663" s="48" t="n">
        <v>-8.67480557902133</v>
      </c>
      <c r="BB663" s="49" t="n">
        <f aca="false">AT663/V663</f>
        <v>1.95866391870302</v>
      </c>
      <c r="BC663" s="49" t="n">
        <f aca="false">AS663/V663</f>
        <v>1.95789089201334</v>
      </c>
      <c r="BD663" s="49" t="n">
        <f aca="false">SUM(AP663:AR663)/V663</f>
        <v>0.245322795745799</v>
      </c>
      <c r="BE663" s="53" t="n">
        <v>5.93</v>
      </c>
      <c r="BF663" s="51" t="n">
        <v>124.64</v>
      </c>
      <c r="BG663" s="51" t="n">
        <v>536.023748395379</v>
      </c>
      <c r="BH663" s="51" t="n">
        <v>280.327342747112</v>
      </c>
      <c r="BI663" s="51" t="n">
        <v>140.083440308087</v>
      </c>
      <c r="BJ663" s="51" t="n">
        <v>5.45571245186136</v>
      </c>
      <c r="BK663" s="51" t="n">
        <v>24.1495507060334</v>
      </c>
      <c r="BL663" s="51" t="n">
        <v>10.0288831835687</v>
      </c>
      <c r="BM663" s="51" t="n">
        <v>3.93132220795892</v>
      </c>
      <c r="BN663" s="52" t="n">
        <f aca="false">(BG663*0.5-BH663*0.25+BI663*0.5)/SUM(BG663:BI663)*1000</f>
        <v>280.177837429746</v>
      </c>
      <c r="BO663" s="93" t="n">
        <v>11.1617142857143</v>
      </c>
      <c r="BP663" s="94" t="s">
        <v>491</v>
      </c>
      <c r="BQ663" s="55" t="n">
        <v>306.671052631579</v>
      </c>
      <c r="BR663" s="56" t="n">
        <v>14.6300411654728</v>
      </c>
      <c r="BS663" s="56"/>
      <c r="BT663" s="56" t="n">
        <v>7.46939841275088</v>
      </c>
      <c r="BU663" s="55" t="n">
        <v>12443.3596491228</v>
      </c>
      <c r="BV663" s="55" t="n">
        <v>593.622587920459</v>
      </c>
      <c r="BW663" s="55"/>
      <c r="BX663" s="55" t="n">
        <v>303.075265874884</v>
      </c>
      <c r="BY663" s="96" t="n">
        <v>0.103</v>
      </c>
      <c r="BZ663" s="96" t="n">
        <v>1.0681</v>
      </c>
      <c r="CA663" s="97" t="n">
        <v>3.8</v>
      </c>
      <c r="CB663" s="97"/>
      <c r="CC663" s="97" t="n">
        <v>6.89</v>
      </c>
      <c r="CD663" s="97" t="n">
        <v>8.28</v>
      </c>
      <c r="CE663" s="97" t="n">
        <v>92.92</v>
      </c>
      <c r="CF663" s="97" t="n">
        <v>35.69</v>
      </c>
      <c r="CG663" s="97" t="n">
        <v>0.05</v>
      </c>
      <c r="CH663" s="63" t="n">
        <v>61441.1228664147</v>
      </c>
      <c r="CI663" s="63" t="n">
        <v>1807.02828296763</v>
      </c>
      <c r="CJ663" s="64" t="n">
        <v>3379324.1577419</v>
      </c>
      <c r="CK663" s="65" t="n">
        <v>0.053473067353654</v>
      </c>
    </row>
    <row r="664" s="1" customFormat="true" ht="15" hidden="false" customHeight="false" outlineLevel="0" collapsed="false">
      <c r="A664" s="7" t="s">
        <v>488</v>
      </c>
      <c r="B664" s="66" t="n">
        <v>655</v>
      </c>
      <c r="C664" s="8" t="s">
        <v>747</v>
      </c>
      <c r="D664" s="67" t="n">
        <v>41991</v>
      </c>
      <c r="E664" s="4" t="s">
        <v>490</v>
      </c>
      <c r="F664" s="7" t="n">
        <v>345</v>
      </c>
      <c r="G664" s="68" t="n">
        <v>1</v>
      </c>
      <c r="H664" s="68" t="n">
        <v>69</v>
      </c>
      <c r="I664" s="7" t="n">
        <v>2</v>
      </c>
      <c r="J664" s="8" t="n">
        <v>740</v>
      </c>
      <c r="K664" s="32"/>
      <c r="L664" s="31" t="n">
        <v>930.928</v>
      </c>
      <c r="M664" s="31" t="n">
        <v>161.175150464144</v>
      </c>
      <c r="N664" s="31" t="n">
        <v>319.596042027951</v>
      </c>
      <c r="O664" s="95"/>
      <c r="P664" s="33" t="n">
        <v>38.4576150158115</v>
      </c>
      <c r="Q664" s="33" t="n">
        <v>8.6</v>
      </c>
      <c r="R664" s="31" t="n">
        <v>256.146077731307</v>
      </c>
      <c r="S664" s="34" t="s">
        <v>76</v>
      </c>
      <c r="T664" s="35"/>
      <c r="U664" s="35"/>
      <c r="V664" s="35" t="n">
        <v>25.1049226007051</v>
      </c>
      <c r="W664" s="35" t="n">
        <v>23.3708753868292</v>
      </c>
      <c r="X664" s="35" t="n">
        <v>4.04628967755932</v>
      </c>
      <c r="Y664" s="35" t="n">
        <v>8.02343389860339</v>
      </c>
      <c r="Z664" s="35"/>
      <c r="AA664" s="35" t="n">
        <v>0.965475448379661</v>
      </c>
      <c r="AB664" s="35" t="n">
        <v>0.215902334366064</v>
      </c>
      <c r="AC664" s="71" t="n">
        <v>6.43052745591865</v>
      </c>
      <c r="AD664" s="72"/>
      <c r="AE664" s="72"/>
      <c r="AF664" s="72"/>
      <c r="AG664" s="72"/>
      <c r="AH664" s="72"/>
      <c r="AI664" s="73" t="n">
        <v>35.1711919187228</v>
      </c>
      <c r="AJ664" s="42" t="s">
        <v>16</v>
      </c>
      <c r="AK664" s="43" t="n">
        <v>755.481701618934</v>
      </c>
      <c r="AL664" s="74"/>
      <c r="AM664" s="74"/>
      <c r="AN664" s="74"/>
      <c r="AO664" s="78" t="n">
        <v>50.7714285714286</v>
      </c>
      <c r="AP664" s="76" t="n">
        <v>1.79211749359129</v>
      </c>
      <c r="AQ664" s="76" t="n">
        <v>1.49378522837707</v>
      </c>
      <c r="AR664" s="76" t="n">
        <v>2.59531306400111</v>
      </c>
      <c r="AS664" s="77" t="n">
        <v>47.1903338324407</v>
      </c>
      <c r="AT664" s="78" t="n">
        <v>47.3774360449931</v>
      </c>
      <c r="AU664" s="78" t="n">
        <v>35.2977559232949</v>
      </c>
      <c r="AV664" s="78" t="n">
        <v>29.421768707483</v>
      </c>
      <c r="AW664" s="78" t="n">
        <v>51.1175898931001</v>
      </c>
      <c r="AX664" s="78" t="n">
        <v>23.7675</v>
      </c>
      <c r="AY664" s="48" t="n">
        <v>1.887177140457</v>
      </c>
      <c r="AZ664" s="48" t="n">
        <v>28.958444830072</v>
      </c>
      <c r="BA664" s="48" t="n">
        <v>-3.85352222936687</v>
      </c>
      <c r="BB664" s="49" t="n">
        <f aca="false">AT664/V664</f>
        <v>1.887177140457</v>
      </c>
      <c r="BC664" s="49" t="n">
        <f aca="false">AS664/V664</f>
        <v>1.87972433068228</v>
      </c>
      <c r="BD664" s="49" t="n">
        <f aca="false">SUM(AP664:AR664)/V664</f>
        <v>0.234265441862158</v>
      </c>
      <c r="BE664" s="53" t="n">
        <v>5.88</v>
      </c>
      <c r="BF664" s="51" t="n">
        <v>122.09</v>
      </c>
      <c r="BG664" s="51" t="n">
        <v>601.032025554918</v>
      </c>
      <c r="BH664" s="51" t="n">
        <v>253.255794905398</v>
      </c>
      <c r="BI664" s="51" t="n">
        <v>118.355311655336</v>
      </c>
      <c r="BJ664" s="51" t="n">
        <v>5.07822098451962</v>
      </c>
      <c r="BK664" s="51" t="n">
        <v>11.6307641903514</v>
      </c>
      <c r="BL664" s="51" t="n">
        <v>8.2725857973626</v>
      </c>
      <c r="BM664" s="51" t="n">
        <v>2.37529691211401</v>
      </c>
      <c r="BN664" s="52" t="n">
        <f aca="false">(BG664*0.5-BH664*0.25+BI664*0.5)/SUM(BG664:BI664)*1000</f>
        <v>304.715789473684</v>
      </c>
      <c r="BO664" s="93" t="n">
        <v>7.43142857142857</v>
      </c>
      <c r="BP664" s="94" t="s">
        <v>491</v>
      </c>
      <c r="BQ664" s="55" t="n">
        <v>336.063157894737</v>
      </c>
      <c r="BR664" s="56" t="n">
        <v>13.3863451100741</v>
      </c>
      <c r="BS664" s="56"/>
      <c r="BT664" s="56" t="n">
        <v>7.0933166914222</v>
      </c>
      <c r="BU664" s="55" t="n">
        <v>12074.4657894737</v>
      </c>
      <c r="BV664" s="55" t="n">
        <v>480.960088247178</v>
      </c>
      <c r="BW664" s="55"/>
      <c r="BX664" s="55" t="n">
        <v>254.856885417077</v>
      </c>
      <c r="BY664" s="96" t="n">
        <v>0.18643</v>
      </c>
      <c r="BZ664" s="96" t="n">
        <v>0.9394</v>
      </c>
      <c r="CA664" s="97" t="n">
        <v>3.65</v>
      </c>
      <c r="CB664" s="97"/>
      <c r="CC664" s="97" t="n">
        <v>6.42</v>
      </c>
      <c r="CD664" s="97" t="n">
        <v>6.01</v>
      </c>
      <c r="CE664" s="97" t="n">
        <v>90.9</v>
      </c>
      <c r="CF664" s="97" t="n">
        <v>37.77</v>
      </c>
      <c r="CG664" s="97" t="n">
        <v>0.102</v>
      </c>
      <c r="CH664" s="63" t="n">
        <v>72380.3006129045</v>
      </c>
      <c r="CI664" s="63" t="n">
        <v>1540.57676285854</v>
      </c>
      <c r="CJ664" s="64" t="n">
        <v>2722155.88584151</v>
      </c>
      <c r="CK664" s="65" t="n">
        <v>0.056593994887339</v>
      </c>
    </row>
    <row r="665" s="1" customFormat="true" ht="15" hidden="false" customHeight="false" outlineLevel="0" collapsed="false">
      <c r="A665" s="7" t="s">
        <v>488</v>
      </c>
      <c r="B665" s="66" t="n">
        <v>656</v>
      </c>
      <c r="C665" s="8" t="s">
        <v>748</v>
      </c>
      <c r="D665" s="67" t="n">
        <v>41991</v>
      </c>
      <c r="E665" s="4" t="s">
        <v>490</v>
      </c>
      <c r="F665" s="7" t="n">
        <v>347</v>
      </c>
      <c r="G665" s="68" t="n">
        <v>1</v>
      </c>
      <c r="H665" s="68" t="n">
        <v>218</v>
      </c>
      <c r="I665" s="7" t="n">
        <v>2</v>
      </c>
      <c r="J665" s="8" t="n">
        <v>833</v>
      </c>
      <c r="K665" s="32"/>
      <c r="L665" s="31" t="n">
        <v>930.928</v>
      </c>
      <c r="M665" s="31" t="n">
        <v>161.175150464144</v>
      </c>
      <c r="N665" s="31" t="n">
        <v>319.596042027951</v>
      </c>
      <c r="O665" s="95"/>
      <c r="P665" s="33" t="n">
        <v>38.4576150158115</v>
      </c>
      <c r="Q665" s="33" t="n">
        <v>8.6</v>
      </c>
      <c r="R665" s="31" t="n">
        <v>256.146077731307</v>
      </c>
      <c r="S665" s="34" t="s">
        <v>76</v>
      </c>
      <c r="T665" s="35"/>
      <c r="U665" s="35"/>
      <c r="V665" s="35" t="n">
        <v>22.7886149441619</v>
      </c>
      <c r="W665" s="35" t="n">
        <v>21.2145597327387</v>
      </c>
      <c r="X665" s="35" t="n">
        <v>3.67295844249472</v>
      </c>
      <c r="Y665" s="35" t="n">
        <v>7.28315113945315</v>
      </c>
      <c r="Z665" s="35"/>
      <c r="AA665" s="35" t="n">
        <v>0.876395780266146</v>
      </c>
      <c r="AB665" s="35" t="n">
        <v>0.195982088519792</v>
      </c>
      <c r="AC665" s="71" t="n">
        <v>5.83721433487611</v>
      </c>
      <c r="AD665" s="72"/>
      <c r="AE665" s="72"/>
      <c r="AF665" s="72"/>
      <c r="AG665" s="72"/>
      <c r="AH665" s="72"/>
      <c r="AI665" s="73" t="n">
        <v>27.5702919220624</v>
      </c>
      <c r="AJ665" s="42" t="s">
        <v>16</v>
      </c>
      <c r="AK665" s="43" t="n">
        <v>688.070042047031</v>
      </c>
      <c r="AL665" s="74"/>
      <c r="AM665" s="74"/>
      <c r="AN665" s="74"/>
      <c r="AO665" s="78" t="n">
        <v>38.1285714285714</v>
      </c>
      <c r="AP665" s="76" t="n">
        <v>1.37467490875218</v>
      </c>
      <c r="AQ665" s="76" t="n">
        <v>1.27187873108427</v>
      </c>
      <c r="AR665" s="76" t="n">
        <v>1.95552512841871</v>
      </c>
      <c r="AS665" s="77" t="n">
        <v>35.8715522027112</v>
      </c>
      <c r="AT665" s="78" t="n">
        <v>37.1220259076639</v>
      </c>
      <c r="AU665" s="78" t="n">
        <v>36.0536693940249</v>
      </c>
      <c r="AV665" s="78" t="n">
        <v>33.357628765792</v>
      </c>
      <c r="AW665" s="78" t="n">
        <v>51.287657920311</v>
      </c>
      <c r="AX665" s="78" t="n">
        <v>31.51</v>
      </c>
      <c r="AY665" s="48" t="n">
        <v>1.62897244955969</v>
      </c>
      <c r="AZ665" s="48" t="n">
        <v>28.3180103651502</v>
      </c>
      <c r="BA665" s="48" t="n">
        <v>-5.52939542098828</v>
      </c>
      <c r="BB665" s="49" t="n">
        <f aca="false">AT665/V665</f>
        <v>1.62897244955969</v>
      </c>
      <c r="BC665" s="49" t="n">
        <f aca="false">AS665/V665</f>
        <v>1.5740997112201</v>
      </c>
      <c r="BD665" s="49" t="n">
        <f aca="false">SUM(AP665:AR665)/V665</f>
        <v>0.201946400846715</v>
      </c>
      <c r="BE665" s="53" t="n">
        <v>6.19</v>
      </c>
      <c r="BF665" s="51" t="n">
        <v>111.85</v>
      </c>
      <c r="BG665" s="51" t="n">
        <v>616.718819848011</v>
      </c>
      <c r="BH665" s="51" t="n">
        <v>216.182387125615</v>
      </c>
      <c r="BI665" s="51" t="n">
        <v>133.21412606169</v>
      </c>
      <c r="BJ665" s="51" t="n">
        <v>5.63254358515869</v>
      </c>
      <c r="BK665" s="51" t="n">
        <v>13.1426016987036</v>
      </c>
      <c r="BL665" s="51" t="n">
        <v>9.29816718819848</v>
      </c>
      <c r="BM665" s="51" t="n">
        <v>5.81135449262405</v>
      </c>
      <c r="BN665" s="52" t="n">
        <f aca="false">(BG665*0.5-BH665*0.25+BI665*0.5)/SUM(BG665:BI665)*1000</f>
        <v>332.176568573015</v>
      </c>
      <c r="BO665" s="93" t="n">
        <v>9.588</v>
      </c>
      <c r="BP665" s="94" t="s">
        <v>491</v>
      </c>
      <c r="BQ665" s="55" t="n">
        <v>340.552631578947</v>
      </c>
      <c r="BR665" s="56" t="n">
        <v>14.9439811244953</v>
      </c>
      <c r="BS665" s="56"/>
      <c r="BT665" s="56" t="n">
        <v>9.173869778175</v>
      </c>
      <c r="BU665" s="55" t="n">
        <v>12000.8640350877</v>
      </c>
      <c r="BV665" s="55" t="n">
        <v>526.616648905298</v>
      </c>
      <c r="BW665" s="55"/>
      <c r="BX665" s="55" t="n">
        <v>323.281495060056</v>
      </c>
      <c r="BY665" s="96" t="n">
        <v>0.10815</v>
      </c>
      <c r="BZ665" s="96" t="n">
        <v>1.2749</v>
      </c>
      <c r="CA665" s="97" t="n">
        <v>3.24</v>
      </c>
      <c r="CB665" s="97"/>
      <c r="CC665" s="97" t="n">
        <v>7.5</v>
      </c>
      <c r="CD665" s="97" t="n">
        <v>7.44</v>
      </c>
      <c r="CE665" s="97" t="n">
        <v>88.88</v>
      </c>
      <c r="CF665" s="97" t="n">
        <v>36.93</v>
      </c>
      <c r="CG665" s="97" t="n">
        <v>0.1228</v>
      </c>
      <c r="CH665" s="63" t="n">
        <v>47402.8996725672</v>
      </c>
      <c r="CI665" s="63" t="n">
        <v>1868.59503989432</v>
      </c>
      <c r="CJ665" s="64" t="n">
        <v>3434850.36240171</v>
      </c>
      <c r="CK665" s="65" t="n">
        <v>0.0544010609704629</v>
      </c>
    </row>
    <row r="666" s="1" customFormat="true" ht="15" hidden="false" customHeight="false" outlineLevel="0" collapsed="false">
      <c r="A666" s="7" t="s">
        <v>488</v>
      </c>
      <c r="B666" s="66" t="n">
        <v>657</v>
      </c>
      <c r="C666" s="8" t="s">
        <v>749</v>
      </c>
      <c r="D666" s="67" t="n">
        <v>41991</v>
      </c>
      <c r="E666" s="4" t="s">
        <v>490</v>
      </c>
      <c r="F666" s="7" t="n">
        <v>374</v>
      </c>
      <c r="G666" s="68" t="n">
        <v>1</v>
      </c>
      <c r="H666" s="68" t="n">
        <v>287</v>
      </c>
      <c r="I666" s="7" t="n">
        <v>2</v>
      </c>
      <c r="J666" s="8" t="n">
        <v>833</v>
      </c>
      <c r="K666" s="32"/>
      <c r="L666" s="31" t="n">
        <v>930.928</v>
      </c>
      <c r="M666" s="31" t="n">
        <v>161.175150464144</v>
      </c>
      <c r="N666" s="31" t="n">
        <v>319.596042027951</v>
      </c>
      <c r="O666" s="95"/>
      <c r="P666" s="33" t="n">
        <v>38.4576150158115</v>
      </c>
      <c r="Q666" s="33" t="n">
        <v>8.6</v>
      </c>
      <c r="R666" s="31" t="n">
        <v>256.146077731307</v>
      </c>
      <c r="S666" s="34" t="s">
        <v>76</v>
      </c>
      <c r="T666" s="35"/>
      <c r="U666" s="35"/>
      <c r="V666" s="35" t="n">
        <v>19.7982388130899</v>
      </c>
      <c r="W666" s="35" t="n">
        <v>18.4307348617922</v>
      </c>
      <c r="X666" s="35" t="n">
        <v>3.19098411962481</v>
      </c>
      <c r="Y666" s="35" t="n">
        <v>6.32743876378769</v>
      </c>
      <c r="Z666" s="35"/>
      <c r="AA666" s="35" t="n">
        <v>0.761393046264908</v>
      </c>
      <c r="AB666" s="35" t="n">
        <v>0.170264853792573</v>
      </c>
      <c r="AC666" s="71" t="n">
        <v>5.0712412179607</v>
      </c>
      <c r="AD666" s="72"/>
      <c r="AE666" s="72"/>
      <c r="AF666" s="72"/>
      <c r="AG666" s="72"/>
      <c r="AH666" s="72"/>
      <c r="AI666" s="73" t="n">
        <v>28.4600422540665</v>
      </c>
      <c r="AJ666" s="42" t="s">
        <v>16</v>
      </c>
      <c r="AK666" s="43" t="n">
        <v>697.821952503561</v>
      </c>
      <c r="AL666" s="74"/>
      <c r="AM666" s="74"/>
      <c r="AN666" s="74"/>
      <c r="AO666" s="78" t="n">
        <v>27.6428571428571</v>
      </c>
      <c r="AP666" s="76" t="n">
        <v>1.21877762537861</v>
      </c>
      <c r="AQ666" s="76" t="n">
        <v>1.02888379841733</v>
      </c>
      <c r="AR666" s="76" t="n">
        <v>1.31095376926281</v>
      </c>
      <c r="AS666" s="77" t="n">
        <v>29.3388072378219</v>
      </c>
      <c r="AT666" s="78" t="n">
        <v>29.883297280307</v>
      </c>
      <c r="AU666" s="78" t="n">
        <v>44.0901466545232</v>
      </c>
      <c r="AV666" s="78" t="n">
        <v>37.220602526725</v>
      </c>
      <c r="AW666" s="78" t="n">
        <v>47.4246841593781</v>
      </c>
      <c r="AX666" s="78" t="n">
        <v>30.1525</v>
      </c>
      <c r="AY666" s="48" t="n">
        <v>1.5093916970306</v>
      </c>
      <c r="AZ666" s="48" t="n">
        <v>25.9184049043058</v>
      </c>
      <c r="BA666" s="48" t="n">
        <v>-6.12016609121587</v>
      </c>
      <c r="BB666" s="49" t="n">
        <f aca="false">AT666/V666</f>
        <v>1.5093916970306</v>
      </c>
      <c r="BC666" s="49" t="n">
        <f aca="false">AS666/V666</f>
        <v>1.48188975366961</v>
      </c>
      <c r="BD666" s="49" t="n">
        <f aca="false">SUM(AP666:AR666)/V666</f>
        <v>0.179744028075159</v>
      </c>
      <c r="BE666" s="53" t="n">
        <v>6.14</v>
      </c>
      <c r="BF666" s="51" t="n">
        <v>118.21</v>
      </c>
      <c r="BG666" s="51" t="n">
        <v>653.49801201252</v>
      </c>
      <c r="BH666" s="51" t="n">
        <v>182.47187209204</v>
      </c>
      <c r="BI666" s="51" t="n">
        <v>130.192031131038</v>
      </c>
      <c r="BJ666" s="51" t="n">
        <v>7.52897386007952</v>
      </c>
      <c r="BK666" s="51" t="n">
        <v>10.2360206412317</v>
      </c>
      <c r="BL666" s="51" t="n">
        <v>12.9430674223839</v>
      </c>
      <c r="BM666" s="51" t="n">
        <v>3.13002284070722</v>
      </c>
      <c r="BN666" s="52" t="n">
        <f aca="false">(BG666*0.5-BH666*0.25+BI666*0.5)/SUM(BG666:BI666)*1000</f>
        <v>358.353033884949</v>
      </c>
      <c r="BO666" s="93" t="n">
        <v>6.14914285714286</v>
      </c>
      <c r="BP666" s="94" t="s">
        <v>491</v>
      </c>
      <c r="BQ666" s="55" t="n">
        <v>476.33522005772</v>
      </c>
      <c r="BR666" s="56" t="n">
        <v>24.059474408541</v>
      </c>
      <c r="BS666" s="56"/>
      <c r="BT666" s="56" t="n">
        <v>15.9398481228383</v>
      </c>
      <c r="BU666" s="55" t="n">
        <v>13501.3460281385</v>
      </c>
      <c r="BV666" s="55" t="n">
        <v>681.946821411807</v>
      </c>
      <c r="BW666" s="55"/>
      <c r="BX666" s="55" t="n">
        <v>451.802419977125</v>
      </c>
      <c r="BY666" s="96" t="n">
        <v>0.09785</v>
      </c>
      <c r="BZ666" s="96" t="n">
        <v>0.9493</v>
      </c>
      <c r="CA666" s="97" t="n">
        <v>3.88</v>
      </c>
      <c r="CB666" s="97"/>
      <c r="CC666" s="97" t="n">
        <v>6.88</v>
      </c>
      <c r="CD666" s="97" t="n">
        <v>4.35</v>
      </c>
      <c r="CE666" s="97" t="n">
        <v>88.88</v>
      </c>
      <c r="CF666" s="97" t="n">
        <v>32.84</v>
      </c>
      <c r="CG666" s="97" t="n">
        <v>0.05</v>
      </c>
      <c r="CH666" s="63" t="n">
        <v>90800.8046394861</v>
      </c>
      <c r="CI666" s="63" t="n">
        <v>1576.10555136422</v>
      </c>
      <c r="CJ666" s="64" t="n">
        <v>311967.850221331</v>
      </c>
      <c r="CK666" s="65" t="n">
        <v>0.505214095056918</v>
      </c>
    </row>
    <row r="667" s="1" customFormat="true" ht="15" hidden="false" customHeight="false" outlineLevel="0" collapsed="false">
      <c r="A667" s="7" t="s">
        <v>488</v>
      </c>
      <c r="B667" s="66" t="n">
        <v>658</v>
      </c>
      <c r="C667" s="8" t="s">
        <v>750</v>
      </c>
      <c r="D667" s="67" t="n">
        <v>41991</v>
      </c>
      <c r="E667" s="4" t="s">
        <v>490</v>
      </c>
      <c r="F667" s="7" t="n">
        <v>381</v>
      </c>
      <c r="G667" s="68" t="n">
        <v>1</v>
      </c>
      <c r="H667" s="68" t="n">
        <v>171</v>
      </c>
      <c r="I667" s="7" t="n">
        <v>2</v>
      </c>
      <c r="J667" s="8" t="n">
        <v>875</v>
      </c>
      <c r="K667" s="32"/>
      <c r="L667" s="31" t="n">
        <v>930.928</v>
      </c>
      <c r="M667" s="31" t="n">
        <v>161.175150464144</v>
      </c>
      <c r="N667" s="31" t="n">
        <v>319.596042027951</v>
      </c>
      <c r="O667" s="95"/>
      <c r="P667" s="33" t="n">
        <v>38.4576150158115</v>
      </c>
      <c r="Q667" s="33" t="n">
        <v>8.6</v>
      </c>
      <c r="R667" s="31" t="n">
        <v>256.146077731307</v>
      </c>
      <c r="S667" s="34" t="s">
        <v>76</v>
      </c>
      <c r="T667" s="35"/>
      <c r="U667" s="35"/>
      <c r="V667" s="35" t="n">
        <v>23.9148235358455</v>
      </c>
      <c r="W667" s="35" t="n">
        <v>22.2629788445776</v>
      </c>
      <c r="X667" s="35" t="n">
        <v>3.85447528171334</v>
      </c>
      <c r="Y667" s="35" t="n">
        <v>7.6430829478531</v>
      </c>
      <c r="Z667" s="35"/>
      <c r="AA667" s="35" t="n">
        <v>0.919707076712613</v>
      </c>
      <c r="AB667" s="35" t="n">
        <v>0.205667482408271</v>
      </c>
      <c r="AC667" s="71" t="n">
        <v>6.12568824834316</v>
      </c>
      <c r="AD667" s="72"/>
      <c r="AE667" s="72"/>
      <c r="AF667" s="72"/>
      <c r="AG667" s="72"/>
      <c r="AH667" s="72"/>
      <c r="AI667" s="73" t="n">
        <v>28.1190192384527</v>
      </c>
      <c r="AJ667" s="42" t="s">
        <v>16</v>
      </c>
      <c r="AK667" s="43" t="n">
        <v>694.15718496186</v>
      </c>
      <c r="AL667" s="74"/>
      <c r="AM667" s="74"/>
      <c r="AN667" s="74"/>
      <c r="AO667" s="78" t="n">
        <v>35.1857142857143</v>
      </c>
      <c r="AP667" s="76" t="n">
        <v>1.23599795114188</v>
      </c>
      <c r="AQ667" s="76" t="n">
        <v>1.1762765514369</v>
      </c>
      <c r="AR667" s="76" t="n">
        <v>1.68662328196585</v>
      </c>
      <c r="AS667" s="77" t="n">
        <v>32.6142549814138</v>
      </c>
      <c r="AT667" s="78" t="n">
        <v>33.2578686124001</v>
      </c>
      <c r="AU667" s="78" t="n">
        <v>35.1278345838129</v>
      </c>
      <c r="AV667" s="78" t="n">
        <v>33.4305150631681</v>
      </c>
      <c r="AW667" s="78" t="n">
        <v>47.9348882410107</v>
      </c>
      <c r="AX667" s="78" t="n">
        <v>24.125</v>
      </c>
      <c r="AY667" s="48" t="n">
        <v>1.39068007600183</v>
      </c>
      <c r="AZ667" s="48" t="n">
        <v>27.5800574391562</v>
      </c>
      <c r="BA667" s="48" t="n">
        <v>-3.66523390331073</v>
      </c>
      <c r="BB667" s="49" t="n">
        <f aca="false">AT667/V667</f>
        <v>1.39068007600183</v>
      </c>
      <c r="BC667" s="49" t="n">
        <f aca="false">AS667/V667</f>
        <v>1.36376732751253</v>
      </c>
      <c r="BD667" s="49" t="n">
        <f aca="false">SUM(AP667:AR667)/V667</f>
        <v>0.171395694323266</v>
      </c>
      <c r="BE667" s="53" t="n">
        <v>6.15</v>
      </c>
      <c r="BF667" s="51" t="n">
        <v>113.66</v>
      </c>
      <c r="BG667" s="51" t="n">
        <v>644.905859581207</v>
      </c>
      <c r="BH667" s="51" t="n">
        <v>182.913953897589</v>
      </c>
      <c r="BI667" s="51" t="n">
        <v>137.867323596692</v>
      </c>
      <c r="BJ667" s="51" t="n">
        <v>5.54284708780574</v>
      </c>
      <c r="BK667" s="51" t="n">
        <v>10.2058771775471</v>
      </c>
      <c r="BL667" s="51" t="n">
        <v>14.3410170684498</v>
      </c>
      <c r="BM667" s="51" t="n">
        <v>4.22312159070913</v>
      </c>
      <c r="BN667" s="52" t="n">
        <f aca="false">(BG667*0.5-BH667*0.25+BI667*0.5)/SUM(BG667:BI667)*1000</f>
        <v>357.940051020408</v>
      </c>
      <c r="BO667" s="93" t="n">
        <v>4.37142857142857</v>
      </c>
      <c r="BP667" s="94" t="s">
        <v>491</v>
      </c>
      <c r="BQ667" s="55" t="n">
        <v>409.535294117647</v>
      </c>
      <c r="BR667" s="56" t="n">
        <v>17.124746645268</v>
      </c>
      <c r="BS667" s="56"/>
      <c r="BT667" s="56" t="n">
        <v>12.3139368577863</v>
      </c>
      <c r="BU667" s="55" t="n">
        <v>13712.2745098039</v>
      </c>
      <c r="BV667" s="55" t="n">
        <v>573.379706910689</v>
      </c>
      <c r="BW667" s="55"/>
      <c r="BX667" s="55" t="n">
        <v>412.301662190443</v>
      </c>
      <c r="BY667" s="96" t="n">
        <v>0.11948</v>
      </c>
      <c r="BZ667" s="96" t="n">
        <v>0.9031</v>
      </c>
      <c r="CA667" s="97" t="n">
        <v>4.16</v>
      </c>
      <c r="CB667" s="97"/>
      <c r="CC667" s="97" t="n">
        <v>5.03</v>
      </c>
      <c r="CD667" s="97" t="n">
        <v>6.6</v>
      </c>
      <c r="CE667" s="97" t="n">
        <v>85.85</v>
      </c>
      <c r="CF667" s="97" t="n">
        <v>34.42</v>
      </c>
      <c r="CG667" s="97" t="n">
        <v>0.01</v>
      </c>
      <c r="CH667" s="63" t="n">
        <v>76989.4850660082</v>
      </c>
      <c r="CI667" s="63" t="n">
        <v>3840.11677183896</v>
      </c>
      <c r="CJ667" s="64" t="n">
        <v>737019.755834077</v>
      </c>
      <c r="CK667" s="65" t="n">
        <v>0.521033085129875</v>
      </c>
    </row>
    <row r="668" s="1" customFormat="true" ht="15" hidden="false" customHeight="false" outlineLevel="0" collapsed="false">
      <c r="A668" s="7" t="s">
        <v>488</v>
      </c>
      <c r="B668" s="66" t="n">
        <v>659</v>
      </c>
      <c r="C668" s="8" t="s">
        <v>751</v>
      </c>
      <c r="D668" s="67" t="n">
        <v>41991</v>
      </c>
      <c r="E668" s="4" t="s">
        <v>490</v>
      </c>
      <c r="F668" s="7" t="n">
        <v>391</v>
      </c>
      <c r="G668" s="68" t="n">
        <v>1</v>
      </c>
      <c r="H668" s="68" t="n">
        <v>153</v>
      </c>
      <c r="I668" s="7" t="n">
        <v>2</v>
      </c>
      <c r="J668" s="8" t="n">
        <v>719</v>
      </c>
      <c r="K668" s="32"/>
      <c r="L668" s="31" t="n">
        <v>930.928</v>
      </c>
      <c r="M668" s="31" t="n">
        <v>161.175150464144</v>
      </c>
      <c r="N668" s="31" t="n">
        <v>319.596042027951</v>
      </c>
      <c r="O668" s="95"/>
      <c r="P668" s="33" t="n">
        <v>38.4576150158115</v>
      </c>
      <c r="Q668" s="33" t="n">
        <v>8.6</v>
      </c>
      <c r="R668" s="31" t="n">
        <v>256.146077731307</v>
      </c>
      <c r="S668" s="34" t="s">
        <v>76</v>
      </c>
      <c r="T668" s="35"/>
      <c r="U668" s="35"/>
      <c r="V668" s="35" t="n">
        <v>21.1132140278358</v>
      </c>
      <c r="W668" s="35" t="n">
        <v>19.6548821085051</v>
      </c>
      <c r="X668" s="35" t="n">
        <v>3.4029254477181</v>
      </c>
      <c r="Y668" s="35" t="n">
        <v>6.74769963778532</v>
      </c>
      <c r="Z668" s="35"/>
      <c r="AA668" s="35" t="n">
        <v>0.811963856828939</v>
      </c>
      <c r="AB668" s="35" t="n">
        <v>0.181573640639388</v>
      </c>
      <c r="AC668" s="71" t="n">
        <v>5.40806696153174</v>
      </c>
      <c r="AD668" s="72"/>
      <c r="AE668" s="72"/>
      <c r="AF668" s="72"/>
      <c r="AG668" s="72"/>
      <c r="AH668" s="72"/>
      <c r="AI668" s="73" t="n">
        <v>29.3717708021341</v>
      </c>
      <c r="AJ668" s="42" t="s">
        <v>16</v>
      </c>
      <c r="AK668" s="43" t="n">
        <v>707.201855212109</v>
      </c>
      <c r="AL668" s="74"/>
      <c r="AM668" s="74"/>
      <c r="AN668" s="74"/>
      <c r="AO668" s="78" t="n">
        <v>25.9428571428571</v>
      </c>
      <c r="AP668" s="76" t="n">
        <v>1.15600116289138</v>
      </c>
      <c r="AQ668" s="76" t="n">
        <v>0.980105511592392</v>
      </c>
      <c r="AR668" s="76" t="n">
        <v>1.20953213938637</v>
      </c>
      <c r="AS668" s="77" t="n">
        <v>27.7171603005136</v>
      </c>
      <c r="AT668" s="78" t="n">
        <v>28.1962027540075</v>
      </c>
      <c r="AU668" s="78" t="n">
        <v>44.5595161907471</v>
      </c>
      <c r="AV668" s="78" t="n">
        <v>37.779397473275</v>
      </c>
      <c r="AW668" s="78" t="n">
        <v>46.622934888241</v>
      </c>
      <c r="AX668" s="78" t="n">
        <v>33.695</v>
      </c>
      <c r="AY668" s="48" t="n">
        <v>1.33547657485182</v>
      </c>
      <c r="AZ668" s="48" t="n">
        <v>23.5748345909549</v>
      </c>
      <c r="BA668" s="48" t="n">
        <v>-2.46162056311909</v>
      </c>
      <c r="BB668" s="49" t="n">
        <f aca="false">AT668/V668</f>
        <v>1.33547657485182</v>
      </c>
      <c r="BC668" s="49" t="n">
        <f aca="false">AS668/V668</f>
        <v>1.31278735032815</v>
      </c>
      <c r="BD668" s="49" t="n">
        <f aca="false">SUM(AP668:AR668)/V668</f>
        <v>0.158461843348873</v>
      </c>
      <c r="BE668" s="53" t="n">
        <v>6.56</v>
      </c>
      <c r="BF668" s="51" t="n">
        <v>117.57</v>
      </c>
      <c r="BG668" s="51" t="n">
        <v>554.648294632985</v>
      </c>
      <c r="BH668" s="51" t="n">
        <v>290.039976184401</v>
      </c>
      <c r="BI668" s="51" t="n">
        <v>117.376881857617</v>
      </c>
      <c r="BJ668" s="51" t="n">
        <v>6.97456834226418</v>
      </c>
      <c r="BK668" s="51" t="n">
        <v>16.8410308752233</v>
      </c>
      <c r="BL668" s="51" t="n">
        <v>11.9077996087437</v>
      </c>
      <c r="BM668" s="51" t="n">
        <v>2.21144849876669</v>
      </c>
      <c r="BN668" s="52" t="n">
        <f aca="false">(BG668*0.5-BH668*0.25+BI668*0.5)/SUM(BG668:BI668)*1000</f>
        <v>273.892670851384</v>
      </c>
      <c r="BO668" s="93" t="n">
        <v>8.568</v>
      </c>
      <c r="BP668" s="94" t="s">
        <v>491</v>
      </c>
      <c r="BQ668" s="55" t="n">
        <v>312.513725490196</v>
      </c>
      <c r="BR668" s="56" t="n">
        <v>14.801807298414</v>
      </c>
      <c r="BS668" s="56"/>
      <c r="BT668" s="56" t="n">
        <v>11.083539447374</v>
      </c>
      <c r="BU668" s="55" t="n">
        <v>11884.4205882353</v>
      </c>
      <c r="BV668" s="55" t="n">
        <v>562.890167862023</v>
      </c>
      <c r="BW668" s="55"/>
      <c r="BX668" s="55" t="n">
        <v>421.490109569672</v>
      </c>
      <c r="BY668" s="96" t="n">
        <v>0.11433</v>
      </c>
      <c r="BZ668" s="96" t="n">
        <v>0.3795</v>
      </c>
      <c r="CA668" s="97" t="n">
        <v>4.4</v>
      </c>
      <c r="CB668" s="97"/>
      <c r="CC668" s="97" t="n">
        <v>6.48</v>
      </c>
      <c r="CD668" s="97" t="n">
        <v>4.84</v>
      </c>
      <c r="CE668" s="97" t="n">
        <v>81.81</v>
      </c>
      <c r="CF668" s="97" t="n">
        <v>34.76</v>
      </c>
      <c r="CG668" s="97" t="n">
        <v>0.31</v>
      </c>
      <c r="CH668" s="63" t="n">
        <v>69325.5570088831</v>
      </c>
      <c r="CI668" s="63" t="n">
        <v>1551.37049660228</v>
      </c>
      <c r="CJ668" s="64" t="n">
        <v>624412.338449036</v>
      </c>
      <c r="CK668" s="65" t="n">
        <v>0.248452889392881</v>
      </c>
    </row>
    <row r="669" s="1" customFormat="true" ht="15" hidden="false" customHeight="false" outlineLevel="0" collapsed="false">
      <c r="A669" s="7" t="s">
        <v>488</v>
      </c>
      <c r="B669" s="66" t="n">
        <v>660</v>
      </c>
      <c r="C669" s="8" t="s">
        <v>752</v>
      </c>
      <c r="D669" s="67" t="n">
        <v>41991</v>
      </c>
      <c r="E669" s="4" t="s">
        <v>490</v>
      </c>
      <c r="F669" s="7" t="n">
        <v>405</v>
      </c>
      <c r="G669" s="68" t="n">
        <v>1</v>
      </c>
      <c r="H669" s="68" t="n">
        <v>130</v>
      </c>
      <c r="I669" s="7" t="n">
        <v>1</v>
      </c>
      <c r="J669" s="8" t="n">
        <v>740</v>
      </c>
      <c r="K669" s="32"/>
      <c r="L669" s="31" t="n">
        <v>930.928</v>
      </c>
      <c r="M669" s="31" t="n">
        <v>161.175150464144</v>
      </c>
      <c r="N669" s="31" t="n">
        <v>319.596042027951</v>
      </c>
      <c r="O669" s="95"/>
      <c r="P669" s="33" t="n">
        <v>38.4576150158115</v>
      </c>
      <c r="Q669" s="33" t="n">
        <v>8.6</v>
      </c>
      <c r="R669" s="31" t="n">
        <v>256.146077731307</v>
      </c>
      <c r="S669" s="34" t="s">
        <v>76</v>
      </c>
      <c r="T669" s="35"/>
      <c r="U669" s="35"/>
      <c r="V669" s="35" t="n">
        <v>27.5715156780703</v>
      </c>
      <c r="W669" s="35" t="n">
        <v>25.6670959471546</v>
      </c>
      <c r="X669" s="35" t="n">
        <v>4.44384318793747</v>
      </c>
      <c r="Y669" s="35" t="n">
        <v>8.81174728342285</v>
      </c>
      <c r="Z669" s="35"/>
      <c r="AA669" s="35" t="n">
        <v>1.06033473534964</v>
      </c>
      <c r="AB669" s="35" t="n">
        <v>0.237115034831404</v>
      </c>
      <c r="AC669" s="71" t="n">
        <v>7.06233559804493</v>
      </c>
      <c r="AD669" s="72"/>
      <c r="AE669" s="72"/>
      <c r="AF669" s="72"/>
      <c r="AG669" s="72"/>
      <c r="AH669" s="72"/>
      <c r="AI669" s="73" t="n">
        <v>25.447427341431</v>
      </c>
      <c r="AJ669" s="42" t="s">
        <v>16</v>
      </c>
      <c r="AK669" s="43" t="n">
        <v>662.048352290672</v>
      </c>
      <c r="AL669" s="74"/>
      <c r="AM669" s="74"/>
      <c r="AN669" s="74"/>
      <c r="AO669" s="78" t="n">
        <v>40.3428571428572</v>
      </c>
      <c r="AP669" s="76" t="n">
        <v>1.38645115657337</v>
      </c>
      <c r="AQ669" s="76" t="n">
        <v>1.22224350964876</v>
      </c>
      <c r="AR669" s="76" t="n">
        <v>2.03086491739553</v>
      </c>
      <c r="AS669" s="77" t="n">
        <v>36.9339102057435</v>
      </c>
      <c r="AT669" s="78" t="n">
        <v>37.294578059503</v>
      </c>
      <c r="AU669" s="78" t="n">
        <v>34.3667071388584</v>
      </c>
      <c r="AV669" s="78" t="n">
        <v>30.2964042759961</v>
      </c>
      <c r="AW669" s="78" t="n">
        <v>50.3401360544218</v>
      </c>
      <c r="AX669" s="78" t="n">
        <v>23.8775</v>
      </c>
      <c r="AY669" s="48" t="n">
        <v>1.35264881680648</v>
      </c>
      <c r="AZ669" s="48" t="n">
        <v>27.0894889458609</v>
      </c>
      <c r="BA669" s="48" t="n">
        <v>0.482026732209423</v>
      </c>
      <c r="BB669" s="49" t="n">
        <f aca="false">AT669/V669</f>
        <v>1.35264881680648</v>
      </c>
      <c r="BC669" s="49" t="n">
        <f aca="false">AS669/V669</f>
        <v>1.33956764064008</v>
      </c>
      <c r="BD669" s="49" t="n">
        <f aca="false">SUM(AP669:AR669)/V669</f>
        <v>0.168273650160911</v>
      </c>
      <c r="BE669" s="53" t="n">
        <v>6.56</v>
      </c>
      <c r="BF669" s="51" t="n">
        <v>96.16</v>
      </c>
      <c r="BG669" s="51" t="n">
        <v>626.559900166389</v>
      </c>
      <c r="BH669" s="51" t="n">
        <v>200.291181364393</v>
      </c>
      <c r="BI669" s="51" t="n">
        <v>130.511647254576</v>
      </c>
      <c r="BJ669" s="51" t="n">
        <v>7.79950083194676</v>
      </c>
      <c r="BK669" s="51" t="n">
        <v>14.455074875208</v>
      </c>
      <c r="BL669" s="51" t="n">
        <v>14.1430948419301</v>
      </c>
      <c r="BM669" s="51" t="n">
        <v>6.2396006655574</v>
      </c>
      <c r="BN669" s="52" t="n">
        <f aca="false">(BG669*0.5-BH669*0.25+BI669*0.5)/SUM(BG669:BI669)*1000</f>
        <v>343.091462089941</v>
      </c>
      <c r="BO669" s="93" t="n">
        <v>10.7537142857143</v>
      </c>
      <c r="BP669" s="94" t="s">
        <v>491</v>
      </c>
      <c r="BQ669" s="55" t="n">
        <v>456.306862745098</v>
      </c>
      <c r="BR669" s="56" t="n">
        <v>16.5499375541416</v>
      </c>
      <c r="BS669" s="56"/>
      <c r="BT669" s="56" t="n">
        <v>12.2352064693443</v>
      </c>
      <c r="BU669" s="55" t="n">
        <v>13486.1911764706</v>
      </c>
      <c r="BV669" s="55" t="n">
        <v>489.13492221239</v>
      </c>
      <c r="BW669" s="55"/>
      <c r="BX669" s="55" t="n">
        <v>361.612649295926</v>
      </c>
      <c r="BY669" s="96" t="n">
        <v>0.08961</v>
      </c>
      <c r="BZ669" s="96" t="n">
        <v>0.8701</v>
      </c>
      <c r="CA669" s="97" t="n">
        <v>3.78</v>
      </c>
      <c r="CB669" s="97"/>
      <c r="CC669" s="97" t="n">
        <v>6.66</v>
      </c>
      <c r="CD669" s="97" t="n">
        <v>4.33</v>
      </c>
      <c r="CE669" s="97" t="n">
        <v>75.75</v>
      </c>
      <c r="CF669" s="97" t="n">
        <v>34.39</v>
      </c>
      <c r="CG669" s="97" t="n">
        <v>0.1436</v>
      </c>
      <c r="CH669" s="63" t="n">
        <v>38070.4878921983</v>
      </c>
      <c r="CI669" s="63" t="n">
        <v>4960.93865932898</v>
      </c>
      <c r="CJ669" s="64" t="n">
        <v>1432805.8049638</v>
      </c>
      <c r="CK669" s="65" t="n">
        <v>0.346239430503586</v>
      </c>
    </row>
    <row r="670" s="1" customFormat="true" ht="15" hidden="false" customHeight="false" outlineLevel="0" collapsed="false">
      <c r="A670" s="7" t="s">
        <v>488</v>
      </c>
      <c r="B670" s="66" t="n">
        <v>661</v>
      </c>
      <c r="C670" s="8" t="s">
        <v>753</v>
      </c>
      <c r="D670" s="67" t="n">
        <v>41991</v>
      </c>
      <c r="E670" s="4" t="s">
        <v>490</v>
      </c>
      <c r="F670" s="7" t="n">
        <v>416</v>
      </c>
      <c r="G670" s="68" t="n">
        <v>1</v>
      </c>
      <c r="H670" s="68" t="n">
        <v>92</v>
      </c>
      <c r="I670" s="7" t="n">
        <v>1</v>
      </c>
      <c r="J670" s="8" t="n">
        <v>813</v>
      </c>
      <c r="K670" s="32"/>
      <c r="L670" s="31" t="n">
        <v>930.928</v>
      </c>
      <c r="M670" s="31" t="n">
        <v>161.175150464144</v>
      </c>
      <c r="N670" s="31" t="n">
        <v>319.596042027951</v>
      </c>
      <c r="O670" s="95"/>
      <c r="P670" s="33" t="n">
        <v>38.4576150158115</v>
      </c>
      <c r="Q670" s="33" t="n">
        <v>8.6</v>
      </c>
      <c r="R670" s="31" t="n">
        <v>256.146077731307</v>
      </c>
      <c r="S670" s="34" t="s">
        <v>76</v>
      </c>
      <c r="T670" s="35"/>
      <c r="U670" s="35"/>
      <c r="V670" s="35" t="n">
        <v>27.8747712819996</v>
      </c>
      <c r="W670" s="35" t="n">
        <v>25.9494050800093</v>
      </c>
      <c r="X670" s="35" t="n">
        <v>4.49272045552987</v>
      </c>
      <c r="Y670" s="35" t="n">
        <v>8.90866657416145</v>
      </c>
      <c r="Z670" s="35"/>
      <c r="AA670" s="35" t="n">
        <v>1.07199722261694</v>
      </c>
      <c r="AB670" s="35" t="n">
        <v>0.239723033025196</v>
      </c>
      <c r="AC670" s="71" t="n">
        <v>7.14001333154146</v>
      </c>
      <c r="AD670" s="72"/>
      <c r="AE670" s="72"/>
      <c r="AF670" s="72"/>
      <c r="AG670" s="72"/>
      <c r="AH670" s="72"/>
      <c r="AI670" s="73" t="n">
        <v>26.8509226797187</v>
      </c>
      <c r="AJ670" s="42" t="s">
        <v>16</v>
      </c>
      <c r="AK670" s="43" t="n">
        <v>679.71305483309</v>
      </c>
      <c r="AL670" s="74"/>
      <c r="AM670" s="74"/>
      <c r="AN670" s="74"/>
      <c r="AO670" s="78" t="n">
        <v>41.0285714285714</v>
      </c>
      <c r="AP670" s="76" t="n">
        <v>1.96855546560136</v>
      </c>
      <c r="AQ670" s="76" t="n">
        <v>1.43839233652645</v>
      </c>
      <c r="AR670" s="76" t="n">
        <v>2.04445092322643</v>
      </c>
      <c r="AS670" s="77" t="n">
        <v>45.939760555449</v>
      </c>
      <c r="AT670" s="78" t="n">
        <v>46.136712922041</v>
      </c>
      <c r="AU670" s="78" t="n">
        <v>47.9801123231529</v>
      </c>
      <c r="AV670" s="78" t="n">
        <v>35.0583090379009</v>
      </c>
      <c r="AW670" s="78" t="n">
        <v>49.8299319727891</v>
      </c>
      <c r="AX670" s="78" t="n">
        <v>30.9525</v>
      </c>
      <c r="AY670" s="48" t="n">
        <v>1.65514229534986</v>
      </c>
      <c r="AZ670" s="48" t="n">
        <v>30.5662906230654</v>
      </c>
      <c r="BA670" s="48" t="n">
        <v>-2.69151934106582</v>
      </c>
      <c r="BB670" s="49" t="n">
        <f aca="false">AT670/V670</f>
        <v>1.65514229534986</v>
      </c>
      <c r="BC670" s="49" t="n">
        <f aca="false">AS670/V670</f>
        <v>1.6480766816234</v>
      </c>
      <c r="BD670" s="49" t="n">
        <f aca="false">SUM(AP670:AR670)/V670</f>
        <v>0.195567478211903</v>
      </c>
      <c r="BE670" s="53" t="n">
        <v>6.2</v>
      </c>
      <c r="BF670" s="51" t="n">
        <v>117.87</v>
      </c>
      <c r="BG670" s="51" t="n">
        <v>681.85288877577</v>
      </c>
      <c r="BH670" s="51" t="n">
        <v>169.932977008569</v>
      </c>
      <c r="BI670" s="51" t="n">
        <v>113.090693136506</v>
      </c>
      <c r="BJ670" s="51" t="n">
        <v>6.70229914312378</v>
      </c>
      <c r="BK670" s="51" t="n">
        <v>10.2655467888352</v>
      </c>
      <c r="BL670" s="51" t="n">
        <v>10.7745821667939</v>
      </c>
      <c r="BM670" s="51" t="n">
        <v>7.38101298040214</v>
      </c>
      <c r="BN670" s="52" t="n">
        <f aca="false">(BG670*0.5-BH670*0.25+BI670*0.5)/SUM(BG670:BI670)*1000</f>
        <v>367.910841466631</v>
      </c>
      <c r="BO670" s="93" t="n">
        <v>2.88514285714286</v>
      </c>
      <c r="BP670" s="94" t="s">
        <v>491</v>
      </c>
      <c r="BQ670" s="55" t="n">
        <v>482.15</v>
      </c>
      <c r="BR670" s="56" t="n">
        <v>17.2970029107056</v>
      </c>
      <c r="BS670" s="56"/>
      <c r="BT670" s="56" t="n">
        <v>10.4504627543516</v>
      </c>
      <c r="BU670" s="55" t="n">
        <v>14286.4333333333</v>
      </c>
      <c r="BV670" s="55" t="n">
        <v>512.521993052512</v>
      </c>
      <c r="BW670" s="55"/>
      <c r="BX670" s="55" t="n">
        <v>309.654338779481</v>
      </c>
      <c r="BY670" s="96" t="n">
        <v>0.22145</v>
      </c>
      <c r="BZ670" s="96" t="n">
        <v>0.5918</v>
      </c>
      <c r="CA670" s="97" t="n">
        <v>4.27</v>
      </c>
      <c r="CB670" s="97"/>
      <c r="CC670" s="97" t="n">
        <v>6.34</v>
      </c>
      <c r="CD670" s="97" t="n">
        <v>6.43</v>
      </c>
      <c r="CE670" s="97" t="n">
        <v>87.87</v>
      </c>
      <c r="CF670" s="97" t="n">
        <v>37.67</v>
      </c>
      <c r="CG670" s="97" t="n">
        <v>0.0916</v>
      </c>
      <c r="CH670" s="63" t="n">
        <v>66009.1646373004</v>
      </c>
      <c r="CI670" s="63" t="n">
        <v>1462.49106684919</v>
      </c>
      <c r="CJ670" s="64" t="n">
        <v>327510.103342921</v>
      </c>
      <c r="CK670" s="65" t="n">
        <v>0.446548381842707</v>
      </c>
    </row>
    <row r="671" s="1" customFormat="true" ht="15" hidden="false" customHeight="false" outlineLevel="0" collapsed="false">
      <c r="A671" s="7" t="s">
        <v>488</v>
      </c>
      <c r="B671" s="66" t="n">
        <v>662</v>
      </c>
      <c r="C671" s="8" t="s">
        <v>754</v>
      </c>
      <c r="D671" s="67" t="n">
        <v>41991</v>
      </c>
      <c r="E671" s="4" t="s">
        <v>490</v>
      </c>
      <c r="F671" s="7" t="n">
        <v>417</v>
      </c>
      <c r="G671" s="68" t="n">
        <v>1</v>
      </c>
      <c r="H671" s="68" t="n">
        <v>147</v>
      </c>
      <c r="I671" s="7" t="n">
        <v>1</v>
      </c>
      <c r="J671" s="8" t="n">
        <v>740</v>
      </c>
      <c r="K671" s="32"/>
      <c r="L671" s="31" t="n">
        <v>930.928</v>
      </c>
      <c r="M671" s="31" t="n">
        <v>161.175150464144</v>
      </c>
      <c r="N671" s="31" t="n">
        <v>319.596042027951</v>
      </c>
      <c r="O671" s="95"/>
      <c r="P671" s="33" t="n">
        <v>38.4576150158115</v>
      </c>
      <c r="Q671" s="33" t="n">
        <v>8.6</v>
      </c>
      <c r="R671" s="31" t="n">
        <v>256.146077731307</v>
      </c>
      <c r="S671" s="34" t="s">
        <v>76</v>
      </c>
      <c r="T671" s="35"/>
      <c r="U671" s="35"/>
      <c r="V671" s="35" t="n">
        <v>24.2224139831343</v>
      </c>
      <c r="W671" s="35" t="n">
        <v>22.5493234044912</v>
      </c>
      <c r="X671" s="35" t="n">
        <v>3.90405121833644</v>
      </c>
      <c r="Y671" s="35" t="n">
        <v>7.7413876373722</v>
      </c>
      <c r="Z671" s="35"/>
      <c r="AA671" s="35" t="n">
        <v>0.931536271716986</v>
      </c>
      <c r="AB671" s="35" t="n">
        <v>0.208312760254955</v>
      </c>
      <c r="AC671" s="71" t="n">
        <v>6.2044763349638</v>
      </c>
      <c r="AD671" s="72"/>
      <c r="AE671" s="72"/>
      <c r="AF671" s="72"/>
      <c r="AG671" s="72"/>
      <c r="AH671" s="72"/>
      <c r="AI671" s="73" t="n">
        <v>24.6592272066966</v>
      </c>
      <c r="AJ671" s="42" t="s">
        <v>16</v>
      </c>
      <c r="AK671" s="43" t="n">
        <v>651.246167290087</v>
      </c>
      <c r="AL671" s="74"/>
      <c r="AM671" s="74"/>
      <c r="AN671" s="74"/>
      <c r="AO671" s="78" t="n">
        <v>39.6857142857143</v>
      </c>
      <c r="AP671" s="76" t="n">
        <v>1.35225736845354</v>
      </c>
      <c r="AQ671" s="76" t="n">
        <v>1.30550187421908</v>
      </c>
      <c r="AR671" s="76" t="n">
        <v>1.9813931695127</v>
      </c>
      <c r="AS671" s="77" t="n">
        <v>36.1581462410888</v>
      </c>
      <c r="AT671" s="78" t="n">
        <v>37.2542483685753</v>
      </c>
      <c r="AU671" s="78" t="n">
        <v>34.074159752249</v>
      </c>
      <c r="AV671" s="78" t="n">
        <v>32.8960155490768</v>
      </c>
      <c r="AW671" s="78" t="n">
        <v>49.9271137026239</v>
      </c>
      <c r="AX671" s="78" t="n">
        <v>24.9225</v>
      </c>
      <c r="AY671" s="48" t="n">
        <v>1.53800725206476</v>
      </c>
      <c r="AZ671" s="48" t="n">
        <v>26.9465382023307</v>
      </c>
      <c r="BA671" s="48" t="n">
        <v>-2.72412421919644</v>
      </c>
      <c r="BB671" s="49" t="n">
        <f aca="false">AT671/V671</f>
        <v>1.53800725206476</v>
      </c>
      <c r="BC671" s="49" t="n">
        <f aca="false">AS671/V671</f>
        <v>1.492755687615</v>
      </c>
      <c r="BD671" s="49" t="n">
        <f aca="false">SUM(AP671:AR671)/V671</f>
        <v>0.191523124632231</v>
      </c>
      <c r="BE671" s="53" t="n">
        <v>6.32</v>
      </c>
      <c r="BF671" s="51" t="n">
        <v>106.37</v>
      </c>
      <c r="BG671" s="51" t="n">
        <v>597.912945379336</v>
      </c>
      <c r="BH671" s="51" t="n">
        <v>249.224405377456</v>
      </c>
      <c r="BI671" s="51" t="n">
        <v>117.044279402087</v>
      </c>
      <c r="BJ671" s="51" t="n">
        <v>8.7430666541318</v>
      </c>
      <c r="BK671" s="51" t="n">
        <v>12.1274795525054</v>
      </c>
      <c r="BL671" s="51" t="n">
        <v>13.4436401240951</v>
      </c>
      <c r="BM671" s="51" t="n">
        <v>1.50418351038827</v>
      </c>
      <c r="BN671" s="52" t="n">
        <f aca="false">(BG671*0.5-BH671*0.25+BI671*0.5)/SUM(BG671:BI671)*1000</f>
        <v>306.137870514821</v>
      </c>
      <c r="BO671" s="93" t="n">
        <v>5.07085714285714</v>
      </c>
      <c r="BP671" s="94" t="s">
        <v>491</v>
      </c>
      <c r="BQ671" s="55" t="n">
        <v>341.697968975469</v>
      </c>
      <c r="BR671" s="56" t="n">
        <v>14.1066852054213</v>
      </c>
      <c r="BS671" s="56"/>
      <c r="BT671" s="56" t="n">
        <v>9.17205376403991</v>
      </c>
      <c r="BU671" s="55" t="n">
        <v>11932.8873214286</v>
      </c>
      <c r="BV671" s="55" t="n">
        <v>492.638237036873</v>
      </c>
      <c r="BW671" s="55"/>
      <c r="BX671" s="55" t="n">
        <v>320.309437016966</v>
      </c>
      <c r="BY671" s="96" t="n">
        <v>0.07725</v>
      </c>
      <c r="BZ671" s="96" t="n">
        <v>0.5456</v>
      </c>
      <c r="CA671" s="97" t="n">
        <v>3.87</v>
      </c>
      <c r="CB671" s="97"/>
      <c r="CC671" s="97" t="n">
        <v>6.95</v>
      </c>
      <c r="CD671" s="97" t="n">
        <v>6.06</v>
      </c>
      <c r="CE671" s="97" t="n">
        <v>85.85</v>
      </c>
      <c r="CF671" s="97" t="n">
        <v>34.67</v>
      </c>
      <c r="CG671" s="97" t="n">
        <v>0.0708</v>
      </c>
      <c r="CH671" s="63" t="n">
        <v>39405.2855062856</v>
      </c>
      <c r="CI671" s="63" t="n">
        <v>5321.64427808979</v>
      </c>
      <c r="CJ671" s="64" t="n">
        <v>966142.357633057</v>
      </c>
      <c r="CK671" s="65" t="n">
        <v>0.55081368041116</v>
      </c>
    </row>
    <row r="672" s="1" customFormat="true" ht="15" hidden="false" customHeight="false" outlineLevel="0" collapsed="false">
      <c r="A672" s="7" t="s">
        <v>488</v>
      </c>
      <c r="B672" s="66" t="n">
        <v>663</v>
      </c>
      <c r="C672" s="8" t="s">
        <v>755</v>
      </c>
      <c r="D672" s="67" t="n">
        <v>41991</v>
      </c>
      <c r="E672" s="4" t="s">
        <v>490</v>
      </c>
      <c r="F672" s="7" t="n">
        <v>421</v>
      </c>
      <c r="G672" s="68" t="n">
        <v>1</v>
      </c>
      <c r="H672" s="68" t="n">
        <v>149</v>
      </c>
      <c r="I672" s="7" t="n">
        <v>1</v>
      </c>
      <c r="J672" s="8" t="n">
        <v>677</v>
      </c>
      <c r="K672" s="32"/>
      <c r="L672" s="31" t="n">
        <v>930.928</v>
      </c>
      <c r="M672" s="31" t="n">
        <v>161.175150464144</v>
      </c>
      <c r="N672" s="31" t="n">
        <v>319.596042027951</v>
      </c>
      <c r="O672" s="95"/>
      <c r="P672" s="33" t="n">
        <v>38.4576150158115</v>
      </c>
      <c r="Q672" s="33" t="n">
        <v>8.6</v>
      </c>
      <c r="R672" s="31" t="n">
        <v>256.146077731307</v>
      </c>
      <c r="S672" s="34" t="s">
        <v>76</v>
      </c>
      <c r="T672" s="35"/>
      <c r="U672" s="35"/>
      <c r="V672" s="35" t="n">
        <v>27.1332353258004</v>
      </c>
      <c r="W672" s="35" t="n">
        <v>25.2590884953767</v>
      </c>
      <c r="X672" s="35" t="n">
        <v>4.3732032862149</v>
      </c>
      <c r="Y672" s="35" t="n">
        <v>8.67167461753879</v>
      </c>
      <c r="Z672" s="35"/>
      <c r="AA672" s="35" t="n">
        <v>1.04347951829305</v>
      </c>
      <c r="AB672" s="35" t="n">
        <v>0.233345823801884</v>
      </c>
      <c r="AC672" s="71" t="n">
        <v>6.95007180486431</v>
      </c>
      <c r="AD672" s="72"/>
      <c r="AE672" s="72"/>
      <c r="AF672" s="72"/>
      <c r="AG672" s="72"/>
      <c r="AH672" s="72"/>
      <c r="AI672" s="73" t="n">
        <v>24.2978392965369</v>
      </c>
      <c r="AJ672" s="42" t="s">
        <v>16</v>
      </c>
      <c r="AK672" s="43" t="n">
        <v>646.059063316559</v>
      </c>
      <c r="AL672" s="74"/>
      <c r="AM672" s="74"/>
      <c r="AN672" s="74"/>
      <c r="AO672" s="78" t="n">
        <v>32.2571428571429</v>
      </c>
      <c r="AP672" s="76" t="n">
        <v>1.24666531478421</v>
      </c>
      <c r="AQ672" s="76" t="n">
        <v>1.16066152991809</v>
      </c>
      <c r="AR672" s="76" t="n">
        <v>1.55721435512981</v>
      </c>
      <c r="AS672" s="77" t="n">
        <v>31.6028368646203</v>
      </c>
      <c r="AT672" s="78" t="n">
        <v>32.5666684303321</v>
      </c>
      <c r="AU672" s="78" t="n">
        <v>38.6477289791385</v>
      </c>
      <c r="AV672" s="78" t="n">
        <v>35.9815354713314</v>
      </c>
      <c r="AW672" s="78" t="n">
        <v>48.2750242954325</v>
      </c>
      <c r="AX672" s="78" t="n">
        <v>28.625</v>
      </c>
      <c r="AY672" s="48" t="n">
        <v>1.20025010063452</v>
      </c>
      <c r="AZ672" s="48" t="n">
        <v>24.3994917552932</v>
      </c>
      <c r="BA672" s="48" t="n">
        <v>2.73374357050725</v>
      </c>
      <c r="BB672" s="49" t="n">
        <f aca="false">AT672/V672</f>
        <v>1.20025010063452</v>
      </c>
      <c r="BC672" s="49" t="n">
        <f aca="false">AS672/V672</f>
        <v>1.16472792444953</v>
      </c>
      <c r="BD672" s="49" t="n">
        <f aca="false">SUM(AP672:AR672)/V672</f>
        <v>0.146113839806723</v>
      </c>
      <c r="BE672" s="53" t="n">
        <v>5.83</v>
      </c>
      <c r="BF672" s="51" t="n">
        <v>133.59</v>
      </c>
      <c r="BG672" s="51" t="n">
        <v>533.572872220975</v>
      </c>
      <c r="BH672" s="51" t="n">
        <v>289.692342241186</v>
      </c>
      <c r="BI672" s="51" t="n">
        <v>140.65424058687</v>
      </c>
      <c r="BJ672" s="51" t="n">
        <v>5.83876038625646</v>
      </c>
      <c r="BK672" s="51" t="n">
        <v>17.7408488659331</v>
      </c>
      <c r="BL672" s="51" t="n">
        <v>9.95583501759113</v>
      </c>
      <c r="BM672" s="51" t="n">
        <v>2.54510068118871</v>
      </c>
      <c r="BN672" s="52" t="n">
        <f aca="false">(BG672*0.5-BH672*0.25+BI672*0.5)/SUM(BG672:BI672)*1000</f>
        <v>274.598120680283</v>
      </c>
      <c r="BO672" s="93" t="n">
        <v>9.23828571428571</v>
      </c>
      <c r="BP672" s="94" t="s">
        <v>491</v>
      </c>
      <c r="BQ672" s="55" t="n">
        <v>314.548534798535</v>
      </c>
      <c r="BR672" s="56" t="n">
        <v>11.5927397164995</v>
      </c>
      <c r="BS672" s="56"/>
      <c r="BT672" s="56" t="n">
        <v>9.65860341138146</v>
      </c>
      <c r="BU672" s="55" t="n">
        <v>12085.3882783883</v>
      </c>
      <c r="BV672" s="55" t="n">
        <v>445.40903925661</v>
      </c>
      <c r="BW672" s="55"/>
      <c r="BX672" s="55" t="n">
        <v>371.09685641446</v>
      </c>
      <c r="BY672" s="96" t="n">
        <v>0.07828</v>
      </c>
      <c r="BZ672" s="96" t="n">
        <v>0.9933</v>
      </c>
      <c r="CA672" s="97" t="n">
        <v>4.26</v>
      </c>
      <c r="CB672" s="97"/>
      <c r="CC672" s="97" t="n">
        <v>7.64</v>
      </c>
      <c r="CD672" s="97" t="n">
        <v>3.76</v>
      </c>
      <c r="CE672" s="97" t="n">
        <v>90.9</v>
      </c>
      <c r="CF672" s="97" t="n">
        <v>32.17</v>
      </c>
      <c r="CG672" s="97" t="n">
        <v>0.0708</v>
      </c>
      <c r="CH672" s="63" t="n">
        <v>40905.7413688497</v>
      </c>
      <c r="CI672" s="63" t="n">
        <v>4800.06041137443</v>
      </c>
      <c r="CJ672" s="64" t="n">
        <v>900638.695816504</v>
      </c>
      <c r="CK672" s="65" t="n">
        <v>0.532961822945302</v>
      </c>
    </row>
    <row r="673" s="1" customFormat="true" ht="15" hidden="false" customHeight="false" outlineLevel="0" collapsed="false">
      <c r="A673" s="7" t="s">
        <v>488</v>
      </c>
      <c r="B673" s="66" t="n">
        <v>664</v>
      </c>
      <c r="C673" s="8" t="s">
        <v>756</v>
      </c>
      <c r="D673" s="67" t="n">
        <v>41991</v>
      </c>
      <c r="E673" s="4" t="s">
        <v>490</v>
      </c>
      <c r="F673" s="7" t="n">
        <v>425</v>
      </c>
      <c r="G673" s="68" t="n">
        <v>1</v>
      </c>
      <c r="H673" s="68" t="n">
        <v>167</v>
      </c>
      <c r="I673" s="7" t="n">
        <v>2</v>
      </c>
      <c r="J673" s="8" t="n">
        <v>698</v>
      </c>
      <c r="K673" s="32"/>
      <c r="L673" s="31" t="n">
        <v>930.928</v>
      </c>
      <c r="M673" s="31" t="n">
        <v>161.175150464144</v>
      </c>
      <c r="N673" s="31" t="n">
        <v>319.596042027951</v>
      </c>
      <c r="O673" s="95"/>
      <c r="P673" s="33" t="n">
        <v>38.4576150158115</v>
      </c>
      <c r="Q673" s="33" t="n">
        <v>8.6</v>
      </c>
      <c r="R673" s="31" t="n">
        <v>256.146077731307</v>
      </c>
      <c r="S673" s="34" t="s">
        <v>76</v>
      </c>
      <c r="T673" s="35"/>
      <c r="U673" s="35"/>
      <c r="V673" s="35" t="n">
        <v>22.5513713468467</v>
      </c>
      <c r="W673" s="35" t="n">
        <v>20.9937030251773</v>
      </c>
      <c r="X673" s="35" t="n">
        <v>3.6347206700008</v>
      </c>
      <c r="Y673" s="35" t="n">
        <v>7.20732902475476</v>
      </c>
      <c r="Z673" s="35"/>
      <c r="AA673" s="35" t="n">
        <v>0.867271957335634</v>
      </c>
      <c r="AB673" s="35" t="n">
        <v>0.193941793582882</v>
      </c>
      <c r="AC673" s="71" t="n">
        <v>5.77644531795697</v>
      </c>
      <c r="AD673" s="72"/>
      <c r="AE673" s="72"/>
      <c r="AF673" s="72"/>
      <c r="AG673" s="72"/>
      <c r="AH673" s="72"/>
      <c r="AI673" s="73" t="n">
        <v>27.8587466128755</v>
      </c>
      <c r="AJ673" s="42" t="s">
        <v>16</v>
      </c>
      <c r="AK673" s="43" t="n">
        <v>691.299823373054</v>
      </c>
      <c r="AL673" s="74"/>
      <c r="AM673" s="74"/>
      <c r="AN673" s="74"/>
      <c r="AO673" s="78" t="n">
        <v>35.2285714285714</v>
      </c>
      <c r="AP673" s="76" t="n">
        <v>1.58983870950202</v>
      </c>
      <c r="AQ673" s="76" t="n">
        <v>1.38654727197001</v>
      </c>
      <c r="AR673" s="76" t="n">
        <v>1.72205747605165</v>
      </c>
      <c r="AS673" s="77" t="n">
        <v>37.9390092139589</v>
      </c>
      <c r="AT673" s="78" t="n">
        <v>39.3813148528877</v>
      </c>
      <c r="AU673" s="78" t="n">
        <v>45.1292415511524</v>
      </c>
      <c r="AV673" s="78" t="n">
        <v>39.3586005830904</v>
      </c>
      <c r="AW673" s="78" t="n">
        <v>48.8824101068999</v>
      </c>
      <c r="AX673" s="78" t="n">
        <v>26.65</v>
      </c>
      <c r="AY673" s="48" t="n">
        <v>1.74629357333492</v>
      </c>
      <c r="AZ673" s="48" t="n">
        <v>27.120412624737</v>
      </c>
      <c r="BA673" s="48" t="n">
        <v>-4.56904127789028</v>
      </c>
      <c r="BB673" s="49" t="n">
        <f aca="false">AT673/V673</f>
        <v>1.74629357333492</v>
      </c>
      <c r="BC673" s="49" t="n">
        <f aca="false">AS673/V673</f>
        <v>1.68233712400216</v>
      </c>
      <c r="BD673" s="49" t="n">
        <f aca="false">SUM(AP673:AR673)/V673</f>
        <v>0.208344024195258</v>
      </c>
      <c r="BE673" s="53" t="n">
        <v>6.2</v>
      </c>
      <c r="BF673" s="51" t="n">
        <v>127.59</v>
      </c>
      <c r="BG673" s="51" t="n">
        <v>591.817540559605</v>
      </c>
      <c r="BH673" s="51" t="n">
        <v>243.27925386002</v>
      </c>
      <c r="BI673" s="51" t="n">
        <v>130.49612038561</v>
      </c>
      <c r="BJ673" s="51" t="n">
        <v>6.74034015204953</v>
      </c>
      <c r="BK673" s="51" t="n">
        <v>12.7752958695823</v>
      </c>
      <c r="BL673" s="51" t="n">
        <v>11.9915353867858</v>
      </c>
      <c r="BM673" s="51" t="n">
        <v>2.89991378634689</v>
      </c>
      <c r="BN673" s="52" t="n">
        <f aca="false">(BG673*0.5-BH673*0.25+BI673*0.5)/SUM(BG673:BI673)*1000</f>
        <v>311.038961038961</v>
      </c>
      <c r="BO673" s="93" t="n">
        <v>13.3182857142857</v>
      </c>
      <c r="BP673" s="94" t="s">
        <v>491</v>
      </c>
      <c r="BQ673" s="55" t="n">
        <v>391.723345959596</v>
      </c>
      <c r="BR673" s="56" t="n">
        <v>17.3702671972704</v>
      </c>
      <c r="BS673" s="56"/>
      <c r="BT673" s="56" t="n">
        <v>9.94693415958589</v>
      </c>
      <c r="BU673" s="55" t="n">
        <v>12571.8646085859</v>
      </c>
      <c r="BV673" s="55" t="n">
        <v>557.476723487316</v>
      </c>
      <c r="BW673" s="55"/>
      <c r="BX673" s="55" t="n">
        <v>319.234252476057</v>
      </c>
      <c r="BY673" s="96" t="n">
        <v>0.08652</v>
      </c>
      <c r="BZ673" s="96" t="n">
        <v>0.9548</v>
      </c>
      <c r="CA673" s="97" t="n">
        <v>3.36</v>
      </c>
      <c r="CB673" s="97"/>
      <c r="CC673" s="97" t="n">
        <v>8.48</v>
      </c>
      <c r="CD673" s="97" t="n">
        <v>6.11</v>
      </c>
      <c r="CE673" s="97" t="n">
        <v>89.89</v>
      </c>
      <c r="CF673" s="97" t="n">
        <v>35.61</v>
      </c>
      <c r="CG673" s="97" t="n">
        <v>0.05</v>
      </c>
      <c r="CH673" s="63" t="n">
        <v>44125.0454192769</v>
      </c>
      <c r="CI673" s="63" t="n">
        <v>3115.63574938229</v>
      </c>
      <c r="CJ673" s="64" t="n">
        <v>563448.179183485</v>
      </c>
      <c r="CK673" s="65" t="n">
        <v>0.552958704010238</v>
      </c>
    </row>
    <row r="674" s="1" customFormat="true" ht="15" hidden="false" customHeight="false" outlineLevel="0" collapsed="false">
      <c r="A674" s="7" t="s">
        <v>488</v>
      </c>
      <c r="B674" s="66" t="n">
        <v>665</v>
      </c>
      <c r="C674" s="8" t="s">
        <v>757</v>
      </c>
      <c r="D674" s="67" t="n">
        <v>41991</v>
      </c>
      <c r="E674" s="4" t="s">
        <v>490</v>
      </c>
      <c r="F674" s="7" t="n">
        <v>427</v>
      </c>
      <c r="G674" s="68" t="n">
        <v>1</v>
      </c>
      <c r="H674" s="68" t="n">
        <v>215</v>
      </c>
      <c r="I674" s="7" t="n">
        <v>2</v>
      </c>
      <c r="J674" s="8" t="n">
        <v>729</v>
      </c>
      <c r="K674" s="32"/>
      <c r="L674" s="31" t="n">
        <v>930.928</v>
      </c>
      <c r="M674" s="31" t="n">
        <v>161.175150464144</v>
      </c>
      <c r="N674" s="31" t="n">
        <v>319.596042027951</v>
      </c>
      <c r="O674" s="95"/>
      <c r="P674" s="33" t="n">
        <v>38.4576150158115</v>
      </c>
      <c r="Q674" s="33" t="n">
        <v>8.6</v>
      </c>
      <c r="R674" s="31" t="n">
        <v>256.146077731307</v>
      </c>
      <c r="S674" s="34" t="s">
        <v>76</v>
      </c>
      <c r="T674" s="35"/>
      <c r="U674" s="35"/>
      <c r="V674" s="35" t="n">
        <v>21.8457313022682</v>
      </c>
      <c r="W674" s="35" t="n">
        <v>20.3368029497579</v>
      </c>
      <c r="X674" s="35" t="n">
        <v>3.52098902964232</v>
      </c>
      <c r="Y674" s="35" t="n">
        <v>6.98180925941101</v>
      </c>
      <c r="Z674" s="35"/>
      <c r="AA674" s="35" t="n">
        <v>0.840134724161491</v>
      </c>
      <c r="AB674" s="35" t="n">
        <v>0.187873289199506</v>
      </c>
      <c r="AC674" s="71" t="n">
        <v>5.59569838824802</v>
      </c>
      <c r="AD674" s="72"/>
      <c r="AE674" s="72"/>
      <c r="AF674" s="72"/>
      <c r="AG674" s="72"/>
      <c r="AH674" s="72"/>
      <c r="AI674" s="73" t="n">
        <v>30.2327776268527</v>
      </c>
      <c r="AJ674" s="42" t="s">
        <v>16</v>
      </c>
      <c r="AK674" s="43" t="n">
        <v>715.540526704318</v>
      </c>
      <c r="AL674" s="74"/>
      <c r="AM674" s="74"/>
      <c r="AN674" s="74"/>
      <c r="AO674" s="78" t="n">
        <v>31.0714285714286</v>
      </c>
      <c r="AP674" s="76" t="n">
        <v>1.61129213697879</v>
      </c>
      <c r="AQ674" s="76" t="n">
        <v>1.28709391920033</v>
      </c>
      <c r="AR674" s="76" t="n">
        <v>1.48412119950021</v>
      </c>
      <c r="AS674" s="77" t="n">
        <v>36.5979534832533</v>
      </c>
      <c r="AT674" s="78" t="n">
        <v>37.5957658923878</v>
      </c>
      <c r="AU674" s="78" t="n">
        <v>51.8576779717312</v>
      </c>
      <c r="AV674" s="78" t="n">
        <v>41.4237123420797</v>
      </c>
      <c r="AW674" s="78" t="n">
        <v>47.7648202137998</v>
      </c>
      <c r="AX674" s="78" t="n">
        <v>30.7375</v>
      </c>
      <c r="AY674" s="48" t="n">
        <v>1.72096623235883</v>
      </c>
      <c r="AZ674" s="48" t="n">
        <v>27.1581732179691</v>
      </c>
      <c r="BA674" s="48" t="n">
        <v>-5.3124419157009</v>
      </c>
      <c r="BB674" s="49" t="n">
        <f aca="false">AT674/V674</f>
        <v>1.72096623235883</v>
      </c>
      <c r="BC674" s="49" t="n">
        <f aca="false">AS674/V674</f>
        <v>1.67529083722885</v>
      </c>
      <c r="BD674" s="49" t="n">
        <f aca="false">SUM(AP674:AR674)/V674</f>
        <v>0.200611606681453</v>
      </c>
      <c r="BE674" s="53" t="n">
        <v>6.24</v>
      </c>
      <c r="BF674" s="51" t="n">
        <v>116.81</v>
      </c>
      <c r="BG674" s="51" t="n">
        <v>610.649773135862</v>
      </c>
      <c r="BH674" s="51" t="n">
        <v>206.146734012499</v>
      </c>
      <c r="BI674" s="51" t="n">
        <v>148.874240219159</v>
      </c>
      <c r="BJ674" s="51" t="n">
        <v>5.82141939902406</v>
      </c>
      <c r="BK674" s="51" t="n">
        <v>11.9852752332848</v>
      </c>
      <c r="BL674" s="51" t="n">
        <v>12.4989298861399</v>
      </c>
      <c r="BM674" s="51" t="n">
        <v>4.02362811403133</v>
      </c>
      <c r="BN674" s="52" t="n">
        <f aca="false">(BG674*0.5-BH674*0.25+BI674*0.5)/SUM(BG674:BI674)*1000</f>
        <v>339.893617021277</v>
      </c>
      <c r="BO674" s="93" t="n">
        <v>8.27657142857143</v>
      </c>
      <c r="BP674" s="94" t="s">
        <v>491</v>
      </c>
      <c r="BQ674" s="55" t="n">
        <v>463.860709132138</v>
      </c>
      <c r="BR674" s="56" t="n">
        <v>21.2334713227923</v>
      </c>
      <c r="BS674" s="56"/>
      <c r="BT674" s="56" t="n">
        <v>12.3381103728507</v>
      </c>
      <c r="BU674" s="55" t="n">
        <v>14382.3858895073</v>
      </c>
      <c r="BV674" s="55" t="n">
        <v>658.361383764436</v>
      </c>
      <c r="BW674" s="55"/>
      <c r="BX674" s="55" t="n">
        <v>382.553342061835</v>
      </c>
      <c r="BY674" s="96" t="n">
        <v>0.09373</v>
      </c>
      <c r="BZ674" s="96" t="n">
        <v>1.1484</v>
      </c>
      <c r="CA674" s="97" t="n">
        <v>3.45</v>
      </c>
      <c r="CB674" s="97"/>
      <c r="CC674" s="97" t="n">
        <v>7.28</v>
      </c>
      <c r="CD674" s="97" t="n">
        <v>5.76</v>
      </c>
      <c r="CE674" s="97" t="n">
        <v>93.93</v>
      </c>
      <c r="CF674" s="97" t="n">
        <v>35.48</v>
      </c>
      <c r="CG674" s="97" t="n">
        <v>0.0708</v>
      </c>
      <c r="CH674" s="63" t="n">
        <v>73378.4009471919</v>
      </c>
      <c r="CI674" s="63" t="n">
        <v>2758.21262603888</v>
      </c>
      <c r="CJ674" s="64" t="n">
        <v>848326.844102982</v>
      </c>
      <c r="CK674" s="65" t="n">
        <v>0.325135606071196</v>
      </c>
    </row>
    <row r="675" s="1" customFormat="true" ht="15" hidden="false" customHeight="false" outlineLevel="0" collapsed="false">
      <c r="A675" s="7" t="s">
        <v>488</v>
      </c>
      <c r="B675" s="66" t="n">
        <v>666</v>
      </c>
      <c r="C675" s="8" t="s">
        <v>758</v>
      </c>
      <c r="D675" s="67" t="n">
        <v>41991</v>
      </c>
      <c r="E675" s="4" t="s">
        <v>490</v>
      </c>
      <c r="F675" s="7" t="n">
        <v>428</v>
      </c>
      <c r="G675" s="68" t="n">
        <v>1</v>
      </c>
      <c r="H675" s="68" t="n">
        <v>206</v>
      </c>
      <c r="I675" s="7" t="n">
        <v>2</v>
      </c>
      <c r="J675" s="8" t="n">
        <v>833</v>
      </c>
      <c r="K675" s="32"/>
      <c r="L675" s="31" t="n">
        <v>930.928</v>
      </c>
      <c r="M675" s="31" t="n">
        <v>161.175150464144</v>
      </c>
      <c r="N675" s="31" t="n">
        <v>319.596042027951</v>
      </c>
      <c r="O675" s="95"/>
      <c r="P675" s="33" t="n">
        <v>38.4576150158115</v>
      </c>
      <c r="Q675" s="33" t="n">
        <v>8.6</v>
      </c>
      <c r="R675" s="31" t="n">
        <v>256.146077731307</v>
      </c>
      <c r="S675" s="34" t="s">
        <v>76</v>
      </c>
      <c r="T675" s="35"/>
      <c r="U675" s="35"/>
      <c r="V675" s="35" t="n">
        <v>24.217964977185</v>
      </c>
      <c r="W675" s="35" t="n">
        <v>22.5451817002809</v>
      </c>
      <c r="X675" s="35" t="n">
        <v>3.90333414913315</v>
      </c>
      <c r="Y675" s="35" t="n">
        <v>7.73996575267986</v>
      </c>
      <c r="Z675" s="35"/>
      <c r="AA675" s="35" t="n">
        <v>0.931365173558987</v>
      </c>
      <c r="AB675" s="35" t="n">
        <v>0.208274498803791</v>
      </c>
      <c r="AC675" s="71" t="n">
        <v>6.2033367395401</v>
      </c>
      <c r="AD675" s="72"/>
      <c r="AE675" s="72"/>
      <c r="AF675" s="72"/>
      <c r="AG675" s="72"/>
      <c r="AH675" s="72"/>
      <c r="AI675" s="73" t="n">
        <v>24.8451700975454</v>
      </c>
      <c r="AJ675" s="42" t="s">
        <v>16</v>
      </c>
      <c r="AK675" s="43" t="n">
        <v>653.856263964575</v>
      </c>
      <c r="AL675" s="74"/>
      <c r="AM675" s="74"/>
      <c r="AN675" s="74"/>
      <c r="AO675" s="78" t="n">
        <v>38.6285714285714</v>
      </c>
      <c r="AP675" s="76" t="n">
        <v>1.37699217344481</v>
      </c>
      <c r="AQ675" s="76" t="n">
        <v>1.37208385394974</v>
      </c>
      <c r="AR675" s="76" t="n">
        <v>1.8882576704151</v>
      </c>
      <c r="AS675" s="77" t="n">
        <v>36.1063111731008</v>
      </c>
      <c r="AT675" s="78" t="n">
        <v>37.5715359254004</v>
      </c>
      <c r="AU675" s="78" t="n">
        <v>35.6469867385862</v>
      </c>
      <c r="AV675" s="78" t="n">
        <v>35.5199222546161</v>
      </c>
      <c r="AW675" s="78" t="n">
        <v>48.8824101068999</v>
      </c>
      <c r="AX675" s="78" t="n">
        <v>32.0975</v>
      </c>
      <c r="AY675" s="48" t="n">
        <v>1.55139112476195</v>
      </c>
      <c r="AZ675" s="48" t="n">
        <v>28.3913670103842</v>
      </c>
      <c r="BA675" s="48" t="n">
        <v>-4.17340203319924</v>
      </c>
      <c r="BB675" s="49" t="n">
        <f aca="false">AT675/V675</f>
        <v>1.55139112476195</v>
      </c>
      <c r="BC675" s="49" t="n">
        <f aca="false">AS675/V675</f>
        <v>1.49088956099802</v>
      </c>
      <c r="BD675" s="49" t="n">
        <f aca="false">SUM(AP675:AR675)/V675</f>
        <v>0.191483211003829</v>
      </c>
      <c r="BE675" s="53" t="n">
        <v>5.91</v>
      </c>
      <c r="BF675" s="51" t="n">
        <v>124.6</v>
      </c>
      <c r="BG675" s="51" t="n">
        <v>595.987158908507</v>
      </c>
      <c r="BH675" s="51" t="n">
        <v>265.489566613162</v>
      </c>
      <c r="BI675" s="51" t="n">
        <v>108.828250401284</v>
      </c>
      <c r="BJ675" s="51" t="n">
        <v>6.34028892455859</v>
      </c>
      <c r="BK675" s="51" t="n">
        <v>11.1556982343499</v>
      </c>
      <c r="BL675" s="51" t="n">
        <v>10.5136436597111</v>
      </c>
      <c r="BM675" s="51" t="n">
        <v>1.68539325842697</v>
      </c>
      <c r="BN675" s="52" t="n">
        <f aca="false">(BG675*0.5-BH675*0.25+BI675*0.5)/SUM(BG675:BI675)*1000</f>
        <v>294.789081885856</v>
      </c>
      <c r="BO675" s="93" t="n">
        <v>4.66285714285714</v>
      </c>
      <c r="BP675" s="94" t="s">
        <v>491</v>
      </c>
      <c r="BQ675" s="55" t="n">
        <v>365.722807017544</v>
      </c>
      <c r="BR675" s="56" t="n">
        <v>15.1013021681252</v>
      </c>
      <c r="BS675" s="56"/>
      <c r="BT675" s="56" t="n">
        <v>9.73403929356785</v>
      </c>
      <c r="BU675" s="55" t="n">
        <v>13067.4666666667</v>
      </c>
      <c r="BV675" s="55" t="n">
        <v>539.577403756968</v>
      </c>
      <c r="BW675" s="55"/>
      <c r="BX675" s="55" t="n">
        <v>347.802301524552</v>
      </c>
      <c r="BY675" s="96" t="n">
        <v>0.07828</v>
      </c>
      <c r="BZ675" s="96" t="n">
        <v>0.6017</v>
      </c>
      <c r="CA675" s="97" t="n">
        <v>4.62</v>
      </c>
      <c r="CB675" s="97"/>
      <c r="CC675" s="97" t="n">
        <v>8.08</v>
      </c>
      <c r="CD675" s="97" t="n">
        <v>6.89</v>
      </c>
      <c r="CE675" s="97" t="n">
        <v>86.86</v>
      </c>
      <c r="CF675" s="97" t="n">
        <v>36.48</v>
      </c>
      <c r="CG675" s="97" t="n">
        <v>0.0292</v>
      </c>
      <c r="CH675" s="63" t="n">
        <v>83280.891253796</v>
      </c>
      <c r="CI675" s="63" t="n">
        <v>2736.43957128169</v>
      </c>
      <c r="CJ675" s="64" t="n">
        <v>547069.65900517</v>
      </c>
      <c r="CK675" s="65" t="n">
        <v>0.500199476654915</v>
      </c>
    </row>
    <row r="676" s="1" customFormat="true" ht="15" hidden="false" customHeight="false" outlineLevel="0" collapsed="false">
      <c r="A676" s="7" t="s">
        <v>488</v>
      </c>
      <c r="B676" s="66" t="n">
        <v>667</v>
      </c>
      <c r="C676" s="8" t="s">
        <v>759</v>
      </c>
      <c r="D676" s="67" t="n">
        <v>41991</v>
      </c>
      <c r="E676" s="4" t="s">
        <v>490</v>
      </c>
      <c r="F676" s="7" t="n">
        <v>440</v>
      </c>
      <c r="G676" s="68" t="n">
        <v>1</v>
      </c>
      <c r="H676" s="68" t="n">
        <v>75</v>
      </c>
      <c r="I676" s="7" t="n">
        <v>1</v>
      </c>
      <c r="J676" s="8" t="n">
        <v>729</v>
      </c>
      <c r="K676" s="32"/>
      <c r="L676" s="31" t="n">
        <v>930.928</v>
      </c>
      <c r="M676" s="31" t="n">
        <v>161.175150464144</v>
      </c>
      <c r="N676" s="31" t="n">
        <v>319.596042027951</v>
      </c>
      <c r="O676" s="95"/>
      <c r="P676" s="33" t="n">
        <v>38.4576150158115</v>
      </c>
      <c r="Q676" s="33" t="n">
        <v>8.6</v>
      </c>
      <c r="R676" s="31" t="n">
        <v>256.146077731307</v>
      </c>
      <c r="S676" s="34" t="s">
        <v>76</v>
      </c>
      <c r="T676" s="35"/>
      <c r="U676" s="35"/>
      <c r="V676" s="35" t="n">
        <v>28.2384698408583</v>
      </c>
      <c r="W676" s="35" t="n">
        <v>26.2879822520105</v>
      </c>
      <c r="X676" s="35" t="n">
        <v>4.55133962547751</v>
      </c>
      <c r="Y676" s="35" t="n">
        <v>9.02490319406395</v>
      </c>
      <c r="Z676" s="35"/>
      <c r="AA676" s="35" t="n">
        <v>1.08598420177533</v>
      </c>
      <c r="AB676" s="35" t="n">
        <v>0.242850840631381</v>
      </c>
      <c r="AC676" s="71" t="n">
        <v>7.23317329086964</v>
      </c>
      <c r="AD676" s="72"/>
      <c r="AE676" s="72"/>
      <c r="AF676" s="72"/>
      <c r="AG676" s="72"/>
      <c r="AH676" s="72"/>
      <c r="AI676" s="73" t="n">
        <v>27.1159379258721</v>
      </c>
      <c r="AJ676" s="42" t="s">
        <v>16</v>
      </c>
      <c r="AK676" s="43" t="n">
        <v>682.843351260422</v>
      </c>
      <c r="AL676" s="74"/>
      <c r="AM676" s="74"/>
      <c r="AN676" s="74"/>
      <c r="AO676" s="78" t="n">
        <v>42.9428571428571</v>
      </c>
      <c r="AP676" s="76" t="n">
        <v>1.31092625489475</v>
      </c>
      <c r="AQ676" s="76" t="n">
        <v>1.4648146605581</v>
      </c>
      <c r="AR676" s="76" t="n">
        <v>2.11167013744273</v>
      </c>
      <c r="AS676" s="77" t="n">
        <v>36.8410366805641</v>
      </c>
      <c r="AT676" s="78" t="n">
        <v>38.6856469949474</v>
      </c>
      <c r="AU676" s="78" t="n">
        <v>30.5272248312151</v>
      </c>
      <c r="AV676" s="78" t="n">
        <v>34.1107871720117</v>
      </c>
      <c r="AW676" s="78" t="n">
        <v>49.1739552964043</v>
      </c>
      <c r="AX676" s="78" t="n">
        <v>26.16</v>
      </c>
      <c r="AY676" s="48" t="n">
        <v>1.36996257987652</v>
      </c>
      <c r="AZ676" s="48" t="n">
        <v>25.561656358173</v>
      </c>
      <c r="BA676" s="48" t="n">
        <v>2.67681348268525</v>
      </c>
      <c r="BB676" s="49" t="n">
        <f aca="false">AT676/V676</f>
        <v>1.36996257987652</v>
      </c>
      <c r="BC676" s="49" t="n">
        <f aca="false">AS676/V676</f>
        <v>1.30463997830572</v>
      </c>
      <c r="BD676" s="49" t="n">
        <f aca="false">SUM(AP676:AR676)/V676</f>
        <v>0.173076341616216</v>
      </c>
      <c r="BE676" s="53" t="n">
        <v>6.17</v>
      </c>
      <c r="BF676" s="51" t="n">
        <v>117.72</v>
      </c>
      <c r="BG676" s="51" t="n">
        <v>621.0499490316</v>
      </c>
      <c r="BH676" s="51" t="n">
        <v>220.183486238532</v>
      </c>
      <c r="BI676" s="51" t="n">
        <v>128.015630309208</v>
      </c>
      <c r="BJ676" s="51" t="n">
        <v>5.69147128780156</v>
      </c>
      <c r="BK676" s="51" t="n">
        <v>10.9582059123344</v>
      </c>
      <c r="BL676" s="51" t="n">
        <v>9.76894325518179</v>
      </c>
      <c r="BM676" s="51" t="n">
        <v>4.33231396534149</v>
      </c>
      <c r="BN676" s="52" t="n">
        <f aca="false">(BG676*0.5-BH676*0.25+BI676*0.5)/SUM(BG676:BI676)*1000</f>
        <v>329.623137598598</v>
      </c>
      <c r="BO676" s="93" t="n">
        <v>10.4331428571429</v>
      </c>
      <c r="BP676" s="94" t="s">
        <v>491</v>
      </c>
      <c r="BQ676" s="55" t="n">
        <v>400.449248120301</v>
      </c>
      <c r="BR676" s="56" t="n">
        <v>14.1809825524218</v>
      </c>
      <c r="BS676" s="56"/>
      <c r="BT676" s="56" t="n">
        <v>10.351364891806</v>
      </c>
      <c r="BU676" s="55" t="n">
        <v>13203.3290726817</v>
      </c>
      <c r="BV676" s="55" t="n">
        <v>467.565315935703</v>
      </c>
      <c r="BW676" s="55"/>
      <c r="BX676" s="55" t="n">
        <v>341.297873973935</v>
      </c>
      <c r="BY676" s="96" t="n">
        <v>0.10815</v>
      </c>
      <c r="BZ676" s="96" t="n">
        <v>0.8899</v>
      </c>
      <c r="CA676" s="97" t="n">
        <v>3.81</v>
      </c>
      <c r="CB676" s="97"/>
      <c r="CC676" s="97" t="n">
        <v>5.17</v>
      </c>
      <c r="CD676" s="97" t="n">
        <v>6.39</v>
      </c>
      <c r="CE676" s="97" t="n">
        <v>83.83</v>
      </c>
      <c r="CF676" s="97" t="n">
        <v>36.95</v>
      </c>
      <c r="CG676" s="97" t="n">
        <v>0.0916</v>
      </c>
      <c r="CH676" s="63" t="n">
        <v>83269.2171368523</v>
      </c>
      <c r="CI676" s="63" t="n">
        <v>2861.07234936164</v>
      </c>
      <c r="CJ676" s="64" t="n">
        <v>703767.916638143</v>
      </c>
      <c r="CK676" s="65" t="n">
        <v>0.40653634269502</v>
      </c>
    </row>
    <row r="677" s="1" customFormat="true" ht="15" hidden="false" customHeight="false" outlineLevel="0" collapsed="false">
      <c r="A677" s="7" t="s">
        <v>488</v>
      </c>
      <c r="B677" s="66" t="n">
        <v>668</v>
      </c>
      <c r="C677" s="8" t="s">
        <v>760</v>
      </c>
      <c r="D677" s="67" t="n">
        <v>41991</v>
      </c>
      <c r="E677" s="4" t="s">
        <v>490</v>
      </c>
      <c r="F677" s="7" t="n">
        <v>442</v>
      </c>
      <c r="G677" s="68" t="n">
        <v>1</v>
      </c>
      <c r="H677" s="68" t="n">
        <v>114</v>
      </c>
      <c r="I677" s="7" t="n">
        <v>1</v>
      </c>
      <c r="J677" s="8" t="n">
        <v>771</v>
      </c>
      <c r="K677" s="32"/>
      <c r="L677" s="31" t="n">
        <v>930.928</v>
      </c>
      <c r="M677" s="31" t="n">
        <v>161.175150464144</v>
      </c>
      <c r="N677" s="31" t="n">
        <v>319.596042027951</v>
      </c>
      <c r="O677" s="95"/>
      <c r="P677" s="33" t="n">
        <v>38.4576150158115</v>
      </c>
      <c r="Q677" s="33" t="n">
        <v>8.6</v>
      </c>
      <c r="R677" s="31" t="n">
        <v>256.146077731307</v>
      </c>
      <c r="S677" s="34" t="s">
        <v>76</v>
      </c>
      <c r="T677" s="35"/>
      <c r="U677" s="35"/>
      <c r="V677" s="35" t="n">
        <v>24.1608133628829</v>
      </c>
      <c r="W677" s="35" t="n">
        <v>22.4919776622819</v>
      </c>
      <c r="X677" s="35" t="n">
        <v>3.89412272909875</v>
      </c>
      <c r="Y677" s="35" t="n">
        <v>7.72170032295341</v>
      </c>
      <c r="Z677" s="35"/>
      <c r="AA677" s="35" t="n">
        <v>0.929167258778626</v>
      </c>
      <c r="AB677" s="35" t="n">
        <v>0.207782994920793</v>
      </c>
      <c r="AC677" s="71" t="n">
        <v>6.18869757770061</v>
      </c>
      <c r="AD677" s="72"/>
      <c r="AE677" s="72"/>
      <c r="AF677" s="72"/>
      <c r="AG677" s="72"/>
      <c r="AH677" s="72"/>
      <c r="AI677" s="73" t="n">
        <v>28.4411060184187</v>
      </c>
      <c r="AJ677" s="42" t="s">
        <v>16</v>
      </c>
      <c r="AK677" s="43" t="n">
        <v>697.620760794936</v>
      </c>
      <c r="AL677" s="74"/>
      <c r="AM677" s="74"/>
      <c r="AN677" s="74"/>
      <c r="AO677" s="78" t="n">
        <v>37.9571428571429</v>
      </c>
      <c r="AP677" s="76" t="n">
        <v>1.28846744290116</v>
      </c>
      <c r="AQ677" s="76" t="n">
        <v>1.20529605719839</v>
      </c>
      <c r="AR677" s="76" t="n">
        <v>1.95595481049563</v>
      </c>
      <c r="AS677" s="77" t="n">
        <v>34.5098687863746</v>
      </c>
      <c r="AT677" s="78" t="n">
        <v>35.5584946082981</v>
      </c>
      <c r="AU677" s="78" t="n">
        <v>33.9453221690182</v>
      </c>
      <c r="AV677" s="78" t="n">
        <v>31.754130223518</v>
      </c>
      <c r="AW677" s="78" t="n">
        <v>51.530612244898</v>
      </c>
      <c r="AX677" s="78" t="n">
        <v>24.75</v>
      </c>
      <c r="AY677" s="48" t="n">
        <v>1.47174244816298</v>
      </c>
      <c r="AZ677" s="48" t="n">
        <v>26.4157212331719</v>
      </c>
      <c r="BA677" s="48" t="n">
        <v>-2.25490787028896</v>
      </c>
      <c r="BB677" s="49" t="n">
        <f aca="false">AT677/V677</f>
        <v>1.47174244816298</v>
      </c>
      <c r="BC677" s="49" t="n">
        <f aca="false">AS677/V677</f>
        <v>1.42834052264939</v>
      </c>
      <c r="BD677" s="49" t="n">
        <f aca="false">SUM(AP677:AR677)/V677</f>
        <v>0.184170882153788</v>
      </c>
      <c r="BE677" s="53" t="n">
        <v>6.15</v>
      </c>
      <c r="BF677" s="51" t="n">
        <v>113.54</v>
      </c>
      <c r="BG677" s="51" t="n">
        <v>619.693500088075</v>
      </c>
      <c r="BH677" s="51" t="n">
        <v>227.849216135283</v>
      </c>
      <c r="BI677" s="51" t="n">
        <v>120.662321648758</v>
      </c>
      <c r="BJ677" s="51" t="n">
        <v>6.78175092478422</v>
      </c>
      <c r="BK677" s="51" t="n">
        <v>11.0093359168575</v>
      </c>
      <c r="BL677" s="51" t="n">
        <v>10.8331865421878</v>
      </c>
      <c r="BM677" s="51" t="n">
        <v>3.17068874405496</v>
      </c>
      <c r="BN677" s="52" t="n">
        <f aca="false">(BG677*0.5-BH677*0.25+BI677*0.5)/SUM(BG677:BI677)*1000</f>
        <v>323.501319021195</v>
      </c>
      <c r="BO677" s="93" t="n">
        <v>4.75028571428572</v>
      </c>
      <c r="BP677" s="94" t="s">
        <v>491</v>
      </c>
      <c r="BQ677" s="55" t="n">
        <v>385.973185941043</v>
      </c>
      <c r="BR677" s="56" t="n">
        <v>15.9751735235037</v>
      </c>
      <c r="BS677" s="56"/>
      <c r="BT677" s="56" t="n">
        <v>10.8545986041538</v>
      </c>
      <c r="BU677" s="55" t="n">
        <v>12271.9865079365</v>
      </c>
      <c r="BV677" s="55" t="n">
        <v>507.929361632723</v>
      </c>
      <c r="BW677" s="55"/>
      <c r="BX677" s="55" t="n">
        <v>345.121092529959</v>
      </c>
      <c r="BY677" s="96" t="n">
        <v>0.12463</v>
      </c>
      <c r="BZ677" s="96" t="n">
        <v>0.7117</v>
      </c>
      <c r="CA677" s="97" t="n">
        <v>3.71</v>
      </c>
      <c r="CB677" s="97"/>
      <c r="CC677" s="97" t="n">
        <v>6.7</v>
      </c>
      <c r="CD677" s="97" t="n">
        <v>7.88</v>
      </c>
      <c r="CE677" s="97" t="n">
        <v>83.83</v>
      </c>
      <c r="CF677" s="97" t="n">
        <v>37.15</v>
      </c>
      <c r="CG677" s="97" t="n">
        <v>0.0188</v>
      </c>
      <c r="CH677" s="63" t="n">
        <v>19550.0442747515</v>
      </c>
      <c r="CI677" s="63" t="n">
        <v>1603.11131011012</v>
      </c>
      <c r="CJ677" s="64" t="n">
        <v>856652.850300872</v>
      </c>
      <c r="CK677" s="65" t="n">
        <v>0.187136634115801</v>
      </c>
    </row>
    <row r="678" s="1" customFormat="true" ht="15" hidden="false" customHeight="false" outlineLevel="0" collapsed="false">
      <c r="A678" s="7" t="s">
        <v>488</v>
      </c>
      <c r="B678" s="66" t="n">
        <v>669</v>
      </c>
      <c r="C678" s="8" t="s">
        <v>761</v>
      </c>
      <c r="D678" s="67" t="n">
        <v>41991</v>
      </c>
      <c r="E678" s="4" t="s">
        <v>490</v>
      </c>
      <c r="F678" s="7" t="n">
        <v>443</v>
      </c>
      <c r="G678" s="68" t="n">
        <v>1</v>
      </c>
      <c r="H678" s="68" t="n">
        <v>157</v>
      </c>
      <c r="I678" s="7" t="n">
        <v>1</v>
      </c>
      <c r="J678" s="8" t="n">
        <v>698</v>
      </c>
      <c r="K678" s="32"/>
      <c r="L678" s="31" t="n">
        <v>930.928</v>
      </c>
      <c r="M678" s="31" t="n">
        <v>161.175150464144</v>
      </c>
      <c r="N678" s="31" t="n">
        <v>319.596042027951</v>
      </c>
      <c r="O678" s="95"/>
      <c r="P678" s="33" t="n">
        <v>38.4576150158115</v>
      </c>
      <c r="Q678" s="33" t="n">
        <v>8.6</v>
      </c>
      <c r="R678" s="31" t="n">
        <v>256.146077731307</v>
      </c>
      <c r="S678" s="34" t="s">
        <v>76</v>
      </c>
      <c r="T678" s="35"/>
      <c r="U678" s="35"/>
      <c r="V678" s="35" t="n">
        <v>20.0532458889514</v>
      </c>
      <c r="W678" s="35" t="n">
        <v>18.6681280889098</v>
      </c>
      <c r="X678" s="35" t="n">
        <v>3.23208492344622</v>
      </c>
      <c r="Y678" s="35" t="n">
        <v>6.40893801592215</v>
      </c>
      <c r="Z678" s="35"/>
      <c r="AA678" s="35" t="n">
        <v>0.771200010214699</v>
      </c>
      <c r="AB678" s="35" t="n">
        <v>0.172457914644982</v>
      </c>
      <c r="AC678" s="71" t="n">
        <v>5.13656028023636</v>
      </c>
      <c r="AD678" s="72"/>
      <c r="AE678" s="72"/>
      <c r="AF678" s="72"/>
      <c r="AG678" s="72"/>
      <c r="AH678" s="72"/>
      <c r="AI678" s="73" t="n">
        <v>24.1404450811388</v>
      </c>
      <c r="AJ678" s="42" t="s">
        <v>16</v>
      </c>
      <c r="AK678" s="43" t="n">
        <v>643.751390204513</v>
      </c>
      <c r="AL678" s="74"/>
      <c r="AM678" s="74"/>
      <c r="AN678" s="74"/>
      <c r="AO678" s="78" t="n">
        <v>42.1</v>
      </c>
      <c r="AP678" s="76" t="n">
        <v>1.07646499187125</v>
      </c>
      <c r="AQ678" s="76" t="n">
        <v>1.38083090379009</v>
      </c>
      <c r="AR678" s="76" t="n">
        <v>2.07329203109815</v>
      </c>
      <c r="AS678" s="77" t="n">
        <v>32.9869748780687</v>
      </c>
      <c r="AT678" s="78" t="n">
        <v>34.9708398900485</v>
      </c>
      <c r="AU678" s="78" t="n">
        <v>25.5692397119061</v>
      </c>
      <c r="AV678" s="78" t="n">
        <v>32.798833819242</v>
      </c>
      <c r="AW678" s="78" t="n">
        <v>49.2468415937804</v>
      </c>
      <c r="AX678" s="78" t="n">
        <v>24.2125</v>
      </c>
      <c r="AY678" s="48" t="n">
        <v>1.74389922128847</v>
      </c>
      <c r="AZ678" s="48" t="n">
        <v>25.2469532584424</v>
      </c>
      <c r="BA678" s="48" t="n">
        <v>-5.19370736949099</v>
      </c>
      <c r="BB678" s="49" t="n">
        <f aca="false">AT678/V678</f>
        <v>1.74389922128847</v>
      </c>
      <c r="BC678" s="49" t="n">
        <f aca="false">AS678/V678</f>
        <v>1.64496935113349</v>
      </c>
      <c r="BD678" s="49" t="n">
        <f aca="false">SUM(AP678:AR678)/V678</f>
        <v>0.22592790971838</v>
      </c>
      <c r="BE678" s="53" t="n">
        <v>6.12</v>
      </c>
      <c r="BF678" s="51" t="n">
        <v>117.63</v>
      </c>
      <c r="BG678" s="51" t="n">
        <v>549.094618719714</v>
      </c>
      <c r="BH678" s="51" t="n">
        <v>295.247810932585</v>
      </c>
      <c r="BI678" s="51" t="n">
        <v>123.692935475644</v>
      </c>
      <c r="BJ678" s="51" t="n">
        <v>3.99557935900706</v>
      </c>
      <c r="BK678" s="51" t="n">
        <v>18.9577488735867</v>
      </c>
      <c r="BL678" s="51" t="n">
        <v>6.71597381620335</v>
      </c>
      <c r="BM678" s="51" t="n">
        <v>2.29533282325937</v>
      </c>
      <c r="BN678" s="52" t="n">
        <f aca="false">(BG678*0.5-BH678*0.25+BI678*0.5)/SUM(BG678:BI678)*1000</f>
        <v>271.252305260385</v>
      </c>
      <c r="BO678" s="93" t="n">
        <v>5.79942857142857</v>
      </c>
      <c r="BP678" s="94" t="s">
        <v>491</v>
      </c>
      <c r="BQ678" s="55" t="n">
        <v>325.383333333333</v>
      </c>
      <c r="BR678" s="56" t="n">
        <v>16.2259683611922</v>
      </c>
      <c r="BS678" s="56"/>
      <c r="BT678" s="56" t="n">
        <v>9.30441860579751</v>
      </c>
      <c r="BU678" s="55" t="n">
        <v>12936.8419753086</v>
      </c>
      <c r="BV678" s="55" t="n">
        <v>645.124587159047</v>
      </c>
      <c r="BW678" s="55"/>
      <c r="BX678" s="55" t="n">
        <v>369.932264022918</v>
      </c>
      <c r="BY678" s="96" t="n">
        <v>0.0927</v>
      </c>
      <c r="BZ678" s="96" t="n">
        <v>0.8173</v>
      </c>
      <c r="CA678" s="97" t="n">
        <v>3.76</v>
      </c>
      <c r="CB678" s="97"/>
      <c r="CC678" s="97" t="n">
        <v>5.62</v>
      </c>
      <c r="CD678" s="97" t="n">
        <v>7.86</v>
      </c>
      <c r="CE678" s="97" t="n">
        <v>77.77</v>
      </c>
      <c r="CF678" s="97" t="n">
        <v>35.62</v>
      </c>
      <c r="CG678" s="97" t="n">
        <v>0.05</v>
      </c>
      <c r="CH678" s="63" t="n">
        <v>72167.4584834242</v>
      </c>
      <c r="CI678" s="63" t="n">
        <v>1533.63302388892</v>
      </c>
      <c r="CJ678" s="64" t="n">
        <v>653714.149643258</v>
      </c>
      <c r="CK678" s="65" t="n">
        <v>0.23460300266192</v>
      </c>
    </row>
    <row r="679" s="1" customFormat="true" ht="15" hidden="false" customHeight="false" outlineLevel="0" collapsed="false">
      <c r="A679" s="7" t="s">
        <v>488</v>
      </c>
      <c r="B679" s="66" t="n">
        <v>670</v>
      </c>
      <c r="C679" s="8" t="s">
        <v>762</v>
      </c>
      <c r="D679" s="67" t="n">
        <v>41991</v>
      </c>
      <c r="E679" s="4" t="s">
        <v>490</v>
      </c>
      <c r="F679" s="7" t="n">
        <v>505</v>
      </c>
      <c r="G679" s="68" t="n">
        <v>1</v>
      </c>
      <c r="H679" s="68" t="n">
        <v>299</v>
      </c>
      <c r="I679" s="7" t="n">
        <v>1</v>
      </c>
      <c r="J679" s="8" t="n">
        <v>594</v>
      </c>
      <c r="K679" s="32"/>
      <c r="L679" s="31" t="n">
        <v>930.928</v>
      </c>
      <c r="M679" s="31" t="n">
        <v>161.175150464144</v>
      </c>
      <c r="N679" s="31" t="n">
        <v>319.596042027951</v>
      </c>
      <c r="O679" s="95"/>
      <c r="P679" s="33" t="n">
        <v>38.4576150158115</v>
      </c>
      <c r="Q679" s="33" t="n">
        <v>8.6</v>
      </c>
      <c r="R679" s="31" t="n">
        <v>256.146077731307</v>
      </c>
      <c r="S679" s="34" t="s">
        <v>76</v>
      </c>
      <c r="T679" s="35"/>
      <c r="U679" s="35"/>
      <c r="V679" s="35" t="n">
        <v>18.7374355681668</v>
      </c>
      <c r="W679" s="35" t="n">
        <v>17.4432034186024</v>
      </c>
      <c r="X679" s="35" t="n">
        <v>3.02000899701149</v>
      </c>
      <c r="Y679" s="35" t="n">
        <v>5.98841024533987</v>
      </c>
      <c r="Z679" s="35"/>
      <c r="AA679" s="35" t="n">
        <v>0.720597083464134</v>
      </c>
      <c r="AB679" s="35" t="n">
        <v>0.161141945886235</v>
      </c>
      <c r="AC679" s="71" t="n">
        <v>4.79952062752902</v>
      </c>
      <c r="AD679" s="72"/>
      <c r="AE679" s="72"/>
      <c r="AF679" s="72"/>
      <c r="AG679" s="72"/>
      <c r="AH679" s="72"/>
      <c r="AI679" s="73" t="n">
        <v>28.2102944047685</v>
      </c>
      <c r="AJ679" s="42" t="s">
        <v>16</v>
      </c>
      <c r="AK679" s="43" t="n">
        <v>695.146747616136</v>
      </c>
      <c r="AL679" s="74"/>
      <c r="AM679" s="74"/>
      <c r="AN679" s="74"/>
      <c r="AO679" s="78" t="n">
        <v>32.2285714285714</v>
      </c>
      <c r="AP679" s="76" t="n">
        <v>1.35338157340006</v>
      </c>
      <c r="AQ679" s="76" t="n">
        <v>1.16589754269055</v>
      </c>
      <c r="AR679" s="76" t="n">
        <v>1.56053311120367</v>
      </c>
      <c r="AS679" s="77" t="n">
        <v>33.1921521724294</v>
      </c>
      <c r="AT679" s="78" t="n">
        <v>33.9259821280935</v>
      </c>
      <c r="AU679" s="78" t="n">
        <v>41.9932225789025</v>
      </c>
      <c r="AV679" s="78" t="n">
        <v>36.175898931001</v>
      </c>
      <c r="AW679" s="78" t="n">
        <v>48.4207968901847</v>
      </c>
      <c r="AX679" s="78" t="n">
        <v>32.0475</v>
      </c>
      <c r="AY679" s="48" t="n">
        <v>1.81059900137725</v>
      </c>
      <c r="AZ679" s="48" t="n">
        <v>23.9912568106007</v>
      </c>
      <c r="BA679" s="48" t="n">
        <v>-5.25382124243382</v>
      </c>
      <c r="BB679" s="49" t="n">
        <f aca="false">AT679/V679</f>
        <v>1.81059900137725</v>
      </c>
      <c r="BC679" s="49" t="n">
        <f aca="false">AS679/V679</f>
        <v>1.77143515993297</v>
      </c>
      <c r="BD679" s="49" t="n">
        <f aca="false">SUM(AP679:AR679)/V679</f>
        <v>0.21773589093619</v>
      </c>
      <c r="BE679" s="53" t="n">
        <v>6.63</v>
      </c>
      <c r="BF679" s="51" t="n">
        <v>91.73</v>
      </c>
      <c r="BG679" s="51" t="n">
        <v>617.02823503761</v>
      </c>
      <c r="BH679" s="51" t="n">
        <v>202.223918020277</v>
      </c>
      <c r="BI679" s="51" t="n">
        <v>139.103891856535</v>
      </c>
      <c r="BJ679" s="51" t="n">
        <v>6.97699771067263</v>
      </c>
      <c r="BK679" s="51" t="n">
        <v>14.0630110105745</v>
      </c>
      <c r="BL679" s="51" t="n">
        <v>15.3711980813256</v>
      </c>
      <c r="BM679" s="51" t="n">
        <v>5.23274828300447</v>
      </c>
      <c r="BN679" s="52" t="n">
        <f aca="false">(BG679*0.5-BH679*0.25+BI679*0.5)/SUM(BG679:BI679)*1000</f>
        <v>341.741553861904</v>
      </c>
      <c r="BO679" s="93" t="n">
        <v>9.35485714285714</v>
      </c>
      <c r="BP679" s="94" t="s">
        <v>491</v>
      </c>
      <c r="BQ679" s="55" t="n">
        <v>403.516666666667</v>
      </c>
      <c r="BR679" s="56" t="n">
        <v>21.5353197719438</v>
      </c>
      <c r="BS679" s="56"/>
      <c r="BT679" s="56" t="n">
        <v>11.8940305145219</v>
      </c>
      <c r="BU679" s="55" t="n">
        <v>11624.6575</v>
      </c>
      <c r="BV679" s="55" t="n">
        <v>620.397463554149</v>
      </c>
      <c r="BW679" s="55"/>
      <c r="BX679" s="55" t="n">
        <v>342.64763378431</v>
      </c>
      <c r="BY679" s="96" t="n">
        <v>0.09167</v>
      </c>
      <c r="BZ679" s="96" t="n">
        <v>1.2012</v>
      </c>
      <c r="CA679" s="97" t="n">
        <v>3.57</v>
      </c>
      <c r="CB679" s="97"/>
      <c r="CC679" s="97" t="n">
        <v>6.34</v>
      </c>
      <c r="CD679" s="97" t="n">
        <v>6.48</v>
      </c>
      <c r="CE679" s="97" t="n">
        <v>78.78</v>
      </c>
      <c r="CF679" s="97" t="n">
        <v>35.43</v>
      </c>
      <c r="CG679" s="97" t="n">
        <v>0.0708</v>
      </c>
      <c r="CH679" s="63" t="n">
        <v>57582.163688789</v>
      </c>
      <c r="CI679" s="63" t="n">
        <v>2822.88132494776</v>
      </c>
      <c r="CJ679" s="64" t="n">
        <v>826586.459821476</v>
      </c>
      <c r="CK679" s="65" t="n">
        <v>0.341510714506192</v>
      </c>
    </row>
    <row r="680" s="1" customFormat="true" ht="15" hidden="false" customHeight="false" outlineLevel="0" collapsed="false">
      <c r="A680" s="7" t="s">
        <v>488</v>
      </c>
      <c r="B680" s="66" t="n">
        <v>671</v>
      </c>
      <c r="C680" s="8" t="s">
        <v>763</v>
      </c>
      <c r="D680" s="67" t="n">
        <v>41991</v>
      </c>
      <c r="E680" s="4" t="s">
        <v>490</v>
      </c>
      <c r="F680" s="7" t="n">
        <v>516</v>
      </c>
      <c r="G680" s="68" t="n">
        <v>1</v>
      </c>
      <c r="H680" s="68" t="n">
        <v>135</v>
      </c>
      <c r="I680" s="7" t="n">
        <v>1</v>
      </c>
      <c r="J680" s="8" t="n">
        <v>698</v>
      </c>
      <c r="K680" s="32"/>
      <c r="L680" s="31" t="n">
        <v>930.928</v>
      </c>
      <c r="M680" s="31" t="n">
        <v>161.175150464144</v>
      </c>
      <c r="N680" s="31" t="n">
        <v>319.596042027951</v>
      </c>
      <c r="O680" s="95"/>
      <c r="P680" s="33" t="n">
        <v>38.4576150158115</v>
      </c>
      <c r="Q680" s="33" t="n">
        <v>8.6</v>
      </c>
      <c r="R680" s="31" t="n">
        <v>256.146077731307</v>
      </c>
      <c r="S680" s="34" t="s">
        <v>76</v>
      </c>
      <c r="T680" s="35"/>
      <c r="U680" s="35"/>
      <c r="V680" s="35" t="n">
        <v>20.2556431520679</v>
      </c>
      <c r="W680" s="35" t="n">
        <v>18.8565453682682</v>
      </c>
      <c r="X680" s="35" t="n">
        <v>3.26470633278254</v>
      </c>
      <c r="Y680" s="35" t="n">
        <v>6.47362338013145</v>
      </c>
      <c r="Z680" s="35"/>
      <c r="AA680" s="35" t="n">
        <v>0.778983726239884</v>
      </c>
      <c r="AB680" s="35" t="n">
        <v>0.174198531107784</v>
      </c>
      <c r="AC680" s="71" t="n">
        <v>5.18840354532718</v>
      </c>
      <c r="AD680" s="72"/>
      <c r="AE680" s="72"/>
      <c r="AF680" s="72"/>
      <c r="AG680" s="72"/>
      <c r="AH680" s="72"/>
      <c r="AI680" s="73" t="n">
        <v>25.7019270211408</v>
      </c>
      <c r="AJ680" s="42" t="s">
        <v>16</v>
      </c>
      <c r="AK680" s="43" t="n">
        <v>665.394738965441</v>
      </c>
      <c r="AL680" s="74"/>
      <c r="AM680" s="74"/>
      <c r="AN680" s="74"/>
      <c r="AO680" s="78" t="n">
        <v>40.3</v>
      </c>
      <c r="AP680" s="76" t="n">
        <v>1.39274130728358</v>
      </c>
      <c r="AQ680" s="76" t="n">
        <v>1.31102283770651</v>
      </c>
      <c r="AR680" s="76" t="n">
        <v>1.97485665694849</v>
      </c>
      <c r="AS680" s="77" t="n">
        <v>37.0111196092537</v>
      </c>
      <c r="AT680" s="78" t="n">
        <v>37.760217785792</v>
      </c>
      <c r="AU680" s="78" t="n">
        <v>34.5593376497167</v>
      </c>
      <c r="AV680" s="78" t="n">
        <v>32.5315840621963</v>
      </c>
      <c r="AW680" s="78" t="n">
        <v>49.0038872691934</v>
      </c>
      <c r="AX680" s="78" t="n">
        <v>27.4175</v>
      </c>
      <c r="AY680" s="48" t="n">
        <v>1.86418261332458</v>
      </c>
      <c r="AZ680" s="48" t="n">
        <v>26.5853721005073</v>
      </c>
      <c r="BA680" s="48" t="n">
        <v>-6.3297289484394</v>
      </c>
      <c r="BB680" s="49" t="n">
        <f aca="false">AT680/V680</f>
        <v>1.86418261332458</v>
      </c>
      <c r="BC680" s="49" t="n">
        <f aca="false">AS680/V680</f>
        <v>1.82720041676264</v>
      </c>
      <c r="BD680" s="49" t="n">
        <f aca="false">SUM(AP680:AR680)/V680</f>
        <v>0.230978634784103</v>
      </c>
      <c r="BE680" s="53" t="n">
        <v>6.34</v>
      </c>
      <c r="BF680" s="51" t="n">
        <v>112.64</v>
      </c>
      <c r="BG680" s="51" t="n">
        <v>621.182528409091</v>
      </c>
      <c r="BH680" s="51" t="n">
        <v>212.535511363636</v>
      </c>
      <c r="BI680" s="51" t="n">
        <v>128.995028409091</v>
      </c>
      <c r="BJ680" s="51" t="n">
        <v>6.8359375</v>
      </c>
      <c r="BK680" s="51" t="n">
        <v>13.4943181818182</v>
      </c>
      <c r="BL680" s="51" t="n">
        <v>10.9197443181818</v>
      </c>
      <c r="BM680" s="51" t="n">
        <v>6.03693181818182</v>
      </c>
      <c r="BN680" s="52" t="n">
        <f aca="false">(BG680*0.5-BH680*0.25+BI680*0.5)/SUM(BG680:BI680)*1000</f>
        <v>334.424566580598</v>
      </c>
      <c r="BO680" s="93" t="n">
        <v>7.40228571428572</v>
      </c>
      <c r="BP680" s="94" t="s">
        <v>491</v>
      </c>
      <c r="BQ680" s="55" t="n">
        <v>405.937857142857</v>
      </c>
      <c r="BR680" s="56" t="n">
        <v>20.0407290993086</v>
      </c>
      <c r="BS680" s="56"/>
      <c r="BT680" s="56" t="n">
        <v>10.7504109072061</v>
      </c>
      <c r="BU680" s="55" t="n">
        <v>12106.5846212121</v>
      </c>
      <c r="BV680" s="55" t="n">
        <v>597.689470056456</v>
      </c>
      <c r="BW680" s="55"/>
      <c r="BX680" s="55" t="n">
        <v>320.617446909098</v>
      </c>
      <c r="BY680" s="96" t="n">
        <v>0.08137</v>
      </c>
      <c r="BZ680" s="96" t="n">
        <v>1.0868</v>
      </c>
      <c r="CA680" s="97" t="n">
        <v>3.93</v>
      </c>
      <c r="CB680" s="97"/>
      <c r="CC680" s="97" t="n">
        <v>6.89</v>
      </c>
      <c r="CD680" s="97" t="n">
        <v>6.59</v>
      </c>
      <c r="CE680" s="97" t="n">
        <v>81.81</v>
      </c>
      <c r="CF680" s="97" t="n">
        <v>37.29</v>
      </c>
      <c r="CG680" s="97" t="n">
        <v>0.0188</v>
      </c>
      <c r="CH680" s="63" t="n">
        <v>58799.9756931886</v>
      </c>
      <c r="CI680" s="63" t="n">
        <v>2919.46520107466</v>
      </c>
      <c r="CJ680" s="64" t="n">
        <v>865842.075223405</v>
      </c>
      <c r="CK680" s="65" t="n">
        <v>0.337182181903251</v>
      </c>
    </row>
    <row r="681" s="1" customFormat="true" ht="15" hidden="false" customHeight="false" outlineLevel="0" collapsed="false">
      <c r="A681" s="7" t="s">
        <v>488</v>
      </c>
      <c r="B681" s="66" t="n">
        <v>672</v>
      </c>
      <c r="C681" s="8" t="s">
        <v>764</v>
      </c>
      <c r="D681" s="67" t="n">
        <v>41991</v>
      </c>
      <c r="E681" s="4" t="s">
        <v>490</v>
      </c>
      <c r="F681" s="7" t="n">
        <v>531</v>
      </c>
      <c r="G681" s="68" t="n">
        <v>1</v>
      </c>
      <c r="H681" s="68" t="n">
        <v>200</v>
      </c>
      <c r="I681" s="7" t="n">
        <v>1</v>
      </c>
      <c r="J681" s="8" t="n">
        <v>677</v>
      </c>
      <c r="K681" s="32"/>
      <c r="L681" s="31" t="n">
        <v>930.928</v>
      </c>
      <c r="M681" s="31" t="n">
        <v>161.175150464144</v>
      </c>
      <c r="N681" s="31" t="n">
        <v>319.596042027951</v>
      </c>
      <c r="O681" s="95"/>
      <c r="P681" s="33" t="n">
        <v>38.4576150158115</v>
      </c>
      <c r="Q681" s="33" t="n">
        <v>8.6</v>
      </c>
      <c r="R681" s="31" t="n">
        <v>256.146077731307</v>
      </c>
      <c r="S681" s="34" t="s">
        <v>76</v>
      </c>
      <c r="T681" s="35"/>
      <c r="U681" s="35"/>
      <c r="V681" s="35" t="n">
        <v>17.8772326647679</v>
      </c>
      <c r="W681" s="35" t="n">
        <v>16.642416450147</v>
      </c>
      <c r="X681" s="35" t="n">
        <v>2.88136566462647</v>
      </c>
      <c r="Y681" s="35" t="n">
        <v>5.71349280207261</v>
      </c>
      <c r="Z681" s="35"/>
      <c r="AA681" s="35" t="n">
        <v>0.687515731369734</v>
      </c>
      <c r="AB681" s="35" t="n">
        <v>0.153744200917004</v>
      </c>
      <c r="AC681" s="71" t="n">
        <v>4.57918302777029</v>
      </c>
      <c r="AD681" s="72"/>
      <c r="AE681" s="72"/>
      <c r="AF681" s="72"/>
      <c r="AG681" s="72"/>
      <c r="AH681" s="72"/>
      <c r="AI681" s="73" t="n">
        <v>31.7990960736611</v>
      </c>
      <c r="AJ681" s="42" t="s">
        <v>16</v>
      </c>
      <c r="AK681" s="43" t="n">
        <v>729.552060848569</v>
      </c>
      <c r="AL681" s="74"/>
      <c r="AM681" s="74"/>
      <c r="AN681" s="74"/>
      <c r="AO681" s="78" t="n">
        <v>30.7714285714286</v>
      </c>
      <c r="AP681" s="76" t="n">
        <v>1.18037958166581</v>
      </c>
      <c r="AQ681" s="76" t="n">
        <v>1.03692836318201</v>
      </c>
      <c r="AR681" s="76" t="n">
        <v>1.56698042482299</v>
      </c>
      <c r="AS681" s="77" t="n">
        <v>30.0142651535585</v>
      </c>
      <c r="AT681" s="78" t="n">
        <v>30.8461876321037</v>
      </c>
      <c r="AU681" s="78" t="n">
        <v>38.3595964329649</v>
      </c>
      <c r="AV681" s="78" t="n">
        <v>33.6977648202138</v>
      </c>
      <c r="AW681" s="78" t="n">
        <v>50.9232264334305</v>
      </c>
      <c r="AX681" s="78" t="n">
        <v>28.5425</v>
      </c>
      <c r="AY681" s="48" t="n">
        <v>1.72544533097087</v>
      </c>
      <c r="AZ681" s="48" t="n">
        <v>23.9635497984674</v>
      </c>
      <c r="BA681" s="48" t="n">
        <v>-6.08631713369953</v>
      </c>
      <c r="BB681" s="49" t="n">
        <f aca="false">AT681/V681</f>
        <v>1.72544533097087</v>
      </c>
      <c r="BC681" s="49" t="n">
        <f aca="false">AS681/V681</f>
        <v>1.6789100257508</v>
      </c>
      <c r="BD681" s="49" t="n">
        <f aca="false">SUM(AP681:AR681)/V681</f>
        <v>0.211682000264437</v>
      </c>
      <c r="BE681" s="53" t="n">
        <v>6.04</v>
      </c>
      <c r="BF681" s="51" t="n">
        <v>127.7</v>
      </c>
      <c r="BG681" s="51" t="n">
        <v>581.832419733751</v>
      </c>
      <c r="BH681" s="51" t="n">
        <v>276.898981989037</v>
      </c>
      <c r="BI681" s="51" t="n">
        <v>110.336726703211</v>
      </c>
      <c r="BJ681" s="51" t="n">
        <v>6.734534064213</v>
      </c>
      <c r="BK681" s="51" t="n">
        <v>11.9812059514487</v>
      </c>
      <c r="BL681" s="51" t="n">
        <v>10.415035238841</v>
      </c>
      <c r="BM681" s="51" t="n">
        <v>1.80109631949883</v>
      </c>
      <c r="BN681" s="52" t="n">
        <f aca="false">(BG681*0.5-BH681*0.25+BI681*0.5)/SUM(BG681:BI681)*1000</f>
        <v>285.69696969697</v>
      </c>
      <c r="BO681" s="93" t="n">
        <v>5.712</v>
      </c>
      <c r="BP681" s="94" t="s">
        <v>491</v>
      </c>
      <c r="BQ681" s="55" t="n">
        <v>365.593650793651</v>
      </c>
      <c r="BR681" s="56" t="n">
        <v>20.4502373297493</v>
      </c>
      <c r="BS681" s="56"/>
      <c r="BT681" s="56" t="n">
        <v>11.8521502609662</v>
      </c>
      <c r="BU681" s="55" t="n">
        <v>11202.0642857143</v>
      </c>
      <c r="BV681" s="55" t="n">
        <v>626.61064471075</v>
      </c>
      <c r="BW681" s="55"/>
      <c r="BX681" s="55" t="n">
        <v>363.158793537764</v>
      </c>
      <c r="BY681" s="96" t="n">
        <v>0.10815</v>
      </c>
      <c r="BZ681" s="96" t="n">
        <v>0.418</v>
      </c>
      <c r="CA681" s="97" t="n">
        <v>4.68</v>
      </c>
      <c r="CB681" s="97"/>
      <c r="CC681" s="97" t="n">
        <v>6.11</v>
      </c>
      <c r="CD681" s="97" t="n">
        <v>6.01</v>
      </c>
      <c r="CE681" s="97" t="n">
        <v>83.83</v>
      </c>
      <c r="CF681" s="97" t="n">
        <v>34.28</v>
      </c>
      <c r="CG681" s="97" t="n">
        <v>0.0292</v>
      </c>
      <c r="CH681" s="63" t="n">
        <v>61641.7673417453</v>
      </c>
      <c r="CI681" s="63" t="n">
        <v>1195.91350526452</v>
      </c>
      <c r="CJ681" s="64" t="n">
        <v>557077.291514862</v>
      </c>
      <c r="CK681" s="65" t="n">
        <v>0.214676405497067</v>
      </c>
    </row>
    <row r="682" s="1" customFormat="true" ht="15" hidden="false" customHeight="false" outlineLevel="0" collapsed="false">
      <c r="A682" s="7" t="s">
        <v>488</v>
      </c>
      <c r="B682" s="66" t="n">
        <v>673</v>
      </c>
      <c r="C682" s="8" t="s">
        <v>765</v>
      </c>
      <c r="D682" s="67" t="n">
        <v>41991</v>
      </c>
      <c r="E682" s="4" t="s">
        <v>490</v>
      </c>
      <c r="F682" s="7" t="n">
        <v>532</v>
      </c>
      <c r="G682" s="68" t="n">
        <v>1</v>
      </c>
      <c r="H682" s="68" t="n">
        <v>206</v>
      </c>
      <c r="I682" s="7" t="n">
        <v>1</v>
      </c>
      <c r="J682" s="8" t="n">
        <v>666</v>
      </c>
      <c r="K682" s="32"/>
      <c r="L682" s="31" t="n">
        <v>930.928</v>
      </c>
      <c r="M682" s="31" t="n">
        <v>161.175150464144</v>
      </c>
      <c r="N682" s="31" t="n">
        <v>319.596042027951</v>
      </c>
      <c r="O682" s="95"/>
      <c r="P682" s="33" t="n">
        <v>38.4576150158115</v>
      </c>
      <c r="Q682" s="33" t="n">
        <v>8.6</v>
      </c>
      <c r="R682" s="31" t="n">
        <v>256.146077731307</v>
      </c>
      <c r="S682" s="34" t="s">
        <v>76</v>
      </c>
      <c r="T682" s="35"/>
      <c r="U682" s="35"/>
      <c r="V682" s="35" t="n">
        <v>24.5870108592962</v>
      </c>
      <c r="W682" s="35" t="n">
        <v>22.8887368452229</v>
      </c>
      <c r="X682" s="35" t="n">
        <v>3.9628151747106</v>
      </c>
      <c r="Y682" s="35" t="n">
        <v>7.85791135592931</v>
      </c>
      <c r="Z682" s="35"/>
      <c r="AA682" s="35" t="n">
        <v>0.94555779801639</v>
      </c>
      <c r="AB682" s="35" t="n">
        <v>0.211448293389947</v>
      </c>
      <c r="AC682" s="71" t="n">
        <v>6.29786639474577</v>
      </c>
      <c r="AD682" s="72"/>
      <c r="AE682" s="72"/>
      <c r="AF682" s="72"/>
      <c r="AG682" s="72"/>
      <c r="AH682" s="72"/>
      <c r="AI682" s="73" t="n">
        <v>30.8468878888858</v>
      </c>
      <c r="AJ682" s="42" t="s">
        <v>16</v>
      </c>
      <c r="AK682" s="43" t="n">
        <v>721.203641969387</v>
      </c>
      <c r="AL682" s="74"/>
      <c r="AM682" s="74"/>
      <c r="AN682" s="74"/>
      <c r="AO682" s="78" t="n">
        <v>28.7857142857143</v>
      </c>
      <c r="AP682" s="76" t="n">
        <v>1.37372888365072</v>
      </c>
      <c r="AQ682" s="76" t="n">
        <v>0.984700819103152</v>
      </c>
      <c r="AR682" s="76" t="n">
        <v>1.41270998195196</v>
      </c>
      <c r="AS682" s="77" t="n">
        <v>32.1202189690466</v>
      </c>
      <c r="AT682" s="78" t="n">
        <v>31.9763259405474</v>
      </c>
      <c r="AU682" s="78" t="n">
        <v>47.7225914915885</v>
      </c>
      <c r="AV682" s="78" t="n">
        <v>34.2079689018465</v>
      </c>
      <c r="AW682" s="78" t="n">
        <v>49.0767735665695</v>
      </c>
      <c r="AX682" s="78" t="n">
        <v>28.81</v>
      </c>
      <c r="AY682" s="48" t="n">
        <v>1.3005373497225</v>
      </c>
      <c r="AZ682" s="48" t="n">
        <v>24.5964614085019</v>
      </c>
      <c r="BA682" s="48" t="n">
        <v>-0.00945054920570243</v>
      </c>
      <c r="BB682" s="49" t="n">
        <f aca="false">AT682/V682</f>
        <v>1.3005373497225</v>
      </c>
      <c r="BC682" s="49" t="n">
        <f aca="false">AS682/V682</f>
        <v>1.30638974997248</v>
      </c>
      <c r="BD682" s="49" t="n">
        <f aca="false">SUM(AP682:AR682)/V682</f>
        <v>0.153379347586695</v>
      </c>
      <c r="BE682" s="53" t="n">
        <v>6.05</v>
      </c>
      <c r="BF682" s="51" t="n">
        <v>136.52</v>
      </c>
      <c r="BG682" s="51" t="n">
        <v>625.915616759449</v>
      </c>
      <c r="BH682" s="51" t="n">
        <v>204.07266334603</v>
      </c>
      <c r="BI682" s="51" t="n">
        <v>134.559038968649</v>
      </c>
      <c r="BJ682" s="51" t="n">
        <v>6.00644594198652</v>
      </c>
      <c r="BK682" s="51" t="n">
        <v>12.5256372692646</v>
      </c>
      <c r="BL682" s="51" t="n">
        <v>10.4014063873425</v>
      </c>
      <c r="BM682" s="51" t="n">
        <v>6.51919132727805</v>
      </c>
      <c r="BN682" s="52" t="n">
        <f aca="false">(BG682*0.5-BH682*0.25+BI682*0.5)/SUM(BG682:BI682)*1000</f>
        <v>341.319866342649</v>
      </c>
      <c r="BO682" s="93" t="n">
        <v>11.22</v>
      </c>
      <c r="BP682" s="94" t="s">
        <v>491</v>
      </c>
      <c r="BQ682" s="55" t="n">
        <v>452.761011904762</v>
      </c>
      <c r="BR682" s="56" t="n">
        <v>18.4146423693296</v>
      </c>
      <c r="BS682" s="56"/>
      <c r="BT682" s="56" t="n">
        <v>14.1592568435338</v>
      </c>
      <c r="BU682" s="55" t="n">
        <v>12583.2116071429</v>
      </c>
      <c r="BV682" s="55" t="n">
        <v>511.782895413869</v>
      </c>
      <c r="BW682" s="55"/>
      <c r="BX682" s="55" t="n">
        <v>393.516491873971</v>
      </c>
      <c r="BY682" s="96" t="n">
        <v>0.07416</v>
      </c>
      <c r="BZ682" s="96" t="n">
        <v>1.5323</v>
      </c>
      <c r="CA682" s="97" t="n">
        <v>3.34</v>
      </c>
      <c r="CB682" s="97"/>
      <c r="CC682" s="97" t="n">
        <v>6.98</v>
      </c>
      <c r="CD682" s="97" t="n">
        <v>6.75</v>
      </c>
      <c r="CE682" s="97" t="n">
        <v>76.76</v>
      </c>
      <c r="CF682" s="97" t="n">
        <v>35.07</v>
      </c>
      <c r="CG682" s="97" t="n">
        <v>0.01</v>
      </c>
      <c r="CH682" s="63" t="n">
        <v>20506.3872428664</v>
      </c>
      <c r="CI682" s="63" t="n">
        <v>2850.60006719574</v>
      </c>
      <c r="CJ682" s="64" t="n">
        <v>919480.003149482</v>
      </c>
      <c r="CK682" s="65" t="n">
        <v>0.310023062756299</v>
      </c>
    </row>
    <row r="683" s="1" customFormat="true" ht="15" hidden="false" customHeight="false" outlineLevel="0" collapsed="false">
      <c r="A683" s="7" t="s">
        <v>488</v>
      </c>
      <c r="B683" s="66" t="n">
        <v>674</v>
      </c>
      <c r="C683" s="8" t="s">
        <v>766</v>
      </c>
      <c r="D683" s="67" t="n">
        <v>41991</v>
      </c>
      <c r="E683" s="4" t="s">
        <v>490</v>
      </c>
      <c r="F683" s="7" t="n">
        <v>534</v>
      </c>
      <c r="G683" s="68" t="n">
        <v>1</v>
      </c>
      <c r="H683" s="68" t="n">
        <v>168</v>
      </c>
      <c r="I683" s="7" t="n">
        <v>1</v>
      </c>
      <c r="J683" s="8" t="n">
        <v>635</v>
      </c>
      <c r="K683" s="32"/>
      <c r="L683" s="31" t="n">
        <v>930.928</v>
      </c>
      <c r="M683" s="31" t="n">
        <v>161.175150464144</v>
      </c>
      <c r="N683" s="31" t="n">
        <v>319.596042027951</v>
      </c>
      <c r="O683" s="95"/>
      <c r="P683" s="33" t="n">
        <v>38.4576150158115</v>
      </c>
      <c r="Q683" s="33" t="n">
        <v>8.6</v>
      </c>
      <c r="R683" s="31" t="n">
        <v>256.146077731307</v>
      </c>
      <c r="S683" s="34" t="s">
        <v>76</v>
      </c>
      <c r="T683" s="35"/>
      <c r="U683" s="35"/>
      <c r="V683" s="35" t="n">
        <v>19.4241708585761</v>
      </c>
      <c r="W683" s="35" t="n">
        <v>18.0825045290325</v>
      </c>
      <c r="X683" s="35" t="n">
        <v>3.13069366077223</v>
      </c>
      <c r="Y683" s="35" t="n">
        <v>6.20788812607557</v>
      </c>
      <c r="Z683" s="35"/>
      <c r="AA683" s="35" t="n">
        <v>0.747007284880462</v>
      </c>
      <c r="AB683" s="35" t="n">
        <v>0.167047869383754</v>
      </c>
      <c r="AC683" s="71" t="n">
        <v>4.97542517860701</v>
      </c>
      <c r="AD683" s="72"/>
      <c r="AE683" s="72"/>
      <c r="AF683" s="72"/>
      <c r="AG683" s="72"/>
      <c r="AH683" s="72"/>
      <c r="AI683" s="73" t="n">
        <v>26.3998479697884</v>
      </c>
      <c r="AJ683" s="42" t="s">
        <v>16</v>
      </c>
      <c r="AK683" s="43" t="n">
        <v>674.24054828491</v>
      </c>
      <c r="AL683" s="74"/>
      <c r="AM683" s="74"/>
      <c r="AN683" s="74"/>
      <c r="AO683" s="78" t="n">
        <v>33.3428571428571</v>
      </c>
      <c r="AP683" s="76" t="n">
        <v>1.30060156912531</v>
      </c>
      <c r="AQ683" s="76" t="n">
        <v>1.17380466472303</v>
      </c>
      <c r="AR683" s="76" t="n">
        <v>1.65013119533528</v>
      </c>
      <c r="AS683" s="77" t="n">
        <v>32.8461663940226</v>
      </c>
      <c r="AT683" s="78" t="n">
        <v>33.8224458909234</v>
      </c>
      <c r="AU683" s="78" t="n">
        <v>39.0069022445467</v>
      </c>
      <c r="AV683" s="78" t="n">
        <v>35.2040816326531</v>
      </c>
      <c r="AW683" s="78" t="n">
        <v>49.4897959183674</v>
      </c>
      <c r="AX683" s="78" t="n">
        <v>31.235</v>
      </c>
      <c r="AY683" s="48" t="n">
        <v>1.74125557982262</v>
      </c>
      <c r="AZ683" s="48" t="n">
        <v>24.3431064258559</v>
      </c>
      <c r="BA683" s="48" t="n">
        <v>-4.91893556727987</v>
      </c>
      <c r="BB683" s="49" t="n">
        <f aca="false">AT683/V683</f>
        <v>1.74125557982262</v>
      </c>
      <c r="BC683" s="49" t="n">
        <f aca="false">AS683/V683</f>
        <v>1.69099451570776</v>
      </c>
      <c r="BD683" s="49" t="n">
        <f aca="false">SUM(AP683:AR683)/V683</f>
        <v>0.212340462777724</v>
      </c>
      <c r="BE683" s="53" t="n">
        <v>6.19</v>
      </c>
      <c r="BF683" s="51" t="n">
        <v>106.02</v>
      </c>
      <c r="BG683" s="51" t="n">
        <v>608.658743633277</v>
      </c>
      <c r="BH683" s="51" t="n">
        <v>170.62818336163</v>
      </c>
      <c r="BI683" s="51" t="n">
        <v>190.058479532164</v>
      </c>
      <c r="BJ683" s="51" t="n">
        <v>7.26278060743256</v>
      </c>
      <c r="BK683" s="51" t="n">
        <v>10.5640445199019</v>
      </c>
      <c r="BL683" s="51" t="n">
        <v>10.3754008677608</v>
      </c>
      <c r="BM683" s="51" t="n">
        <v>2.45236747783437</v>
      </c>
      <c r="BN683" s="52" t="n">
        <f aca="false">(BG683*0.5-BH683*0.25+BI683*0.5)/SUM(BG683:BI683)*1000</f>
        <v>367.981901333074</v>
      </c>
      <c r="BO683" s="93" t="n">
        <v>3.58457142857143</v>
      </c>
      <c r="BP683" s="94" t="s">
        <v>491</v>
      </c>
      <c r="BQ683" s="55" t="n">
        <v>344.394880952381</v>
      </c>
      <c r="BR683" s="56" t="n">
        <v>17.7302230020452</v>
      </c>
      <c r="BS683" s="56"/>
      <c r="BT683" s="56" t="n">
        <v>10.1824357133439</v>
      </c>
      <c r="BU683" s="55" t="n">
        <v>11029.5711904762</v>
      </c>
      <c r="BV683" s="55" t="n">
        <v>567.827129959912</v>
      </c>
      <c r="BW683" s="55"/>
      <c r="BX683" s="55" t="n">
        <v>326.102116507076</v>
      </c>
      <c r="BY683" s="96" t="n">
        <v>0.08652</v>
      </c>
      <c r="BZ683" s="96" t="n">
        <v>1.0054</v>
      </c>
      <c r="CA683" s="97" t="n">
        <v>3.86</v>
      </c>
      <c r="CB683" s="97"/>
      <c r="CC683" s="97" t="n">
        <v>6.74</v>
      </c>
      <c r="CD683" s="97" t="n">
        <v>5.16</v>
      </c>
      <c r="CE683" s="97" t="n">
        <v>76.76</v>
      </c>
      <c r="CF683" s="97" t="n">
        <v>34.25</v>
      </c>
      <c r="CG683" s="97" t="n">
        <v>0.8612</v>
      </c>
      <c r="CH683" s="63" t="n">
        <v>17049.4246855018</v>
      </c>
      <c r="CI683" s="63" t="n">
        <v>2045.40845769391</v>
      </c>
      <c r="CJ683" s="64" t="n">
        <v>985694.478131884</v>
      </c>
      <c r="CK683" s="65" t="n">
        <v>0.207509375681036</v>
      </c>
    </row>
    <row r="684" s="1" customFormat="true" ht="15" hidden="false" customHeight="false" outlineLevel="0" collapsed="false">
      <c r="A684" s="7" t="s">
        <v>488</v>
      </c>
      <c r="B684" s="66" t="n">
        <v>675</v>
      </c>
      <c r="C684" s="8" t="s">
        <v>767</v>
      </c>
      <c r="D684" s="67" t="n">
        <v>41991</v>
      </c>
      <c r="E684" s="4" t="s">
        <v>490</v>
      </c>
      <c r="F684" s="7" t="n">
        <v>536</v>
      </c>
      <c r="G684" s="68" t="n">
        <v>1</v>
      </c>
      <c r="H684" s="68" t="n">
        <v>182</v>
      </c>
      <c r="I684" s="7" t="n">
        <v>1</v>
      </c>
      <c r="J684" s="8" t="n">
        <v>656</v>
      </c>
      <c r="K684" s="32"/>
      <c r="L684" s="31" t="n">
        <v>930.928</v>
      </c>
      <c r="M684" s="31" t="n">
        <v>161.175150464144</v>
      </c>
      <c r="N684" s="31" t="n">
        <v>319.596042027951</v>
      </c>
      <c r="O684" s="95"/>
      <c r="P684" s="33" t="n">
        <v>38.4576150158115</v>
      </c>
      <c r="Q684" s="33" t="n">
        <v>8.6</v>
      </c>
      <c r="R684" s="31" t="n">
        <v>256.146077731307</v>
      </c>
      <c r="S684" s="34" t="s">
        <v>76</v>
      </c>
      <c r="T684" s="35"/>
      <c r="U684" s="35"/>
      <c r="V684" s="35" t="n">
        <v>21.7179678784588</v>
      </c>
      <c r="W684" s="35" t="n">
        <v>20.2178644011579</v>
      </c>
      <c r="X684" s="35" t="n">
        <v>3.50039674058604</v>
      </c>
      <c r="Y684" s="35" t="n">
        <v>6.94097657484561</v>
      </c>
      <c r="Z684" s="35"/>
      <c r="AA684" s="35" t="n">
        <v>0.835221247595531</v>
      </c>
      <c r="AB684" s="35" t="n">
        <v>0.186774523754746</v>
      </c>
      <c r="AC684" s="71" t="n">
        <v>5.56297228836174</v>
      </c>
      <c r="AD684" s="72"/>
      <c r="AE684" s="72"/>
      <c r="AF684" s="72"/>
      <c r="AG684" s="72"/>
      <c r="AH684" s="72"/>
      <c r="AI684" s="73" t="n">
        <v>23.3950157344246</v>
      </c>
      <c r="AJ684" s="42" t="s">
        <v>16</v>
      </c>
      <c r="AK684" s="43" t="n">
        <v>632.400332719353</v>
      </c>
      <c r="AL684" s="74"/>
      <c r="AM684" s="74"/>
      <c r="AN684" s="74"/>
      <c r="AO684" s="78" t="n">
        <v>34.1</v>
      </c>
      <c r="AP684" s="76" t="n">
        <v>1.38840773853474</v>
      </c>
      <c r="AQ684" s="76" t="n">
        <v>1.20791545189504</v>
      </c>
      <c r="AR684" s="76" t="n">
        <v>1.63706511175899</v>
      </c>
      <c r="AS684" s="77" t="n">
        <v>34.466116078021</v>
      </c>
      <c r="AT684" s="78" t="n">
        <v>35.0925150542147</v>
      </c>
      <c r="AU684" s="78" t="n">
        <v>40.7157694584967</v>
      </c>
      <c r="AV684" s="78" t="n">
        <v>35.4227405247813</v>
      </c>
      <c r="AW684" s="78" t="n">
        <v>48.0077745383868</v>
      </c>
      <c r="AX684" s="78" t="n">
        <v>29.65</v>
      </c>
      <c r="AY684" s="48" t="n">
        <v>1.61582866549045</v>
      </c>
      <c r="AZ684" s="48" t="n">
        <v>25.2836118031703</v>
      </c>
      <c r="BA684" s="48" t="n">
        <v>-3.56564392471145</v>
      </c>
      <c r="BB684" s="49" t="n">
        <f aca="false">AT684/V684</f>
        <v>1.61582866549045</v>
      </c>
      <c r="BC684" s="49" t="n">
        <f aca="false">AS684/V684</f>
        <v>1.58698623512592</v>
      </c>
      <c r="BD684" s="49" t="n">
        <f aca="false">SUM(AP684:AR684)/V684</f>
        <v>0.194925617621329</v>
      </c>
      <c r="BE684" s="53" t="n">
        <v>6.2</v>
      </c>
      <c r="BF684" s="51" t="n">
        <v>127.32</v>
      </c>
      <c r="BG684" s="51" t="n">
        <v>600.769714106189</v>
      </c>
      <c r="BH684" s="51" t="n">
        <v>240.182218033302</v>
      </c>
      <c r="BI684" s="51" t="n">
        <v>127.159912032674</v>
      </c>
      <c r="BJ684" s="51" t="n">
        <v>5.81212692428527</v>
      </c>
      <c r="BK684" s="51" t="n">
        <v>12.8809299403079</v>
      </c>
      <c r="BL684" s="51" t="n">
        <v>8.95381715362865</v>
      </c>
      <c r="BM684" s="51" t="n">
        <v>4.24128180961357</v>
      </c>
      <c r="BN684" s="52" t="n">
        <f aca="false">(BG684*0.5-BH684*0.25+BI684*0.5)/SUM(BG684:BI684)*1000</f>
        <v>313.929904267402</v>
      </c>
      <c r="BO684" s="93" t="n">
        <v>9.384</v>
      </c>
      <c r="BP684" s="94" t="s">
        <v>491</v>
      </c>
      <c r="BQ684" s="55" t="n">
        <v>377.434444444444</v>
      </c>
      <c r="BR684" s="56" t="n">
        <v>17.3789024165012</v>
      </c>
      <c r="BS684" s="56"/>
      <c r="BT684" s="56" t="n">
        <v>10.7554116272756</v>
      </c>
      <c r="BU684" s="55" t="n">
        <v>11816.9944444444</v>
      </c>
      <c r="BV684" s="55" t="n">
        <v>544.111424723362</v>
      </c>
      <c r="BW684" s="55"/>
      <c r="BX684" s="55" t="n">
        <v>336.7383165951</v>
      </c>
      <c r="BY684" s="96" t="n">
        <v>0.09064</v>
      </c>
      <c r="BZ684" s="96" t="n">
        <v>0.7557</v>
      </c>
      <c r="CA684" s="97" t="n">
        <v>4.01</v>
      </c>
      <c r="CB684" s="97"/>
      <c r="CC684" s="97" t="n">
        <v>6.41</v>
      </c>
      <c r="CD684" s="97" t="n">
        <v>6.26</v>
      </c>
      <c r="CE684" s="97" t="n">
        <v>74.74</v>
      </c>
      <c r="CF684" s="97" t="n">
        <v>34.53</v>
      </c>
      <c r="CG684" s="97" t="n">
        <v>0.0604</v>
      </c>
      <c r="CH684" s="63" t="n">
        <v>81330.471109029</v>
      </c>
      <c r="CI684" s="63" t="n">
        <v>1544.97564996472</v>
      </c>
      <c r="CJ684" s="64" t="n">
        <v>732704.198241821</v>
      </c>
      <c r="CK684" s="65" t="n">
        <v>0.210859396421094</v>
      </c>
    </row>
    <row r="685" s="1" customFormat="true" ht="15" hidden="false" customHeight="false" outlineLevel="0" collapsed="false">
      <c r="A685" s="7" t="s">
        <v>488</v>
      </c>
      <c r="B685" s="66" t="n">
        <v>676</v>
      </c>
      <c r="C685" s="8" t="s">
        <v>768</v>
      </c>
      <c r="D685" s="67" t="n">
        <v>41991</v>
      </c>
      <c r="E685" s="4" t="s">
        <v>490</v>
      </c>
      <c r="F685" s="7" t="n">
        <v>537</v>
      </c>
      <c r="G685" s="68" t="n">
        <v>1</v>
      </c>
      <c r="H685" s="68" t="n">
        <v>123</v>
      </c>
      <c r="I685" s="7" t="n">
        <v>1</v>
      </c>
      <c r="J685" s="8" t="n">
        <v>646</v>
      </c>
      <c r="K685" s="32"/>
      <c r="L685" s="31" t="n">
        <v>930.928</v>
      </c>
      <c r="M685" s="31" t="n">
        <v>161.175150464144</v>
      </c>
      <c r="N685" s="31" t="n">
        <v>319.596042027951</v>
      </c>
      <c r="O685" s="95"/>
      <c r="P685" s="33" t="n">
        <v>38.4576150158115</v>
      </c>
      <c r="Q685" s="33" t="n">
        <v>8.6</v>
      </c>
      <c r="R685" s="31" t="n">
        <v>256.146077731307</v>
      </c>
      <c r="S685" s="34" t="s">
        <v>76</v>
      </c>
      <c r="T685" s="35"/>
      <c r="U685" s="35"/>
      <c r="V685" s="35" t="n">
        <v>15.8728195337147</v>
      </c>
      <c r="W685" s="35" t="n">
        <v>14.7764521428819</v>
      </c>
      <c r="X685" s="35" t="n">
        <v>2.55830407663666</v>
      </c>
      <c r="Y685" s="35" t="n">
        <v>5.07289029879915</v>
      </c>
      <c r="Z685" s="35"/>
      <c r="AA685" s="35" t="n">
        <v>0.610430782843051</v>
      </c>
      <c r="AB685" s="35" t="n">
        <v>0.136506247989946</v>
      </c>
      <c r="AC685" s="71" t="n">
        <v>4.06576046609788</v>
      </c>
      <c r="AD685" s="72"/>
      <c r="AE685" s="72"/>
      <c r="AF685" s="72"/>
      <c r="AG685" s="72"/>
      <c r="AH685" s="72"/>
      <c r="AI685" s="73" t="n">
        <v>26.3819134126731</v>
      </c>
      <c r="AJ685" s="42" t="s">
        <v>16</v>
      </c>
      <c r="AK685" s="43" t="n">
        <v>674.019095375061</v>
      </c>
      <c r="AL685" s="74"/>
      <c r="AM685" s="74"/>
      <c r="AN685" s="74"/>
      <c r="AO685" s="78" t="n">
        <v>26.3142857142857</v>
      </c>
      <c r="AP685" s="76" t="n">
        <v>1.12445449679331</v>
      </c>
      <c r="AQ685" s="76" t="n">
        <v>0.888650562265723</v>
      </c>
      <c r="AR685" s="76" t="n">
        <v>1.22301332778009</v>
      </c>
      <c r="AS685" s="77" t="n">
        <v>27.3925317376139</v>
      </c>
      <c r="AT685" s="78" t="n">
        <v>27.1800308884658</v>
      </c>
      <c r="AU685" s="78" t="n">
        <v>42.7317126902994</v>
      </c>
      <c r="AV685" s="78" t="n">
        <v>33.7706511175899</v>
      </c>
      <c r="AW685" s="78" t="n">
        <v>46.4771622934888</v>
      </c>
      <c r="AX685" s="78" t="n">
        <v>29.795</v>
      </c>
      <c r="AY685" s="48" t="n">
        <v>1.71236312683667</v>
      </c>
      <c r="AZ685" s="48" t="n">
        <v>22.2110477093046</v>
      </c>
      <c r="BA685" s="48" t="n">
        <v>-6.33822817558994</v>
      </c>
      <c r="BB685" s="49" t="n">
        <f aca="false">AT685/V685</f>
        <v>1.71236312683667</v>
      </c>
      <c r="BC685" s="49" t="n">
        <f aca="false">AS685/V685</f>
        <v>1.72575084593073</v>
      </c>
      <c r="BD685" s="49" t="n">
        <f aca="false">SUM(AP685:AR685)/V685</f>
        <v>0.203877980214255</v>
      </c>
      <c r="BE685" s="53" t="n">
        <v>6.31</v>
      </c>
      <c r="BF685" s="51" t="n">
        <v>115.88</v>
      </c>
      <c r="BG685" s="51" t="n">
        <v>623.921297894373</v>
      </c>
      <c r="BH685" s="51" t="n">
        <v>182.257507766655</v>
      </c>
      <c r="BI685" s="51" t="n">
        <v>155.937176389368</v>
      </c>
      <c r="BJ685" s="51" t="n">
        <v>7.76665516051087</v>
      </c>
      <c r="BK685" s="51" t="n">
        <v>13.2896099413186</v>
      </c>
      <c r="BL685" s="51" t="n">
        <v>10.3555402140145</v>
      </c>
      <c r="BM685" s="51" t="n">
        <v>6.47221263375906</v>
      </c>
      <c r="BN685" s="52" t="n">
        <f aca="false">(BG685*0.5-BH685*0.25+BI685*0.5)/SUM(BG685:BI685)*1000</f>
        <v>357.924477531617</v>
      </c>
      <c r="BO685" s="93" t="n">
        <v>12.2691428571429</v>
      </c>
      <c r="BP685" s="94" t="s">
        <v>491</v>
      </c>
      <c r="BQ685" s="55" t="n">
        <v>415.875689223058</v>
      </c>
      <c r="BR685" s="56" t="n">
        <v>26.2004925047952</v>
      </c>
      <c r="BS685" s="56"/>
      <c r="BT685" s="56" t="n">
        <v>15.3007805962259</v>
      </c>
      <c r="BU685" s="55" t="n">
        <v>11237.1723057644</v>
      </c>
      <c r="BV685" s="55" t="n">
        <v>707.950612170452</v>
      </c>
      <c r="BW685" s="55"/>
      <c r="BX685" s="55" t="n">
        <v>413.434861493592</v>
      </c>
      <c r="BY685" s="96" t="n">
        <v>0.06077</v>
      </c>
      <c r="BZ685" s="96" t="n">
        <v>0.8107</v>
      </c>
      <c r="CA685" s="97" t="n">
        <v>4.06</v>
      </c>
      <c r="CB685" s="97"/>
      <c r="CC685" s="97" t="n">
        <v>7.28</v>
      </c>
      <c r="CD685" s="97" t="n">
        <v>6.33</v>
      </c>
      <c r="CE685" s="97" t="n">
        <v>82.82</v>
      </c>
      <c r="CF685" s="97" t="n">
        <v>32.87</v>
      </c>
      <c r="CG685" s="97" t="n">
        <v>0.5804</v>
      </c>
      <c r="CH685" s="63" t="n">
        <v>70917.6607281957</v>
      </c>
      <c r="CI685" s="63" t="n">
        <v>2602.63540903167</v>
      </c>
      <c r="CJ685" s="64" t="n">
        <v>446096.11606481</v>
      </c>
      <c r="CK685" s="65" t="n">
        <v>0.583424808086326</v>
      </c>
    </row>
    <row r="686" s="1" customFormat="true" ht="15" hidden="false" customHeight="false" outlineLevel="0" collapsed="false">
      <c r="A686" s="7" t="s">
        <v>488</v>
      </c>
      <c r="B686" s="66" t="n">
        <v>677</v>
      </c>
      <c r="C686" s="8" t="s">
        <v>769</v>
      </c>
      <c r="D686" s="67" t="n">
        <v>41991</v>
      </c>
      <c r="E686" s="4" t="s">
        <v>490</v>
      </c>
      <c r="F686" s="7" t="n">
        <v>545</v>
      </c>
      <c r="G686" s="68" t="n">
        <v>1</v>
      </c>
      <c r="H686" s="68" t="n">
        <v>83</v>
      </c>
      <c r="I686" s="7" t="n">
        <v>1</v>
      </c>
      <c r="J686" s="8" t="n">
        <v>677</v>
      </c>
      <c r="K686" s="32"/>
      <c r="L686" s="31" t="n">
        <v>930.928</v>
      </c>
      <c r="M686" s="31" t="n">
        <v>161.175150464144</v>
      </c>
      <c r="N686" s="31" t="n">
        <v>319.596042027951</v>
      </c>
      <c r="O686" s="95"/>
      <c r="P686" s="33" t="n">
        <v>38.4576150158115</v>
      </c>
      <c r="Q686" s="33" t="n">
        <v>8.6</v>
      </c>
      <c r="R686" s="31" t="n">
        <v>256.146077731307</v>
      </c>
      <c r="S686" s="34" t="s">
        <v>76</v>
      </c>
      <c r="T686" s="35"/>
      <c r="U686" s="35"/>
      <c r="V686" s="35" t="n">
        <v>17.7831708293317</v>
      </c>
      <c r="W686" s="35" t="n">
        <v>16.5548516538081</v>
      </c>
      <c r="X686" s="35" t="n">
        <v>2.8662052341471</v>
      </c>
      <c r="Y686" s="35" t="n">
        <v>5.68343101176132</v>
      </c>
      <c r="Z686" s="35"/>
      <c r="AA686" s="35" t="n">
        <v>0.683898337514847</v>
      </c>
      <c r="AB686" s="35" t="n">
        <v>0.152935269132253</v>
      </c>
      <c r="AC686" s="71" t="n">
        <v>4.5550894575591</v>
      </c>
      <c r="AD686" s="72"/>
      <c r="AE686" s="72"/>
      <c r="AF686" s="72"/>
      <c r="AG686" s="72"/>
      <c r="AH686" s="72"/>
      <c r="AI686" s="73" t="n">
        <v>25.7440025949369</v>
      </c>
      <c r="AJ686" s="42" t="s">
        <v>16</v>
      </c>
      <c r="AK686" s="43" t="n">
        <v>665.94161229259</v>
      </c>
      <c r="AL686" s="74"/>
      <c r="AM686" s="74"/>
      <c r="AN686" s="74"/>
      <c r="AO686" s="78" t="n">
        <v>37.0714285714286</v>
      </c>
      <c r="AP686" s="76" t="n">
        <v>1.28011934741088</v>
      </c>
      <c r="AQ686" s="76" t="n">
        <v>1.14744897959184</v>
      </c>
      <c r="AR686" s="76" t="n">
        <v>1.85897542690546</v>
      </c>
      <c r="AS686" s="77" t="n">
        <v>34.0303616397346</v>
      </c>
      <c r="AT686" s="78" t="n">
        <v>34.4941619249694</v>
      </c>
      <c r="AU686" s="78" t="n">
        <v>34.5311577336267</v>
      </c>
      <c r="AV686" s="78" t="n">
        <v>30.952380952381</v>
      </c>
      <c r="AW686" s="78" t="n">
        <v>50.1457725947522</v>
      </c>
      <c r="AX686" s="78" t="n">
        <v>31.155</v>
      </c>
      <c r="AY686" s="48" t="n">
        <v>1.93970818005496</v>
      </c>
      <c r="AZ686" s="48" t="n">
        <v>24.2127510487073</v>
      </c>
      <c r="BA686" s="48" t="n">
        <v>-6.42958021937558</v>
      </c>
      <c r="BB686" s="49" t="n">
        <f aca="false">AT686/V686</f>
        <v>1.93970818005496</v>
      </c>
      <c r="BC686" s="49" t="n">
        <f aca="false">AS686/V686</f>
        <v>1.91362732587625</v>
      </c>
      <c r="BD686" s="49" t="n">
        <f aca="false">SUM(AP686:AR686)/V686</f>
        <v>0.241044962962281</v>
      </c>
      <c r="BE686" s="53" t="n">
        <v>6.6</v>
      </c>
      <c r="BF686" s="51" t="n">
        <v>106.85</v>
      </c>
      <c r="BG686" s="51" t="n">
        <v>625.830603649977</v>
      </c>
      <c r="BH686" s="51" t="n">
        <v>232.475432849789</v>
      </c>
      <c r="BI686" s="51" t="n">
        <v>113.242863827796</v>
      </c>
      <c r="BJ686" s="51" t="n">
        <v>5.52175947590079</v>
      </c>
      <c r="BK686" s="51" t="n">
        <v>11.2306972391203</v>
      </c>
      <c r="BL686" s="51" t="n">
        <v>8.51661207299953</v>
      </c>
      <c r="BM686" s="51" t="n">
        <v>3.18203088441741</v>
      </c>
      <c r="BN686" s="52" t="n">
        <f aca="false">(BG686*0.5-BH686*0.25+BI686*0.5)/SUM(BG686:BI686)*1000</f>
        <v>320.53752047009</v>
      </c>
      <c r="BO686" s="93" t="n">
        <v>5.304</v>
      </c>
      <c r="BP686" s="94" t="s">
        <v>491</v>
      </c>
      <c r="BQ686" s="55" t="n">
        <v>366.582083333333</v>
      </c>
      <c r="BR686" s="56" t="n">
        <v>20.613988745398</v>
      </c>
      <c r="BS686" s="56"/>
      <c r="BT686" s="56" t="n">
        <v>10.6273659911121</v>
      </c>
      <c r="BU686" s="55" t="n">
        <v>10976.2896428571</v>
      </c>
      <c r="BV686" s="55" t="n">
        <v>617.229050330708</v>
      </c>
      <c r="BW686" s="55"/>
      <c r="BX686" s="55" t="n">
        <v>318.207169860582</v>
      </c>
      <c r="BY686" s="96" t="n">
        <v>0.16274</v>
      </c>
      <c r="BZ686" s="96" t="n">
        <v>0.8173</v>
      </c>
      <c r="CA686" s="97" t="n">
        <v>4.22</v>
      </c>
      <c r="CB686" s="97"/>
      <c r="CC686" s="97" t="n">
        <v>6.41</v>
      </c>
      <c r="CD686" s="97" t="n">
        <v>7.76</v>
      </c>
      <c r="CE686" s="97" t="n">
        <v>87.87</v>
      </c>
      <c r="CF686" s="97" t="n">
        <v>37.18</v>
      </c>
      <c r="CG686" s="97" t="n">
        <v>0.0812</v>
      </c>
      <c r="CH686" s="63" t="n">
        <v>54594.0839235002</v>
      </c>
      <c r="CI686" s="63" t="n">
        <v>1348.19757745182</v>
      </c>
      <c r="CJ686" s="64" t="n">
        <v>362074.957686121</v>
      </c>
      <c r="CK686" s="65" t="n">
        <v>0.372353168544883</v>
      </c>
    </row>
    <row r="687" s="1" customFormat="true" ht="15" hidden="false" customHeight="false" outlineLevel="0" collapsed="false">
      <c r="A687" s="7" t="s">
        <v>488</v>
      </c>
      <c r="B687" s="66" t="n">
        <v>678</v>
      </c>
      <c r="C687" s="8" t="s">
        <v>770</v>
      </c>
      <c r="D687" s="67" t="n">
        <v>41991</v>
      </c>
      <c r="E687" s="4" t="s">
        <v>490</v>
      </c>
      <c r="F687" s="7" t="n">
        <v>546</v>
      </c>
      <c r="G687" s="68" t="n">
        <v>1</v>
      </c>
      <c r="H687" s="68" t="n">
        <v>71</v>
      </c>
      <c r="I687" s="7" t="n">
        <v>1</v>
      </c>
      <c r="J687" s="8" t="n">
        <v>646</v>
      </c>
      <c r="K687" s="32"/>
      <c r="L687" s="31" t="n">
        <v>930.928</v>
      </c>
      <c r="M687" s="31" t="n">
        <v>161.175150464144</v>
      </c>
      <c r="N687" s="31" t="n">
        <v>319.596042027951</v>
      </c>
      <c r="O687" s="95"/>
      <c r="P687" s="33" t="n">
        <v>38.4576150158115</v>
      </c>
      <c r="Q687" s="33" t="n">
        <v>8.6</v>
      </c>
      <c r="R687" s="31" t="n">
        <v>256.146077731307</v>
      </c>
      <c r="S687" s="34" t="s">
        <v>76</v>
      </c>
      <c r="T687" s="35"/>
      <c r="U687" s="35"/>
      <c r="V687" s="35" t="n">
        <v>24.2118634386288</v>
      </c>
      <c r="W687" s="35" t="n">
        <v>22.5395016071958</v>
      </c>
      <c r="X687" s="35" t="n">
        <v>3.90235073273829</v>
      </c>
      <c r="Y687" s="35" t="n">
        <v>7.738015725107</v>
      </c>
      <c r="Z687" s="35"/>
      <c r="AA687" s="35" t="n">
        <v>0.931130522938186</v>
      </c>
      <c r="AB687" s="35" t="n">
        <v>0.208222025572207</v>
      </c>
      <c r="AC687" s="71" t="n">
        <v>6.20177385437078</v>
      </c>
      <c r="AD687" s="72"/>
      <c r="AE687" s="72"/>
      <c r="AF687" s="72"/>
      <c r="AG687" s="72"/>
      <c r="AH687" s="72"/>
      <c r="AI687" s="73" t="n">
        <v>25.9604561467253</v>
      </c>
      <c r="AJ687" s="42" t="s">
        <v>16</v>
      </c>
      <c r="AK687" s="43" t="n">
        <v>668.726930243681</v>
      </c>
      <c r="AL687" s="74"/>
      <c r="AM687" s="74"/>
      <c r="AN687" s="74"/>
      <c r="AO687" s="78" t="n">
        <v>36.9571428571429</v>
      </c>
      <c r="AP687" s="76" t="n">
        <v>1.37743722899912</v>
      </c>
      <c r="AQ687" s="76" t="n">
        <v>1.07656983201444</v>
      </c>
      <c r="AR687" s="76" t="n">
        <v>1.85414237123421</v>
      </c>
      <c r="AS687" s="77" t="n">
        <v>35.4444155778439</v>
      </c>
      <c r="AT687" s="78" t="n">
        <v>35.1087144849593</v>
      </c>
      <c r="AU687" s="78" t="n">
        <v>37.2712044955308</v>
      </c>
      <c r="AV687" s="78" t="n">
        <v>29.1302235179786</v>
      </c>
      <c r="AW687" s="78" t="n">
        <v>50.1700680272109</v>
      </c>
      <c r="AX687" s="78" t="n">
        <v>30.1675</v>
      </c>
      <c r="AY687" s="48" t="n">
        <v>1.4500624693325</v>
      </c>
      <c r="AZ687" s="48" t="n">
        <v>23.7848229732916</v>
      </c>
      <c r="BA687" s="48" t="n">
        <v>0.427040465337139</v>
      </c>
      <c r="BB687" s="49" t="n">
        <f aca="false">AT687/V687</f>
        <v>1.4500624693325</v>
      </c>
      <c r="BC687" s="49" t="n">
        <f aca="false">AS687/V687</f>
        <v>1.46392761828048</v>
      </c>
      <c r="BD687" s="49" t="n">
        <f aca="false">SUM(AP687:AR687)/V687</f>
        <v>0.177935475440289</v>
      </c>
      <c r="BE687" s="53" t="n">
        <v>6.46</v>
      </c>
      <c r="BF687" s="51" t="n">
        <v>102.25</v>
      </c>
      <c r="BG687" s="51" t="n">
        <v>644.79217603912</v>
      </c>
      <c r="BH687" s="51" t="n">
        <v>190.317848410758</v>
      </c>
      <c r="BI687" s="51" t="n">
        <v>126.259168704157</v>
      </c>
      <c r="BJ687" s="51" t="n">
        <v>7.04156479217604</v>
      </c>
      <c r="BK687" s="51" t="n">
        <v>11.3447432762836</v>
      </c>
      <c r="BL687" s="51" t="n">
        <v>14.0831295843521</v>
      </c>
      <c r="BM687" s="51" t="n">
        <v>6.16136919315403</v>
      </c>
      <c r="BN687" s="52" t="n">
        <f aca="false">(BG687*0.5-BH687*0.25+BI687*0.5)/SUM(BG687:BI687)*1000</f>
        <v>351.525940996948</v>
      </c>
      <c r="BO687" s="93" t="n">
        <v>2.41885714285714</v>
      </c>
      <c r="BP687" s="94" t="s">
        <v>491</v>
      </c>
      <c r="BQ687" s="55" t="n">
        <v>414.924242424242</v>
      </c>
      <c r="BR687" s="56" t="n">
        <v>17.1372287587849</v>
      </c>
      <c r="BS687" s="56"/>
      <c r="BT687" s="56" t="n">
        <v>11.8182692961315</v>
      </c>
      <c r="BU687" s="55" t="n">
        <v>11468.7424242424</v>
      </c>
      <c r="BV687" s="55" t="n">
        <v>473.682765199503</v>
      </c>
      <c r="BW687" s="55"/>
      <c r="BX687" s="55" t="n">
        <v>326.663695680332</v>
      </c>
      <c r="BY687" s="96" t="n">
        <v>0.10094</v>
      </c>
      <c r="BZ687" s="96" t="n">
        <v>0.7689</v>
      </c>
      <c r="CA687" s="97" t="n">
        <v>4.08</v>
      </c>
      <c r="CB687" s="97"/>
      <c r="CC687" s="97" t="n">
        <v>6.15</v>
      </c>
      <c r="CD687" s="97" t="n">
        <v>5.37</v>
      </c>
      <c r="CE687" s="97" t="n">
        <v>79.79</v>
      </c>
      <c r="CF687" s="97" t="n">
        <v>34.17</v>
      </c>
      <c r="CG687" s="97" t="n">
        <v>0.0916</v>
      </c>
      <c r="CH687" s="63" t="n">
        <v>67604.0018221723</v>
      </c>
      <c r="CI687" s="63" t="n">
        <v>2593.41007045768</v>
      </c>
      <c r="CJ687" s="64" t="n">
        <v>352907.991881159</v>
      </c>
      <c r="CK687" s="65" t="n">
        <v>0.734868614517239</v>
      </c>
    </row>
    <row r="688" s="1" customFormat="true" ht="15" hidden="false" customHeight="false" outlineLevel="0" collapsed="false">
      <c r="A688" s="7" t="s">
        <v>488</v>
      </c>
      <c r="B688" s="66" t="n">
        <v>679</v>
      </c>
      <c r="C688" s="8" t="s">
        <v>771</v>
      </c>
      <c r="D688" s="67" t="n">
        <v>41991</v>
      </c>
      <c r="E688" s="4" t="s">
        <v>490</v>
      </c>
      <c r="F688" s="7" t="n">
        <v>552</v>
      </c>
      <c r="G688" s="68" t="n">
        <v>1</v>
      </c>
      <c r="H688" s="68" t="n">
        <v>73</v>
      </c>
      <c r="I688" s="7" t="n">
        <v>1</v>
      </c>
      <c r="J688" s="8" t="n">
        <v>698</v>
      </c>
      <c r="K688" s="32"/>
      <c r="L688" s="31" t="n">
        <v>930.928</v>
      </c>
      <c r="M688" s="31" t="n">
        <v>161.175150464144</v>
      </c>
      <c r="N688" s="31" t="n">
        <v>319.596042027951</v>
      </c>
      <c r="O688" s="95"/>
      <c r="P688" s="33" t="n">
        <v>38.4576150158115</v>
      </c>
      <c r="Q688" s="33" t="n">
        <v>8.6</v>
      </c>
      <c r="R688" s="31" t="n">
        <v>256.146077731307</v>
      </c>
      <c r="S688" s="34" t="s">
        <v>76</v>
      </c>
      <c r="T688" s="35"/>
      <c r="U688" s="35"/>
      <c r="V688" s="35" t="n">
        <v>22.1516668331802</v>
      </c>
      <c r="W688" s="35" t="n">
        <v>20.6216069016788</v>
      </c>
      <c r="X688" s="35" t="n">
        <v>3.57029823486939</v>
      </c>
      <c r="Y688" s="35" t="n">
        <v>7.07958504420621</v>
      </c>
      <c r="Z688" s="35"/>
      <c r="AA688" s="35" t="n">
        <v>0.851900275028963</v>
      </c>
      <c r="AB688" s="35" t="n">
        <v>0.190504334765349</v>
      </c>
      <c r="AC688" s="71" t="n">
        <v>5.67406257452978</v>
      </c>
      <c r="AD688" s="72"/>
      <c r="AE688" s="72"/>
      <c r="AF688" s="72"/>
      <c r="AG688" s="72"/>
      <c r="AH688" s="72"/>
      <c r="AI688" s="73" t="n">
        <v>26.3920820387165</v>
      </c>
      <c r="AJ688" s="42" t="s">
        <v>16</v>
      </c>
      <c r="AK688" s="43" t="n">
        <v>674.144692814155</v>
      </c>
      <c r="AL688" s="74"/>
      <c r="AM688" s="74"/>
      <c r="AN688" s="74"/>
      <c r="AO688" s="78" t="n">
        <v>30.0428571428571</v>
      </c>
      <c r="AP688" s="76" t="n">
        <v>1.22627095054648</v>
      </c>
      <c r="AQ688" s="76" t="n">
        <v>1.02551541024573</v>
      </c>
      <c r="AR688" s="76" t="n">
        <v>1.43134214910454</v>
      </c>
      <c r="AS688" s="77" t="n">
        <v>30.41120711534</v>
      </c>
      <c r="AT688" s="78" t="n">
        <v>30.5987059308672</v>
      </c>
      <c r="AU688" s="78" t="n">
        <v>40.8173877975527</v>
      </c>
      <c r="AV688" s="78" t="n">
        <v>34.1350826044704</v>
      </c>
      <c r="AW688" s="78" t="n">
        <v>47.6433430515063</v>
      </c>
      <c r="AX688" s="78" t="n">
        <v>26.1725</v>
      </c>
      <c r="AY688" s="48" t="n">
        <v>1.38132747125984</v>
      </c>
      <c r="AZ688" s="48" t="n">
        <v>22.8257821504247</v>
      </c>
      <c r="BA688" s="48" t="n">
        <v>-0.674115317244532</v>
      </c>
      <c r="BB688" s="49" t="n">
        <f aca="false">AT688/V688</f>
        <v>1.38132747125984</v>
      </c>
      <c r="BC688" s="49" t="n">
        <f aca="false">AS688/V688</f>
        <v>1.37286315040583</v>
      </c>
      <c r="BD688" s="49" t="n">
        <f aca="false">SUM(AP688:AR688)/V688</f>
        <v>0.166268684773641</v>
      </c>
      <c r="BE688" s="53" t="n">
        <v>6.44</v>
      </c>
      <c r="BF688" s="51" t="n">
        <v>106.02</v>
      </c>
      <c r="BG688" s="51" t="n">
        <v>631.861912846633</v>
      </c>
      <c r="BH688" s="51" t="n">
        <v>186.662893793624</v>
      </c>
      <c r="BI688" s="51" t="n">
        <v>145.06696849651</v>
      </c>
      <c r="BJ688" s="51" t="n">
        <v>6.31956234672703</v>
      </c>
      <c r="BK688" s="51" t="n">
        <v>12.1675155631013</v>
      </c>
      <c r="BL688" s="51" t="n">
        <v>13.1107338238068</v>
      </c>
      <c r="BM688" s="51" t="n">
        <v>4.81041312959819</v>
      </c>
      <c r="BN688" s="52" t="n">
        <f aca="false">(BG688*0.5-BH688*0.25+BI688*0.5)/SUM(BG688:BI688)*1000</f>
        <v>354.713194988254</v>
      </c>
      <c r="BO688" s="93" t="n">
        <v>2.88514285714286</v>
      </c>
      <c r="BP688" s="94" t="s">
        <v>491</v>
      </c>
      <c r="BQ688" s="55" t="n">
        <v>317.873684210526</v>
      </c>
      <c r="BR688" s="56" t="n">
        <v>14.3498765399629</v>
      </c>
      <c r="BS688" s="56"/>
      <c r="BT688" s="56" t="n">
        <v>10.3884682224376</v>
      </c>
      <c r="BU688" s="55" t="n">
        <v>10386.699122807</v>
      </c>
      <c r="BV688" s="55" t="n">
        <v>468.890183344991</v>
      </c>
      <c r="BW688" s="55"/>
      <c r="BX688" s="55" t="n">
        <v>339.448967099265</v>
      </c>
      <c r="BY688" s="96" t="n">
        <v>0.15656</v>
      </c>
      <c r="BZ688" s="96" t="n">
        <v>0.6699</v>
      </c>
      <c r="CA688" s="97" t="n">
        <v>4.05</v>
      </c>
      <c r="CB688" s="97"/>
      <c r="CC688" s="97" t="n">
        <v>5.97</v>
      </c>
      <c r="CD688" s="97" t="n">
        <v>4.2</v>
      </c>
      <c r="CE688" s="97" t="n">
        <v>83.83</v>
      </c>
      <c r="CF688" s="97" t="n">
        <v>31.61</v>
      </c>
      <c r="CG688" s="97" t="n">
        <v>0.0708</v>
      </c>
      <c r="CH688" s="63" t="n">
        <v>43350.7604040381</v>
      </c>
      <c r="CI688" s="63" t="n">
        <v>1503.13283488327</v>
      </c>
      <c r="CJ688" s="64" t="n">
        <v>605426.638140385</v>
      </c>
      <c r="CK688" s="65" t="n">
        <v>0.24827662679334</v>
      </c>
    </row>
    <row r="689" s="1" customFormat="true" ht="15" hidden="false" customHeight="false" outlineLevel="0" collapsed="false">
      <c r="A689" s="7" t="s">
        <v>488</v>
      </c>
      <c r="B689" s="66" t="n">
        <v>680</v>
      </c>
      <c r="C689" s="8" t="s">
        <v>772</v>
      </c>
      <c r="D689" s="67" t="n">
        <v>41991</v>
      </c>
      <c r="E689" s="4" t="s">
        <v>490</v>
      </c>
      <c r="F689" s="7" t="n">
        <v>558</v>
      </c>
      <c r="G689" s="68" t="n">
        <v>1</v>
      </c>
      <c r="H689" s="68" t="n">
        <v>56</v>
      </c>
      <c r="I689" s="7" t="n">
        <v>1</v>
      </c>
      <c r="J689" s="8" t="n">
        <v>614</v>
      </c>
      <c r="K689" s="32"/>
      <c r="L689" s="31" t="n">
        <v>930.928</v>
      </c>
      <c r="M689" s="31" t="n">
        <v>161.175150464144</v>
      </c>
      <c r="N689" s="31" t="n">
        <v>319.596042027951</v>
      </c>
      <c r="O689" s="95"/>
      <c r="P689" s="33" t="n">
        <v>38.4576150158115</v>
      </c>
      <c r="Q689" s="33" t="n">
        <v>8.6</v>
      </c>
      <c r="R689" s="31" t="n">
        <v>256.146077731307</v>
      </c>
      <c r="S689" s="34" t="s">
        <v>76</v>
      </c>
      <c r="T689" s="35"/>
      <c r="U689" s="35"/>
      <c r="V689" s="35" t="n">
        <v>27.4454881296555</v>
      </c>
      <c r="W689" s="35" t="n">
        <v>25.5497733735639</v>
      </c>
      <c r="X689" s="35" t="n">
        <v>4.42353067885909</v>
      </c>
      <c r="Y689" s="35" t="n">
        <v>8.77146937776299</v>
      </c>
      <c r="Z689" s="35"/>
      <c r="AA689" s="35" t="n">
        <v>1.05548801641131</v>
      </c>
      <c r="AB689" s="35" t="n">
        <v>0.236031197915037</v>
      </c>
      <c r="AC689" s="71" t="n">
        <v>7.03005413583239</v>
      </c>
      <c r="AD689" s="72"/>
      <c r="AE689" s="72"/>
      <c r="AF689" s="72"/>
      <c r="AG689" s="72"/>
      <c r="AH689" s="72"/>
      <c r="AI689" s="73" t="n">
        <v>25.4545554342025</v>
      </c>
      <c r="AJ689" s="42" t="s">
        <v>16</v>
      </c>
      <c r="AK689" s="43" t="n">
        <v>662.142989602387</v>
      </c>
      <c r="AL689" s="74"/>
      <c r="AM689" s="74"/>
      <c r="AN689" s="74"/>
      <c r="AO689" s="78" t="n">
        <v>39.7142857142857</v>
      </c>
      <c r="AP689" s="76" t="n">
        <v>1.26198216867633</v>
      </c>
      <c r="AQ689" s="76" t="n">
        <v>1.23021657642649</v>
      </c>
      <c r="AR689" s="76" t="n">
        <v>1.97896015549077</v>
      </c>
      <c r="AS689" s="77" t="n">
        <v>34.8154468158592</v>
      </c>
      <c r="AT689" s="78" t="n">
        <v>35.5602690751361</v>
      </c>
      <c r="AU689" s="78" t="n">
        <v>31.7765294271019</v>
      </c>
      <c r="AV689" s="78" t="n">
        <v>30.9766763848397</v>
      </c>
      <c r="AW689" s="78" t="n">
        <v>49.8299319727891</v>
      </c>
      <c r="AX689" s="78" t="n">
        <v>28.485</v>
      </c>
      <c r="AY689" s="48" t="n">
        <v>1.29566903336335</v>
      </c>
      <c r="AZ689" s="48" t="n">
        <v>22.243080000786</v>
      </c>
      <c r="BA689" s="48" t="n">
        <v>5.20240812886953</v>
      </c>
      <c r="BB689" s="49" t="n">
        <f aca="false">AT689/V689</f>
        <v>1.29566903336335</v>
      </c>
      <c r="BC689" s="49" t="n">
        <f aca="false">AS689/V689</f>
        <v>1.2685307927987</v>
      </c>
      <c r="BD689" s="49" t="n">
        <f aca="false">SUM(AP689:AR689)/V689</f>
        <v>0.162910525747305</v>
      </c>
      <c r="BE689" s="53" t="n">
        <v>6.34</v>
      </c>
      <c r="BF689" s="51" t="n">
        <v>117.18</v>
      </c>
      <c r="BG689" s="51" t="n">
        <v>628.605564089435</v>
      </c>
      <c r="BH689" s="51" t="n">
        <v>184.331797235023</v>
      </c>
      <c r="BI689" s="51" t="n">
        <v>149.940262843489</v>
      </c>
      <c r="BJ689" s="51" t="n">
        <v>7.59515275644308</v>
      </c>
      <c r="BK689" s="51" t="n">
        <v>12.2034476873187</v>
      </c>
      <c r="BL689" s="51" t="n">
        <v>11.8620925072538</v>
      </c>
      <c r="BM689" s="51" t="n">
        <v>5.46168288103772</v>
      </c>
      <c r="BN689" s="52" t="n">
        <f aca="false">(BG689*0.5-BH689*0.25+BI689*0.5)/SUM(BG689:BI689)*1000</f>
        <v>356.421164583887</v>
      </c>
      <c r="BO689" s="93" t="n">
        <v>8.62628571428571</v>
      </c>
      <c r="BP689" s="94" t="s">
        <v>491</v>
      </c>
      <c r="BQ689" s="55" t="n">
        <v>358.373015873016</v>
      </c>
      <c r="BR689" s="56" t="n">
        <v>13.0576295156429</v>
      </c>
      <c r="BS689" s="56"/>
      <c r="BT689" s="56" t="n">
        <v>10.0779050663481</v>
      </c>
      <c r="BU689" s="55" t="n">
        <v>10215.3428571429</v>
      </c>
      <c r="BV689" s="55" t="n">
        <v>372.20481592036</v>
      </c>
      <c r="BW689" s="55"/>
      <c r="BX689" s="55" t="n">
        <v>287.268435330414</v>
      </c>
      <c r="BY689" s="96" t="n">
        <v>0.18437</v>
      </c>
      <c r="BZ689" s="96" t="n">
        <v>1.3475</v>
      </c>
      <c r="CA689" s="97" t="n">
        <v>3.57</v>
      </c>
      <c r="CB689" s="97"/>
      <c r="CC689" s="97" t="n">
        <v>6.49</v>
      </c>
      <c r="CD689" s="97" t="n">
        <v>6.35</v>
      </c>
      <c r="CE689" s="97" t="n">
        <v>83.83</v>
      </c>
      <c r="CF689" s="97" t="n">
        <v>35.89</v>
      </c>
      <c r="CG689" s="97" t="n">
        <v>0.154</v>
      </c>
      <c r="CH689" s="63" t="n">
        <v>34130.0927438692</v>
      </c>
      <c r="CI689" s="63" t="n">
        <v>2561.70361098315</v>
      </c>
      <c r="CJ689" s="64" t="n">
        <v>853249.441909532</v>
      </c>
      <c r="CK689" s="65" t="n">
        <v>0.300229157519303</v>
      </c>
    </row>
    <row r="690" s="1" customFormat="true" ht="15" hidden="false" customHeight="false" outlineLevel="0" collapsed="false">
      <c r="A690" s="7" t="s">
        <v>488</v>
      </c>
      <c r="B690" s="66" t="n">
        <v>681</v>
      </c>
      <c r="C690" s="8" t="s">
        <v>773</v>
      </c>
      <c r="D690" s="67" t="n">
        <v>41991</v>
      </c>
      <c r="E690" s="4" t="s">
        <v>490</v>
      </c>
      <c r="F690" s="7" t="n">
        <v>559</v>
      </c>
      <c r="G690" s="68" t="n">
        <v>1</v>
      </c>
      <c r="H690" s="68" t="n">
        <v>150</v>
      </c>
      <c r="I690" s="7" t="n">
        <v>1</v>
      </c>
      <c r="J690" s="8" t="n">
        <v>625</v>
      </c>
      <c r="K690" s="32"/>
      <c r="L690" s="31" t="n">
        <v>930.928</v>
      </c>
      <c r="M690" s="31" t="n">
        <v>161.175150464144</v>
      </c>
      <c r="N690" s="31" t="n">
        <v>319.596042027951</v>
      </c>
      <c r="O690" s="95"/>
      <c r="P690" s="33" t="n">
        <v>38.4576150158115</v>
      </c>
      <c r="Q690" s="33" t="n">
        <v>8.6</v>
      </c>
      <c r="R690" s="31" t="n">
        <v>256.146077731307</v>
      </c>
      <c r="S690" s="34" t="s">
        <v>76</v>
      </c>
      <c r="T690" s="35"/>
      <c r="U690" s="35"/>
      <c r="V690" s="35" t="n">
        <v>19.5234313619307</v>
      </c>
      <c r="W690" s="35" t="n">
        <v>18.1749089108994</v>
      </c>
      <c r="X690" s="35" t="n">
        <v>3.14669198733556</v>
      </c>
      <c r="Y690" s="35" t="n">
        <v>6.23961139007741</v>
      </c>
      <c r="Z690" s="35"/>
      <c r="AA690" s="35" t="n">
        <v>0.750824607104751</v>
      </c>
      <c r="AB690" s="35" t="n">
        <v>0.167901509712604</v>
      </c>
      <c r="AC690" s="71" t="n">
        <v>5.00085036721493</v>
      </c>
      <c r="AD690" s="72"/>
      <c r="AE690" s="72"/>
      <c r="AF690" s="72"/>
      <c r="AG690" s="72"/>
      <c r="AH690" s="72"/>
      <c r="AI690" s="73" t="n">
        <v>24.6886820578985</v>
      </c>
      <c r="AJ690" s="42" t="s">
        <v>16</v>
      </c>
      <c r="AK690" s="43" t="n">
        <v>651.662248319624</v>
      </c>
      <c r="AL690" s="74"/>
      <c r="AM690" s="74"/>
      <c r="AN690" s="74"/>
      <c r="AO690" s="78" t="n">
        <v>30.2142857142857</v>
      </c>
      <c r="AP690" s="76" t="n">
        <v>1.15972629656953</v>
      </c>
      <c r="AQ690" s="76" t="n">
        <v>0.950619533527697</v>
      </c>
      <c r="AR690" s="76" t="n">
        <v>1.57824864639733</v>
      </c>
      <c r="AS690" s="77" t="n">
        <v>29.4816087342572</v>
      </c>
      <c r="AT690" s="78" t="n">
        <v>29.984770126013</v>
      </c>
      <c r="AU690" s="78" t="n">
        <v>38.3833762458</v>
      </c>
      <c r="AV690" s="78" t="n">
        <v>31.4625850340136</v>
      </c>
      <c r="AW690" s="78" t="n">
        <v>52.2351797862002</v>
      </c>
      <c r="AX690" s="78" t="n">
        <v>28.5225</v>
      </c>
      <c r="AY690" s="48" t="n">
        <v>1.53583504713629</v>
      </c>
      <c r="AZ690" s="48" t="n">
        <v>22.8808805838332</v>
      </c>
      <c r="BA690" s="48" t="n">
        <v>-3.35744922190248</v>
      </c>
      <c r="BB690" s="49" t="n">
        <f aca="false">AT690/V690</f>
        <v>1.53583504713629</v>
      </c>
      <c r="BC690" s="49" t="n">
        <f aca="false">AS690/V690</f>
        <v>1.5100628669069</v>
      </c>
      <c r="BD690" s="49" t="n">
        <f aca="false">SUM(AP690:AR690)/V690</f>
        <v>0.188931669239612</v>
      </c>
      <c r="BE690" s="53" t="n">
        <v>6.59</v>
      </c>
      <c r="BF690" s="51" t="n">
        <v>99.13</v>
      </c>
      <c r="BG690" s="51" t="n">
        <v>658.428326440028</v>
      </c>
      <c r="BH690" s="51" t="n">
        <v>130.233027337839</v>
      </c>
      <c r="BI690" s="51" t="n">
        <v>161.202461414304</v>
      </c>
      <c r="BJ690" s="51" t="n">
        <v>6.85967920911934</v>
      </c>
      <c r="BK690" s="51" t="n">
        <v>14.9298900433774</v>
      </c>
      <c r="BL690" s="51" t="n">
        <v>22.3948350650661</v>
      </c>
      <c r="BM690" s="51" t="n">
        <v>5.95178049026531</v>
      </c>
      <c r="BN690" s="52" t="n">
        <f aca="false">(BG690*0.5-BH690*0.25+BI690*0.5)/SUM(BG690:BI690)*1000</f>
        <v>397.169711129992</v>
      </c>
      <c r="BO690" s="93" t="n">
        <v>3.75942857142857</v>
      </c>
      <c r="BP690" s="94" t="s">
        <v>491</v>
      </c>
      <c r="BQ690" s="55" t="n">
        <v>406.779166666667</v>
      </c>
      <c r="BR690" s="56" t="n">
        <v>20.8354340548894</v>
      </c>
      <c r="BS690" s="56"/>
      <c r="BT690" s="56" t="n">
        <v>13.5661926023495</v>
      </c>
      <c r="BU690" s="55" t="n">
        <v>11077.7833333333</v>
      </c>
      <c r="BV690" s="55" t="n">
        <v>567.409648845552</v>
      </c>
      <c r="BW690" s="55"/>
      <c r="BX690" s="55" t="n">
        <v>369.446998819007</v>
      </c>
      <c r="BY690" s="96" t="n">
        <v>0.07416</v>
      </c>
      <c r="BZ690" s="96" t="n">
        <v>0.99</v>
      </c>
      <c r="CA690" s="97" t="n">
        <v>3.75</v>
      </c>
      <c r="CB690" s="97"/>
      <c r="CC690" s="97" t="n">
        <v>7.27</v>
      </c>
      <c r="CD690" s="97" t="n">
        <v>7.56</v>
      </c>
      <c r="CE690" s="97" t="n">
        <v>80.8</v>
      </c>
      <c r="CF690" s="97" t="n">
        <v>35.47</v>
      </c>
      <c r="CG690" s="97" t="n">
        <v>0.0292</v>
      </c>
      <c r="CH690" s="63" t="n">
        <v>88565.6010861805</v>
      </c>
      <c r="CI690" s="63" t="n">
        <v>1209.26595554635</v>
      </c>
      <c r="CJ690" s="64" t="n">
        <v>239712.796445872</v>
      </c>
      <c r="CK690" s="65" t="n">
        <v>0.504464498130955</v>
      </c>
    </row>
    <row r="691" s="1" customFormat="true" ht="15" hidden="false" customHeight="false" outlineLevel="0" collapsed="false">
      <c r="A691" s="7" t="s">
        <v>488</v>
      </c>
      <c r="B691" s="66" t="n">
        <v>682</v>
      </c>
      <c r="C691" s="8" t="s">
        <v>774</v>
      </c>
      <c r="D691" s="67" t="n">
        <v>41991</v>
      </c>
      <c r="E691" s="4" t="s">
        <v>490</v>
      </c>
      <c r="F691" s="7" t="n">
        <v>564</v>
      </c>
      <c r="G691" s="68" t="n">
        <v>1</v>
      </c>
      <c r="H691" s="68" t="n">
        <v>103</v>
      </c>
      <c r="I691" s="7" t="n">
        <v>1</v>
      </c>
      <c r="J691" s="8" t="n">
        <v>635</v>
      </c>
      <c r="K691" s="32"/>
      <c r="L691" s="31" t="n">
        <v>930.928</v>
      </c>
      <c r="M691" s="31" t="n">
        <v>161.175150464144</v>
      </c>
      <c r="N691" s="31" t="n">
        <v>319.596042027951</v>
      </c>
      <c r="O691" s="95"/>
      <c r="P691" s="33" t="n">
        <v>38.4576150158115</v>
      </c>
      <c r="Q691" s="33" t="n">
        <v>8.6</v>
      </c>
      <c r="R691" s="31" t="n">
        <v>256.146077731307</v>
      </c>
      <c r="S691" s="34" t="s">
        <v>76</v>
      </c>
      <c r="T691" s="35"/>
      <c r="U691" s="35"/>
      <c r="V691" s="35" t="n">
        <v>26.5416874070471</v>
      </c>
      <c r="W691" s="35" t="n">
        <v>24.7083999744675</v>
      </c>
      <c r="X691" s="35" t="n">
        <v>4.27786046140308</v>
      </c>
      <c r="Y691" s="35" t="n">
        <v>8.48261824403535</v>
      </c>
      <c r="Z691" s="35"/>
      <c r="AA691" s="35" t="n">
        <v>1.02072999617023</v>
      </c>
      <c r="AB691" s="35" t="n">
        <v>0.228258511700605</v>
      </c>
      <c r="AC691" s="71" t="n">
        <v>6.79854912568553</v>
      </c>
      <c r="AD691" s="72"/>
      <c r="AE691" s="72"/>
      <c r="AF691" s="72"/>
      <c r="AG691" s="72"/>
      <c r="AH691" s="72"/>
      <c r="AI691" s="73" t="n">
        <v>25.8759732236175</v>
      </c>
      <c r="AJ691" s="42" t="s">
        <v>16</v>
      </c>
      <c r="AK691" s="43" t="n">
        <v>667.645350933096</v>
      </c>
      <c r="AL691" s="74"/>
      <c r="AM691" s="74"/>
      <c r="AN691" s="74"/>
      <c r="AO691" s="78" t="n">
        <v>30.2142857142857</v>
      </c>
      <c r="AP691" s="76" t="n">
        <v>1.16000412576265</v>
      </c>
      <c r="AQ691" s="76" t="n">
        <v>0.955023948354852</v>
      </c>
      <c r="AR691" s="76" t="n">
        <v>1.48575593502707</v>
      </c>
      <c r="AS691" s="77" t="n">
        <v>29.485776172154</v>
      </c>
      <c r="AT691" s="78" t="n">
        <v>29.5348969574937</v>
      </c>
      <c r="AU691" s="78" t="n">
        <v>38.3925715382436</v>
      </c>
      <c r="AV691" s="78" t="n">
        <v>31.6083576287658</v>
      </c>
      <c r="AW691" s="78" t="n">
        <v>49.1739552964043</v>
      </c>
      <c r="AX691" s="78" t="n">
        <v>31.3375</v>
      </c>
      <c r="AY691" s="48" t="n">
        <v>1.11277389807748</v>
      </c>
      <c r="AZ691" s="48" t="n">
        <v>22.5331993337575</v>
      </c>
      <c r="BA691" s="48" t="n">
        <v>4.00848807328963</v>
      </c>
      <c r="BB691" s="49" t="n">
        <f aca="false">AT691/V691</f>
        <v>1.11277389807748</v>
      </c>
      <c r="BC691" s="49" t="n">
        <f aca="false">AS691/V691</f>
        <v>1.11092319489548</v>
      </c>
      <c r="BD691" s="49" t="n">
        <f aca="false">SUM(AP691:AR691)/V691</f>
        <v>0.135665225572227</v>
      </c>
      <c r="BE691" s="53" t="n">
        <v>6.38</v>
      </c>
      <c r="BF691" s="51" t="n">
        <v>94.22</v>
      </c>
      <c r="BG691" s="51" t="n">
        <v>663.341116535767</v>
      </c>
      <c r="BH691" s="51" t="n">
        <v>188.070473360221</v>
      </c>
      <c r="BI691" s="51" t="n">
        <v>116.535767353004</v>
      </c>
      <c r="BJ691" s="51" t="n">
        <v>6.47420929738909</v>
      </c>
      <c r="BK691" s="51" t="n">
        <v>10.6134578645723</v>
      </c>
      <c r="BL691" s="51" t="n">
        <v>9.7643812354065</v>
      </c>
      <c r="BM691" s="51" t="n">
        <v>5.20059435364042</v>
      </c>
      <c r="BN691" s="52" t="n">
        <f aca="false">(BG691*0.5-BH691*0.25+BI691*0.5)/SUM(BG691:BI691)*1000</f>
        <v>354.276315789474</v>
      </c>
      <c r="BO691" s="93" t="n">
        <v>2.38971428571429</v>
      </c>
      <c r="BP691" s="94" t="s">
        <v>491</v>
      </c>
      <c r="BQ691" s="55" t="n">
        <v>371.72</v>
      </c>
      <c r="BR691" s="56" t="n">
        <v>14.0051381925817</v>
      </c>
      <c r="BS691" s="56"/>
      <c r="BT691" s="56" t="n">
        <v>12.5857896350536</v>
      </c>
      <c r="BU691" s="55" t="n">
        <v>10790.4611111111</v>
      </c>
      <c r="BV691" s="55" t="n">
        <v>406.547667660577</v>
      </c>
      <c r="BW691" s="55"/>
      <c r="BX691" s="55" t="n">
        <v>365.346157348733</v>
      </c>
      <c r="BY691" s="96" t="n">
        <v>0.09888</v>
      </c>
      <c r="BZ691" s="96" t="n">
        <v>0.5764</v>
      </c>
      <c r="CA691" s="97" t="n">
        <v>4.15</v>
      </c>
      <c r="CB691" s="97"/>
      <c r="CC691" s="97" t="n">
        <v>6.86</v>
      </c>
      <c r="CD691" s="97" t="n">
        <v>5.79</v>
      </c>
      <c r="CE691" s="97" t="n">
        <v>87.87</v>
      </c>
      <c r="CF691" s="97" t="n">
        <v>35.62</v>
      </c>
      <c r="CG691" s="97" t="n">
        <v>0.1124</v>
      </c>
      <c r="CH691" s="63" t="n">
        <v>104006.650292099</v>
      </c>
      <c r="CI691" s="63" t="n">
        <v>1478.23978148588</v>
      </c>
      <c r="CJ691" s="64" t="n">
        <v>295324.834683239</v>
      </c>
      <c r="CK691" s="65" t="n">
        <v>0.500547061364283</v>
      </c>
    </row>
    <row r="692" s="1" customFormat="true" ht="15" hidden="false" customHeight="false" outlineLevel="0" collapsed="false">
      <c r="A692" s="7" t="s">
        <v>488</v>
      </c>
      <c r="B692" s="66" t="n">
        <v>683</v>
      </c>
      <c r="C692" s="8" t="s">
        <v>775</v>
      </c>
      <c r="D692" s="67" t="n">
        <v>41991</v>
      </c>
      <c r="E692" s="4" t="s">
        <v>490</v>
      </c>
      <c r="F692" s="7" t="n">
        <v>566</v>
      </c>
      <c r="G692" s="68" t="n">
        <v>1</v>
      </c>
      <c r="H692" s="68" t="n">
        <v>93</v>
      </c>
      <c r="I692" s="7" t="n">
        <v>1</v>
      </c>
      <c r="J692" s="8" t="n">
        <v>677</v>
      </c>
      <c r="K692" s="32"/>
      <c r="L692" s="31" t="n">
        <v>930.928</v>
      </c>
      <c r="M692" s="31" t="n">
        <v>161.175150464144</v>
      </c>
      <c r="N692" s="31" t="n">
        <v>319.596042027951</v>
      </c>
      <c r="O692" s="95"/>
      <c r="P692" s="33" t="n">
        <v>38.4576150158115</v>
      </c>
      <c r="Q692" s="33" t="n">
        <v>8.6</v>
      </c>
      <c r="R692" s="31" t="n">
        <v>256.146077731307</v>
      </c>
      <c r="S692" s="34" t="s">
        <v>76</v>
      </c>
      <c r="T692" s="35"/>
      <c r="U692" s="35"/>
      <c r="V692" s="35" t="n">
        <v>18.1457377858792</v>
      </c>
      <c r="W692" s="35" t="n">
        <v>16.8923753855329</v>
      </c>
      <c r="X692" s="35" t="n">
        <v>2.92464201792197</v>
      </c>
      <c r="Y692" s="35" t="n">
        <v>5.79930597604401</v>
      </c>
      <c r="Z692" s="35"/>
      <c r="AA692" s="35" t="n">
        <v>0.697841797947205</v>
      </c>
      <c r="AB692" s="35" t="n">
        <v>0.156053344958561</v>
      </c>
      <c r="AC692" s="71" t="n">
        <v>4.64795956139372</v>
      </c>
      <c r="AD692" s="72"/>
      <c r="AE692" s="72"/>
      <c r="AF692" s="72"/>
      <c r="AG692" s="72"/>
      <c r="AH692" s="72"/>
      <c r="AI692" s="73" t="n">
        <v>23.5313377383384</v>
      </c>
      <c r="AJ692" s="42" t="s">
        <v>16</v>
      </c>
      <c r="AK692" s="43" t="n">
        <v>634.529915144244</v>
      </c>
      <c r="AL692" s="74"/>
      <c r="AM692" s="74"/>
      <c r="AN692" s="74"/>
      <c r="AO692" s="78" t="n">
        <v>29.8</v>
      </c>
      <c r="AP692" s="76" t="n">
        <v>1.01793618102549</v>
      </c>
      <c r="AQ692" s="76" t="n">
        <v>0.933965014577259</v>
      </c>
      <c r="AR692" s="76" t="n">
        <v>1.48493197278912</v>
      </c>
      <c r="AS692" s="77" t="n">
        <v>27.1890427153824</v>
      </c>
      <c r="AT692" s="78" t="n">
        <v>27.6326572980821</v>
      </c>
      <c r="AU692" s="78" t="n">
        <v>34.1589322491775</v>
      </c>
      <c r="AV692" s="78" t="n">
        <v>31.3411078717201</v>
      </c>
      <c r="AW692" s="78" t="n">
        <v>49.8299319727891</v>
      </c>
      <c r="AX692" s="78" t="n">
        <v>24.2775</v>
      </c>
      <c r="AY692" s="48" t="n">
        <v>1.52281806472403</v>
      </c>
      <c r="AZ692" s="48" t="n">
        <v>22.076327911339</v>
      </c>
      <c r="BA692" s="48" t="n">
        <v>-3.93059012545979</v>
      </c>
      <c r="BB692" s="49" t="n">
        <f aca="false">AT692/V692</f>
        <v>1.52281806472403</v>
      </c>
      <c r="BC692" s="49" t="n">
        <f aca="false">AS692/V692</f>
        <v>1.49837074888961</v>
      </c>
      <c r="BD692" s="49" t="n">
        <f aca="false">SUM(AP692:AR692)/V692</f>
        <v>0.189401677074072</v>
      </c>
      <c r="BE692" s="53" t="n">
        <v>6.39</v>
      </c>
      <c r="BF692" s="51" t="n">
        <v>117.24</v>
      </c>
      <c r="BG692" s="51" t="n">
        <v>570.965540771068</v>
      </c>
      <c r="BH692" s="51" t="n">
        <v>255.54418287274</v>
      </c>
      <c r="BI692" s="51" t="n">
        <v>139.71340839304</v>
      </c>
      <c r="BJ692" s="51" t="n">
        <v>5.88536335721597</v>
      </c>
      <c r="BK692" s="51" t="n">
        <v>14.244285226885</v>
      </c>
      <c r="BL692" s="51" t="n">
        <v>10.4912998976459</v>
      </c>
      <c r="BM692" s="51" t="n">
        <v>3.15591948140566</v>
      </c>
      <c r="BN692" s="52" t="n">
        <f aca="false">(BG692*0.5-BH692*0.25+BI692*0.5)/SUM(BG692:BI692)*1000</f>
        <v>301.641949152542</v>
      </c>
      <c r="BO692" s="93" t="n">
        <v>9.12171428571429</v>
      </c>
      <c r="BP692" s="94" t="s">
        <v>491</v>
      </c>
      <c r="BQ692" s="55" t="n">
        <v>318.619047619048</v>
      </c>
      <c r="BR692" s="56" t="n">
        <v>17.5588918664411</v>
      </c>
      <c r="BS692" s="56"/>
      <c r="BT692" s="56" t="n">
        <v>11.5305250661203</v>
      </c>
      <c r="BU692" s="55" t="n">
        <v>10639.2875283447</v>
      </c>
      <c r="BV692" s="55" t="n">
        <v>586.324328825255</v>
      </c>
      <c r="BW692" s="55"/>
      <c r="BX692" s="55" t="n">
        <v>385.025855949189</v>
      </c>
      <c r="BY692" s="96" t="n">
        <v>0.08343</v>
      </c>
      <c r="BZ692" s="96" t="n">
        <v>0.9306</v>
      </c>
      <c r="CA692" s="97" t="n">
        <v>3.77</v>
      </c>
      <c r="CB692" s="97"/>
      <c r="CC692" s="97" t="n">
        <v>6.92</v>
      </c>
      <c r="CD692" s="97" t="n">
        <v>5.32</v>
      </c>
      <c r="CE692" s="97" t="n">
        <v>87.87</v>
      </c>
      <c r="CF692" s="97" t="n">
        <v>35.04</v>
      </c>
      <c r="CG692" s="97" t="n">
        <v>0.1228</v>
      </c>
      <c r="CH692" s="63" t="n">
        <v>72422.5852418232</v>
      </c>
      <c r="CI692" s="63" t="n">
        <v>1528.8173262419</v>
      </c>
      <c r="CJ692" s="64" t="n">
        <v>377424.392310265</v>
      </c>
      <c r="CK692" s="65" t="n">
        <v>0.405065850906932</v>
      </c>
    </row>
    <row r="693" s="1" customFormat="true" ht="15" hidden="false" customHeight="false" outlineLevel="0" collapsed="false">
      <c r="A693" s="7" t="s">
        <v>488</v>
      </c>
      <c r="B693" s="66" t="n">
        <v>684</v>
      </c>
      <c r="C693" s="8" t="s">
        <v>776</v>
      </c>
      <c r="D693" s="67" t="n">
        <v>41991</v>
      </c>
      <c r="E693" s="4" t="s">
        <v>490</v>
      </c>
      <c r="F693" s="7" t="n">
        <v>567</v>
      </c>
      <c r="G693" s="68" t="n">
        <v>1</v>
      </c>
      <c r="H693" s="68" t="n">
        <v>91</v>
      </c>
      <c r="I693" s="7" t="n">
        <v>1</v>
      </c>
      <c r="J693" s="8" t="n">
        <v>646</v>
      </c>
      <c r="K693" s="32"/>
      <c r="L693" s="31" t="n">
        <v>930.928</v>
      </c>
      <c r="M693" s="31" t="n">
        <v>161.175150464144</v>
      </c>
      <c r="N693" s="31" t="n">
        <v>319.596042027951</v>
      </c>
      <c r="O693" s="95"/>
      <c r="P693" s="33" t="n">
        <v>38.4576150158115</v>
      </c>
      <c r="Q693" s="33" t="n">
        <v>8.6</v>
      </c>
      <c r="R693" s="31" t="n">
        <v>256.146077731307</v>
      </c>
      <c r="S693" s="34" t="s">
        <v>76</v>
      </c>
      <c r="T693" s="35"/>
      <c r="U693" s="35"/>
      <c r="V693" s="35" t="n">
        <v>19.6999570813974</v>
      </c>
      <c r="W693" s="35" t="n">
        <v>18.3392416458711</v>
      </c>
      <c r="X693" s="35" t="n">
        <v>3.17514354673139</v>
      </c>
      <c r="Y693" s="35" t="n">
        <v>6.2960283113351</v>
      </c>
      <c r="Z693" s="35"/>
      <c r="AA693" s="35" t="n">
        <v>0.75761336526439</v>
      </c>
      <c r="AB693" s="35" t="n">
        <v>0.169419630900017</v>
      </c>
      <c r="AC693" s="71" t="n">
        <v>5.04606673787502</v>
      </c>
      <c r="AD693" s="72"/>
      <c r="AE693" s="72"/>
      <c r="AF693" s="72"/>
      <c r="AG693" s="72"/>
      <c r="AH693" s="72"/>
      <c r="AI693" s="73" t="n">
        <v>24.1475567647213</v>
      </c>
      <c r="AJ693" s="42" t="s">
        <v>16</v>
      </c>
      <c r="AK693" s="43" t="n">
        <v>643.856308785479</v>
      </c>
      <c r="AL693" s="74"/>
      <c r="AM693" s="74"/>
      <c r="AN693" s="74"/>
      <c r="AO693" s="78" t="n">
        <v>37.2714285714286</v>
      </c>
      <c r="AP693" s="76" t="n">
        <v>1.24313536170336</v>
      </c>
      <c r="AQ693" s="76" t="n">
        <v>1.16269471053728</v>
      </c>
      <c r="AR693" s="76" t="n">
        <v>1.9206195335277</v>
      </c>
      <c r="AS693" s="77" t="n">
        <v>33.5556018541218</v>
      </c>
      <c r="AT693" s="78" t="n">
        <v>34.4865802561202</v>
      </c>
      <c r="AU693" s="78" t="n">
        <v>33.3535742887064</v>
      </c>
      <c r="AV693" s="78" t="n">
        <v>31.1953352769679</v>
      </c>
      <c r="AW693" s="78" t="n">
        <v>51.530612244898</v>
      </c>
      <c r="AX693" s="78" t="n">
        <v>36.315</v>
      </c>
      <c r="AY693" s="48" t="n">
        <v>1.75059164411509</v>
      </c>
      <c r="AZ693" s="48" t="n">
        <v>23.8725677449115</v>
      </c>
      <c r="BA693" s="48" t="n">
        <v>-4.17261066351412</v>
      </c>
      <c r="BB693" s="49" t="n">
        <f aca="false">AT693/V693</f>
        <v>1.75059164411509</v>
      </c>
      <c r="BC693" s="49" t="n">
        <f aca="false">AS693/V693</f>
        <v>1.70333375425514</v>
      </c>
      <c r="BD693" s="49" t="n">
        <f aca="false">SUM(AP693:AR693)/V693</f>
        <v>0.219617209717365</v>
      </c>
      <c r="BE693" s="53" t="n">
        <v>5.93</v>
      </c>
      <c r="BF693" s="51" t="n">
        <v>140.45</v>
      </c>
      <c r="BG693" s="51" t="n">
        <v>576.788892844429</v>
      </c>
      <c r="BH693" s="51" t="n">
        <v>251.975792096832</v>
      </c>
      <c r="BI693" s="51" t="n">
        <v>137.4866500534</v>
      </c>
      <c r="BJ693" s="51" t="n">
        <v>6.05197579209683</v>
      </c>
      <c r="BK693" s="51" t="n">
        <v>13.314346742613</v>
      </c>
      <c r="BL693" s="51" t="n">
        <v>11.3207547169811</v>
      </c>
      <c r="BM693" s="51" t="n">
        <v>3.06158775364898</v>
      </c>
      <c r="BN693" s="52" t="n">
        <f aca="false">(BG693*0.5-BH693*0.25+BI693*0.5)/SUM(BG693:BI693)*1000</f>
        <v>304.417507921303</v>
      </c>
      <c r="BO693" s="93" t="n">
        <v>9.20914285714286</v>
      </c>
      <c r="BP693" s="94" t="s">
        <v>491</v>
      </c>
      <c r="BQ693" s="55" t="n">
        <v>318.372976190476</v>
      </c>
      <c r="BR693" s="56" t="n">
        <v>16.1610999899647</v>
      </c>
      <c r="BS693" s="56"/>
      <c r="BT693" s="56" t="n">
        <v>9.2317931736353</v>
      </c>
      <c r="BU693" s="55" t="n">
        <v>10346.6060714286</v>
      </c>
      <c r="BV693" s="55" t="n">
        <v>525.209574248202</v>
      </c>
      <c r="BW693" s="55"/>
      <c r="BX693" s="55" t="n">
        <v>300.01832581218</v>
      </c>
      <c r="BY693" s="96" t="n">
        <v>0.1133</v>
      </c>
      <c r="BZ693" s="96" t="n">
        <v>0.5962</v>
      </c>
      <c r="CA693" s="97" t="n">
        <v>4.15</v>
      </c>
      <c r="CB693" s="97"/>
      <c r="CC693" s="97" t="n">
        <v>7.58</v>
      </c>
      <c r="CD693" s="97" t="n">
        <v>6.9</v>
      </c>
      <c r="CE693" s="97" t="n">
        <v>87.87</v>
      </c>
      <c r="CF693" s="97" t="n">
        <v>38.35</v>
      </c>
      <c r="CG693" s="97" t="n">
        <v>0.0604</v>
      </c>
      <c r="CH693" s="63" t="n">
        <v>75454.8506384628</v>
      </c>
      <c r="CI693" s="63" t="n">
        <v>2347.37161303161</v>
      </c>
      <c r="CJ693" s="64" t="n">
        <v>332113.791985272</v>
      </c>
      <c r="CK693" s="65" t="n">
        <v>0.706797389834297</v>
      </c>
    </row>
    <row r="694" s="1" customFormat="true" ht="15" hidden="false" customHeight="false" outlineLevel="0" collapsed="false">
      <c r="A694" s="7" t="s">
        <v>488</v>
      </c>
      <c r="B694" s="66" t="n">
        <v>685</v>
      </c>
      <c r="C694" s="8" t="s">
        <v>777</v>
      </c>
      <c r="D694" s="67" t="n">
        <v>41991</v>
      </c>
      <c r="E694" s="4" t="s">
        <v>490</v>
      </c>
      <c r="F694" s="7" t="n">
        <v>568</v>
      </c>
      <c r="G694" s="68" t="n">
        <v>1</v>
      </c>
      <c r="H694" s="68" t="n">
        <v>77</v>
      </c>
      <c r="I694" s="7" t="n">
        <v>1</v>
      </c>
      <c r="J694" s="8" t="n">
        <v>656</v>
      </c>
      <c r="K694" s="32"/>
      <c r="L694" s="31" t="n">
        <v>930.928</v>
      </c>
      <c r="M694" s="31" t="n">
        <v>161.175150464144</v>
      </c>
      <c r="N694" s="31" t="n">
        <v>319.596042027951</v>
      </c>
      <c r="O694" s="95"/>
      <c r="P694" s="33" t="n">
        <v>38.4576150158115</v>
      </c>
      <c r="Q694" s="33" t="n">
        <v>8.6</v>
      </c>
      <c r="R694" s="31" t="n">
        <v>256.146077731307</v>
      </c>
      <c r="S694" s="34" t="s">
        <v>76</v>
      </c>
      <c r="T694" s="35"/>
      <c r="U694" s="35"/>
      <c r="V694" s="35" t="n">
        <v>20.5265532580712</v>
      </c>
      <c r="W694" s="35" t="n">
        <v>19.1087431714297</v>
      </c>
      <c r="X694" s="35" t="n">
        <v>3.30837030987988</v>
      </c>
      <c r="Y694" s="35" t="n">
        <v>6.56020517775549</v>
      </c>
      <c r="Z694" s="35"/>
      <c r="AA694" s="35" t="n">
        <v>0.789402282800453</v>
      </c>
      <c r="AB694" s="35" t="n">
        <v>0.176528358019412</v>
      </c>
      <c r="AC694" s="71" t="n">
        <v>5.25779610639771</v>
      </c>
      <c r="AD694" s="72"/>
      <c r="AE694" s="72"/>
      <c r="AF694" s="72"/>
      <c r="AG694" s="72"/>
      <c r="AH694" s="72"/>
      <c r="AI694" s="73" t="n">
        <v>24.0370917415707</v>
      </c>
      <c r="AJ694" s="42" t="s">
        <v>16</v>
      </c>
      <c r="AK694" s="43" t="n">
        <v>642.219612403159</v>
      </c>
      <c r="AL694" s="74"/>
      <c r="AM694" s="74"/>
      <c r="AN694" s="74"/>
      <c r="AO694" s="78" t="n">
        <v>36.1285714285714</v>
      </c>
      <c r="AP694" s="76" t="n">
        <v>1.31938321305315</v>
      </c>
      <c r="AQ694" s="76" t="n">
        <v>1.11299875052062</v>
      </c>
      <c r="AR694" s="76" t="n">
        <v>1.81871720116618</v>
      </c>
      <c r="AS694" s="77" t="n">
        <v>34.2421767672258</v>
      </c>
      <c r="AT694" s="78" t="n">
        <v>34.4892964198709</v>
      </c>
      <c r="AU694" s="78" t="n">
        <v>36.5191083091026</v>
      </c>
      <c r="AV694" s="78" t="n">
        <v>30.8066083576288</v>
      </c>
      <c r="AW694" s="78" t="n">
        <v>50.3401360544218</v>
      </c>
      <c r="AX694" s="78" t="n">
        <v>36.1475</v>
      </c>
      <c r="AY694" s="48" t="n">
        <v>1.68022833576842</v>
      </c>
      <c r="AZ694" s="48" t="n">
        <v>23.7732379576349</v>
      </c>
      <c r="BA694" s="48" t="n">
        <v>-3.24668469956369</v>
      </c>
      <c r="BB694" s="49" t="n">
        <f aca="false">AT694/V694</f>
        <v>1.68022833576842</v>
      </c>
      <c r="BC694" s="49" t="n">
        <f aca="false">AS694/V694</f>
        <v>1.66818931248292</v>
      </c>
      <c r="BD694" s="49" t="n">
        <f aca="false">SUM(AP694:AR694)/V694</f>
        <v>0.207102435138173</v>
      </c>
      <c r="BE694" s="53" t="n">
        <v>6.07</v>
      </c>
      <c r="BF694" s="51" t="n">
        <v>128.98</v>
      </c>
      <c r="BG694" s="51" t="n">
        <v>576.6785548147</v>
      </c>
      <c r="BH694" s="51" t="n">
        <v>265.312451542875</v>
      </c>
      <c r="BI694" s="51" t="n">
        <v>128.8571871608</v>
      </c>
      <c r="BJ694" s="51" t="n">
        <v>5.03954101411072</v>
      </c>
      <c r="BK694" s="51" t="n">
        <v>12.5600868351682</v>
      </c>
      <c r="BL694" s="51" t="n">
        <v>8.06326562257715</v>
      </c>
      <c r="BM694" s="51" t="n">
        <v>3.48891300976896</v>
      </c>
      <c r="BN694" s="52" t="n">
        <f aca="false">(BG694*0.5-BH694*0.25+BI694*0.5)/SUM(BG694:BI694)*1000</f>
        <v>295.04072831816</v>
      </c>
      <c r="BO694" s="93" t="n">
        <v>7.63542857142857</v>
      </c>
      <c r="BP694" s="94" t="s">
        <v>491</v>
      </c>
      <c r="BQ694" s="55" t="n">
        <v>319.608974358974</v>
      </c>
      <c r="BR694" s="56" t="n">
        <v>15.5705134876116</v>
      </c>
      <c r="BS694" s="56"/>
      <c r="BT694" s="56" t="n">
        <v>9.26690328698131</v>
      </c>
      <c r="BU694" s="55" t="n">
        <v>9480.77564102564</v>
      </c>
      <c r="BV694" s="55" t="n">
        <v>461.878598020237</v>
      </c>
      <c r="BW694" s="55"/>
      <c r="BX694" s="55" t="n">
        <v>274.890375425673</v>
      </c>
      <c r="BY694" s="96" t="n">
        <v>0.08034</v>
      </c>
      <c r="BZ694" s="96" t="n">
        <v>0.7414</v>
      </c>
      <c r="CA694" s="97" t="n">
        <v>4.01</v>
      </c>
      <c r="CB694" s="97"/>
      <c r="CC694" s="97" t="n">
        <v>6.95</v>
      </c>
      <c r="CD694" s="97" t="n">
        <v>4.88</v>
      </c>
      <c r="CE694" s="97" t="n">
        <v>80.8</v>
      </c>
      <c r="CF694" s="97" t="n">
        <v>37.7</v>
      </c>
      <c r="CG694" s="97" t="n">
        <v>0.0812</v>
      </c>
      <c r="CH694" s="63" t="n">
        <v>105782.72751411</v>
      </c>
      <c r="CI694" s="63" t="n">
        <v>2277.50876104652</v>
      </c>
      <c r="CJ694" s="64" t="n">
        <v>281045.674084194</v>
      </c>
      <c r="CK694" s="65" t="n">
        <v>0.810369619980072</v>
      </c>
    </row>
    <row r="695" s="1" customFormat="true" ht="15" hidden="false" customHeight="false" outlineLevel="0" collapsed="false">
      <c r="A695" s="7" t="s">
        <v>488</v>
      </c>
      <c r="B695" s="66" t="n">
        <v>686</v>
      </c>
      <c r="C695" s="8" t="s">
        <v>778</v>
      </c>
      <c r="D695" s="67" t="n">
        <v>41991</v>
      </c>
      <c r="E695" s="4" t="s">
        <v>490</v>
      </c>
      <c r="F695" s="7" t="n">
        <v>571</v>
      </c>
      <c r="G695" s="68" t="n">
        <v>1</v>
      </c>
      <c r="H695" s="68" t="n">
        <v>105</v>
      </c>
      <c r="I695" s="7" t="n">
        <v>1</v>
      </c>
      <c r="J695" s="8" t="n">
        <v>563</v>
      </c>
      <c r="K695" s="32"/>
      <c r="L695" s="31" t="n">
        <v>930.928</v>
      </c>
      <c r="M695" s="31" t="n">
        <v>161.175150464144</v>
      </c>
      <c r="N695" s="31" t="n">
        <v>319.596042027951</v>
      </c>
      <c r="O695" s="95"/>
      <c r="P695" s="33" t="n">
        <v>38.4576150158115</v>
      </c>
      <c r="Q695" s="33" t="n">
        <v>8.6</v>
      </c>
      <c r="R695" s="31" t="n">
        <v>256.146077731307</v>
      </c>
      <c r="S695" s="34" t="s">
        <v>76</v>
      </c>
      <c r="T695" s="35"/>
      <c r="U695" s="35"/>
      <c r="V695" s="35" t="n">
        <v>14.9024329733478</v>
      </c>
      <c r="W695" s="35" t="n">
        <v>13.8730921230127</v>
      </c>
      <c r="X695" s="35" t="n">
        <v>2.40190187676115</v>
      </c>
      <c r="Y695" s="35" t="n">
        <v>4.76275859486878</v>
      </c>
      <c r="Z695" s="35"/>
      <c r="AA695" s="35" t="n">
        <v>0.573112030087945</v>
      </c>
      <c r="AB695" s="35" t="n">
        <v>0.128160923570791</v>
      </c>
      <c r="AC695" s="71" t="n">
        <v>3.81719975477673</v>
      </c>
      <c r="AD695" s="72"/>
      <c r="AE695" s="72"/>
      <c r="AF695" s="72"/>
      <c r="AG695" s="72"/>
      <c r="AH695" s="72"/>
      <c r="AI695" s="73" t="n">
        <v>26.5305917223871</v>
      </c>
      <c r="AJ695" s="42" t="s">
        <v>16</v>
      </c>
      <c r="AK695" s="43" t="n">
        <v>675.845903099737</v>
      </c>
      <c r="AL695" s="74"/>
      <c r="AM695" s="74"/>
      <c r="AN695" s="74"/>
      <c r="AO695" s="78" t="n">
        <v>32.1428571428571</v>
      </c>
      <c r="AP695" s="76" t="n">
        <v>1.0365319833892</v>
      </c>
      <c r="AQ695" s="76" t="n">
        <v>1.00036443148688</v>
      </c>
      <c r="AR695" s="76" t="n">
        <v>1.59855268638068</v>
      </c>
      <c r="AS695" s="77" t="n">
        <v>28.4051226079808</v>
      </c>
      <c r="AT695" s="78" t="n">
        <v>28.9851633061727</v>
      </c>
      <c r="AU695" s="78" t="n">
        <v>32.2476617054417</v>
      </c>
      <c r="AV695" s="78" t="n">
        <v>31.1224489795918</v>
      </c>
      <c r="AW695" s="78" t="n">
        <v>49.7327502429543</v>
      </c>
      <c r="AX695" s="78" t="n">
        <v>27.9725</v>
      </c>
      <c r="AY695" s="48" t="n">
        <v>1.94499538149315</v>
      </c>
      <c r="AZ695" s="48" t="n">
        <v>21.1511903964954</v>
      </c>
      <c r="BA695" s="48" t="n">
        <v>-6.24875742314764</v>
      </c>
      <c r="BB695" s="49" t="n">
        <f aca="false">AT695/V695</f>
        <v>1.94499538149315</v>
      </c>
      <c r="BC695" s="49" t="n">
        <f aca="false">AS695/V695</f>
        <v>1.906072831113</v>
      </c>
      <c r="BD695" s="49" t="n">
        <f aca="false">SUM(AP695:AR695)/V695</f>
        <v>0.243950038745926</v>
      </c>
      <c r="BE695" s="53" t="n">
        <v>5.98</v>
      </c>
      <c r="BF695" s="51" t="n">
        <v>137.66</v>
      </c>
      <c r="BG695" s="51" t="n">
        <v>566.322824349847</v>
      </c>
      <c r="BH695" s="51" t="n">
        <v>270.957431352608</v>
      </c>
      <c r="BI695" s="51" t="n">
        <v>130.756937381956</v>
      </c>
      <c r="BJ695" s="51" t="n">
        <v>6.02934766816795</v>
      </c>
      <c r="BK695" s="51" t="n">
        <v>13.3662647101555</v>
      </c>
      <c r="BL695" s="51" t="n">
        <v>10.3152695045765</v>
      </c>
      <c r="BM695" s="51" t="n">
        <v>2.25192503268923</v>
      </c>
      <c r="BN695" s="52" t="n">
        <f aca="false">(BG695*0.5-BH695*0.25+BI695*0.5)/SUM(BG695:BI695)*1000</f>
        <v>290.072039621792</v>
      </c>
      <c r="BO695" s="93" t="n">
        <v>14.6005714285714</v>
      </c>
      <c r="BP695" s="94" t="s">
        <v>491</v>
      </c>
      <c r="BQ695" s="55" t="n">
        <v>329.793207282913</v>
      </c>
      <c r="BR695" s="56" t="n">
        <v>22.1301587380215</v>
      </c>
      <c r="BS695" s="56"/>
      <c r="BT695" s="56" t="n">
        <v>11.3780006619</v>
      </c>
      <c r="BU695" s="55" t="n">
        <v>10328.493557423</v>
      </c>
      <c r="BV695" s="55" t="n">
        <v>693.074317186658</v>
      </c>
      <c r="BW695" s="55"/>
      <c r="BX695" s="55" t="n">
        <v>356.337256006538</v>
      </c>
      <c r="BY695" s="96" t="n">
        <v>0.0618</v>
      </c>
      <c r="BZ695" s="96" t="n">
        <v>0.6853</v>
      </c>
      <c r="CA695" s="97" t="n">
        <v>3.94</v>
      </c>
      <c r="CB695" s="97"/>
      <c r="CC695" s="97" t="n">
        <v>7.23</v>
      </c>
      <c r="CD695" s="97" t="n">
        <v>6.42</v>
      </c>
      <c r="CE695" s="97" t="n">
        <v>79.79</v>
      </c>
      <c r="CF695" s="97" t="n">
        <v>35.78</v>
      </c>
      <c r="CG695" s="97" t="n">
        <v>0.0292</v>
      </c>
      <c r="CH695" s="63" t="n">
        <v>87054.1863531947</v>
      </c>
      <c r="CI695" s="63" t="n">
        <v>6865.20891119696</v>
      </c>
      <c r="CJ695" s="64" t="n">
        <v>694770.92529877</v>
      </c>
      <c r="CK695" s="65" t="n">
        <v>0.988125533353995</v>
      </c>
    </row>
    <row r="696" s="1" customFormat="true" ht="15" hidden="false" customHeight="false" outlineLevel="0" collapsed="false">
      <c r="A696" s="7" t="s">
        <v>488</v>
      </c>
      <c r="B696" s="66" t="n">
        <v>687</v>
      </c>
      <c r="C696" s="8" t="s">
        <v>779</v>
      </c>
      <c r="D696" s="67" t="n">
        <v>41991</v>
      </c>
      <c r="E696" s="4" t="s">
        <v>490</v>
      </c>
      <c r="F696" s="7" t="n">
        <v>573</v>
      </c>
      <c r="G696" s="68" t="n">
        <v>1</v>
      </c>
      <c r="H696" s="68" t="n">
        <v>102</v>
      </c>
      <c r="I696" s="7" t="n">
        <v>1</v>
      </c>
      <c r="J696" s="8" t="n">
        <v>666</v>
      </c>
      <c r="K696" s="32"/>
      <c r="L696" s="31" t="n">
        <v>930.928</v>
      </c>
      <c r="M696" s="31" t="n">
        <v>161.175150464144</v>
      </c>
      <c r="N696" s="31" t="n">
        <v>319.596042027951</v>
      </c>
      <c r="O696" s="95"/>
      <c r="P696" s="33" t="n">
        <v>38.4576150158115</v>
      </c>
      <c r="Q696" s="33" t="n">
        <v>8.6</v>
      </c>
      <c r="R696" s="31" t="n">
        <v>256.146077731307</v>
      </c>
      <c r="S696" s="34" t="s">
        <v>76</v>
      </c>
      <c r="T696" s="35"/>
      <c r="U696" s="35"/>
      <c r="V696" s="35" t="n">
        <v>18.7190829375743</v>
      </c>
      <c r="W696" s="35" t="n">
        <v>17.4261184409101</v>
      </c>
      <c r="X696" s="35" t="n">
        <v>3.01705100901432</v>
      </c>
      <c r="Y696" s="35" t="n">
        <v>5.98254481724168</v>
      </c>
      <c r="Z696" s="35"/>
      <c r="AA696" s="35" t="n">
        <v>0.719891285062277</v>
      </c>
      <c r="AB696" s="35" t="n">
        <v>0.160984113263139</v>
      </c>
      <c r="AC696" s="71" t="n">
        <v>4.79481967318668</v>
      </c>
      <c r="AD696" s="72"/>
      <c r="AE696" s="72"/>
      <c r="AF696" s="72"/>
      <c r="AG696" s="72"/>
      <c r="AH696" s="72"/>
      <c r="AI696" s="73" t="n">
        <v>26.8667806349573</v>
      </c>
      <c r="AJ696" s="42" t="s">
        <v>16</v>
      </c>
      <c r="AK696" s="43" t="n">
        <v>679.902102270852</v>
      </c>
      <c r="AL696" s="74"/>
      <c r="AM696" s="74"/>
      <c r="AN696" s="74"/>
      <c r="AO696" s="78" t="n">
        <v>28.3285714285714</v>
      </c>
      <c r="AP696" s="76" t="n">
        <v>1.2049049007358</v>
      </c>
      <c r="AQ696" s="76" t="n">
        <v>0.89335485214494</v>
      </c>
      <c r="AR696" s="76" t="n">
        <v>1.45841211995002</v>
      </c>
      <c r="AS696" s="77" t="n">
        <v>29.4050020824656</v>
      </c>
      <c r="AT696" s="78" t="n">
        <v>29.4508226154884</v>
      </c>
      <c r="AU696" s="78" t="n">
        <v>42.5332037576936</v>
      </c>
      <c r="AV696" s="78" t="n">
        <v>31.5354713313897</v>
      </c>
      <c r="AW696" s="78" t="n">
        <v>51.4820213799806</v>
      </c>
      <c r="AX696" s="78" t="n">
        <v>29.425</v>
      </c>
      <c r="AY696" s="48" t="n">
        <v>1.5733047774671</v>
      </c>
      <c r="AZ696" s="48" t="n">
        <v>22.917364908278</v>
      </c>
      <c r="BA696" s="48" t="n">
        <v>-4.19828197070373</v>
      </c>
      <c r="BB696" s="49" t="n">
        <f aca="false">AT696/V696</f>
        <v>1.5733047774671</v>
      </c>
      <c r="BC696" s="49" t="n">
        <f aca="false">AS696/V696</f>
        <v>1.57085697950736</v>
      </c>
      <c r="BD696" s="49" t="n">
        <f aca="false">SUM(AP696:AR696)/V696</f>
        <v>0.190002463512332</v>
      </c>
      <c r="BE696" s="53" t="n">
        <v>5.99</v>
      </c>
      <c r="BF696" s="51" t="n">
        <v>117.45</v>
      </c>
      <c r="BG696" s="51" t="n">
        <v>627.075351213282</v>
      </c>
      <c r="BH696" s="51" t="n">
        <v>208.514261387825</v>
      </c>
      <c r="BI696" s="51" t="n">
        <v>130.779054916986</v>
      </c>
      <c r="BJ696" s="51" t="n">
        <v>6.81140911025969</v>
      </c>
      <c r="BK696" s="51" t="n">
        <v>12.0051085568327</v>
      </c>
      <c r="BL696" s="51" t="n">
        <v>11.068539804172</v>
      </c>
      <c r="BM696" s="51" t="n">
        <v>3.74627501064283</v>
      </c>
      <c r="BN696" s="52" t="n">
        <f aca="false">(BG696*0.5-BH696*0.25+BI696*0.5)/SUM(BG696:BI696)*1000</f>
        <v>338.171806167401</v>
      </c>
      <c r="BO696" s="93" t="n">
        <v>16.4657142857143</v>
      </c>
      <c r="BP696" s="94" t="s">
        <v>491</v>
      </c>
      <c r="BQ696" s="55" t="n">
        <v>355.875</v>
      </c>
      <c r="BR696" s="56" t="n">
        <v>19.0113480017583</v>
      </c>
      <c r="BS696" s="56"/>
      <c r="BT696" s="56" t="n">
        <v>12.0837032176087</v>
      </c>
      <c r="BU696" s="55" t="n">
        <v>10093.7083333333</v>
      </c>
      <c r="BV696" s="55" t="n">
        <v>539.220236749554</v>
      </c>
      <c r="BW696" s="55"/>
      <c r="BX696" s="55" t="n">
        <v>342.730947285152</v>
      </c>
      <c r="BY696" s="96" t="n">
        <v>0.10712</v>
      </c>
      <c r="BZ696" s="96" t="n">
        <v>0.7997</v>
      </c>
      <c r="CA696" s="97" t="n">
        <v>4.14</v>
      </c>
      <c r="CB696" s="97"/>
      <c r="CC696" s="97" t="n">
        <v>6.81</v>
      </c>
      <c r="CD696" s="97" t="n">
        <v>5.97</v>
      </c>
      <c r="CE696" s="97" t="n">
        <v>92.92</v>
      </c>
      <c r="CF696" s="97" t="n">
        <v>36.36</v>
      </c>
      <c r="CG696" s="97" t="n">
        <v>0.0188</v>
      </c>
      <c r="CH696" s="63" t="n">
        <v>144905.087461997</v>
      </c>
      <c r="CI696" s="63" t="n">
        <v>1647.77552974063</v>
      </c>
      <c r="CJ696" s="64" t="n">
        <v>107428.439731013</v>
      </c>
      <c r="CK696" s="65" t="n">
        <v>1.53383548515313</v>
      </c>
    </row>
    <row r="697" s="1" customFormat="true" ht="15" hidden="false" customHeight="false" outlineLevel="0" collapsed="false">
      <c r="A697" s="7" t="s">
        <v>488</v>
      </c>
      <c r="B697" s="66" t="n">
        <v>688</v>
      </c>
      <c r="C697" s="8" t="s">
        <v>780</v>
      </c>
      <c r="D697" s="67" t="n">
        <v>41991</v>
      </c>
      <c r="E697" s="4" t="s">
        <v>490</v>
      </c>
      <c r="F697" s="7" t="n">
        <v>574</v>
      </c>
      <c r="G697" s="68" t="n">
        <v>1</v>
      </c>
      <c r="H697" s="68" t="n">
        <v>98</v>
      </c>
      <c r="I697" s="7" t="n">
        <v>1</v>
      </c>
      <c r="J697" s="8" t="n">
        <v>677</v>
      </c>
      <c r="K697" s="32"/>
      <c r="L697" s="31" t="n">
        <v>930.928</v>
      </c>
      <c r="M697" s="31" t="n">
        <v>161.175150464144</v>
      </c>
      <c r="N697" s="31" t="n">
        <v>319.596042027951</v>
      </c>
      <c r="O697" s="95"/>
      <c r="P697" s="33" t="n">
        <v>38.4576150158115</v>
      </c>
      <c r="Q697" s="33" t="n">
        <v>8.6</v>
      </c>
      <c r="R697" s="31" t="n">
        <v>256.146077731307</v>
      </c>
      <c r="S697" s="34" t="s">
        <v>76</v>
      </c>
      <c r="T697" s="35"/>
      <c r="U697" s="35"/>
      <c r="V697" s="35" t="n">
        <v>21.4728921176727</v>
      </c>
      <c r="W697" s="35" t="n">
        <v>19.9897165133208</v>
      </c>
      <c r="X697" s="35" t="n">
        <v>3.46089661796623</v>
      </c>
      <c r="Y697" s="35" t="n">
        <v>6.86265133170139</v>
      </c>
      <c r="Z697" s="35"/>
      <c r="AA697" s="35" t="n">
        <v>0.825796218337511</v>
      </c>
      <c r="AB697" s="35" t="n">
        <v>0.184666872211986</v>
      </c>
      <c r="AC697" s="71" t="n">
        <v>5.50019709348936</v>
      </c>
      <c r="AD697" s="72"/>
      <c r="AE697" s="72"/>
      <c r="AF697" s="72"/>
      <c r="AG697" s="72"/>
      <c r="AH697" s="72"/>
      <c r="AI697" s="73" t="n">
        <v>25.592809342319</v>
      </c>
      <c r="AJ697" s="42" t="s">
        <v>16</v>
      </c>
      <c r="AK697" s="43" t="n">
        <v>663.968113661541</v>
      </c>
      <c r="AL697" s="74"/>
      <c r="AM697" s="74"/>
      <c r="AN697" s="74"/>
      <c r="AO697" s="78" t="n">
        <v>34.3571428571429</v>
      </c>
      <c r="AP697" s="76" t="n">
        <v>1.2744677632018</v>
      </c>
      <c r="AQ697" s="76" t="n">
        <v>1.07846036373733</v>
      </c>
      <c r="AR697" s="76" t="n">
        <v>1.67361689573789</v>
      </c>
      <c r="AS697" s="77" t="n">
        <v>32.8598735908841</v>
      </c>
      <c r="AT697" s="78" t="n">
        <v>32.8992587406751</v>
      </c>
      <c r="AU697" s="78" t="n">
        <v>37.0946958104473</v>
      </c>
      <c r="AV697" s="78" t="n">
        <v>31.3896987366375</v>
      </c>
      <c r="AW697" s="78" t="n">
        <v>48.712342079689</v>
      </c>
      <c r="AX697" s="78" t="n">
        <v>30.45</v>
      </c>
      <c r="AY697" s="48" t="n">
        <v>1.5321298388864</v>
      </c>
      <c r="AZ697" s="48" t="n">
        <v>24.2284278164465</v>
      </c>
      <c r="BA697" s="48" t="n">
        <v>-2.75553569877374</v>
      </c>
      <c r="BB697" s="49" t="n">
        <f aca="false">AT697/V697</f>
        <v>1.5321298388864</v>
      </c>
      <c r="BC697" s="49" t="n">
        <f aca="false">AS697/V697</f>
        <v>1.53029565886188</v>
      </c>
      <c r="BD697" s="49" t="n">
        <f aca="false">SUM(AP697:AR697)/V697</f>
        <v>0.187517591976493</v>
      </c>
      <c r="BE697" s="53" t="n">
        <v>6.24</v>
      </c>
      <c r="BF697" s="51" t="n">
        <v>107.44</v>
      </c>
      <c r="BG697" s="51" t="n">
        <v>635.424422933731</v>
      </c>
      <c r="BH697" s="51" t="n">
        <v>183.078927773641</v>
      </c>
      <c r="BI697" s="51" t="n">
        <v>143.056589724497</v>
      </c>
      <c r="BJ697" s="51" t="n">
        <v>7.44601638123604</v>
      </c>
      <c r="BK697" s="51" t="n">
        <v>11.355174981385</v>
      </c>
      <c r="BL697" s="51" t="n">
        <v>16.939687267312</v>
      </c>
      <c r="BM697" s="51" t="n">
        <v>2.69918093819806</v>
      </c>
      <c r="BN697" s="52" t="n">
        <f aca="false">(BG697*0.5-BH697*0.25+BI697*0.5)/SUM(BG697:BI697)*1000</f>
        <v>357.201626173652</v>
      </c>
      <c r="BO697" s="93" t="n">
        <v>2.94342857142857</v>
      </c>
      <c r="BP697" s="94" t="s">
        <v>491</v>
      </c>
      <c r="BQ697" s="55" t="n">
        <v>424.46875</v>
      </c>
      <c r="BR697" s="56" t="n">
        <v>19.7676562464844</v>
      </c>
      <c r="BS697" s="56"/>
      <c r="BT697" s="56" t="n">
        <v>12.9020764068221</v>
      </c>
      <c r="BU697" s="55" t="n">
        <v>11774.4479166667</v>
      </c>
      <c r="BV697" s="55" t="n">
        <v>548.340104916561</v>
      </c>
      <c r="BW697" s="55"/>
      <c r="BX697" s="55" t="n">
        <v>357.894018508973</v>
      </c>
      <c r="BY697" s="96" t="n">
        <v>0.08034</v>
      </c>
      <c r="BZ697" s="96" t="n">
        <v>1.1209</v>
      </c>
      <c r="CA697" s="97" t="n">
        <v>3.82</v>
      </c>
      <c r="CB697" s="97"/>
      <c r="CC697" s="97" t="n">
        <v>7</v>
      </c>
      <c r="CD697" s="97" t="n">
        <v>7.45</v>
      </c>
      <c r="CE697" s="97" t="n">
        <v>86.86</v>
      </c>
      <c r="CF697" s="97" t="n">
        <v>34.02</v>
      </c>
      <c r="CG697" s="97" t="n">
        <v>0.0812</v>
      </c>
      <c r="CH697" s="63" t="n">
        <v>62079.0987607212</v>
      </c>
      <c r="CI697" s="63" t="n">
        <v>6459.31780644154</v>
      </c>
      <c r="CJ697" s="64" t="n">
        <v>767770.606987669</v>
      </c>
      <c r="CK697" s="65" t="n">
        <v>0.841308295427528</v>
      </c>
    </row>
    <row r="698" s="1" customFormat="true" ht="15" hidden="false" customHeight="false" outlineLevel="0" collapsed="false">
      <c r="A698" s="7" t="s">
        <v>488</v>
      </c>
      <c r="B698" s="66" t="n">
        <v>689</v>
      </c>
      <c r="C698" s="8" t="s">
        <v>781</v>
      </c>
      <c r="D698" s="67" t="n">
        <v>41991</v>
      </c>
      <c r="E698" s="4" t="s">
        <v>490</v>
      </c>
      <c r="F698" s="7" t="n">
        <v>599</v>
      </c>
      <c r="G698" s="68" t="n">
        <v>1</v>
      </c>
      <c r="H698" s="68" t="n">
        <v>140</v>
      </c>
      <c r="I698" s="7" t="n">
        <v>1</v>
      </c>
      <c r="J698" s="8" t="n">
        <v>635</v>
      </c>
      <c r="K698" s="32"/>
      <c r="L698" s="31" t="n">
        <v>930.928</v>
      </c>
      <c r="M698" s="31" t="n">
        <v>161.175150464144</v>
      </c>
      <c r="N698" s="31" t="n">
        <v>319.596042027951</v>
      </c>
      <c r="O698" s="95"/>
      <c r="P698" s="33" t="n">
        <v>38.4576150158115</v>
      </c>
      <c r="Q698" s="33" t="n">
        <v>8.6</v>
      </c>
      <c r="R698" s="31" t="n">
        <v>256.146077731307</v>
      </c>
      <c r="S698" s="34" t="s">
        <v>76</v>
      </c>
      <c r="T698" s="35"/>
      <c r="U698" s="35"/>
      <c r="V698" s="35" t="n">
        <v>19.3399676991257</v>
      </c>
      <c r="W698" s="35" t="n">
        <v>18.0041174502117</v>
      </c>
      <c r="X698" s="35" t="n">
        <v>3.11712220387826</v>
      </c>
      <c r="Y698" s="35" t="n">
        <v>6.18097712958899</v>
      </c>
      <c r="Z698" s="35"/>
      <c r="AA698" s="35" t="n">
        <v>0.743769032191206</v>
      </c>
      <c r="AB698" s="35" t="n">
        <v>0.166323722212481</v>
      </c>
      <c r="AC698" s="71" t="n">
        <v>4.95385686958122</v>
      </c>
      <c r="AD698" s="72"/>
      <c r="AE698" s="72"/>
      <c r="AF698" s="72"/>
      <c r="AG698" s="72"/>
      <c r="AH698" s="72"/>
      <c r="AI698" s="73" t="n">
        <v>29.7184283219946</v>
      </c>
      <c r="AJ698" s="42" t="s">
        <v>16</v>
      </c>
      <c r="AK698" s="43" t="n">
        <v>710.61726727873</v>
      </c>
      <c r="AL698" s="74"/>
      <c r="AM698" s="74"/>
      <c r="AN698" s="74"/>
      <c r="AO698" s="78" t="n">
        <v>35.7857142857143</v>
      </c>
      <c r="AP698" s="76" t="n">
        <v>1.16778349118189</v>
      </c>
      <c r="AQ698" s="76" t="n">
        <v>1.04679300291545</v>
      </c>
      <c r="AR698" s="76" t="n">
        <v>1.80232715535194</v>
      </c>
      <c r="AS698" s="77" t="n">
        <v>31.8310380820141</v>
      </c>
      <c r="AT698" s="78" t="n">
        <v>32.0413228719922</v>
      </c>
      <c r="AU698" s="78" t="n">
        <v>32.6326724082764</v>
      </c>
      <c r="AV698" s="78" t="n">
        <v>29.2517006802721</v>
      </c>
      <c r="AW698" s="78" t="n">
        <v>50.3644314868805</v>
      </c>
      <c r="AX698" s="78" t="n">
        <v>26.1425</v>
      </c>
      <c r="AY698" s="48" t="n">
        <v>1.65674128160207</v>
      </c>
      <c r="AZ698" s="48" t="n">
        <v>23.8301674887022</v>
      </c>
      <c r="BA698" s="48" t="n">
        <v>-4.49019978957651</v>
      </c>
      <c r="BB698" s="49" t="n">
        <f aca="false">AT698/V698</f>
        <v>1.65674128160207</v>
      </c>
      <c r="BC698" s="49" t="n">
        <f aca="false">AS698/V698</f>
        <v>1.64586821328833</v>
      </c>
      <c r="BD698" s="49" t="n">
        <f aca="false">SUM(AP698:AR698)/V698</f>
        <v>0.207699604877358</v>
      </c>
      <c r="BE698" s="53" t="n">
        <v>6.59</v>
      </c>
      <c r="BF698" s="51" t="n">
        <v>105.31</v>
      </c>
      <c r="BG698" s="51" t="n">
        <v>657.772291330358</v>
      </c>
      <c r="BH698" s="51" t="n">
        <v>187.066755293894</v>
      </c>
      <c r="BI698" s="51" t="n">
        <v>115.943405184693</v>
      </c>
      <c r="BJ698" s="51" t="n">
        <v>6.17225334726047</v>
      </c>
      <c r="BK698" s="51" t="n">
        <v>12.819295413541</v>
      </c>
      <c r="BL698" s="51" t="n">
        <v>11.8697179755009</v>
      </c>
      <c r="BM698" s="51" t="n">
        <v>8.35628145475264</v>
      </c>
      <c r="BN698" s="52" t="n">
        <f aca="false">(BG698*0.5-BH698*0.25+BI698*0.5)/SUM(BG698:BI698)*1000</f>
        <v>353.973117216841</v>
      </c>
      <c r="BO698" s="93" t="n">
        <v>7.43142857142857</v>
      </c>
      <c r="BP698" s="94" t="s">
        <v>491</v>
      </c>
      <c r="BQ698" s="55" t="n">
        <v>302.832291666667</v>
      </c>
      <c r="BR698" s="56" t="n">
        <v>15.658365948582</v>
      </c>
      <c r="BS698" s="56"/>
      <c r="BT698" s="56" t="n">
        <v>9.45130426969282</v>
      </c>
      <c r="BU698" s="55" t="n">
        <v>10973.5229166667</v>
      </c>
      <c r="BV698" s="55" t="n">
        <v>567.401305285672</v>
      </c>
      <c r="BW698" s="55"/>
      <c r="BX698" s="55" t="n">
        <v>342.480332678735</v>
      </c>
      <c r="BY698" s="96" t="n">
        <v>0.21115</v>
      </c>
      <c r="BZ698" s="96" t="n">
        <v>4.0304</v>
      </c>
      <c r="CA698" s="97" t="n">
        <v>2.43</v>
      </c>
      <c r="CB698" s="97"/>
      <c r="CC698" s="97" t="n">
        <v>6.18</v>
      </c>
      <c r="CD698" s="97" t="n">
        <v>4.9</v>
      </c>
      <c r="CE698" s="97" t="n">
        <v>86.86</v>
      </c>
      <c r="CF698" s="97" t="n">
        <v>35.54</v>
      </c>
      <c r="CG698" s="97" t="n">
        <v>0.1124</v>
      </c>
      <c r="CH698" s="63" t="n">
        <v>79768.8811048885</v>
      </c>
      <c r="CI698" s="63" t="n">
        <v>5210.36880536044</v>
      </c>
      <c r="CJ698" s="64" t="n">
        <v>397454.930567537</v>
      </c>
      <c r="CK698" s="65" t="n">
        <v>1.31093324164338</v>
      </c>
    </row>
    <row r="699" s="1" customFormat="true" ht="15" hidden="false" customHeight="false" outlineLevel="0" collapsed="false">
      <c r="A699" s="7" t="s">
        <v>488</v>
      </c>
      <c r="B699" s="66" t="n">
        <v>690</v>
      </c>
      <c r="C699" s="8" t="s">
        <v>782</v>
      </c>
      <c r="D699" s="67" t="n">
        <v>42019</v>
      </c>
      <c r="E699" s="4" t="s">
        <v>583</v>
      </c>
      <c r="F699" s="7" t="n">
        <v>257</v>
      </c>
      <c r="G699" s="68" t="n">
        <v>1</v>
      </c>
      <c r="H699" s="68" t="n">
        <v>152</v>
      </c>
      <c r="I699" s="7" t="n">
        <v>1</v>
      </c>
      <c r="J699" s="8" t="n">
        <v>666</v>
      </c>
      <c r="K699" s="32"/>
      <c r="L699" s="31" t="n">
        <v>931.502</v>
      </c>
      <c r="M699" s="31" t="n">
        <v>158.930939508314</v>
      </c>
      <c r="N699" s="31" t="n">
        <v>308.170968070999</v>
      </c>
      <c r="O699" s="95"/>
      <c r="P699" s="33" t="n">
        <v>39.2736917270223</v>
      </c>
      <c r="Q699" s="33" t="n">
        <v>6.84</v>
      </c>
      <c r="R699" s="31" t="n">
        <v>282.566561256758</v>
      </c>
      <c r="S699" s="34" t="s">
        <v>76</v>
      </c>
      <c r="T699" s="35"/>
      <c r="U699" s="35"/>
      <c r="V699" s="35" t="n">
        <v>18.5366772064348</v>
      </c>
      <c r="W699" s="35" t="n">
        <v>17.2669518911484</v>
      </c>
      <c r="X699" s="35" t="n">
        <v>2.94605152378103</v>
      </c>
      <c r="Y699" s="35" t="n">
        <v>5.71246575952663</v>
      </c>
      <c r="Z699" s="35"/>
      <c r="AA699" s="35" t="n">
        <v>0.728003746248843</v>
      </c>
      <c r="AB699" s="35" t="n">
        <v>0.126790872092014</v>
      </c>
      <c r="AC699" s="71" t="n">
        <v>5.23784513534882</v>
      </c>
      <c r="AD699" s="72"/>
      <c r="AE699" s="72"/>
      <c r="AF699" s="72"/>
      <c r="AG699" s="72"/>
      <c r="AH699" s="72"/>
      <c r="AI699" s="73" t="n">
        <v>22.845662461043</v>
      </c>
      <c r="AJ699" s="42" t="s">
        <v>16</v>
      </c>
      <c r="AK699" s="43" t="n">
        <v>700.599620971213</v>
      </c>
      <c r="AL699" s="74"/>
      <c r="AM699" s="74"/>
      <c r="AN699" s="74"/>
      <c r="AO699" s="78" t="n">
        <v>31.5428571428571</v>
      </c>
      <c r="AP699" s="76" t="n">
        <v>1.12056211872504</v>
      </c>
      <c r="AQ699" s="76" t="n">
        <v>1.08591420241566</v>
      </c>
      <c r="AR699" s="76" t="n">
        <v>1.53269471053728</v>
      </c>
      <c r="AS699" s="77" t="n">
        <v>29.4255746380185</v>
      </c>
      <c r="AT699" s="78" t="n">
        <v>30.3185861467426</v>
      </c>
      <c r="AU699" s="78" t="n">
        <v>35.525067169725</v>
      </c>
      <c r="AV699" s="78" t="n">
        <v>34.4266277939747</v>
      </c>
      <c r="AW699" s="78" t="n">
        <v>48.5908649173955</v>
      </c>
      <c r="AX699" s="78" t="n">
        <v>29.685</v>
      </c>
      <c r="AY699" s="48" t="n">
        <v>1.63559983319005</v>
      </c>
      <c r="AZ699" s="48" t="n">
        <v>23.4561912458368</v>
      </c>
      <c r="BA699" s="48" t="n">
        <v>-4.91951403940195</v>
      </c>
      <c r="BB699" s="49" t="n">
        <f aca="false">AT699/V699</f>
        <v>1.63559983319005</v>
      </c>
      <c r="BC699" s="49" t="n">
        <f aca="false">AS699/V699</f>
        <v>1.58742445101238</v>
      </c>
      <c r="BD699" s="49" t="n">
        <f aca="false">SUM(AP699:AR699)/V699</f>
        <v>0.201717437814581</v>
      </c>
      <c r="BE699" s="53" t="n">
        <v>6.24</v>
      </c>
      <c r="BF699" s="51" t="n">
        <v>109.751495751211</v>
      </c>
      <c r="BG699" s="51" t="n">
        <v>566.312006309729</v>
      </c>
      <c r="BH699" s="51" t="n">
        <v>284.856270475431</v>
      </c>
      <c r="BI699" s="51" t="n">
        <v>103.586976908208</v>
      </c>
      <c r="BJ699" s="51" t="n">
        <v>8.80050156654386</v>
      </c>
      <c r="BK699" s="51" t="n">
        <v>15.5004313323995</v>
      </c>
      <c r="BL699" s="51" t="n">
        <v>17.8348483194121</v>
      </c>
      <c r="BM699" s="51" t="n">
        <v>3.10896508827704</v>
      </c>
      <c r="BN699" s="52" t="n">
        <f aca="false">(BG699*0.5-BH699*0.25+BI699*0.5)/SUM(BG699:BI699)*1000</f>
        <v>276.233540449114</v>
      </c>
      <c r="BO699" s="93" t="n">
        <v>5.27485714285714</v>
      </c>
      <c r="BP699" s="94" t="s">
        <v>491</v>
      </c>
      <c r="BQ699" s="55" t="n">
        <v>401.5625</v>
      </c>
      <c r="BR699" s="56" t="n">
        <v>21.6631328003382</v>
      </c>
      <c r="BS699" s="56"/>
      <c r="BT699" s="56" t="n">
        <v>13.2447633955102</v>
      </c>
      <c r="BU699" s="55" t="n">
        <v>11867.3208333333</v>
      </c>
      <c r="BV699" s="55" t="n">
        <v>640.207557221405</v>
      </c>
      <c r="BW699" s="55"/>
      <c r="BX699" s="55" t="n">
        <v>391.420654508599</v>
      </c>
      <c r="BY699" s="96" t="n">
        <v>0.10403</v>
      </c>
      <c r="BZ699" s="96" t="n">
        <v>0.6127</v>
      </c>
      <c r="CA699" s="97" t="n">
        <v>4.08</v>
      </c>
      <c r="CB699" s="97"/>
      <c r="CC699" s="97" t="n">
        <v>7.27</v>
      </c>
      <c r="CD699" s="97" t="n">
        <v>4.6</v>
      </c>
      <c r="CE699" s="97" t="n">
        <v>91.91</v>
      </c>
      <c r="CF699" s="97" t="n">
        <v>35.44</v>
      </c>
      <c r="CG699" s="97" t="n">
        <v>0.1124</v>
      </c>
      <c r="CH699" s="63" t="n">
        <v>73638.6713111624</v>
      </c>
      <c r="CI699" s="63" t="n">
        <v>10726.5330894418</v>
      </c>
      <c r="CJ699" s="64" t="n">
        <v>755155.070296627</v>
      </c>
      <c r="CK699" s="65" t="n">
        <v>1.42044111353558</v>
      </c>
    </row>
    <row r="700" s="1" customFormat="true" ht="15" hidden="false" customHeight="false" outlineLevel="0" collapsed="false">
      <c r="A700" s="7" t="s">
        <v>488</v>
      </c>
      <c r="B700" s="66" t="n">
        <v>691</v>
      </c>
      <c r="C700" s="8" t="s">
        <v>783</v>
      </c>
      <c r="D700" s="67" t="n">
        <v>42019</v>
      </c>
      <c r="E700" s="4" t="s">
        <v>583</v>
      </c>
      <c r="F700" s="7" t="n">
        <v>728</v>
      </c>
      <c r="G700" s="68" t="n">
        <v>1</v>
      </c>
      <c r="H700" s="68" t="n">
        <v>161</v>
      </c>
      <c r="I700" s="7" t="n">
        <v>4</v>
      </c>
      <c r="J700" s="8" t="n">
        <v>710</v>
      </c>
      <c r="K700" s="32"/>
      <c r="L700" s="31" t="n">
        <v>931.502</v>
      </c>
      <c r="M700" s="31" t="n">
        <v>158.930939508314</v>
      </c>
      <c r="N700" s="31" t="n">
        <v>308.170968070999</v>
      </c>
      <c r="O700" s="95"/>
      <c r="P700" s="33" t="n">
        <v>39.2736917270223</v>
      </c>
      <c r="Q700" s="33" t="n">
        <v>6.84</v>
      </c>
      <c r="R700" s="31" t="n">
        <v>282.566561256758</v>
      </c>
      <c r="S700" s="34" t="s">
        <v>76</v>
      </c>
      <c r="T700" s="35"/>
      <c r="U700" s="35"/>
      <c r="V700" s="35" t="n">
        <v>25.5375961869992</v>
      </c>
      <c r="W700" s="35" t="n">
        <v>23.7883219233821</v>
      </c>
      <c r="X700" s="35" t="n">
        <v>4.05871415478371</v>
      </c>
      <c r="Y700" s="35" t="n">
        <v>7.86994573915378</v>
      </c>
      <c r="Z700" s="35"/>
      <c r="AA700" s="35" t="n">
        <v>1.00295568009739</v>
      </c>
      <c r="AB700" s="35" t="n">
        <v>0.174677157919074</v>
      </c>
      <c r="AC700" s="71" t="n">
        <v>7.21607073732405</v>
      </c>
      <c r="AD700" s="72"/>
      <c r="AE700" s="72"/>
      <c r="AF700" s="72"/>
      <c r="AG700" s="72"/>
      <c r="AH700" s="72"/>
      <c r="AI700" s="73" t="n">
        <v>31.2625572183918</v>
      </c>
      <c r="AJ700" s="42" t="s">
        <v>16</v>
      </c>
      <c r="AK700" s="43" t="n">
        <v>781.20791743882</v>
      </c>
      <c r="AL700" s="74"/>
      <c r="AM700" s="74"/>
      <c r="AN700" s="74"/>
      <c r="AO700" s="78" t="n">
        <v>42.6142857142857</v>
      </c>
      <c r="AP700" s="76" t="n">
        <v>1.42414680098528</v>
      </c>
      <c r="AQ700" s="76" t="n">
        <v>1.31797827294183</v>
      </c>
      <c r="AR700" s="76" t="n">
        <v>2.08723032069971</v>
      </c>
      <c r="AS700" s="77" t="n">
        <v>38.4079163004935</v>
      </c>
      <c r="AT700" s="78" t="n">
        <v>38.8040770387221</v>
      </c>
      <c r="AU700" s="78" t="n">
        <v>33.4194690140696</v>
      </c>
      <c r="AV700" s="78" t="n">
        <v>30.9280855199223</v>
      </c>
      <c r="AW700" s="78" t="n">
        <v>48.9795918367347</v>
      </c>
      <c r="AX700" s="78" t="n">
        <v>20.7875</v>
      </c>
      <c r="AY700" s="48" t="n">
        <v>1.51948823822646</v>
      </c>
      <c r="AZ700" s="48" t="n">
        <v>27.4372237322146</v>
      </c>
      <c r="BA700" s="48" t="n">
        <v>-1.89962754521547</v>
      </c>
      <c r="BB700" s="49" t="n">
        <f aca="false">AT700/V700</f>
        <v>1.51948823822646</v>
      </c>
      <c r="BC700" s="49" t="n">
        <f aca="false">AS700/V700</f>
        <v>1.50397539452231</v>
      </c>
      <c r="BD700" s="49" t="n">
        <f aca="false">SUM(AP700:AR700)/V700</f>
        <v>0.189107673222798</v>
      </c>
      <c r="BE700" s="53" t="n">
        <v>6.18</v>
      </c>
      <c r="BF700" s="51" t="n">
        <v>136.43025984954</v>
      </c>
      <c r="BG700" s="51" t="n">
        <v>608.866973656623</v>
      </c>
      <c r="BH700" s="51" t="n">
        <v>236.663334221935</v>
      </c>
      <c r="BI700" s="51" t="n">
        <v>115.856448765166</v>
      </c>
      <c r="BJ700" s="51" t="n">
        <v>7.77106829554828</v>
      </c>
      <c r="BK700" s="51" t="n">
        <v>11.675492129503</v>
      </c>
      <c r="BL700" s="51" t="n">
        <v>16.0884856086314</v>
      </c>
      <c r="BM700" s="51" t="n">
        <v>3.078197322594</v>
      </c>
      <c r="BN700" s="52" t="n">
        <f aca="false">(BG700*0.5-BH700*0.25+BI700*0.5)/SUM(BG700:BI700)*1000</f>
        <v>315.373470208692</v>
      </c>
      <c r="BO700" s="93" t="n">
        <v>6.58628571428571</v>
      </c>
      <c r="BP700" s="94" t="s">
        <v>491</v>
      </c>
      <c r="BQ700" s="55" t="n">
        <v>457.763157894737</v>
      </c>
      <c r="BR700" s="56" t="n">
        <v>17.9250683792932</v>
      </c>
      <c r="BS700" s="56"/>
      <c r="BT700" s="56" t="n">
        <v>11.7967799475798</v>
      </c>
      <c r="BU700" s="55" t="n">
        <v>12396.5964912281</v>
      </c>
      <c r="BV700" s="55" t="n">
        <v>485.425347023813</v>
      </c>
      <c r="BW700" s="55"/>
      <c r="BX700" s="55" t="n">
        <v>319.466340582142</v>
      </c>
      <c r="BY700" s="96" t="n">
        <v>0.06489</v>
      </c>
      <c r="BZ700" s="96" t="n">
        <v>0.9306</v>
      </c>
      <c r="CA700" s="97" t="n">
        <v>3.68</v>
      </c>
      <c r="CB700" s="97"/>
      <c r="CC700" s="97" t="n">
        <v>5.57</v>
      </c>
      <c r="CD700" s="97" t="n">
        <v>5.01</v>
      </c>
      <c r="CE700" s="97" t="n">
        <v>83.83</v>
      </c>
      <c r="CF700" s="97" t="n">
        <v>31.52</v>
      </c>
      <c r="CG700" s="97" t="n">
        <v>0.1228</v>
      </c>
      <c r="CH700" s="63" t="n">
        <v>136765.858539784</v>
      </c>
      <c r="CI700" s="63" t="n">
        <v>3191.12567003582</v>
      </c>
      <c r="CJ700" s="64" t="n">
        <v>278975.892338963</v>
      </c>
      <c r="CK700" s="65" t="n">
        <v>1.14387148053586</v>
      </c>
    </row>
    <row r="701" s="1" customFormat="true" ht="15" hidden="false" customHeight="false" outlineLevel="0" collapsed="false">
      <c r="A701" s="7" t="s">
        <v>488</v>
      </c>
      <c r="B701" s="66" t="n">
        <v>692</v>
      </c>
      <c r="C701" s="8" t="s">
        <v>784</v>
      </c>
      <c r="D701" s="67" t="n">
        <v>42019</v>
      </c>
      <c r="E701" s="4" t="s">
        <v>583</v>
      </c>
      <c r="F701" s="7" t="n">
        <v>1335</v>
      </c>
      <c r="G701" s="68" t="n">
        <v>1</v>
      </c>
      <c r="H701" s="68" t="n">
        <v>171</v>
      </c>
      <c r="I701" s="7" t="n">
        <v>3</v>
      </c>
      <c r="J701" s="8" t="n">
        <v>745</v>
      </c>
      <c r="K701" s="32"/>
      <c r="L701" s="31" t="n">
        <v>931.502</v>
      </c>
      <c r="M701" s="31" t="n">
        <v>158.930939508314</v>
      </c>
      <c r="N701" s="31" t="n">
        <v>308.170968070999</v>
      </c>
      <c r="O701" s="95"/>
      <c r="P701" s="33" t="n">
        <v>39.2736917270223</v>
      </c>
      <c r="Q701" s="33" t="n">
        <v>6.84</v>
      </c>
      <c r="R701" s="31" t="n">
        <v>282.566561256758</v>
      </c>
      <c r="S701" s="34" t="s">
        <v>76</v>
      </c>
      <c r="T701" s="35"/>
      <c r="U701" s="35"/>
      <c r="V701" s="35" t="n">
        <v>27.6972857438392</v>
      </c>
      <c r="W701" s="35" t="n">
        <v>25.8000770649577</v>
      </c>
      <c r="X701" s="35" t="n">
        <v>4.40195564509859</v>
      </c>
      <c r="Y701" s="35" t="n">
        <v>8.53549936061799</v>
      </c>
      <c r="Z701" s="35"/>
      <c r="AA701" s="35" t="n">
        <v>1.08777466197879</v>
      </c>
      <c r="AB701" s="35" t="n">
        <v>0.18944943448786</v>
      </c>
      <c r="AC701" s="71" t="n">
        <v>7.82632678878247</v>
      </c>
      <c r="AD701" s="72"/>
      <c r="AE701" s="72"/>
      <c r="AF701" s="72"/>
      <c r="AG701" s="72"/>
      <c r="AH701" s="72"/>
      <c r="AI701" s="73" t="n">
        <v>29.0636109391105</v>
      </c>
      <c r="AJ701" s="42" t="s">
        <v>16</v>
      </c>
      <c r="AK701" s="43" t="n">
        <v>764.654157587986</v>
      </c>
      <c r="AL701" s="74"/>
      <c r="AM701" s="74"/>
      <c r="AN701" s="74"/>
      <c r="AO701" s="78" t="n">
        <v>36.7</v>
      </c>
      <c r="AP701" s="76" t="n">
        <v>1.52303236204708</v>
      </c>
      <c r="AQ701" s="76" t="n">
        <v>1.28218172983479</v>
      </c>
      <c r="AR701" s="76" t="n">
        <v>1.75921039844509</v>
      </c>
      <c r="AS701" s="77" t="n">
        <v>37.5254854307062</v>
      </c>
      <c r="AT701" s="78" t="n">
        <v>37.9675055155054</v>
      </c>
      <c r="AU701" s="78" t="n">
        <v>41.4995194018279</v>
      </c>
      <c r="AV701" s="78" t="n">
        <v>34.9368318756074</v>
      </c>
      <c r="AW701" s="78" t="n">
        <v>47.9348882410107</v>
      </c>
      <c r="AX701" s="78" t="n">
        <v>19.355</v>
      </c>
      <c r="AY701" s="48" t="n">
        <v>1.37080239077039</v>
      </c>
      <c r="AZ701" s="48" t="n">
        <v>27.6370546788302</v>
      </c>
      <c r="BA701" s="48" t="n">
        <v>0.0602310650089422</v>
      </c>
      <c r="BB701" s="49" t="n">
        <f aca="false">AT701/V701</f>
        <v>1.37080239077039</v>
      </c>
      <c r="BC701" s="49" t="n">
        <f aca="false">AS701/V701</f>
        <v>1.3548434232063</v>
      </c>
      <c r="BD701" s="49" t="n">
        <f aca="false">SUM(AP701:AR701)/V701</f>
        <v>0.164796815563137</v>
      </c>
      <c r="BE701" s="53" t="n">
        <v>6.5</v>
      </c>
      <c r="BF701" s="51" t="n">
        <v>128.051845682155</v>
      </c>
      <c r="BG701" s="51" t="n">
        <v>628.540811748326</v>
      </c>
      <c r="BH701" s="51" t="n">
        <v>206.462970173349</v>
      </c>
      <c r="BI701" s="51" t="n">
        <v>116.449103600813</v>
      </c>
      <c r="BJ701" s="51" t="n">
        <v>8.00642050047065</v>
      </c>
      <c r="BK701" s="51" t="n">
        <v>15.0746511017666</v>
      </c>
      <c r="BL701" s="51" t="n">
        <v>15.9342084125635</v>
      </c>
      <c r="BM701" s="51" t="n">
        <v>9.53183446271101</v>
      </c>
      <c r="BN701" s="52" t="n">
        <f aca="false">(BG701*0.5-BH701*0.25+BI701*0.5)/SUM(BG701:BI701)*1000</f>
        <v>337.25181773454</v>
      </c>
      <c r="BO701" s="93" t="n">
        <v>4.57542857142857</v>
      </c>
      <c r="BP701" s="94" t="s">
        <v>491</v>
      </c>
      <c r="BQ701" s="55" t="n">
        <v>458.222222222222</v>
      </c>
      <c r="BR701" s="56" t="n">
        <v>16.5439395924977</v>
      </c>
      <c r="BS701" s="56"/>
      <c r="BT701" s="56" t="n">
        <v>12.0687997802513</v>
      </c>
      <c r="BU701" s="55" t="n">
        <v>13746.5847222222</v>
      </c>
      <c r="BV701" s="55" t="n">
        <v>496.315229201834</v>
      </c>
      <c r="BW701" s="55"/>
      <c r="BX701" s="55" t="n">
        <v>362.061835129208</v>
      </c>
      <c r="BY701" s="96" t="n">
        <v>0.0927</v>
      </c>
      <c r="BZ701" s="96" t="n">
        <v>0.748</v>
      </c>
      <c r="CA701" s="97" t="n">
        <v>3.84</v>
      </c>
      <c r="CB701" s="97"/>
      <c r="CC701" s="97" t="n">
        <v>5.353</v>
      </c>
      <c r="CD701" s="97" t="n">
        <v>5.6232</v>
      </c>
      <c r="CE701" s="97" t="n">
        <v>85.85</v>
      </c>
      <c r="CF701" s="97" t="n">
        <v>31.61</v>
      </c>
      <c r="CG701" s="97" t="n">
        <v>0.0227</v>
      </c>
      <c r="CH701" s="63" t="n">
        <v>70006.974797848</v>
      </c>
      <c r="CI701" s="63" t="n">
        <v>5701.48957788573</v>
      </c>
      <c r="CJ701" s="64" t="n">
        <v>690146.413773088</v>
      </c>
      <c r="CK701" s="65" t="n">
        <v>0.826127538171967</v>
      </c>
    </row>
    <row r="702" s="1" customFormat="true" ht="15" hidden="false" customHeight="false" outlineLevel="0" collapsed="false">
      <c r="A702" s="7" t="s">
        <v>488</v>
      </c>
      <c r="B702" s="66" t="n">
        <v>693</v>
      </c>
      <c r="C702" s="8" t="s">
        <v>785</v>
      </c>
      <c r="D702" s="67" t="n">
        <v>42019</v>
      </c>
      <c r="E702" s="4" t="s">
        <v>583</v>
      </c>
      <c r="F702" s="7" t="n">
        <v>1558</v>
      </c>
      <c r="G702" s="68" t="n">
        <v>1</v>
      </c>
      <c r="H702" s="68" t="n">
        <v>183</v>
      </c>
      <c r="I702" s="7" t="n">
        <v>2</v>
      </c>
      <c r="J702" s="8" t="n">
        <v>729</v>
      </c>
      <c r="K702" s="32"/>
      <c r="L702" s="31" t="n">
        <v>931.502</v>
      </c>
      <c r="M702" s="31" t="n">
        <v>158.930939508314</v>
      </c>
      <c r="N702" s="31" t="n">
        <v>308.170968070999</v>
      </c>
      <c r="O702" s="95"/>
      <c r="P702" s="33" t="n">
        <v>39.2736917270223</v>
      </c>
      <c r="Q702" s="33" t="n">
        <v>6.84</v>
      </c>
      <c r="R702" s="31" t="n">
        <v>282.566561256758</v>
      </c>
      <c r="S702" s="34" t="s">
        <v>76</v>
      </c>
      <c r="T702" s="35"/>
      <c r="U702" s="35"/>
      <c r="V702" s="35" t="n">
        <v>30.3567564420344</v>
      </c>
      <c r="W702" s="35" t="n">
        <v>28.2773793392679</v>
      </c>
      <c r="X702" s="35" t="n">
        <v>4.82462782175758</v>
      </c>
      <c r="Y702" s="35" t="n">
        <v>9.35507102023727</v>
      </c>
      <c r="Z702" s="35"/>
      <c r="AA702" s="35" t="n">
        <v>1.19222189433676</v>
      </c>
      <c r="AB702" s="35" t="n">
        <v>0.207640214063515</v>
      </c>
      <c r="AC702" s="71" t="n">
        <v>8.5778042787346</v>
      </c>
      <c r="AD702" s="72"/>
      <c r="AE702" s="72"/>
      <c r="AF702" s="72"/>
      <c r="AG702" s="72"/>
      <c r="AH702" s="72"/>
      <c r="AI702" s="73" t="n">
        <v>30.6816037837338</v>
      </c>
      <c r="AJ702" s="42" t="s">
        <v>16</v>
      </c>
      <c r="AK702" s="43" t="n">
        <v>777.065108844594</v>
      </c>
      <c r="AL702" s="74"/>
      <c r="AM702" s="74"/>
      <c r="AN702" s="74"/>
      <c r="AO702" s="78" t="n">
        <v>38.4857142857143</v>
      </c>
      <c r="AP702" s="76" t="n">
        <v>1.28830307957142</v>
      </c>
      <c r="AQ702" s="76" t="n">
        <v>1.23984589754269</v>
      </c>
      <c r="AR702" s="76" t="n">
        <v>1.93083090379009</v>
      </c>
      <c r="AS702" s="77" t="n">
        <v>34.7188319078571</v>
      </c>
      <c r="AT702" s="78" t="n">
        <v>35.6939095867901</v>
      </c>
      <c r="AU702" s="78" t="n">
        <v>33.474838741648</v>
      </c>
      <c r="AV702" s="78" t="n">
        <v>32.2157434402332</v>
      </c>
      <c r="AW702" s="78" t="n">
        <v>50.1700680272109</v>
      </c>
      <c r="AX702" s="78" t="n">
        <v>22.6925</v>
      </c>
      <c r="AY702" s="48" t="n">
        <v>1.17581434152713</v>
      </c>
      <c r="AZ702" s="48" t="n">
        <v>26.4095228322415</v>
      </c>
      <c r="BA702" s="48" t="n">
        <v>3.94723360979292</v>
      </c>
      <c r="BB702" s="49" t="n">
        <f aca="false">AT702/V702</f>
        <v>1.17581434152713</v>
      </c>
      <c r="BC702" s="49" t="n">
        <f aca="false">AS702/V702</f>
        <v>1.14369372677058</v>
      </c>
      <c r="BD702" s="49" t="n">
        <f aca="false">SUM(AP702:AR702)/V702</f>
        <v>0.146885912841793</v>
      </c>
      <c r="BE702" s="53" t="n">
        <v>6.35</v>
      </c>
      <c r="BF702" s="51" t="n">
        <v>123.386761782642</v>
      </c>
      <c r="BG702" s="51" t="n">
        <v>625.244406746093</v>
      </c>
      <c r="BH702" s="51" t="n">
        <v>206.432001947126</v>
      </c>
      <c r="BI702" s="51" t="n">
        <v>124.173162867515</v>
      </c>
      <c r="BJ702" s="51" t="n">
        <v>7.52467842936642</v>
      </c>
      <c r="BK702" s="51" t="n">
        <v>14.9878971620687</v>
      </c>
      <c r="BL702" s="51" t="n">
        <v>13.853364246053</v>
      </c>
      <c r="BM702" s="51" t="n">
        <v>7.78448860177835</v>
      </c>
      <c r="BN702" s="52" t="n">
        <f aca="false">(BG702*0.5-BH702*0.25+BI702*0.5)/SUM(BG702:BI702)*1000</f>
        <v>338.024720555616</v>
      </c>
      <c r="BO702" s="93" t="n">
        <v>5.85771428571429</v>
      </c>
      <c r="BP702" s="94" t="s">
        <v>491</v>
      </c>
      <c r="BQ702" s="55" t="n">
        <v>574.605555555556</v>
      </c>
      <c r="BR702" s="56" t="n">
        <v>18.9284239458439</v>
      </c>
      <c r="BS702" s="56"/>
      <c r="BT702" s="56" t="n">
        <v>16.0981400526719</v>
      </c>
      <c r="BU702" s="55" t="n">
        <v>14559.0722222222</v>
      </c>
      <c r="BV702" s="55" t="n">
        <v>479.599072121637</v>
      </c>
      <c r="BW702" s="55"/>
      <c r="BX702" s="55" t="n">
        <v>407.886734481178</v>
      </c>
      <c r="BY702" s="96" t="n">
        <v>0.08034</v>
      </c>
      <c r="BZ702" s="96" t="n">
        <v>1.3002</v>
      </c>
      <c r="CA702" s="97" t="n">
        <v>3.51</v>
      </c>
      <c r="CB702" s="97"/>
      <c r="CC702" s="97" t="n">
        <v>5.4439</v>
      </c>
      <c r="CD702" s="97" t="n">
        <v>8.2566</v>
      </c>
      <c r="CE702" s="97" t="n">
        <v>78.78</v>
      </c>
      <c r="CF702" s="97" t="n">
        <v>38.19</v>
      </c>
      <c r="CG702" s="97" t="n">
        <v>0.1046</v>
      </c>
      <c r="CH702" s="63" t="n">
        <v>87841.0177038726</v>
      </c>
      <c r="CI702" s="63" t="n">
        <v>6094.13086620072</v>
      </c>
      <c r="CJ702" s="64" t="n">
        <v>514174.639619184</v>
      </c>
      <c r="CK702" s="65" t="n">
        <v>1.1852258739782</v>
      </c>
    </row>
    <row r="703" s="1" customFormat="true" ht="15" hidden="false" customHeight="false" outlineLevel="0" collapsed="false">
      <c r="A703" s="7" t="s">
        <v>488</v>
      </c>
      <c r="B703" s="66" t="n">
        <v>694</v>
      </c>
      <c r="C703" s="8" t="s">
        <v>786</v>
      </c>
      <c r="D703" s="67" t="n">
        <v>42019</v>
      </c>
      <c r="E703" s="4" t="s">
        <v>583</v>
      </c>
      <c r="F703" s="7" t="n">
        <v>1616</v>
      </c>
      <c r="G703" s="68" t="n">
        <v>1</v>
      </c>
      <c r="H703" s="68" t="n">
        <v>160</v>
      </c>
      <c r="I703" s="7" t="n">
        <v>2</v>
      </c>
      <c r="J703" s="8" t="n">
        <v>730</v>
      </c>
      <c r="K703" s="32"/>
      <c r="L703" s="31" t="n">
        <v>931.502</v>
      </c>
      <c r="M703" s="31" t="n">
        <v>158.930939508314</v>
      </c>
      <c r="N703" s="31" t="n">
        <v>308.170968070999</v>
      </c>
      <c r="O703" s="95"/>
      <c r="P703" s="33" t="n">
        <v>39.2736917270223</v>
      </c>
      <c r="Q703" s="33" t="n">
        <v>6.84</v>
      </c>
      <c r="R703" s="31" t="n">
        <v>282.566561256758</v>
      </c>
      <c r="S703" s="34" t="s">
        <v>76</v>
      </c>
      <c r="T703" s="35"/>
      <c r="U703" s="35"/>
      <c r="V703" s="35" t="n">
        <v>25.8501669452268</v>
      </c>
      <c r="W703" s="35" t="n">
        <v>24.0794822098127</v>
      </c>
      <c r="X703" s="35" t="n">
        <v>4.10839131905166</v>
      </c>
      <c r="Y703" s="35" t="n">
        <v>7.96627097230748</v>
      </c>
      <c r="Z703" s="35"/>
      <c r="AA703" s="35" t="n">
        <v>1.0152314876989</v>
      </c>
      <c r="AB703" s="35" t="n">
        <v>0.176815141905352</v>
      </c>
      <c r="AC703" s="71" t="n">
        <v>7.30439278162586</v>
      </c>
      <c r="AD703" s="72"/>
      <c r="AE703" s="72"/>
      <c r="AF703" s="72"/>
      <c r="AG703" s="72"/>
      <c r="AH703" s="72"/>
      <c r="AI703" s="73" t="n">
        <v>23.8866968283943</v>
      </c>
      <c r="AJ703" s="42" t="s">
        <v>16</v>
      </c>
      <c r="AK703" s="43" t="n">
        <v>713.648142765841</v>
      </c>
      <c r="AL703" s="74"/>
      <c r="AM703" s="74"/>
      <c r="AN703" s="74"/>
      <c r="AO703" s="78" t="n">
        <v>39.1857142857143</v>
      </c>
      <c r="AP703" s="76" t="n">
        <v>1.44331913529691</v>
      </c>
      <c r="AQ703" s="76" t="n">
        <v>1.49088504789671</v>
      </c>
      <c r="AR703" s="76" t="n">
        <v>1.96690198528391</v>
      </c>
      <c r="AS703" s="77" t="n">
        <v>37.3240727437393</v>
      </c>
      <c r="AT703" s="78" t="n">
        <v>39.7140904978605</v>
      </c>
      <c r="AU703" s="78" t="n">
        <v>36.8327887243104</v>
      </c>
      <c r="AV703" s="78" t="n">
        <v>38.0466472303207</v>
      </c>
      <c r="AW703" s="78" t="n">
        <v>50.1943634596696</v>
      </c>
      <c r="AX703" s="78" t="n">
        <v>21.5</v>
      </c>
      <c r="AY703" s="48" t="n">
        <v>1.53631853063114</v>
      </c>
      <c r="AZ703" s="48" t="n">
        <v>27.3105136833555</v>
      </c>
      <c r="BA703" s="48" t="n">
        <v>-1.46034673812868</v>
      </c>
      <c r="BB703" s="49" t="n">
        <f aca="false">AT703/V703</f>
        <v>1.53631853063114</v>
      </c>
      <c r="BC703" s="49" t="n">
        <f aca="false">AS703/V703</f>
        <v>1.44386196123314</v>
      </c>
      <c r="BD703" s="49" t="n">
        <f aca="false">SUM(AP703:AR703)/V703</f>
        <v>0.189596693083737</v>
      </c>
      <c r="BE703" s="53" t="n">
        <v>6.59</v>
      </c>
      <c r="BF703" s="51" t="n">
        <v>107.731776208255</v>
      </c>
      <c r="BG703" s="51" t="n">
        <v>632.292361166346</v>
      </c>
      <c r="BH703" s="51" t="n">
        <v>217.274716451683</v>
      </c>
      <c r="BI703" s="51" t="n">
        <v>105.210267113022</v>
      </c>
      <c r="BJ703" s="51" t="n">
        <v>7.91349720980229</v>
      </c>
      <c r="BK703" s="51" t="n">
        <v>15.1453329207925</v>
      </c>
      <c r="BL703" s="51" t="n">
        <v>13.4408393311926</v>
      </c>
      <c r="BM703" s="51" t="n">
        <v>8.72298580716116</v>
      </c>
      <c r="BN703" s="52" t="n">
        <f aca="false">(BG703*0.5-BH703*0.25+BI703*0.5)/SUM(BG703:BI703)*1000</f>
        <v>329.325613727601</v>
      </c>
      <c r="BO703" s="93" t="n">
        <v>2.82685714285714</v>
      </c>
      <c r="BP703" s="94" t="s">
        <v>491</v>
      </c>
      <c r="BQ703" s="55" t="n">
        <v>476.625</v>
      </c>
      <c r="BR703" s="56" t="n">
        <v>18.4379853720058</v>
      </c>
      <c r="BS703" s="56"/>
      <c r="BT703" s="56" t="n">
        <v>12.0014079140419</v>
      </c>
      <c r="BU703" s="55" t="n">
        <v>13439.825</v>
      </c>
      <c r="BV703" s="55" t="n">
        <v>519.912503020861</v>
      </c>
      <c r="BW703" s="55"/>
      <c r="BX703" s="55" t="n">
        <v>338.414523196094</v>
      </c>
      <c r="BY703" s="96" t="n">
        <v>0.06386</v>
      </c>
      <c r="BZ703" s="96" t="n">
        <v>0.7238</v>
      </c>
      <c r="CA703" s="97" t="n">
        <v>4.22</v>
      </c>
      <c r="CB703" s="97"/>
      <c r="CC703" s="97" t="n">
        <v>6.1004</v>
      </c>
      <c r="CD703" s="97" t="n">
        <v>6.4647</v>
      </c>
      <c r="CE703" s="97" t="n">
        <v>87.87</v>
      </c>
      <c r="CF703" s="97" t="n">
        <v>35.95</v>
      </c>
      <c r="CG703" s="97" t="n">
        <v>0.0227</v>
      </c>
      <c r="CH703" s="63" t="n">
        <v>63409.7838667366</v>
      </c>
      <c r="CI703" s="63" t="n">
        <v>3873.15170842189</v>
      </c>
      <c r="CJ703" s="64" t="n">
        <v>385225.416921739</v>
      </c>
      <c r="CK703" s="65" t="n">
        <v>1.00542475607438</v>
      </c>
    </row>
    <row r="704" s="1" customFormat="true" ht="15" hidden="false" customHeight="false" outlineLevel="0" collapsed="false">
      <c r="A704" s="7" t="s">
        <v>488</v>
      </c>
      <c r="B704" s="66" t="n">
        <v>695</v>
      </c>
      <c r="C704" s="8" t="s">
        <v>787</v>
      </c>
      <c r="D704" s="67" t="n">
        <v>42019</v>
      </c>
      <c r="E704" s="4" t="s">
        <v>583</v>
      </c>
      <c r="F704" s="7" t="n">
        <v>1618</v>
      </c>
      <c r="G704" s="68" t="n">
        <v>1</v>
      </c>
      <c r="H704" s="68" t="n">
        <v>167</v>
      </c>
      <c r="I704" s="7" t="n">
        <v>2</v>
      </c>
      <c r="J704" s="8" t="n">
        <v>720</v>
      </c>
      <c r="K704" s="32"/>
      <c r="L704" s="31" t="n">
        <v>931.502</v>
      </c>
      <c r="M704" s="31" t="n">
        <v>158.930939508314</v>
      </c>
      <c r="N704" s="31" t="n">
        <v>308.170968070999</v>
      </c>
      <c r="O704" s="95"/>
      <c r="P704" s="33" t="n">
        <v>39.2736917270223</v>
      </c>
      <c r="Q704" s="33" t="n">
        <v>6.84</v>
      </c>
      <c r="R704" s="31" t="n">
        <v>282.566561256758</v>
      </c>
      <c r="S704" s="34" t="s">
        <v>76</v>
      </c>
      <c r="T704" s="35"/>
      <c r="U704" s="35"/>
      <c r="V704" s="35" t="n">
        <v>19.4377443432749</v>
      </c>
      <c r="W704" s="35" t="n">
        <v>18.1062977312492</v>
      </c>
      <c r="X704" s="35" t="n">
        <v>3.08925897039909</v>
      </c>
      <c r="Y704" s="35" t="n">
        <v>5.9901484913836</v>
      </c>
      <c r="Z704" s="35"/>
      <c r="AA704" s="35" t="n">
        <v>0.76339197920645</v>
      </c>
      <c r="AB704" s="35" t="n">
        <v>0.132954171308</v>
      </c>
      <c r="AC704" s="71" t="n">
        <v>5.49245657766719</v>
      </c>
      <c r="AD704" s="72"/>
      <c r="AE704" s="72"/>
      <c r="AF704" s="72"/>
      <c r="AG704" s="72"/>
      <c r="AH704" s="72"/>
      <c r="AI704" s="73" t="n">
        <v>26.6844375416325</v>
      </c>
      <c r="AJ704" s="42" t="s">
        <v>16</v>
      </c>
      <c r="AK704" s="43" t="n">
        <v>743.67081976795</v>
      </c>
      <c r="AL704" s="74"/>
      <c r="AM704" s="74"/>
      <c r="AN704" s="74"/>
      <c r="AO704" s="78" t="n">
        <v>34.6857142857143</v>
      </c>
      <c r="AP704" s="76" t="n">
        <v>1.40917254086726</v>
      </c>
      <c r="AQ704" s="76" t="n">
        <v>1.18821324448147</v>
      </c>
      <c r="AR704" s="76" t="n">
        <v>1.72333055671248</v>
      </c>
      <c r="AS704" s="77" t="n">
        <v>35.0118738272946</v>
      </c>
      <c r="AT704" s="78" t="n">
        <v>35.652213543123</v>
      </c>
      <c r="AU704" s="78" t="n">
        <v>40.6268854451022</v>
      </c>
      <c r="AV704" s="78" t="n">
        <v>34.2565597667638</v>
      </c>
      <c r="AW704" s="78" t="n">
        <v>49.6841593780369</v>
      </c>
      <c r="AX704" s="78" t="n">
        <v>19.825</v>
      </c>
      <c r="AY704" s="48" t="n">
        <v>1.83417442443408</v>
      </c>
      <c r="AZ704" s="48" t="n">
        <v>26.3449968024984</v>
      </c>
      <c r="BA704" s="48" t="n">
        <v>-6.90725245922349</v>
      </c>
      <c r="BB704" s="49" t="n">
        <f aca="false">AT704/V704</f>
        <v>1.83417442443408</v>
      </c>
      <c r="BC704" s="49" t="n">
        <f aca="false">AS704/V704</f>
        <v>1.80123131619478</v>
      </c>
      <c r="BD704" s="49" t="n">
        <f aca="false">SUM(AP704:AR704)/V704</f>
        <v>0.222284863189699</v>
      </c>
      <c r="BE704" s="53" t="n">
        <v>6.36</v>
      </c>
      <c r="BF704" s="51" t="n">
        <v>123.33899065775</v>
      </c>
      <c r="BG704" s="51" t="n">
        <v>594.974975585848</v>
      </c>
      <c r="BH704" s="51" t="n">
        <v>224.358082718272</v>
      </c>
      <c r="BI704" s="51" t="n">
        <v>133.744474556632</v>
      </c>
      <c r="BJ704" s="51" t="n">
        <v>6.5209678256775</v>
      </c>
      <c r="BK704" s="51" t="n">
        <v>21.5070476305209</v>
      </c>
      <c r="BL704" s="51" t="n">
        <v>13.3282784900449</v>
      </c>
      <c r="BM704" s="51" t="n">
        <v>5.56617319300436</v>
      </c>
      <c r="BN704" s="52" t="n">
        <f aca="false">(BG704*0.5-BH704*0.25+BI704*0.5)/SUM(BG704:BI704)*1000</f>
        <v>323.447142297406</v>
      </c>
      <c r="BO704" s="93" t="n">
        <v>4.63371428571429</v>
      </c>
      <c r="BP704" s="94" t="s">
        <v>491</v>
      </c>
      <c r="BQ704" s="55" t="n">
        <v>382.741228070175</v>
      </c>
      <c r="BR704" s="56" t="n">
        <v>19.6906195138119</v>
      </c>
      <c r="BS704" s="56"/>
      <c r="BT704" s="56" t="n">
        <v>10.7354127565525</v>
      </c>
      <c r="BU704" s="55" t="n">
        <v>11981.2692982456</v>
      </c>
      <c r="BV704" s="55" t="n">
        <v>616.391958174454</v>
      </c>
      <c r="BW704" s="55"/>
      <c r="BX704" s="55" t="n">
        <v>336.059618956162</v>
      </c>
      <c r="BY704" s="96" t="n">
        <v>0.06489</v>
      </c>
      <c r="BZ704" s="96" t="n">
        <v>1.1231</v>
      </c>
      <c r="CA704" s="97" t="n">
        <v>3.3</v>
      </c>
      <c r="CB704" s="97"/>
      <c r="CC704" s="97" t="n">
        <v>7.575</v>
      </c>
      <c r="CD704" s="97" t="n">
        <v>5.7123</v>
      </c>
      <c r="CE704" s="97" t="n">
        <v>80.8</v>
      </c>
      <c r="CF704" s="97" t="n">
        <v>35.78</v>
      </c>
      <c r="CG704" s="97" t="n">
        <v>0.1865</v>
      </c>
      <c r="CH704" s="63" t="n">
        <v>77530.2690556303</v>
      </c>
      <c r="CI704" s="63" t="n">
        <v>5710.75572101096</v>
      </c>
      <c r="CJ704" s="64" t="n">
        <v>527928.462759024</v>
      </c>
      <c r="CK704" s="65" t="n">
        <v>1.08172908336213</v>
      </c>
    </row>
    <row r="705" s="1" customFormat="true" ht="15" hidden="false" customHeight="false" outlineLevel="0" collapsed="false">
      <c r="A705" s="7" t="s">
        <v>488</v>
      </c>
      <c r="B705" s="66" t="n">
        <v>696</v>
      </c>
      <c r="C705" s="8" t="s">
        <v>788</v>
      </c>
      <c r="D705" s="67" t="n">
        <v>42019</v>
      </c>
      <c r="E705" s="4" t="s">
        <v>583</v>
      </c>
      <c r="F705" s="7" t="n">
        <v>1632</v>
      </c>
      <c r="G705" s="68" t="n">
        <v>1</v>
      </c>
      <c r="H705" s="68" t="n">
        <v>184</v>
      </c>
      <c r="I705" s="7" t="n">
        <v>2</v>
      </c>
      <c r="J705" s="8" t="n">
        <v>677</v>
      </c>
      <c r="K705" s="32"/>
      <c r="L705" s="31" t="n">
        <v>931.502</v>
      </c>
      <c r="M705" s="31" t="n">
        <v>158.930939508314</v>
      </c>
      <c r="N705" s="31" t="n">
        <v>308.170968070999</v>
      </c>
      <c r="O705" s="95"/>
      <c r="P705" s="33" t="n">
        <v>39.2736917270223</v>
      </c>
      <c r="Q705" s="33" t="n">
        <v>6.84</v>
      </c>
      <c r="R705" s="31" t="n">
        <v>282.566561256758</v>
      </c>
      <c r="S705" s="34" t="s">
        <v>76</v>
      </c>
      <c r="T705" s="35"/>
      <c r="U705" s="35"/>
      <c r="V705" s="35" t="n">
        <v>26.6752155677981</v>
      </c>
      <c r="W705" s="35" t="n">
        <v>24.8480166518351</v>
      </c>
      <c r="X705" s="35" t="n">
        <v>4.23951707177695</v>
      </c>
      <c r="Y705" s="35" t="n">
        <v>8.22052700503092</v>
      </c>
      <c r="Z705" s="35"/>
      <c r="AA705" s="35" t="n">
        <v>1.04763419296157</v>
      </c>
      <c r="AB705" s="35" t="n">
        <v>0.182458474483739</v>
      </c>
      <c r="AC705" s="71" t="n">
        <v>7.53752393377545</v>
      </c>
      <c r="AD705" s="72"/>
      <c r="AE705" s="72"/>
      <c r="AF705" s="72"/>
      <c r="AG705" s="72"/>
      <c r="AH705" s="72"/>
      <c r="AI705" s="73" t="n">
        <v>29.7101271260686</v>
      </c>
      <c r="AJ705" s="42" t="s">
        <v>16</v>
      </c>
      <c r="AK705" s="43" t="n">
        <v>769.775471812156</v>
      </c>
      <c r="AL705" s="74"/>
      <c r="AM705" s="74"/>
      <c r="AN705" s="74"/>
      <c r="AO705" s="78" t="n">
        <v>28.1857142857143</v>
      </c>
      <c r="AP705" s="76" t="n">
        <v>1.01974473932921</v>
      </c>
      <c r="AQ705" s="76" t="n">
        <v>1.00252394835485</v>
      </c>
      <c r="AR705" s="76" t="n">
        <v>1.39148132722477</v>
      </c>
      <c r="AS705" s="77" t="n">
        <v>26.5704568042239</v>
      </c>
      <c r="AT705" s="78" t="n">
        <v>27.6802065300981</v>
      </c>
      <c r="AU705" s="78" t="n">
        <v>36.1794889777217</v>
      </c>
      <c r="AV705" s="78" t="n">
        <v>35.5685131195335</v>
      </c>
      <c r="AW705" s="78" t="n">
        <v>49.3683187560739</v>
      </c>
      <c r="AX705" s="78" t="n">
        <v>19.6166666666667</v>
      </c>
      <c r="AY705" s="48" t="n">
        <v>1.03767508306524</v>
      </c>
      <c r="AZ705" s="48" t="n">
        <v>22.65941599689</v>
      </c>
      <c r="BA705" s="48" t="n">
        <v>4.01579957090808</v>
      </c>
      <c r="BB705" s="49" t="n">
        <f aca="false">AT705/V705</f>
        <v>1.03767508306524</v>
      </c>
      <c r="BC705" s="49" t="n">
        <f aca="false">AS705/V705</f>
        <v>0.996072805360919</v>
      </c>
      <c r="BD705" s="49" t="n">
        <f aca="false">SUM(AP705:AR705)/V705</f>
        <v>0.127974598976807</v>
      </c>
      <c r="BE705" s="53" t="n">
        <v>6.6</v>
      </c>
      <c r="BF705" s="51" t="n">
        <v>121.129021739424</v>
      </c>
      <c r="BG705" s="51" t="n">
        <v>643.822898684336</v>
      </c>
      <c r="BH705" s="51" t="n">
        <v>195.86986153014</v>
      </c>
      <c r="BI705" s="51" t="n">
        <v>112.833967809076</v>
      </c>
      <c r="BJ705" s="51" t="n">
        <v>8.62865004790571</v>
      </c>
      <c r="BK705" s="51" t="n">
        <v>14.0244017397573</v>
      </c>
      <c r="BL705" s="51" t="n">
        <v>17.0207913860287</v>
      </c>
      <c r="BM705" s="51" t="n">
        <v>7.79942880275625</v>
      </c>
      <c r="BN705" s="52" t="n">
        <f aca="false">(BG705*0.5-BH705*0.25+BI705*0.5)/SUM(BG705:BI705)*1000</f>
        <v>345.776090239042</v>
      </c>
      <c r="BO705" s="93" t="n">
        <v>5.65371428571429</v>
      </c>
      <c r="BP705" s="94" t="s">
        <v>491</v>
      </c>
      <c r="BQ705" s="55" t="n">
        <v>466.334090909091</v>
      </c>
      <c r="BR705" s="56" t="n">
        <v>17.4819239876</v>
      </c>
      <c r="BS705" s="56"/>
      <c r="BT705" s="56" t="n">
        <v>16.847204171039</v>
      </c>
      <c r="BU705" s="55" t="n">
        <v>12253.7787878788</v>
      </c>
      <c r="BV705" s="55" t="n">
        <v>459.369438148847</v>
      </c>
      <c r="BW705" s="55"/>
      <c r="BX705" s="55" t="n">
        <v>442.691017299839</v>
      </c>
      <c r="BY705" s="96" t="n">
        <v>0.0927</v>
      </c>
      <c r="BZ705" s="96" t="n">
        <v>0.9273</v>
      </c>
      <c r="CA705" s="97" t="n">
        <v>4.01</v>
      </c>
      <c r="CB705" s="97"/>
      <c r="CC705" s="97" t="n">
        <v>6.2115</v>
      </c>
      <c r="CD705" s="97" t="n">
        <v>6.7419</v>
      </c>
      <c r="CE705" s="97" t="n">
        <v>72.72</v>
      </c>
      <c r="CF705" s="97" t="n">
        <v>33.15</v>
      </c>
      <c r="CG705" s="97" t="n">
        <v>0.0409</v>
      </c>
      <c r="CH705" s="63" t="n">
        <v>84721.8457269905</v>
      </c>
      <c r="CI705" s="63" t="n">
        <v>8251.45789453063</v>
      </c>
      <c r="CJ705" s="64" t="n">
        <v>673739.145790095</v>
      </c>
      <c r="CK705" s="65" t="n">
        <v>1.2247259115179</v>
      </c>
    </row>
    <row r="706" s="1" customFormat="true" ht="15" hidden="false" customHeight="false" outlineLevel="0" collapsed="false">
      <c r="A706" s="7" t="s">
        <v>488</v>
      </c>
      <c r="B706" s="66" t="n">
        <v>697</v>
      </c>
      <c r="C706" s="8" t="s">
        <v>789</v>
      </c>
      <c r="D706" s="67" t="n">
        <v>42019</v>
      </c>
      <c r="E706" s="4" t="s">
        <v>583</v>
      </c>
      <c r="F706" s="7" t="n">
        <v>1639</v>
      </c>
      <c r="G706" s="68" t="n">
        <v>1</v>
      </c>
      <c r="H706" s="68" t="n">
        <v>162</v>
      </c>
      <c r="I706" s="7" t="n">
        <v>2</v>
      </c>
      <c r="J706" s="8" t="n">
        <v>635</v>
      </c>
      <c r="K706" s="32"/>
      <c r="L706" s="31" t="n">
        <v>931.502</v>
      </c>
      <c r="M706" s="31" t="n">
        <v>158.930939508314</v>
      </c>
      <c r="N706" s="31" t="n">
        <v>308.170968070999</v>
      </c>
      <c r="O706" s="95"/>
      <c r="P706" s="33" t="n">
        <v>39.2736917270223</v>
      </c>
      <c r="Q706" s="33" t="n">
        <v>6.84</v>
      </c>
      <c r="R706" s="31" t="n">
        <v>282.566561256758</v>
      </c>
      <c r="S706" s="34" t="s">
        <v>76</v>
      </c>
      <c r="T706" s="35"/>
      <c r="U706" s="35"/>
      <c r="V706" s="35" t="n">
        <v>16.0389553456042</v>
      </c>
      <c r="W706" s="35" t="n">
        <v>14.940318982341</v>
      </c>
      <c r="X706" s="35" t="n">
        <v>2.54908624180876</v>
      </c>
      <c r="Y706" s="35" t="n">
        <v>4.94274039570236</v>
      </c>
      <c r="Z706" s="35"/>
      <c r="AA706" s="35" t="n">
        <v>0.629908987866736</v>
      </c>
      <c r="AB706" s="35" t="n">
        <v>0.109706454563933</v>
      </c>
      <c r="AC706" s="71" t="n">
        <v>4.53207245815807</v>
      </c>
      <c r="AD706" s="72"/>
      <c r="AE706" s="72"/>
      <c r="AF706" s="72"/>
      <c r="AG706" s="72"/>
      <c r="AH706" s="72"/>
      <c r="AI706" s="73" t="n">
        <v>26.4908232706202</v>
      </c>
      <c r="AJ706" s="42" t="s">
        <v>16</v>
      </c>
      <c r="AK706" s="43" t="n">
        <v>741.797379034802</v>
      </c>
      <c r="AL706" s="74"/>
      <c r="AM706" s="74"/>
      <c r="AN706" s="74"/>
      <c r="AO706" s="78" t="n">
        <v>25.7714285714286</v>
      </c>
      <c r="AP706" s="76" t="n">
        <v>0.894051972799983</v>
      </c>
      <c r="AQ706" s="76" t="n">
        <v>0.884718867138692</v>
      </c>
      <c r="AR706" s="76" t="n">
        <v>1.24912536443149</v>
      </c>
      <c r="AS706" s="77" t="n">
        <v>23.7193510205712</v>
      </c>
      <c r="AT706" s="78" t="n">
        <v>24.4733723701023</v>
      </c>
      <c r="AU706" s="78" t="n">
        <v>34.6915953968951</v>
      </c>
      <c r="AV706" s="78" t="n">
        <v>34.3294460641399</v>
      </c>
      <c r="AW706" s="78" t="n">
        <v>48.4693877551021</v>
      </c>
      <c r="AX706" s="78" t="n">
        <v>20.6475</v>
      </c>
      <c r="AY706" s="48" t="n">
        <v>1.5258707217992</v>
      </c>
      <c r="AZ706" s="48" t="n">
        <v>20.9460890620619</v>
      </c>
      <c r="BA706" s="48" t="n">
        <v>-4.90713371645769</v>
      </c>
      <c r="BB706" s="49" t="n">
        <f aca="false">AT706/V706</f>
        <v>1.5258707217992</v>
      </c>
      <c r="BC706" s="49" t="n">
        <f aca="false">AS706/V706</f>
        <v>1.47885884769122</v>
      </c>
      <c r="BD706" s="49" t="n">
        <f aca="false">SUM(AP706:AR706)/V706</f>
        <v>0.188783878945085</v>
      </c>
      <c r="BE706" s="53" t="n">
        <v>6.56</v>
      </c>
      <c r="BF706" s="51" t="n">
        <v>109.928784682907</v>
      </c>
      <c r="BG706" s="51" t="n">
        <v>568.406041587333</v>
      </c>
      <c r="BH706" s="51" t="n">
        <v>265.42092813726</v>
      </c>
      <c r="BI706" s="51" t="n">
        <v>107.761529071824</v>
      </c>
      <c r="BJ706" s="51" t="n">
        <v>8.63736618451629</v>
      </c>
      <c r="BK706" s="51" t="n">
        <v>26.4023596241151</v>
      </c>
      <c r="BL706" s="51" t="n">
        <v>18.2388028522944</v>
      </c>
      <c r="BM706" s="51" t="n">
        <v>5.13297254265703</v>
      </c>
      <c r="BN706" s="52" t="n">
        <f aca="false">(BG706*0.5-BH706*0.25+BI706*0.5)/SUM(BG706:BI706)*1000</f>
        <v>288.585251033334</v>
      </c>
      <c r="BO706" s="93" t="n">
        <v>3.14742857142857</v>
      </c>
      <c r="BP706" s="94" t="s">
        <v>491</v>
      </c>
      <c r="BQ706" s="55" t="n">
        <v>398.775</v>
      </c>
      <c r="BR706" s="56" t="n">
        <v>24.8629035624376</v>
      </c>
      <c r="BS706" s="56"/>
      <c r="BT706" s="56" t="n">
        <v>16.2942398770985</v>
      </c>
      <c r="BU706" s="55" t="n">
        <v>12089.7829166667</v>
      </c>
      <c r="BV706" s="55" t="n">
        <v>753.776206502136</v>
      </c>
      <c r="BW706" s="55"/>
      <c r="BX706" s="55" t="n">
        <v>493.997424377691</v>
      </c>
      <c r="BY706" s="96" t="n">
        <v>0.0618</v>
      </c>
      <c r="BZ706" s="96" t="n">
        <v>0.4642</v>
      </c>
      <c r="CA706" s="97" t="n">
        <v>3.96</v>
      </c>
      <c r="CB706" s="97"/>
      <c r="CC706" s="97" t="n">
        <v>5.8378</v>
      </c>
      <c r="CD706" s="97" t="n">
        <v>6.2964</v>
      </c>
      <c r="CE706" s="97" t="n">
        <v>80.8</v>
      </c>
      <c r="CF706" s="97" t="n">
        <v>33.49</v>
      </c>
      <c r="CG706" s="97" t="n">
        <v>0.141</v>
      </c>
      <c r="CH706" s="63" t="n">
        <v>73392.1174957929</v>
      </c>
      <c r="CI706" s="63" t="n">
        <v>3277.75156083066</v>
      </c>
      <c r="CJ706" s="64" t="n">
        <v>134948.581900986</v>
      </c>
      <c r="CK706" s="65" t="n">
        <v>2.42888922184866</v>
      </c>
    </row>
    <row r="707" s="1" customFormat="true" ht="15" hidden="false" customHeight="false" outlineLevel="0" collapsed="false">
      <c r="A707" s="7" t="s">
        <v>488</v>
      </c>
      <c r="B707" s="66" t="n">
        <v>698</v>
      </c>
      <c r="C707" s="8" t="s">
        <v>790</v>
      </c>
      <c r="D707" s="67" t="n">
        <v>42019</v>
      </c>
      <c r="E707" s="4" t="s">
        <v>583</v>
      </c>
      <c r="F707" s="7" t="n">
        <v>1715</v>
      </c>
      <c r="G707" s="68" t="n">
        <v>1</v>
      </c>
      <c r="H707" s="68" t="n">
        <v>164</v>
      </c>
      <c r="I707" s="7" t="n">
        <v>2</v>
      </c>
      <c r="J707" s="8" t="n">
        <v>802</v>
      </c>
      <c r="K707" s="32"/>
      <c r="L707" s="31" t="n">
        <v>931.502</v>
      </c>
      <c r="M707" s="31" t="n">
        <v>158.930939508314</v>
      </c>
      <c r="N707" s="31" t="n">
        <v>308.170968070999</v>
      </c>
      <c r="O707" s="95"/>
      <c r="P707" s="33" t="n">
        <v>39.2736917270223</v>
      </c>
      <c r="Q707" s="33" t="n">
        <v>6.84</v>
      </c>
      <c r="R707" s="31" t="n">
        <v>282.566561256758</v>
      </c>
      <c r="S707" s="34" t="s">
        <v>76</v>
      </c>
      <c r="T707" s="35"/>
      <c r="U707" s="35"/>
      <c r="V707" s="35" t="n">
        <v>34.4853969504727</v>
      </c>
      <c r="W707" s="35" t="n">
        <v>32.1232162301592</v>
      </c>
      <c r="X707" s="35" t="n">
        <v>5.48079653665577</v>
      </c>
      <c r="Y707" s="35" t="n">
        <v>10.6273981625398</v>
      </c>
      <c r="Z707" s="35"/>
      <c r="AA707" s="35" t="n">
        <v>1.35436884891686</v>
      </c>
      <c r="AB707" s="35" t="n">
        <v>0.235880115141233</v>
      </c>
      <c r="AC707" s="71" t="n">
        <v>9.74442002986936</v>
      </c>
      <c r="AD707" s="72"/>
      <c r="AE707" s="72"/>
      <c r="AF707" s="72"/>
      <c r="AG707" s="72"/>
      <c r="AH707" s="72"/>
      <c r="AI707" s="73" t="n">
        <v>25.8209433786219</v>
      </c>
      <c r="AJ707" s="42" t="s">
        <v>16</v>
      </c>
      <c r="AK707" s="43" t="n">
        <v>735.098756861723</v>
      </c>
      <c r="AL707" s="74"/>
      <c r="AM707" s="74"/>
      <c r="AN707" s="74"/>
      <c r="AO707" s="78" t="n">
        <v>41.6285714285714</v>
      </c>
      <c r="AP707" s="76" t="n">
        <v>1.48442186824672</v>
      </c>
      <c r="AQ707" s="76" t="n">
        <v>1.39368735249202</v>
      </c>
      <c r="AR707" s="76" t="n">
        <v>2.01467721782591</v>
      </c>
      <c r="AS707" s="77" t="n">
        <v>38.9177565951294</v>
      </c>
      <c r="AT707" s="78" t="n">
        <v>39.7340968457223</v>
      </c>
      <c r="AU707" s="78" t="n">
        <v>35.6587271027009</v>
      </c>
      <c r="AV707" s="78" t="n">
        <v>33.4791059280855</v>
      </c>
      <c r="AW707" s="78" t="n">
        <v>48.396501457726</v>
      </c>
      <c r="AX707" s="78" t="n">
        <v>30.01</v>
      </c>
      <c r="AY707" s="48" t="n">
        <v>1.15220065185237</v>
      </c>
      <c r="AZ707" s="48" t="n">
        <v>28.9058794129601</v>
      </c>
      <c r="BA707" s="48" t="n">
        <v>5.5795175375126</v>
      </c>
      <c r="BB707" s="49" t="n">
        <f aca="false">AT707/V707</f>
        <v>1.15220065185237</v>
      </c>
      <c r="BC707" s="49" t="n">
        <f aca="false">AS707/V707</f>
        <v>1.1285285957712</v>
      </c>
      <c r="BD707" s="49" t="n">
        <f aca="false">SUM(AP707:AR707)/V707</f>
        <v>0.141879951261445</v>
      </c>
      <c r="BE707" s="53" t="n">
        <v>6.48</v>
      </c>
      <c r="BF707" s="51" t="n">
        <v>125.168482976308</v>
      </c>
      <c r="BG707" s="51" t="n">
        <v>588.628913906782</v>
      </c>
      <c r="BH707" s="51" t="n">
        <v>256.405772607027</v>
      </c>
      <c r="BI707" s="51" t="n">
        <v>112.201835805523</v>
      </c>
      <c r="BJ707" s="51" t="n">
        <v>7.8265378666012</v>
      </c>
      <c r="BK707" s="51" t="n">
        <v>13.8868666350113</v>
      </c>
      <c r="BL707" s="51" t="n">
        <v>17.3775271177263</v>
      </c>
      <c r="BM707" s="51" t="n">
        <v>3.67254606132819</v>
      </c>
      <c r="BN707" s="52" t="n">
        <f aca="false">(BG707*0.5-BH707*0.25+BI707*0.5)/SUM(BG707:BI707)*1000</f>
        <v>299.104688369676</v>
      </c>
      <c r="BO707" s="93" t="n">
        <v>8.33485714285714</v>
      </c>
      <c r="BP707" s="94" t="s">
        <v>491</v>
      </c>
      <c r="BQ707" s="55" t="n">
        <v>484.1</v>
      </c>
      <c r="BR707" s="56" t="n">
        <v>14.037825943986</v>
      </c>
      <c r="BS707" s="56"/>
      <c r="BT707" s="56" t="n">
        <v>12.1834907152827</v>
      </c>
      <c r="BU707" s="55" t="n">
        <v>15609.4</v>
      </c>
      <c r="BV707" s="55" t="n">
        <v>452.637967961278</v>
      </c>
      <c r="BW707" s="55"/>
      <c r="BX707" s="55" t="n">
        <v>392.846477940783</v>
      </c>
      <c r="BY707" s="96" t="n">
        <v>0.09785</v>
      </c>
      <c r="BZ707" s="96" t="n">
        <v>1.0021</v>
      </c>
      <c r="CA707" s="97" t="n">
        <v>3.63</v>
      </c>
      <c r="CB707" s="97"/>
      <c r="CC707" s="97" t="n">
        <v>6.9286</v>
      </c>
      <c r="CD707" s="97" t="n">
        <v>5.742</v>
      </c>
      <c r="CE707" s="97" t="n">
        <v>82.82</v>
      </c>
      <c r="CF707" s="97" t="n">
        <v>34.3</v>
      </c>
      <c r="CG707" s="97" t="n">
        <v>0.0864</v>
      </c>
      <c r="CH707" s="63" t="n">
        <v>84252.8021509361</v>
      </c>
      <c r="CI707" s="63" t="n">
        <v>8477.56224752006</v>
      </c>
      <c r="CJ707" s="64" t="n">
        <v>415331.296968606</v>
      </c>
      <c r="CK707" s="65" t="n">
        <v>2.04115661627129</v>
      </c>
    </row>
    <row r="708" s="1" customFormat="true" ht="15" hidden="false" customHeight="false" outlineLevel="0" collapsed="false">
      <c r="A708" s="7" t="s">
        <v>488</v>
      </c>
      <c r="B708" s="66" t="n">
        <v>699</v>
      </c>
      <c r="C708" s="8" t="s">
        <v>791</v>
      </c>
      <c r="D708" s="67" t="n">
        <v>42019</v>
      </c>
      <c r="E708" s="4" t="s">
        <v>583</v>
      </c>
      <c r="F708" s="7" t="n">
        <v>1728</v>
      </c>
      <c r="G708" s="68" t="n">
        <v>1</v>
      </c>
      <c r="H708" s="68" t="n">
        <v>146</v>
      </c>
      <c r="I708" s="7" t="n">
        <v>2</v>
      </c>
      <c r="J708" s="8" t="n">
        <v>708</v>
      </c>
      <c r="K708" s="32"/>
      <c r="L708" s="31" t="n">
        <v>931.502</v>
      </c>
      <c r="M708" s="31" t="n">
        <v>158.930939508314</v>
      </c>
      <c r="N708" s="31" t="n">
        <v>308.170968070999</v>
      </c>
      <c r="O708" s="95"/>
      <c r="P708" s="33" t="n">
        <v>39.2736917270223</v>
      </c>
      <c r="Q708" s="33" t="n">
        <v>6.84</v>
      </c>
      <c r="R708" s="31" t="n">
        <v>282.566561256758</v>
      </c>
      <c r="S708" s="34" t="s">
        <v>76</v>
      </c>
      <c r="T708" s="35"/>
      <c r="U708" s="35"/>
      <c r="V708" s="35" t="n">
        <v>16.1562322585667</v>
      </c>
      <c r="W708" s="35" t="n">
        <v>15.0495626613194</v>
      </c>
      <c r="X708" s="35" t="n">
        <v>2.56772517176853</v>
      </c>
      <c r="Y708" s="35" t="n">
        <v>4.9788817355024</v>
      </c>
      <c r="Z708" s="35"/>
      <c r="AA708" s="35" t="n">
        <v>0.634514885193122</v>
      </c>
      <c r="AB708" s="35" t="n">
        <v>0.110508628648596</v>
      </c>
      <c r="AC708" s="71" t="n">
        <v>4.5652109921687</v>
      </c>
      <c r="AD708" s="72"/>
      <c r="AE708" s="72"/>
      <c r="AF708" s="72"/>
      <c r="AG708" s="72"/>
      <c r="AH708" s="72"/>
      <c r="AI708" s="73" t="n">
        <v>26.4582360623514</v>
      </c>
      <c r="AJ708" s="42" t="s">
        <v>16</v>
      </c>
      <c r="AK708" s="43" t="n">
        <v>741.479364539614</v>
      </c>
      <c r="AL708" s="74"/>
      <c r="AM708" s="74"/>
      <c r="AN708" s="74"/>
      <c r="AO708" s="78" t="n">
        <v>40</v>
      </c>
      <c r="AP708" s="76" t="n">
        <v>1.14047676513819</v>
      </c>
      <c r="AQ708" s="76" t="n">
        <v>1.26044703595724</v>
      </c>
      <c r="AR708" s="76" t="n">
        <v>2.01263362487852</v>
      </c>
      <c r="AS708" s="77" t="n">
        <v>33.1071514770729</v>
      </c>
      <c r="AT708" s="78" t="n">
        <v>34.4904581307162</v>
      </c>
      <c r="AU708" s="78" t="n">
        <v>28.5119191284548</v>
      </c>
      <c r="AV708" s="78" t="n">
        <v>31.511175898931</v>
      </c>
      <c r="AW708" s="78" t="n">
        <v>50.3158406219631</v>
      </c>
      <c r="AX708" s="78" t="n">
        <v>19.6475</v>
      </c>
      <c r="AY708" s="48" t="n">
        <v>2.13480826338257</v>
      </c>
      <c r="AZ708" s="48" t="n">
        <v>25.3713229138197</v>
      </c>
      <c r="BA708" s="48" t="n">
        <v>-9.21509065525298</v>
      </c>
      <c r="BB708" s="49" t="n">
        <f aca="false">AT708/V708</f>
        <v>2.13480826338257</v>
      </c>
      <c r="BC708" s="49" t="n">
        <f aca="false">AS708/V708</f>
        <v>2.04918764147613</v>
      </c>
      <c r="BD708" s="49" t="n">
        <f aca="false">SUM(AP708:AR708)/V708</f>
        <v>0.273179869869332</v>
      </c>
      <c r="BE708" s="53" t="n">
        <v>6.49</v>
      </c>
      <c r="BF708" s="51" t="n">
        <v>117.236228271878</v>
      </c>
      <c r="BG708" s="51" t="n">
        <v>575.374841922085</v>
      </c>
      <c r="BH708" s="51" t="n">
        <v>271.660557823203</v>
      </c>
      <c r="BI708" s="51" t="n">
        <v>105.085916933183</v>
      </c>
      <c r="BJ708" s="51" t="n">
        <v>8.5385308852496</v>
      </c>
      <c r="BK708" s="51" t="n">
        <v>16.7173232970896</v>
      </c>
      <c r="BL708" s="51" t="n">
        <v>20.1303354445222</v>
      </c>
      <c r="BM708" s="51" t="n">
        <v>2.49249369466736</v>
      </c>
      <c r="BN708" s="52" t="n">
        <f aca="false">(BG708*0.5-BH708*0.25+BI708*0.5)/SUM(BG708:BI708)*1000</f>
        <v>286.008973018082</v>
      </c>
      <c r="BO708" s="93" t="n">
        <v>3.43885714285714</v>
      </c>
      <c r="BP708" s="94" t="s">
        <v>491</v>
      </c>
      <c r="BQ708" s="55" t="n">
        <v>448.739583333333</v>
      </c>
      <c r="BR708" s="56" t="n">
        <v>27.7750143815488</v>
      </c>
      <c r="BS708" s="56"/>
      <c r="BT708" s="56" t="n">
        <v>13.0105428473187</v>
      </c>
      <c r="BU708" s="55" t="n">
        <v>12979.85</v>
      </c>
      <c r="BV708" s="55" t="n">
        <v>803.395853208136</v>
      </c>
      <c r="BW708" s="55"/>
      <c r="BX708" s="55" t="n">
        <v>376.331620496526</v>
      </c>
      <c r="BY708" s="96" t="n">
        <v>0.11021</v>
      </c>
      <c r="BZ708" s="96" t="n">
        <v>0.8085</v>
      </c>
      <c r="CA708" s="97" t="n">
        <v>3.68</v>
      </c>
      <c r="CB708" s="97"/>
      <c r="CC708" s="97" t="n">
        <v>5.757</v>
      </c>
      <c r="CD708" s="97" t="n">
        <v>6.4746</v>
      </c>
      <c r="CE708" s="97" t="n">
        <v>76.76</v>
      </c>
      <c r="CF708" s="97" t="n">
        <v>35.72</v>
      </c>
      <c r="CG708" s="97" t="n">
        <v>0.1319</v>
      </c>
      <c r="CH708" s="63" t="n">
        <v>42035.7796806932</v>
      </c>
      <c r="CI708" s="63" t="n">
        <v>6477.63563870969</v>
      </c>
      <c r="CJ708" s="64" t="n">
        <v>224536.381263673</v>
      </c>
      <c r="CK708" s="65" t="n">
        <v>2.8848935759337</v>
      </c>
    </row>
    <row r="709" s="1" customFormat="true" ht="15" hidden="false" customHeight="false" outlineLevel="0" collapsed="false">
      <c r="A709" s="7" t="s">
        <v>488</v>
      </c>
      <c r="B709" s="66" t="n">
        <v>700</v>
      </c>
      <c r="C709" s="8" t="s">
        <v>792</v>
      </c>
      <c r="D709" s="67" t="n">
        <v>42019</v>
      </c>
      <c r="E709" s="4" t="s">
        <v>583</v>
      </c>
      <c r="F709" s="7" t="n">
        <v>1729</v>
      </c>
      <c r="G709" s="68" t="n">
        <v>1</v>
      </c>
      <c r="H709" s="68" t="n">
        <v>174</v>
      </c>
      <c r="I709" s="7" t="n">
        <v>2</v>
      </c>
      <c r="J709" s="8" t="n">
        <v>875</v>
      </c>
      <c r="K709" s="32"/>
      <c r="L709" s="31" t="n">
        <v>931.502</v>
      </c>
      <c r="M709" s="31" t="n">
        <v>158.930939508314</v>
      </c>
      <c r="N709" s="31" t="n">
        <v>308.170968070999</v>
      </c>
      <c r="O709" s="95"/>
      <c r="P709" s="33" t="n">
        <v>39.2736917270223</v>
      </c>
      <c r="Q709" s="33" t="n">
        <v>6.84</v>
      </c>
      <c r="R709" s="31" t="n">
        <v>282.566561256758</v>
      </c>
      <c r="S709" s="34" t="s">
        <v>76</v>
      </c>
      <c r="T709" s="35"/>
      <c r="U709" s="35"/>
      <c r="V709" s="35" t="n">
        <v>28.7731762112389</v>
      </c>
      <c r="W709" s="35" t="n">
        <v>26.8022711871215</v>
      </c>
      <c r="X709" s="35" t="n">
        <v>4.57294792789047</v>
      </c>
      <c r="Y709" s="35" t="n">
        <v>8.86705756749494</v>
      </c>
      <c r="Z709" s="35"/>
      <c r="AA709" s="35" t="n">
        <v>1.13002885252749</v>
      </c>
      <c r="AB709" s="35" t="n">
        <v>0.196808525284874</v>
      </c>
      <c r="AC709" s="71" t="n">
        <v>8.13033745844454</v>
      </c>
      <c r="AD709" s="72"/>
      <c r="AE709" s="72"/>
      <c r="AF709" s="72"/>
      <c r="AG709" s="72"/>
      <c r="AH709" s="72"/>
      <c r="AI709" s="73" t="n">
        <v>29.2202766916014</v>
      </c>
      <c r="AJ709" s="42" t="s">
        <v>16</v>
      </c>
      <c r="AK709" s="43" t="n">
        <v>765.915974301299</v>
      </c>
      <c r="AL709" s="74"/>
      <c r="AM709" s="74"/>
      <c r="AN709" s="74"/>
      <c r="AO709" s="78" t="n">
        <v>39.5714285714286</v>
      </c>
      <c r="AP709" s="76" t="n">
        <v>1.64397933257394</v>
      </c>
      <c r="AQ709" s="76" t="n">
        <v>1.3392371234208</v>
      </c>
      <c r="AR709" s="76" t="n">
        <v>2.04010134666111</v>
      </c>
      <c r="AS709" s="77" t="n">
        <v>40.4882614171806</v>
      </c>
      <c r="AT709" s="78" t="n">
        <v>41.3810037164232</v>
      </c>
      <c r="AU709" s="78" t="n">
        <v>41.5446040722657</v>
      </c>
      <c r="AV709" s="78" t="n">
        <v>33.843537414966</v>
      </c>
      <c r="AW709" s="78" t="n">
        <v>51.5549076773567</v>
      </c>
      <c r="AX709" s="78" t="n">
        <v>24.31</v>
      </c>
      <c r="AY709" s="48" t="n">
        <v>1.43817990105171</v>
      </c>
      <c r="AZ709" s="48" t="n">
        <v>30.5068761207693</v>
      </c>
      <c r="BA709" s="48" t="n">
        <v>-1.73369990953034</v>
      </c>
      <c r="BB709" s="49" t="n">
        <f aca="false">AT709/V709</f>
        <v>1.43817990105171</v>
      </c>
      <c r="BC709" s="49" t="n">
        <f aca="false">AS709/V709</f>
        <v>1.40715300667313</v>
      </c>
      <c r="BD709" s="49" t="n">
        <f aca="false">SUM(AP709:AR709)/V709</f>
        <v>0.174583360758543</v>
      </c>
      <c r="BE709" s="53" t="n">
        <v>6.64</v>
      </c>
      <c r="BF709" s="51" t="n">
        <v>108.249800569296</v>
      </c>
      <c r="BG709" s="51" t="n">
        <v>654.174503043055</v>
      </c>
      <c r="BH709" s="51" t="n">
        <v>184.082537131442</v>
      </c>
      <c r="BI709" s="51" t="n">
        <v>115.252140565878</v>
      </c>
      <c r="BJ709" s="51" t="n">
        <v>7.85768706657041</v>
      </c>
      <c r="BK709" s="51" t="n">
        <v>12.6920508186907</v>
      </c>
      <c r="BL709" s="51" t="n">
        <v>19.1917032536849</v>
      </c>
      <c r="BM709" s="51" t="n">
        <v>6.74937812067876</v>
      </c>
      <c r="BN709" s="52" t="n">
        <f aca="false">(BG709*0.5-BH709*0.25+BI709*0.5)/SUM(BG709:BI709)*1000</f>
        <v>355.206530112924</v>
      </c>
      <c r="BO709" s="93" t="n">
        <v>6.87771428571429</v>
      </c>
      <c r="BP709" s="94" t="s">
        <v>491</v>
      </c>
      <c r="BQ709" s="55" t="n">
        <v>622.076666666667</v>
      </c>
      <c r="BR709" s="56" t="n">
        <v>21.6200207477852</v>
      </c>
      <c r="BS709" s="56"/>
      <c r="BT709" s="56" t="n">
        <v>15.0329042506956</v>
      </c>
      <c r="BU709" s="55" t="n">
        <v>15981.2033333333</v>
      </c>
      <c r="BV709" s="55" t="n">
        <v>555.420201649166</v>
      </c>
      <c r="BW709" s="55"/>
      <c r="BX709" s="55" t="n">
        <v>386.196609508308</v>
      </c>
      <c r="BY709" s="96" t="n">
        <v>0.07931</v>
      </c>
      <c r="BZ709" s="96" t="n">
        <v>1.1825</v>
      </c>
      <c r="CA709" s="97" t="n">
        <v>3.18</v>
      </c>
      <c r="CB709" s="97"/>
      <c r="CC709" s="97" t="n">
        <v>5.858</v>
      </c>
      <c r="CD709" s="97" t="n">
        <v>7.1478</v>
      </c>
      <c r="CE709" s="97" t="n">
        <v>84.84</v>
      </c>
      <c r="CF709" s="97" t="n">
        <v>33.75</v>
      </c>
      <c r="CG709" s="97" t="n">
        <v>0.0682</v>
      </c>
      <c r="CH709" s="63" t="n">
        <v>112874.559267671</v>
      </c>
      <c r="CI709" s="63" t="n">
        <v>4684.6055807296</v>
      </c>
      <c r="CJ709" s="64" t="n">
        <v>340900.080352244</v>
      </c>
      <c r="CK709" s="65" t="n">
        <v>1.37418729144596</v>
      </c>
    </row>
    <row r="710" s="1" customFormat="true" ht="15" hidden="false" customHeight="false" outlineLevel="0" collapsed="false">
      <c r="A710" s="7" t="s">
        <v>488</v>
      </c>
      <c r="B710" s="66" t="n">
        <v>701</v>
      </c>
      <c r="C710" s="8" t="s">
        <v>793</v>
      </c>
      <c r="D710" s="67" t="n">
        <v>42019</v>
      </c>
      <c r="E710" s="4" t="s">
        <v>583</v>
      </c>
      <c r="F710" s="7" t="n">
        <v>2010</v>
      </c>
      <c r="G710" s="68" t="n">
        <v>1</v>
      </c>
      <c r="H710" s="68" t="n">
        <v>162</v>
      </c>
      <c r="I710" s="7" t="n">
        <v>1</v>
      </c>
      <c r="J710" s="8" t="n">
        <v>720</v>
      </c>
      <c r="K710" s="32"/>
      <c r="L710" s="31" t="n">
        <v>931.502</v>
      </c>
      <c r="M710" s="31" t="n">
        <v>158.930939508314</v>
      </c>
      <c r="N710" s="31" t="n">
        <v>308.170968070999</v>
      </c>
      <c r="O710" s="95"/>
      <c r="P710" s="33" t="n">
        <v>39.2736917270223</v>
      </c>
      <c r="Q710" s="33" t="n">
        <v>6.84</v>
      </c>
      <c r="R710" s="31" t="n">
        <v>282.566561256758</v>
      </c>
      <c r="S710" s="34" t="s">
        <v>76</v>
      </c>
      <c r="T710" s="35"/>
      <c r="U710" s="35"/>
      <c r="V710" s="35" t="n">
        <v>16.6731862478907</v>
      </c>
      <c r="W710" s="35" t="n">
        <v>15.5311063362827</v>
      </c>
      <c r="X710" s="35" t="n">
        <v>2.64988515497436</v>
      </c>
      <c r="Y710" s="35" t="n">
        <v>5.13819194684053</v>
      </c>
      <c r="Z710" s="35"/>
      <c r="AA710" s="35" t="n">
        <v>0.654817576806886</v>
      </c>
      <c r="AB710" s="35" t="n">
        <v>0.114044593935572</v>
      </c>
      <c r="AC710" s="71" t="n">
        <v>4.71128490325994</v>
      </c>
      <c r="AD710" s="72"/>
      <c r="AE710" s="72"/>
      <c r="AF710" s="72"/>
      <c r="AG710" s="72"/>
      <c r="AH710" s="72"/>
      <c r="AI710" s="73" t="n">
        <v>30.3899783381859</v>
      </c>
      <c r="AJ710" s="42" t="s">
        <v>16</v>
      </c>
      <c r="AK710" s="43" t="n">
        <v>774.92580205609</v>
      </c>
      <c r="AL710" s="74"/>
      <c r="AM710" s="74"/>
      <c r="AN710" s="74"/>
      <c r="AO710" s="78" t="n">
        <v>21.4857142857143</v>
      </c>
      <c r="AP710" s="76" t="n">
        <v>0.907893971917296</v>
      </c>
      <c r="AQ710" s="76" t="n">
        <v>0.770478967097043</v>
      </c>
      <c r="AR710" s="76" t="n">
        <v>1.0487074829932</v>
      </c>
      <c r="AS710" s="77" t="n">
        <v>22.2126952930452</v>
      </c>
      <c r="AT710" s="78" t="n">
        <v>22.6778045167524</v>
      </c>
      <c r="AU710" s="78" t="n">
        <v>42.2557034801933</v>
      </c>
      <c r="AV710" s="78" t="n">
        <v>35.8600583090379</v>
      </c>
      <c r="AW710" s="78" t="n">
        <v>48.8095238095238</v>
      </c>
      <c r="AX710" s="78" t="n">
        <v>23.435</v>
      </c>
      <c r="AY710" s="48" t="n">
        <v>1.36013621989147</v>
      </c>
      <c r="AZ710" s="48" t="n">
        <v>21.5916506026592</v>
      </c>
      <c r="BA710" s="48" t="n">
        <v>-4.91846435476851</v>
      </c>
      <c r="BB710" s="49" t="n">
        <f aca="false">AT710/V710</f>
        <v>1.36013621989147</v>
      </c>
      <c r="BC710" s="49" t="n">
        <f aca="false">AS710/V710</f>
        <v>1.33224057854301</v>
      </c>
      <c r="BD710" s="49" t="n">
        <f aca="false">SUM(AP710:AR710)/V710</f>
        <v>0.163560844427833</v>
      </c>
      <c r="BE710" s="53" t="n">
        <v>6.44</v>
      </c>
      <c r="BF710" s="51" t="n">
        <v>121.293118347455</v>
      </c>
      <c r="BG710" s="51" t="n">
        <v>575.869217523173</v>
      </c>
      <c r="BH710" s="51" t="n">
        <v>255.276904583723</v>
      </c>
      <c r="BI710" s="51" t="n">
        <v>127.007661119423</v>
      </c>
      <c r="BJ710" s="51" t="n">
        <v>6.35552719242884</v>
      </c>
      <c r="BK710" s="51" t="n">
        <v>16.5220907961695</v>
      </c>
      <c r="BL710" s="51" t="n">
        <v>14.8353586871543</v>
      </c>
      <c r="BM710" s="51" t="n">
        <v>4.13324009792846</v>
      </c>
      <c r="BN710" s="52" t="n">
        <f aca="false">(BG710*0.5-BH710*0.25+BI710*0.5)/SUM(BG710:BI710)*1000</f>
        <v>300.180637190503</v>
      </c>
      <c r="BO710" s="93" t="n">
        <v>6.46971428571429</v>
      </c>
      <c r="BP710" s="94" t="s">
        <v>491</v>
      </c>
      <c r="BQ710" s="55" t="n">
        <v>462.52380952381</v>
      </c>
      <c r="BR710" s="56" t="n">
        <v>27.7405771546709</v>
      </c>
      <c r="BS710" s="56"/>
      <c r="BT710" s="56" t="n">
        <v>20.3954403602931</v>
      </c>
      <c r="BU710" s="55" t="n">
        <v>12168.9285714286</v>
      </c>
      <c r="BV710" s="55" t="n">
        <v>729.850215220145</v>
      </c>
      <c r="BW710" s="55"/>
      <c r="BX710" s="55" t="n">
        <v>536.600823172243</v>
      </c>
      <c r="BY710" s="96" t="n">
        <v>0.04326</v>
      </c>
      <c r="BZ710" s="96" t="n">
        <v>0.7128</v>
      </c>
      <c r="CA710" s="97" t="n">
        <v>4.8</v>
      </c>
      <c r="CB710" s="97"/>
      <c r="CC710" s="97" t="n">
        <v>5.8984</v>
      </c>
      <c r="CD710" s="97" t="n">
        <v>3.2868</v>
      </c>
      <c r="CE710" s="97" t="n">
        <v>82.82</v>
      </c>
      <c r="CF710" s="97" t="n">
        <v>33.8</v>
      </c>
      <c r="CG710" s="97" t="n">
        <v>0.3412</v>
      </c>
      <c r="CH710" s="63" t="n">
        <v>70912.6899615606</v>
      </c>
      <c r="CI710" s="63" t="n">
        <v>6283.35873050679</v>
      </c>
      <c r="CJ710" s="64" t="n">
        <v>399124.524971272</v>
      </c>
      <c r="CK710" s="65" t="n">
        <v>1.57428530130015</v>
      </c>
    </row>
    <row r="711" s="1" customFormat="true" ht="15" hidden="false" customHeight="false" outlineLevel="0" collapsed="false">
      <c r="A711" s="7" t="s">
        <v>488</v>
      </c>
      <c r="B711" s="66" t="n">
        <v>702</v>
      </c>
      <c r="C711" s="8" t="s">
        <v>794</v>
      </c>
      <c r="D711" s="67" t="n">
        <v>42019</v>
      </c>
      <c r="E711" s="4" t="s">
        <v>583</v>
      </c>
      <c r="F711" s="7" t="n">
        <v>2036</v>
      </c>
      <c r="G711" s="68" t="n">
        <v>1</v>
      </c>
      <c r="H711" s="68" t="n">
        <v>148</v>
      </c>
      <c r="I711" s="7" t="n">
        <v>1</v>
      </c>
      <c r="J711" s="8" t="n">
        <v>635</v>
      </c>
      <c r="K711" s="32"/>
      <c r="L711" s="31" t="n">
        <v>931.502</v>
      </c>
      <c r="M711" s="31" t="n">
        <v>158.930939508314</v>
      </c>
      <c r="N711" s="31" t="n">
        <v>308.170968070999</v>
      </c>
      <c r="O711" s="95"/>
      <c r="P711" s="33" t="n">
        <v>39.2736917270223</v>
      </c>
      <c r="Q711" s="33" t="n">
        <v>6.84</v>
      </c>
      <c r="R711" s="31" t="n">
        <v>282.566561256758</v>
      </c>
      <c r="S711" s="34" t="s">
        <v>76</v>
      </c>
      <c r="T711" s="35"/>
      <c r="U711" s="35"/>
      <c r="V711" s="35" t="n">
        <v>17.2312454679038</v>
      </c>
      <c r="W711" s="35" t="n">
        <v>16.0509396158433</v>
      </c>
      <c r="X711" s="35" t="n">
        <v>2.73857803111233</v>
      </c>
      <c r="Y711" s="35" t="n">
        <v>5.31016959691293</v>
      </c>
      <c r="Z711" s="35"/>
      <c r="AA711" s="35" t="n">
        <v>0.676734622579105</v>
      </c>
      <c r="AB711" s="35" t="n">
        <v>0.117861719000462</v>
      </c>
      <c r="AC711" s="71" t="n">
        <v>4.86897377803668</v>
      </c>
      <c r="AD711" s="72"/>
      <c r="AE711" s="72"/>
      <c r="AF711" s="72"/>
      <c r="AG711" s="72"/>
      <c r="AH711" s="72"/>
      <c r="AI711" s="73" t="n">
        <v>26.1055191838821</v>
      </c>
      <c r="AJ711" s="42" t="s">
        <v>16</v>
      </c>
      <c r="AK711" s="43" t="n">
        <v>737.986440651864</v>
      </c>
      <c r="AL711" s="74"/>
      <c r="AM711" s="74"/>
      <c r="AN711" s="74"/>
      <c r="AO711" s="78" t="n">
        <v>22.3142857142857</v>
      </c>
      <c r="AP711" s="76" t="n">
        <v>0.967411328679031</v>
      </c>
      <c r="AQ711" s="76" t="n">
        <v>0.782843259752881</v>
      </c>
      <c r="AR711" s="76" t="n">
        <v>1.12709912536443</v>
      </c>
      <c r="AS711" s="77" t="n">
        <v>23.4368842158997</v>
      </c>
      <c r="AT711" s="78" t="n">
        <v>23.9174477777834</v>
      </c>
      <c r="AU711" s="78" t="n">
        <v>43.353900773068</v>
      </c>
      <c r="AV711" s="78" t="n">
        <v>35.0826044703596</v>
      </c>
      <c r="AW711" s="78" t="n">
        <v>50.5102040816327</v>
      </c>
      <c r="AX711" s="78" t="n">
        <v>21.2375</v>
      </c>
      <c r="AY711" s="48" t="n">
        <v>1.38802780230447</v>
      </c>
      <c r="AZ711" s="48" t="n">
        <v>20.7845969602155</v>
      </c>
      <c r="BA711" s="48" t="n">
        <v>-3.55335149231163</v>
      </c>
      <c r="BB711" s="49" t="n">
        <f aca="false">AT711/V711</f>
        <v>1.38802780230447</v>
      </c>
      <c r="BC711" s="49" t="n">
        <f aca="false">AS711/V711</f>
        <v>1.36013872355048</v>
      </c>
      <c r="BD711" s="49" t="n">
        <f aca="false">SUM(AP711:AR711)/V711</f>
        <v>0.166984662783425</v>
      </c>
      <c r="BE711" s="53" t="n">
        <v>6.54</v>
      </c>
      <c r="BF711" s="51" t="n">
        <v>119.945382653769</v>
      </c>
      <c r="BG711" s="51" t="n">
        <v>617.30877976447</v>
      </c>
      <c r="BH711" s="51" t="n">
        <v>220.471771773201</v>
      </c>
      <c r="BI711" s="51" t="n">
        <v>122.16648419268</v>
      </c>
      <c r="BJ711" s="51" t="n">
        <v>6.67246191333963</v>
      </c>
      <c r="BK711" s="51" t="n">
        <v>13.3048746989256</v>
      </c>
      <c r="BL711" s="51" t="n">
        <v>14.4266822796856</v>
      </c>
      <c r="BM711" s="51" t="n">
        <v>5.64894537769879</v>
      </c>
      <c r="BN711" s="52" t="n">
        <f aca="false">(BG711*0.5-BH711*0.25+BI711*0.5)/SUM(BG711:BI711)*1000</f>
        <v>327.746924908106</v>
      </c>
      <c r="BO711" s="93" t="n">
        <v>9.35485714285714</v>
      </c>
      <c r="BP711" s="94" t="s">
        <v>491</v>
      </c>
      <c r="BQ711" s="55" t="n">
        <v>443.235238095238</v>
      </c>
      <c r="BR711" s="56" t="n">
        <v>25.7227626941326</v>
      </c>
      <c r="BS711" s="56"/>
      <c r="BT711" s="56" t="n">
        <v>18.5318785772348</v>
      </c>
      <c r="BU711" s="55" t="n">
        <v>12141.4585714286</v>
      </c>
      <c r="BV711" s="55" t="n">
        <v>704.618745873253</v>
      </c>
      <c r="BW711" s="55"/>
      <c r="BX711" s="55" t="n">
        <v>507.640225003714</v>
      </c>
      <c r="BY711" s="96" t="n">
        <v>0.04944</v>
      </c>
      <c r="BZ711" s="96" t="n">
        <v>1.1022</v>
      </c>
      <c r="CA711" s="97" t="n">
        <v>3.67</v>
      </c>
      <c r="CB711" s="97"/>
      <c r="CC711" s="97" t="n">
        <v>5.6459</v>
      </c>
      <c r="CD711" s="97" t="n">
        <v>5.5836</v>
      </c>
      <c r="CE711" s="97" t="n">
        <v>79.79</v>
      </c>
      <c r="CF711" s="97" t="n">
        <v>34.36</v>
      </c>
      <c r="CG711" s="97" t="n">
        <v>0.1319</v>
      </c>
      <c r="CH711" s="63" t="n">
        <v>126929.823177876</v>
      </c>
      <c r="CI711" s="63" t="n">
        <v>1664.26434734112</v>
      </c>
      <c r="CJ711" s="64" t="n">
        <v>174201.600024544</v>
      </c>
      <c r="CK711" s="65" t="n">
        <v>0.955366854900663</v>
      </c>
    </row>
    <row r="712" s="1" customFormat="true" ht="15" hidden="false" customHeight="false" outlineLevel="0" collapsed="false">
      <c r="A712" s="7" t="s">
        <v>488</v>
      </c>
      <c r="B712" s="66" t="n">
        <v>703</v>
      </c>
      <c r="C712" s="8" t="s">
        <v>795</v>
      </c>
      <c r="D712" s="67" t="n">
        <v>42019</v>
      </c>
      <c r="E712" s="4" t="s">
        <v>583</v>
      </c>
      <c r="F712" s="7" t="n">
        <v>2043</v>
      </c>
      <c r="G712" s="68" t="n">
        <v>1</v>
      </c>
      <c r="H712" s="68" t="n">
        <v>147</v>
      </c>
      <c r="I712" s="7" t="n">
        <v>1</v>
      </c>
      <c r="J712" s="8" t="n">
        <v>687</v>
      </c>
      <c r="K712" s="32"/>
      <c r="L712" s="31" t="n">
        <v>931.502</v>
      </c>
      <c r="M712" s="31" t="n">
        <v>158.930939508314</v>
      </c>
      <c r="N712" s="31" t="n">
        <v>308.170968070999</v>
      </c>
      <c r="O712" s="95"/>
      <c r="P712" s="33" t="n">
        <v>39.2736917270223</v>
      </c>
      <c r="Q712" s="33" t="n">
        <v>6.84</v>
      </c>
      <c r="R712" s="31" t="n">
        <v>282.566561256758</v>
      </c>
      <c r="S712" s="34" t="s">
        <v>76</v>
      </c>
      <c r="T712" s="35"/>
      <c r="U712" s="35"/>
      <c r="V712" s="35" t="n">
        <v>20.7076747812694</v>
      </c>
      <c r="W712" s="35" t="n">
        <v>19.289240474102</v>
      </c>
      <c r="X712" s="35" t="n">
        <v>3.29109020801976</v>
      </c>
      <c r="Y712" s="35" t="n">
        <v>6.3815041838432</v>
      </c>
      <c r="Z712" s="35"/>
      <c r="AA712" s="35" t="n">
        <v>0.813266835743009</v>
      </c>
      <c r="AB712" s="35" t="n">
        <v>0.141640495503883</v>
      </c>
      <c r="AC712" s="71" t="n">
        <v>5.85129645456658</v>
      </c>
      <c r="AD712" s="72"/>
      <c r="AE712" s="72"/>
      <c r="AF712" s="72"/>
      <c r="AG712" s="72"/>
      <c r="AH712" s="72"/>
      <c r="AI712" s="73" t="n">
        <v>24.1800086645952</v>
      </c>
      <c r="AJ712" s="42" t="s">
        <v>16</v>
      </c>
      <c r="AK712" s="43" t="n">
        <v>717.121689455172</v>
      </c>
      <c r="AL712" s="74"/>
      <c r="AM712" s="74"/>
      <c r="AN712" s="74"/>
      <c r="AO712" s="78" t="n">
        <v>34.8714285714286</v>
      </c>
      <c r="AP712" s="76" t="n">
        <v>1.43440352374848</v>
      </c>
      <c r="AQ712" s="76" t="n">
        <v>1.16746425100652</v>
      </c>
      <c r="AR712" s="76" t="n">
        <v>1.76390462307372</v>
      </c>
      <c r="AS712" s="77" t="n">
        <v>35.4646242847986</v>
      </c>
      <c r="AT712" s="78" t="n">
        <v>36.0150034620995</v>
      </c>
      <c r="AU712" s="78" t="n">
        <v>41.1340625409232</v>
      </c>
      <c r="AV712" s="78" t="n">
        <v>33.4791059280855</v>
      </c>
      <c r="AW712" s="78" t="n">
        <v>50.5830903790088</v>
      </c>
      <c r="AX712" s="78" t="n">
        <v>30.945</v>
      </c>
      <c r="AY712" s="48" t="n">
        <v>1.73921040592525</v>
      </c>
      <c r="AZ712" s="48" t="n">
        <v>25.952786078844</v>
      </c>
      <c r="BA712" s="48" t="n">
        <v>-5.24511129757456</v>
      </c>
      <c r="BB712" s="49" t="n">
        <f aca="false">AT712/V712</f>
        <v>1.73921040592525</v>
      </c>
      <c r="BC712" s="49" t="n">
        <f aca="false">AS712/V712</f>
        <v>1.71263189418434</v>
      </c>
      <c r="BD712" s="49" t="n">
        <f aca="false">SUM(AP712:AR712)/V712</f>
        <v>0.210828711767179</v>
      </c>
      <c r="BE712" s="53" t="n">
        <v>6.43</v>
      </c>
      <c r="BF712" s="51" t="n">
        <v>128.691912475887</v>
      </c>
      <c r="BG712" s="51" t="n">
        <v>603.42992199186</v>
      </c>
      <c r="BH712" s="51" t="n">
        <v>213.712525721305</v>
      </c>
      <c r="BI712" s="51" t="n">
        <v>141.80680293309</v>
      </c>
      <c r="BJ712" s="51" t="n">
        <v>6.89985049806959</v>
      </c>
      <c r="BK712" s="51" t="n">
        <v>14.4349795281102</v>
      </c>
      <c r="BL712" s="51" t="n">
        <v>11.8306592779197</v>
      </c>
      <c r="BM712" s="51" t="n">
        <v>7.88526004964537</v>
      </c>
      <c r="BN712" s="52" t="n">
        <f aca="false">(BG712*0.5-BH712*0.25+BI712*0.5)/SUM(BG712:BI712)*1000</f>
        <v>332.854143028988</v>
      </c>
      <c r="BO712" s="93" t="n">
        <v>4.488</v>
      </c>
      <c r="BP712" s="94" t="s">
        <v>491</v>
      </c>
      <c r="BQ712" s="55" t="n">
        <v>482.7</v>
      </c>
      <c r="BR712" s="56" t="n">
        <v>23.3101980352045</v>
      </c>
      <c r="BS712" s="56"/>
      <c r="BT712" s="56" t="n">
        <v>13.4027475662461</v>
      </c>
      <c r="BU712" s="55" t="n">
        <v>14413.9</v>
      </c>
      <c r="BV712" s="55" t="n">
        <v>696.065596560254</v>
      </c>
      <c r="BW712" s="55"/>
      <c r="BX712" s="55" t="n">
        <v>400.219314574508</v>
      </c>
      <c r="BY712" s="96" t="n">
        <v>0.0721</v>
      </c>
      <c r="BZ712" s="96" t="n">
        <v>0.9603</v>
      </c>
      <c r="CA712" s="97" t="n">
        <v>4.1</v>
      </c>
      <c r="CB712" s="97"/>
      <c r="CC712" s="97" t="n">
        <v>7.3427</v>
      </c>
      <c r="CD712" s="97" t="n">
        <v>7.1478</v>
      </c>
      <c r="CE712" s="97" t="n">
        <v>80.8</v>
      </c>
      <c r="CF712" s="97" t="n">
        <v>35.87</v>
      </c>
      <c r="CG712" s="97" t="n">
        <v>0.1956</v>
      </c>
      <c r="CH712" s="63" t="n">
        <v>133473.938631937</v>
      </c>
      <c r="CI712" s="63" t="n">
        <v>1738.68526965782</v>
      </c>
      <c r="CJ712" s="64" t="n">
        <v>102141.496856815</v>
      </c>
      <c r="CK712" s="65" t="n">
        <v>1.70223202436045</v>
      </c>
    </row>
    <row r="713" s="1" customFormat="true" ht="15" hidden="false" customHeight="false" outlineLevel="0" collapsed="false">
      <c r="A713" s="7" t="s">
        <v>488</v>
      </c>
      <c r="B713" s="66" t="n">
        <v>704</v>
      </c>
      <c r="C713" s="8" t="s">
        <v>796</v>
      </c>
      <c r="D713" s="67" t="n">
        <v>42019</v>
      </c>
      <c r="E713" s="4" t="s">
        <v>583</v>
      </c>
      <c r="F713" s="7" t="n">
        <v>2046</v>
      </c>
      <c r="G713" s="68" t="n">
        <v>1</v>
      </c>
      <c r="H713" s="68" t="n">
        <v>153</v>
      </c>
      <c r="I713" s="7" t="n">
        <v>1</v>
      </c>
      <c r="J713" s="8" t="n">
        <v>730</v>
      </c>
      <c r="K713" s="32"/>
      <c r="L713" s="31" t="n">
        <v>931.502</v>
      </c>
      <c r="M713" s="31" t="n">
        <v>158.930939508314</v>
      </c>
      <c r="N713" s="31" t="n">
        <v>308.170968070999</v>
      </c>
      <c r="O713" s="95"/>
      <c r="P713" s="33" t="n">
        <v>39.2736917270223</v>
      </c>
      <c r="Q713" s="33" t="n">
        <v>6.84</v>
      </c>
      <c r="R713" s="31" t="n">
        <v>282.566561256758</v>
      </c>
      <c r="S713" s="34" t="s">
        <v>76</v>
      </c>
      <c r="T713" s="35"/>
      <c r="U713" s="35"/>
      <c r="V713" s="35" t="n">
        <v>19.5211685617973</v>
      </c>
      <c r="W713" s="35" t="n">
        <v>18.1840075576513</v>
      </c>
      <c r="X713" s="35" t="n">
        <v>3.10251765982661</v>
      </c>
      <c r="Y713" s="35" t="n">
        <v>6.01585741356622</v>
      </c>
      <c r="Z713" s="35"/>
      <c r="AA713" s="35" t="n">
        <v>0.766668356247268</v>
      </c>
      <c r="AB713" s="35" t="n">
        <v>0.133524792962694</v>
      </c>
      <c r="AC713" s="71" t="n">
        <v>5.5160294722206</v>
      </c>
      <c r="AD713" s="72"/>
      <c r="AE713" s="72"/>
      <c r="AF713" s="72"/>
      <c r="AG713" s="72"/>
      <c r="AH713" s="72"/>
      <c r="AI713" s="73" t="n">
        <v>25.0356850822702</v>
      </c>
      <c r="AJ713" s="42" t="s">
        <v>16</v>
      </c>
      <c r="AK713" s="43" t="n">
        <v>726.789980880373</v>
      </c>
      <c r="AL713" s="74"/>
      <c r="AM713" s="74"/>
      <c r="AN713" s="74"/>
      <c r="AO713" s="78" t="n">
        <v>37.3142857142857</v>
      </c>
      <c r="AP713" s="76" t="n">
        <v>1.23255840618058</v>
      </c>
      <c r="AQ713" s="76" t="n">
        <v>1.18216298764404</v>
      </c>
      <c r="AR713" s="76" t="n">
        <v>1.92192142162988</v>
      </c>
      <c r="AS713" s="77" t="n">
        <v>33.414090378423</v>
      </c>
      <c r="AT713" s="78" t="n">
        <v>34.5147507279445</v>
      </c>
      <c r="AU713" s="78" t="n">
        <v>33.0318102728333</v>
      </c>
      <c r="AV713" s="78" t="n">
        <v>31.6812439261419</v>
      </c>
      <c r="AW713" s="78" t="n">
        <v>51.5063168124393</v>
      </c>
      <c r="AX713" s="78" t="n">
        <v>19.3525</v>
      </c>
      <c r="AY713" s="48" t="n">
        <v>1.76806786021455</v>
      </c>
      <c r="AZ713" s="48" t="n">
        <v>25.8311147966158</v>
      </c>
      <c r="BA713" s="48" t="n">
        <v>-6.30994623481849</v>
      </c>
      <c r="BB713" s="49" t="n">
        <f aca="false">AT713/V713</f>
        <v>1.76806786021455</v>
      </c>
      <c r="BC713" s="49" t="n">
        <f aca="false">AS713/V713</f>
        <v>1.71168494717135</v>
      </c>
      <c r="BD713" s="49" t="n">
        <f aca="false">SUM(AP713:AR713)/V713</f>
        <v>0.222150779638328</v>
      </c>
      <c r="BE713" s="53" t="n">
        <v>6.31</v>
      </c>
      <c r="BF713" s="51" t="n">
        <v>134.384329630258</v>
      </c>
      <c r="BG713" s="51" t="n">
        <v>540.333371429604</v>
      </c>
      <c r="BH713" s="51" t="n">
        <v>319.3420452867</v>
      </c>
      <c r="BI713" s="51" t="n">
        <v>98.1938278096005</v>
      </c>
      <c r="BJ713" s="51" t="n">
        <v>6.50127917682474</v>
      </c>
      <c r="BK713" s="51" t="n">
        <v>16.715850858587</v>
      </c>
      <c r="BL713" s="51" t="n">
        <v>15.2503634598588</v>
      </c>
      <c r="BM713" s="51" t="n">
        <v>3.66326197882451</v>
      </c>
      <c r="BN713" s="52" t="n">
        <f aca="false">(BG713*0.5-BH713*0.25+BI713*0.5)/SUM(BG713:BI713)*1000</f>
        <v>249.959051996112</v>
      </c>
      <c r="BO713" s="93" t="n">
        <v>6.96514285714286</v>
      </c>
      <c r="BP713" s="94" t="s">
        <v>491</v>
      </c>
      <c r="BQ713" s="55" t="n">
        <v>419.333333333333</v>
      </c>
      <c r="BR713" s="56" t="n">
        <v>21.4809544831227</v>
      </c>
      <c r="BS713" s="56"/>
      <c r="BT713" s="56" t="n">
        <v>12.149394809154</v>
      </c>
      <c r="BU713" s="55" t="n">
        <v>12901.3611111111</v>
      </c>
      <c r="BV713" s="55" t="n">
        <v>660.890820663211</v>
      </c>
      <c r="BW713" s="55"/>
      <c r="BX713" s="55" t="n">
        <v>373.792678174137</v>
      </c>
      <c r="BY713" s="96" t="n">
        <v>0.07107</v>
      </c>
      <c r="BZ713" s="96" t="n">
        <v>0.5588</v>
      </c>
      <c r="CA713" s="97" t="n">
        <v>4.27</v>
      </c>
      <c r="CB713" s="97"/>
      <c r="CC713" s="97" t="n">
        <v>4.9187</v>
      </c>
      <c r="CD713" s="97" t="n">
        <v>7.1181</v>
      </c>
      <c r="CE713" s="97" t="n">
        <v>74.74</v>
      </c>
      <c r="CF713" s="97" t="n">
        <v>35.79</v>
      </c>
      <c r="CG713" s="97" t="n">
        <v>0.0682</v>
      </c>
      <c r="CH713" s="63" t="n">
        <v>77002.076067195</v>
      </c>
      <c r="CI713" s="63" t="n">
        <v>2793.90864266673</v>
      </c>
      <c r="CJ713" s="64" t="n">
        <v>329088.754687076</v>
      </c>
      <c r="CK713" s="65" t="n">
        <v>0.848983322241869</v>
      </c>
    </row>
    <row r="714" s="1" customFormat="true" ht="15" hidden="false" customHeight="false" outlineLevel="0" collapsed="false">
      <c r="A714" s="7" t="s">
        <v>488</v>
      </c>
      <c r="B714" s="66" t="n">
        <v>705</v>
      </c>
      <c r="C714" s="8" t="s">
        <v>797</v>
      </c>
      <c r="D714" s="67" t="n">
        <v>42019</v>
      </c>
      <c r="E714" s="4" t="s">
        <v>583</v>
      </c>
      <c r="F714" s="7" t="n">
        <v>2054</v>
      </c>
      <c r="G714" s="68" t="n">
        <v>1</v>
      </c>
      <c r="H714" s="68" t="n">
        <v>171</v>
      </c>
      <c r="I714" s="7" t="n">
        <v>1</v>
      </c>
      <c r="J714" s="8" t="n">
        <v>650</v>
      </c>
      <c r="K714" s="32"/>
      <c r="L714" s="31" t="n">
        <v>931.502</v>
      </c>
      <c r="M714" s="31" t="n">
        <v>158.930939508314</v>
      </c>
      <c r="N714" s="31" t="n">
        <v>308.170968070999</v>
      </c>
      <c r="O714" s="95"/>
      <c r="P714" s="33" t="n">
        <v>39.2736917270223</v>
      </c>
      <c r="Q714" s="33" t="n">
        <v>6.84</v>
      </c>
      <c r="R714" s="31" t="n">
        <v>282.566561256758</v>
      </c>
      <c r="S714" s="34" t="s">
        <v>76</v>
      </c>
      <c r="T714" s="35"/>
      <c r="U714" s="35"/>
      <c r="V714" s="35" t="n">
        <v>21.9596657916521</v>
      </c>
      <c r="W714" s="35" t="n">
        <v>20.4554726042555</v>
      </c>
      <c r="X714" s="35" t="n">
        <v>3.49007031555585</v>
      </c>
      <c r="Y714" s="35" t="n">
        <v>6.76733146552903</v>
      </c>
      <c r="Z714" s="35"/>
      <c r="AA714" s="35" t="n">
        <v>0.862437144729784</v>
      </c>
      <c r="AB714" s="35" t="n">
        <v>0.150204114014901</v>
      </c>
      <c r="AC714" s="71" t="n">
        <v>6.20506724909481</v>
      </c>
      <c r="AD714" s="72"/>
      <c r="AE714" s="72"/>
      <c r="AF714" s="72"/>
      <c r="AG714" s="72"/>
      <c r="AH714" s="72"/>
      <c r="AI714" s="73" t="n">
        <v>23.1091965371175</v>
      </c>
      <c r="AJ714" s="42" t="s">
        <v>16</v>
      </c>
      <c r="AK714" s="43" t="n">
        <v>704.013941418789</v>
      </c>
      <c r="AL714" s="74"/>
      <c r="AM714" s="74"/>
      <c r="AN714" s="74"/>
      <c r="AO714" s="78" t="n">
        <v>31.4285714285714</v>
      </c>
      <c r="AP714" s="76" t="n">
        <v>1.28423297628837</v>
      </c>
      <c r="AQ714" s="76" t="n">
        <v>1.06059975010412</v>
      </c>
      <c r="AR714" s="76" t="n">
        <v>1.5492850201305</v>
      </c>
      <c r="AS714" s="77" t="n">
        <v>31.8349232157541</v>
      </c>
      <c r="AT714" s="78" t="n">
        <v>32.2064912757625</v>
      </c>
      <c r="AU714" s="78" t="n">
        <v>40.8619583364481</v>
      </c>
      <c r="AV714" s="78" t="n">
        <v>33.7463556851312</v>
      </c>
      <c r="AW714" s="78" t="n">
        <v>49.2954324586978</v>
      </c>
      <c r="AX714" s="78" t="n">
        <v>21.59</v>
      </c>
      <c r="AY714" s="48" t="n">
        <v>1.46662028381168</v>
      </c>
      <c r="AZ714" s="48" t="n">
        <v>24.1934774952485</v>
      </c>
      <c r="BA714" s="48" t="n">
        <v>-2.23381170359637</v>
      </c>
      <c r="BB714" s="49" t="n">
        <f aca="false">AT714/V714</f>
        <v>1.46662028381168</v>
      </c>
      <c r="BC714" s="49" t="n">
        <f aca="false">AS714/V714</f>
        <v>1.44969980498774</v>
      </c>
      <c r="BD714" s="49" t="n">
        <f aca="false">SUM(AP714:AR714)/V714</f>
        <v>0.177330465020252</v>
      </c>
      <c r="BE714" s="53" t="n">
        <v>6.21</v>
      </c>
      <c r="BF714" s="51" t="n">
        <v>121.972084525729</v>
      </c>
      <c r="BG714" s="51" t="n">
        <v>592.711428758463</v>
      </c>
      <c r="BH714" s="51" t="n">
        <v>251.642030424646</v>
      </c>
      <c r="BI714" s="51" t="n">
        <v>115.240887729081</v>
      </c>
      <c r="BJ714" s="51" t="n">
        <v>6.76533207323978</v>
      </c>
      <c r="BK714" s="51" t="n">
        <v>13.4860626670886</v>
      </c>
      <c r="BL714" s="51" t="n">
        <v>13.9866208196581</v>
      </c>
      <c r="BM714" s="51" t="n">
        <v>6.1676375278229</v>
      </c>
      <c r="BN714" s="52" t="n">
        <f aca="false">(BG714*0.5-BH714*0.25+BI714*0.5)/SUM(BG714:BI714)*1000</f>
        <v>303.321556211966</v>
      </c>
      <c r="BO714" s="93" t="n">
        <v>2.01085714285714</v>
      </c>
      <c r="BP714" s="94" t="s">
        <v>491</v>
      </c>
      <c r="BQ714" s="55" t="n">
        <v>487.857142857143</v>
      </c>
      <c r="BR714" s="56" t="n">
        <v>22.2160549930864</v>
      </c>
      <c r="BS714" s="56"/>
      <c r="BT714" s="56" t="n">
        <v>15.1477892664541</v>
      </c>
      <c r="BU714" s="55" t="n">
        <v>13601.9285714286</v>
      </c>
      <c r="BV714" s="55" t="n">
        <v>619.405081137404</v>
      </c>
      <c r="BW714" s="55"/>
      <c r="BX714" s="55" t="n">
        <v>422.335002436758</v>
      </c>
      <c r="BY714" s="96" t="n">
        <v>0.07828</v>
      </c>
      <c r="BZ714" s="96" t="n">
        <v>0.8679</v>
      </c>
      <c r="CA714" s="97" t="n">
        <v>3.98</v>
      </c>
      <c r="CB714" s="97"/>
      <c r="CC714" s="97" t="n">
        <v>5.6762</v>
      </c>
      <c r="CD714" s="97" t="n">
        <v>7.4745</v>
      </c>
      <c r="CE714" s="97" t="n">
        <v>77.77</v>
      </c>
      <c r="CF714" s="97" t="n">
        <v>34.28</v>
      </c>
      <c r="CG714" s="97" t="n">
        <v>0.0318</v>
      </c>
      <c r="CH714" s="63" t="n">
        <v>134842.541915568</v>
      </c>
      <c r="CI714" s="63" t="n">
        <v>2128.51861619248</v>
      </c>
      <c r="CJ714" s="64" t="n">
        <v>190653.095434972</v>
      </c>
      <c r="CK714" s="65" t="n">
        <v>1.11643538298516</v>
      </c>
    </row>
    <row r="715" s="1" customFormat="true" ht="15" hidden="false" customHeight="false" outlineLevel="0" collapsed="false">
      <c r="A715" s="7" t="s">
        <v>488</v>
      </c>
      <c r="B715" s="66" t="n">
        <v>706</v>
      </c>
      <c r="C715" s="8" t="s">
        <v>798</v>
      </c>
      <c r="D715" s="67" t="n">
        <v>42019</v>
      </c>
      <c r="E715" s="4" t="s">
        <v>583</v>
      </c>
      <c r="F715" s="7" t="n">
        <v>2055</v>
      </c>
      <c r="G715" s="68" t="n">
        <v>1</v>
      </c>
      <c r="H715" s="68" t="n">
        <v>158</v>
      </c>
      <c r="I715" s="7" t="n">
        <v>1</v>
      </c>
      <c r="J715" s="8" t="n">
        <v>625</v>
      </c>
      <c r="K715" s="32"/>
      <c r="L715" s="31" t="n">
        <v>931.502</v>
      </c>
      <c r="M715" s="31" t="n">
        <v>158.930939508314</v>
      </c>
      <c r="N715" s="31" t="n">
        <v>308.170968070999</v>
      </c>
      <c r="O715" s="95"/>
      <c r="P715" s="33" t="n">
        <v>39.2736917270223</v>
      </c>
      <c r="Q715" s="33" t="n">
        <v>6.84</v>
      </c>
      <c r="R715" s="31" t="n">
        <v>282.566561256758</v>
      </c>
      <c r="S715" s="34" t="s">
        <v>76</v>
      </c>
      <c r="T715" s="35"/>
      <c r="U715" s="35"/>
      <c r="V715" s="35" t="n">
        <v>17.2781438877517</v>
      </c>
      <c r="W715" s="35" t="n">
        <v>16.0946255877285</v>
      </c>
      <c r="X715" s="35" t="n">
        <v>2.7460316410402</v>
      </c>
      <c r="Y715" s="35" t="n">
        <v>5.32462232835845</v>
      </c>
      <c r="Z715" s="35"/>
      <c r="AA715" s="35" t="n">
        <v>0.678576496662695</v>
      </c>
      <c r="AB715" s="35" t="n">
        <v>0.118182504192222</v>
      </c>
      <c r="AC715" s="71" t="n">
        <v>4.88222570326147</v>
      </c>
      <c r="AD715" s="72"/>
      <c r="AE715" s="72"/>
      <c r="AF715" s="72"/>
      <c r="AG715" s="72"/>
      <c r="AH715" s="72"/>
      <c r="AI715" s="73" t="n">
        <v>23.8438029172083</v>
      </c>
      <c r="AJ715" s="42" t="s">
        <v>16</v>
      </c>
      <c r="AK715" s="43" t="n">
        <v>713.133008868165</v>
      </c>
      <c r="AL715" s="74"/>
      <c r="AM715" s="74"/>
      <c r="AN715" s="74"/>
      <c r="AO715" s="78" t="n">
        <v>33.7285714285714</v>
      </c>
      <c r="AP715" s="76" t="n">
        <v>1.10280314856819</v>
      </c>
      <c r="AQ715" s="76" t="n">
        <v>1.01529883381924</v>
      </c>
      <c r="AR715" s="76" t="n">
        <v>1.68069241982507</v>
      </c>
      <c r="AS715" s="77" t="n">
        <v>30.0334757999515</v>
      </c>
      <c r="AT715" s="78" t="n">
        <v>30.351728159575</v>
      </c>
      <c r="AU715" s="78" t="n">
        <v>32.6964084708909</v>
      </c>
      <c r="AV715" s="78" t="n">
        <v>30.1020408163265</v>
      </c>
      <c r="AW715" s="78" t="n">
        <v>49.8299319727891</v>
      </c>
      <c r="AX715" s="78" t="n">
        <v>28.095</v>
      </c>
      <c r="AY715" s="48" t="n">
        <v>1.75665443908539</v>
      </c>
      <c r="AZ715" s="48" t="n">
        <v>23.1215448466725</v>
      </c>
      <c r="BA715" s="48" t="n">
        <v>-5.84340095892082</v>
      </c>
      <c r="BB715" s="49" t="n">
        <f aca="false">AT715/V715</f>
        <v>1.75665443908539</v>
      </c>
      <c r="BC715" s="49" t="n">
        <f aca="false">AS715/V715</f>
        <v>1.73823507866733</v>
      </c>
      <c r="BD715" s="49" t="n">
        <f aca="false">SUM(AP715:AR715)/V715</f>
        <v>0.219861255172521</v>
      </c>
      <c r="BE715" s="53" t="n">
        <v>6.19</v>
      </c>
      <c r="BF715" s="51" t="n">
        <v>133.062370580093</v>
      </c>
      <c r="BG715" s="51" t="n">
        <v>590.663577560187</v>
      </c>
      <c r="BH715" s="51" t="n">
        <v>226.577618401792</v>
      </c>
      <c r="BI715" s="51" t="n">
        <v>138.506585332881</v>
      </c>
      <c r="BJ715" s="51" t="n">
        <v>7.44221244553986</v>
      </c>
      <c r="BK715" s="51" t="n">
        <v>15.2138292625476</v>
      </c>
      <c r="BL715" s="51" t="n">
        <v>15.1683868263471</v>
      </c>
      <c r="BM715" s="51" t="n">
        <v>6.42779017070497</v>
      </c>
      <c r="BN715" s="52" t="n">
        <f aca="false">(BG715*0.5-BH715*0.25+BI715*0.5)/SUM(BG715:BI715)*1000</f>
        <v>322.198683452745</v>
      </c>
      <c r="BO715" s="93" t="n">
        <v>9.12171428571429</v>
      </c>
      <c r="BP715" s="94" t="s">
        <v>491</v>
      </c>
      <c r="BQ715" s="55" t="n">
        <v>475.197415329768</v>
      </c>
      <c r="BR715" s="56" t="n">
        <v>27.5028046077699</v>
      </c>
      <c r="BS715" s="56"/>
      <c r="BT715" s="56" t="n">
        <v>15.6563544860248</v>
      </c>
      <c r="BU715" s="55" t="n">
        <v>12169.1439393939</v>
      </c>
      <c r="BV715" s="55" t="n">
        <v>704.308519390241</v>
      </c>
      <c r="BW715" s="55"/>
      <c r="BX715" s="55" t="n">
        <v>400.937431813251</v>
      </c>
      <c r="BY715" s="96" t="n">
        <v>0.06386</v>
      </c>
      <c r="BZ715" s="96" t="n">
        <v>1.3541</v>
      </c>
      <c r="CA715" s="97" t="n">
        <v>3.17</v>
      </c>
      <c r="CB715" s="97"/>
      <c r="CC715" s="97" t="n">
        <v>8.0396</v>
      </c>
      <c r="CD715" s="97" t="n">
        <v>7.1181</v>
      </c>
      <c r="CE715" s="97" t="n">
        <v>78.78</v>
      </c>
      <c r="CF715" s="97" t="n">
        <v>33.68</v>
      </c>
      <c r="CG715" s="97" t="n">
        <v>0.0409</v>
      </c>
      <c r="CH715" s="63" t="n">
        <v>15601.8275911185</v>
      </c>
      <c r="CI715" s="63" t="n">
        <v>9984.19390942488</v>
      </c>
      <c r="CJ715" s="64" t="n">
        <v>694120.694234125</v>
      </c>
      <c r="CK715" s="65" t="n">
        <v>1.43839450291007</v>
      </c>
    </row>
    <row r="716" s="1" customFormat="true" ht="15" hidden="false" customHeight="false" outlineLevel="0" collapsed="false">
      <c r="A716" s="7" t="s">
        <v>488</v>
      </c>
      <c r="B716" s="66" t="n">
        <v>707</v>
      </c>
      <c r="C716" s="8" t="s">
        <v>799</v>
      </c>
      <c r="D716" s="67" t="n">
        <v>42019</v>
      </c>
      <c r="E716" s="4" t="s">
        <v>583</v>
      </c>
      <c r="F716" s="7" t="n">
        <v>2069</v>
      </c>
      <c r="G716" s="68" t="n">
        <v>1</v>
      </c>
      <c r="H716" s="68" t="n">
        <v>157</v>
      </c>
      <c r="I716" s="7" t="n">
        <v>1</v>
      </c>
      <c r="J716" s="8" t="n">
        <v>584</v>
      </c>
      <c r="K716" s="32"/>
      <c r="L716" s="31" t="n">
        <v>931.502</v>
      </c>
      <c r="M716" s="31" t="n">
        <v>158.930939508314</v>
      </c>
      <c r="N716" s="31" t="n">
        <v>308.170968070999</v>
      </c>
      <c r="O716" s="95"/>
      <c r="P716" s="33" t="n">
        <v>39.2736917270223</v>
      </c>
      <c r="Q716" s="33" t="n">
        <v>6.84</v>
      </c>
      <c r="R716" s="31" t="n">
        <v>282.566561256758</v>
      </c>
      <c r="S716" s="34" t="s">
        <v>76</v>
      </c>
      <c r="T716" s="35"/>
      <c r="U716" s="35"/>
      <c r="V716" s="35" t="n">
        <v>16.8927108238889</v>
      </c>
      <c r="W716" s="35" t="n">
        <v>15.7355939178742</v>
      </c>
      <c r="X716" s="35" t="n">
        <v>2.68477440208293</v>
      </c>
      <c r="Y716" s="35" t="n">
        <v>5.20584304794129</v>
      </c>
      <c r="Z716" s="35"/>
      <c r="AA716" s="35" t="n">
        <v>0.663439117331147</v>
      </c>
      <c r="AB716" s="35" t="n">
        <v>0.1155461420354</v>
      </c>
      <c r="AC716" s="71" t="n">
        <v>4.77331520781111</v>
      </c>
      <c r="AD716" s="72"/>
      <c r="AE716" s="72"/>
      <c r="AF716" s="72"/>
      <c r="AG716" s="72"/>
      <c r="AH716" s="72"/>
      <c r="AI716" s="73" t="n">
        <v>22.1101597725215</v>
      </c>
      <c r="AJ716" s="42" t="s">
        <v>16</v>
      </c>
      <c r="AK716" s="43" t="n">
        <v>690.63995600336</v>
      </c>
      <c r="AL716" s="74"/>
      <c r="AM716" s="74"/>
      <c r="AN716" s="74"/>
      <c r="AO716" s="78" t="n">
        <v>33.8142857142857</v>
      </c>
      <c r="AP716" s="76" t="n">
        <v>1.03584808184486</v>
      </c>
      <c r="AQ716" s="76" t="n">
        <v>1.04334652228238</v>
      </c>
      <c r="AR716" s="76" t="n">
        <v>1.62581320283215</v>
      </c>
      <c r="AS716" s="77" t="n">
        <v>29.0634355133872</v>
      </c>
      <c r="AT716" s="78" t="n">
        <v>29.4626985551024</v>
      </c>
      <c r="AU716" s="78" t="n">
        <v>30.63344559744</v>
      </c>
      <c r="AV716" s="78" t="n">
        <v>30.8551992225462</v>
      </c>
      <c r="AW716" s="78" t="n">
        <v>48.0806608357629</v>
      </c>
      <c r="AX716" s="78" t="n">
        <v>26.37</v>
      </c>
      <c r="AY716" s="48" t="n">
        <v>1.74410719879473</v>
      </c>
      <c r="AZ716" s="48" t="n">
        <v>22.1625592846929</v>
      </c>
      <c r="BA716" s="48" t="n">
        <v>-5.26984846080392</v>
      </c>
      <c r="BB716" s="49" t="n">
        <f aca="false">AT716/V716</f>
        <v>1.74410719879473</v>
      </c>
      <c r="BC716" s="49" t="n">
        <f aca="false">AS716/V716</f>
        <v>1.72047197257926</v>
      </c>
      <c r="BD716" s="49" t="n">
        <f aca="false">SUM(AP716:AR716)/V716</f>
        <v>0.219325829085995</v>
      </c>
      <c r="BE716" s="53" t="n">
        <v>6.53</v>
      </c>
      <c r="BF716" s="51" t="n">
        <v>111.994768984179</v>
      </c>
      <c r="BG716" s="51" t="n">
        <v>618.143673893491</v>
      </c>
      <c r="BH716" s="51" t="n">
        <v>213.713608817696</v>
      </c>
      <c r="BI716" s="51" t="n">
        <v>124.391553259376</v>
      </c>
      <c r="BJ716" s="51" t="n">
        <v>8.36241234754259</v>
      </c>
      <c r="BK716" s="51" t="n">
        <v>13.4332842128699</v>
      </c>
      <c r="BL716" s="51" t="n">
        <v>16.513765374929</v>
      </c>
      <c r="BM716" s="51" t="n">
        <v>5.44170209409595</v>
      </c>
      <c r="BN716" s="52" t="n">
        <f aca="false">(BG716*0.5-BH716*0.25+BI716*0.5)/SUM(BG716:BI716)*1000</f>
        <v>332.381279240369</v>
      </c>
      <c r="BO716" s="93" t="n">
        <v>5.82857142857143</v>
      </c>
      <c r="BP716" s="94" t="s">
        <v>491</v>
      </c>
      <c r="BQ716" s="55" t="n">
        <v>496.595238095238</v>
      </c>
      <c r="BR716" s="56" t="n">
        <v>29.3970129052926</v>
      </c>
      <c r="BS716" s="56"/>
      <c r="BT716" s="56" t="n">
        <v>16.8550493488057</v>
      </c>
      <c r="BU716" s="55" t="n">
        <v>14080.6428571429</v>
      </c>
      <c r="BV716" s="55" t="n">
        <v>833.533646786319</v>
      </c>
      <c r="BW716" s="55"/>
      <c r="BX716" s="55" t="n">
        <v>477.914228759754</v>
      </c>
      <c r="BY716" s="96" t="n">
        <v>0.06798</v>
      </c>
      <c r="BZ716" s="96" t="n">
        <v>0.7678</v>
      </c>
      <c r="CA716" s="97" t="n">
        <v>3.9</v>
      </c>
      <c r="CB716" s="97"/>
      <c r="CC716" s="97" t="n">
        <v>6.666</v>
      </c>
      <c r="CD716" s="97" t="n">
        <v>6.0786</v>
      </c>
      <c r="CE716" s="97" t="n">
        <v>79.79</v>
      </c>
      <c r="CF716" s="97" t="n">
        <v>34.24</v>
      </c>
      <c r="CG716" s="97" t="n">
        <v>0.0136</v>
      </c>
      <c r="CH716" s="63" t="n">
        <v>122112.67676729</v>
      </c>
      <c r="CI716" s="63" t="n">
        <v>3515.1316254927</v>
      </c>
      <c r="CJ716" s="64" t="n">
        <v>473634.765929918</v>
      </c>
      <c r="CK716" s="65" t="n">
        <v>0.742160812158966</v>
      </c>
    </row>
    <row r="717" s="1" customFormat="true" ht="15" hidden="false" customHeight="false" outlineLevel="0" collapsed="false">
      <c r="A717" s="7" t="s">
        <v>488</v>
      </c>
      <c r="B717" s="66" t="n">
        <v>708</v>
      </c>
      <c r="C717" s="8" t="s">
        <v>800</v>
      </c>
      <c r="D717" s="67" t="n">
        <v>42019</v>
      </c>
      <c r="E717" s="4" t="s">
        <v>583</v>
      </c>
      <c r="F717" s="7" t="n">
        <v>2077</v>
      </c>
      <c r="G717" s="68" t="n">
        <v>1</v>
      </c>
      <c r="H717" s="68" t="n">
        <v>171</v>
      </c>
      <c r="I717" s="7" t="n">
        <v>1</v>
      </c>
      <c r="J717" s="8" t="n">
        <v>700</v>
      </c>
      <c r="K717" s="32"/>
      <c r="L717" s="31" t="n">
        <v>931.502</v>
      </c>
      <c r="M717" s="31" t="n">
        <v>158.930939508314</v>
      </c>
      <c r="N717" s="31" t="n">
        <v>308.170968070999</v>
      </c>
      <c r="O717" s="95"/>
      <c r="P717" s="33" t="n">
        <v>39.2736917270223</v>
      </c>
      <c r="Q717" s="33" t="n">
        <v>6.84</v>
      </c>
      <c r="R717" s="31" t="n">
        <v>282.566561256758</v>
      </c>
      <c r="S717" s="34" t="s">
        <v>76</v>
      </c>
      <c r="T717" s="35"/>
      <c r="U717" s="35"/>
      <c r="V717" s="35" t="n">
        <v>17.9323001760694</v>
      </c>
      <c r="W717" s="35" t="n">
        <v>16.703973478609</v>
      </c>
      <c r="X717" s="35" t="n">
        <v>2.84999731452781</v>
      </c>
      <c r="Y717" s="35" t="n">
        <v>5.52621430499904</v>
      </c>
      <c r="Z717" s="35"/>
      <c r="AA717" s="35" t="n">
        <v>0.704267629071377</v>
      </c>
      <c r="AB717" s="35" t="n">
        <v>0.122656933204315</v>
      </c>
      <c r="AC717" s="71" t="n">
        <v>5.06706839617588</v>
      </c>
      <c r="AD717" s="72"/>
      <c r="AE717" s="72"/>
      <c r="AF717" s="72"/>
      <c r="AG717" s="72"/>
      <c r="AH717" s="72"/>
      <c r="AI717" s="73" t="n">
        <v>28.1302289058424</v>
      </c>
      <c r="AJ717" s="42" t="s">
        <v>16</v>
      </c>
      <c r="AK717" s="43" t="n">
        <v>756.845206525163</v>
      </c>
      <c r="AL717" s="74"/>
      <c r="AM717" s="74"/>
      <c r="AN717" s="74"/>
      <c r="AO717" s="78" t="n">
        <v>29.2428571428571</v>
      </c>
      <c r="AP717" s="76" t="n">
        <v>1.14363999542068</v>
      </c>
      <c r="AQ717" s="76" t="n">
        <v>0.986839858392336</v>
      </c>
      <c r="AR717" s="76" t="n">
        <v>1.47208940719145</v>
      </c>
      <c r="AS717" s="77" t="n">
        <v>28.8517427884531</v>
      </c>
      <c r="AT717" s="78" t="n">
        <v>29.5021090240479</v>
      </c>
      <c r="AU717" s="78" t="n">
        <v>39.1083535317283</v>
      </c>
      <c r="AV717" s="78" t="n">
        <v>33.7463556851312</v>
      </c>
      <c r="AW717" s="78" t="n">
        <v>50.3401360544218</v>
      </c>
      <c r="AX717" s="78" t="n">
        <v>21.0125</v>
      </c>
      <c r="AY717" s="48" t="n">
        <v>1.64519379747047</v>
      </c>
      <c r="AZ717" s="48" t="n">
        <v>23.7977549711089</v>
      </c>
      <c r="BA717" s="48" t="n">
        <v>-5.86545479503952</v>
      </c>
      <c r="BB717" s="49" t="n">
        <f aca="false">AT717/V717</f>
        <v>1.64519379747047</v>
      </c>
      <c r="BC717" s="49" t="n">
        <f aca="false">AS717/V717</f>
        <v>1.60892593282348</v>
      </c>
      <c r="BD717" s="49" t="n">
        <f aca="false">SUM(AP717:AR717)/V717</f>
        <v>0.200898335720037</v>
      </c>
      <c r="BE717" s="53" t="n">
        <v>5.99</v>
      </c>
      <c r="BF717" s="51" t="n">
        <v>128.723009920392</v>
      </c>
      <c r="BG717" s="51" t="n">
        <v>606.482753940197</v>
      </c>
      <c r="BH717" s="51" t="n">
        <v>228.945008420677</v>
      </c>
      <c r="BI717" s="51" t="n">
        <v>119.340663580137</v>
      </c>
      <c r="BJ717" s="51" t="n">
        <v>7.25157505695807</v>
      </c>
      <c r="BK717" s="51" t="n">
        <v>14.3222786646416</v>
      </c>
      <c r="BL717" s="51" t="n">
        <v>16.5930577554876</v>
      </c>
      <c r="BM717" s="51" t="n">
        <v>7.06466258190154</v>
      </c>
      <c r="BN717" s="52" t="n">
        <f aca="false">(BG717*0.5-BH717*0.25+BI717*0.5)/SUM(BG717:BI717)*1000</f>
        <v>320.156645684766</v>
      </c>
      <c r="BO717" s="93" t="n">
        <v>4.40057142857143</v>
      </c>
      <c r="BP717" s="94" t="s">
        <v>491</v>
      </c>
      <c r="BQ717" s="55" t="n">
        <v>470.405194805195</v>
      </c>
      <c r="BR717" s="56" t="n">
        <v>26.2322842126494</v>
      </c>
      <c r="BS717" s="56"/>
      <c r="BT717" s="56" t="n">
        <v>15.9447988759636</v>
      </c>
      <c r="BU717" s="55" t="n">
        <v>12673.3090909091</v>
      </c>
      <c r="BV717" s="55" t="n">
        <v>706.730813474871</v>
      </c>
      <c r="BW717" s="55"/>
      <c r="BX717" s="55" t="n">
        <v>429.572986818629</v>
      </c>
      <c r="BY717" s="96" t="n">
        <v>0.08961</v>
      </c>
      <c r="BZ717" s="96" t="n">
        <v>1.0175</v>
      </c>
      <c r="CA717" s="97" t="n">
        <v>3.95</v>
      </c>
      <c r="CB717" s="97"/>
      <c r="CC717" s="97" t="n">
        <v>5.0197</v>
      </c>
      <c r="CD717" s="97" t="n">
        <v>5.4549</v>
      </c>
      <c r="CE717" s="97" t="n">
        <v>76.76</v>
      </c>
      <c r="CF717" s="97" t="n">
        <v>33.14</v>
      </c>
      <c r="CG717" s="97" t="n">
        <v>0.0682</v>
      </c>
      <c r="CH717" s="63" t="n">
        <v>82142.3385956757</v>
      </c>
      <c r="CI717" s="63" t="n">
        <v>4821.8859954739</v>
      </c>
      <c r="CJ717" s="64" t="n">
        <v>780280.779480248</v>
      </c>
      <c r="CK717" s="65" t="n">
        <v>0.617968059995762</v>
      </c>
    </row>
    <row r="718" s="1" customFormat="true" ht="15" hidden="false" customHeight="false" outlineLevel="0" collapsed="false">
      <c r="A718" s="7" t="s">
        <v>488</v>
      </c>
      <c r="B718" s="66" t="n">
        <v>709</v>
      </c>
      <c r="C718" s="8" t="s">
        <v>801</v>
      </c>
      <c r="D718" s="67" t="n">
        <v>42019</v>
      </c>
      <c r="E718" s="4" t="s">
        <v>583</v>
      </c>
      <c r="F718" s="7" t="n">
        <v>2083</v>
      </c>
      <c r="G718" s="68" t="n">
        <v>1</v>
      </c>
      <c r="H718" s="68" t="n">
        <v>146</v>
      </c>
      <c r="I718" s="7" t="n">
        <v>1</v>
      </c>
      <c r="J718" s="8" t="n">
        <v>687</v>
      </c>
      <c r="K718" s="32"/>
      <c r="L718" s="31" t="n">
        <v>931.502</v>
      </c>
      <c r="M718" s="31" t="n">
        <v>158.930939508314</v>
      </c>
      <c r="N718" s="31" t="n">
        <v>308.170968070999</v>
      </c>
      <c r="O718" s="95"/>
      <c r="P718" s="33" t="n">
        <v>39.2736917270223</v>
      </c>
      <c r="Q718" s="33" t="n">
        <v>6.84</v>
      </c>
      <c r="R718" s="31" t="n">
        <v>282.566561256758</v>
      </c>
      <c r="S718" s="34" t="s">
        <v>76</v>
      </c>
      <c r="T718" s="35"/>
      <c r="U718" s="35"/>
      <c r="V718" s="35" t="n">
        <v>15.8913091934309</v>
      </c>
      <c r="W718" s="35" t="n">
        <v>14.8027862962993</v>
      </c>
      <c r="X718" s="35" t="n">
        <v>2.52562070012908</v>
      </c>
      <c r="Y718" s="35" t="n">
        <v>4.89724013805516</v>
      </c>
      <c r="Z718" s="35"/>
      <c r="AA718" s="35" t="n">
        <v>0.624110378401601</v>
      </c>
      <c r="AB718" s="35" t="n">
        <v>0.108696554883067</v>
      </c>
      <c r="AC718" s="71" t="n">
        <v>4.49035259265568</v>
      </c>
      <c r="AD718" s="72"/>
      <c r="AE718" s="72"/>
      <c r="AF718" s="72"/>
      <c r="AG718" s="72"/>
      <c r="AH718" s="72"/>
      <c r="AI718" s="73" t="n">
        <v>25.0710267777009</v>
      </c>
      <c r="AJ718" s="42" t="s">
        <v>16</v>
      </c>
      <c r="AK718" s="43" t="n">
        <v>727.175114898615</v>
      </c>
      <c r="AL718" s="74"/>
      <c r="AM718" s="74"/>
      <c r="AN718" s="74"/>
      <c r="AO718" s="78" t="n">
        <v>37.1714285714286</v>
      </c>
      <c r="AP718" s="76" t="n">
        <v>1.36626405295075</v>
      </c>
      <c r="AQ718" s="76" t="n">
        <v>1.23091975565737</v>
      </c>
      <c r="AR718" s="76" t="n">
        <v>1.91095099264195</v>
      </c>
      <c r="AS718" s="77" t="n">
        <v>35.3625322228327</v>
      </c>
      <c r="AT718" s="78" t="n">
        <v>36.4626590142193</v>
      </c>
      <c r="AU718" s="78" t="n">
        <v>36.7557585344168</v>
      </c>
      <c r="AV718" s="78" t="n">
        <v>33.1146744412051</v>
      </c>
      <c r="AW718" s="78" t="n">
        <v>51.4091350826045</v>
      </c>
      <c r="AX718" s="78" t="n">
        <v>25.745</v>
      </c>
      <c r="AY718" s="48" t="n">
        <v>2.294503150772</v>
      </c>
      <c r="AZ718" s="48" t="n">
        <v>25.9087662041655</v>
      </c>
      <c r="BA718" s="48" t="n">
        <v>-10.0174570107346</v>
      </c>
      <c r="BB718" s="49" t="n">
        <f aca="false">AT718/V718</f>
        <v>2.294503150772</v>
      </c>
      <c r="BC718" s="49" t="n">
        <f aca="false">AS718/V718</f>
        <v>2.22527494697861</v>
      </c>
      <c r="BD718" s="49" t="n">
        <f aca="false">SUM(AP718:AR718)/V718</f>
        <v>0.283685550786063</v>
      </c>
      <c r="BE718" s="53" t="n">
        <v>6.87</v>
      </c>
      <c r="BF718" s="51" t="n">
        <v>92.5460538310425</v>
      </c>
      <c r="BG718" s="51" t="n">
        <v>618.226725677927</v>
      </c>
      <c r="BH718" s="51" t="n">
        <v>218.750878842631</v>
      </c>
      <c r="BI718" s="51" t="n">
        <v>115.088481796376</v>
      </c>
      <c r="BJ718" s="51" t="n">
        <v>8.54746338942589</v>
      </c>
      <c r="BK718" s="51" t="n">
        <v>14.779826187148</v>
      </c>
      <c r="BL718" s="51" t="n">
        <v>18.0558627668519</v>
      </c>
      <c r="BM718" s="51" t="n">
        <v>6.55076133963982</v>
      </c>
      <c r="BN718" s="52" t="n">
        <f aca="false">(BG718*0.5-BH718*0.25+BI718*0.5)/SUM(BG718:BI718)*1000</f>
        <v>327.676711217966</v>
      </c>
      <c r="BO718" s="93" t="n">
        <v>5.94514285714286</v>
      </c>
      <c r="BP718" s="94" t="s">
        <v>491</v>
      </c>
      <c r="BQ718" s="55" t="n">
        <v>478.940476190476</v>
      </c>
      <c r="BR718" s="56" t="n">
        <v>30.1385159876229</v>
      </c>
      <c r="BS718" s="56"/>
      <c r="BT718" s="56" t="n">
        <v>13.1350946184069</v>
      </c>
      <c r="BU718" s="55" t="n">
        <v>13055.5416666667</v>
      </c>
      <c r="BV718" s="55" t="n">
        <v>821.552303070381</v>
      </c>
      <c r="BW718" s="55"/>
      <c r="BX718" s="55" t="n">
        <v>358.0523752142</v>
      </c>
      <c r="BY718" s="96" t="n">
        <v>0.07519</v>
      </c>
      <c r="BZ718" s="96" t="n">
        <v>1.0285</v>
      </c>
      <c r="CA718" s="97" t="n">
        <v>4.19</v>
      </c>
      <c r="CB718" s="97"/>
      <c r="CC718" s="97" t="n">
        <v>6.3125</v>
      </c>
      <c r="CD718" s="97" t="n">
        <v>8.8704</v>
      </c>
      <c r="CE718" s="97" t="n">
        <v>80.8</v>
      </c>
      <c r="CF718" s="97" t="n">
        <v>36.07</v>
      </c>
      <c r="CG718" s="97" t="n">
        <v>0.0591</v>
      </c>
      <c r="CH718" s="63" t="n">
        <v>106387.432966536</v>
      </c>
      <c r="CI718" s="63" t="n">
        <v>2891.31149724536</v>
      </c>
      <c r="CJ718" s="64" t="n">
        <v>362018.45108424</v>
      </c>
      <c r="CK718" s="65" t="n">
        <v>0.798664125705727</v>
      </c>
    </row>
    <row r="719" s="1" customFormat="true" ht="15" hidden="false" customHeight="false" outlineLevel="0" collapsed="false">
      <c r="A719" s="7" t="s">
        <v>488</v>
      </c>
      <c r="B719" s="66" t="n">
        <v>710</v>
      </c>
      <c r="C719" s="8" t="s">
        <v>802</v>
      </c>
      <c r="D719" s="67" t="n">
        <v>42019</v>
      </c>
      <c r="E719" s="4" t="s">
        <v>583</v>
      </c>
      <c r="F719" s="7" t="n">
        <v>2084</v>
      </c>
      <c r="G719" s="68" t="n">
        <v>1</v>
      </c>
      <c r="H719" s="68" t="n">
        <v>162</v>
      </c>
      <c r="I719" s="7" t="n">
        <v>1</v>
      </c>
      <c r="J719" s="8" t="n">
        <v>625</v>
      </c>
      <c r="K719" s="32"/>
      <c r="L719" s="31" t="n">
        <v>931.502</v>
      </c>
      <c r="M719" s="31" t="n">
        <v>158.930939508314</v>
      </c>
      <c r="N719" s="31" t="n">
        <v>308.170968070999</v>
      </c>
      <c r="O719" s="95"/>
      <c r="P719" s="33" t="n">
        <v>39.2736917270223</v>
      </c>
      <c r="Q719" s="33" t="n">
        <v>6.84</v>
      </c>
      <c r="R719" s="31" t="n">
        <v>282.566561256758</v>
      </c>
      <c r="S719" s="34" t="s">
        <v>76</v>
      </c>
      <c r="T719" s="35"/>
      <c r="U719" s="35"/>
      <c r="V719" s="35" t="n">
        <v>16.2741457629708</v>
      </c>
      <c r="W719" s="35" t="n">
        <v>15.1593993264988</v>
      </c>
      <c r="X719" s="35" t="n">
        <v>2.5864652758042</v>
      </c>
      <c r="Y719" s="35" t="n">
        <v>5.01521925430326</v>
      </c>
      <c r="Z719" s="35"/>
      <c r="AA719" s="35" t="n">
        <v>0.639145783815543</v>
      </c>
      <c r="AB719" s="35" t="n">
        <v>0.11131515701872</v>
      </c>
      <c r="AC719" s="71" t="n">
        <v>4.5985294056339</v>
      </c>
      <c r="AD719" s="72"/>
      <c r="AE719" s="72"/>
      <c r="AF719" s="72"/>
      <c r="AG719" s="72"/>
      <c r="AH719" s="72"/>
      <c r="AI719" s="73" t="n">
        <v>23.0309558853341</v>
      </c>
      <c r="AJ719" s="42" t="s">
        <v>16</v>
      </c>
      <c r="AK719" s="43" t="n">
        <v>703.008419014182</v>
      </c>
      <c r="AL719" s="74"/>
      <c r="AM719" s="74"/>
      <c r="AN719" s="74"/>
      <c r="AO719" s="78" t="n">
        <v>34.9714285714286</v>
      </c>
      <c r="AP719" s="76" t="n">
        <v>0.842099892130022</v>
      </c>
      <c r="AQ719" s="76" t="n">
        <v>1.12748021657643</v>
      </c>
      <c r="AR719" s="76" t="n">
        <v>1.75451895043732</v>
      </c>
      <c r="AS719" s="77" t="n">
        <v>26.6200698105218</v>
      </c>
      <c r="AT719" s="78" t="n">
        <v>28.4334710577679</v>
      </c>
      <c r="AU719" s="78" t="n">
        <v>24.0796537782278</v>
      </c>
      <c r="AV719" s="78" t="n">
        <v>32.2400388726919</v>
      </c>
      <c r="AW719" s="78" t="n">
        <v>50.1700680272109</v>
      </c>
      <c r="AX719" s="78" t="n">
        <v>24.395</v>
      </c>
      <c r="AY719" s="48" t="n">
        <v>1.74715597807067</v>
      </c>
      <c r="AZ719" s="48" t="n">
        <v>21.8748169114755</v>
      </c>
      <c r="BA719" s="48" t="n">
        <v>-5.60067114850467</v>
      </c>
      <c r="BB719" s="49" t="n">
        <f aca="false">AT719/V719</f>
        <v>1.74715597807067</v>
      </c>
      <c r="BC719" s="49" t="n">
        <f aca="false">AS719/V719</f>
        <v>1.63572762578368</v>
      </c>
      <c r="BD719" s="49" t="n">
        <f aca="false">SUM(AP719:AR719)/V719</f>
        <v>0.228835301919032</v>
      </c>
      <c r="BE719" s="53" t="n">
        <v>6.44</v>
      </c>
      <c r="BF719" s="51" t="n">
        <v>124.371526104316</v>
      </c>
      <c r="BG719" s="51" t="n">
        <v>514.594712880633</v>
      </c>
      <c r="BH719" s="51" t="n">
        <v>280.787095775449</v>
      </c>
      <c r="BI719" s="51" t="n">
        <v>135.105118922994</v>
      </c>
      <c r="BJ719" s="51" t="n">
        <v>7.13818299213324</v>
      </c>
      <c r="BK719" s="51" t="n">
        <v>35.0195956696296</v>
      </c>
      <c r="BL719" s="51" t="n">
        <v>19.8590984303016</v>
      </c>
      <c r="BM719" s="51" t="n">
        <v>7.49619532885985</v>
      </c>
      <c r="BN719" s="52" t="n">
        <f aca="false">(BG719*0.5-BH719*0.25+BI719*0.5)/SUM(BG719:BI719)*1000</f>
        <v>273.677291330146</v>
      </c>
      <c r="BO719" s="93" t="n">
        <v>5.65371428571429</v>
      </c>
      <c r="BP719" s="94" t="s">
        <v>491</v>
      </c>
      <c r="BQ719" s="55" t="n">
        <v>393.666666666667</v>
      </c>
      <c r="BR719" s="56" t="n">
        <v>24.1896977205643</v>
      </c>
      <c r="BS719" s="56"/>
      <c r="BT719" s="56" t="n">
        <v>13.845184988736</v>
      </c>
      <c r="BU719" s="55" t="n">
        <v>12701.5833333333</v>
      </c>
      <c r="BV719" s="55" t="n">
        <v>780.476193241044</v>
      </c>
      <c r="BW719" s="55"/>
      <c r="BX719" s="55" t="n">
        <v>446.712373157948</v>
      </c>
      <c r="BY719" s="96" t="n">
        <v>0.09579</v>
      </c>
      <c r="BZ719" s="96" t="n">
        <v>0.7282</v>
      </c>
      <c r="CA719" s="97" t="n">
        <v>3.99</v>
      </c>
      <c r="CB719" s="97"/>
      <c r="CC719" s="97" t="n">
        <v>6.0701</v>
      </c>
      <c r="CD719" s="97" t="n">
        <v>6.3063</v>
      </c>
      <c r="CE719" s="97" t="n">
        <v>81.81</v>
      </c>
      <c r="CF719" s="97" t="n">
        <v>35.78</v>
      </c>
      <c r="CG719" s="97" t="n">
        <v>0.0682</v>
      </c>
      <c r="CH719" s="63" t="n">
        <v>15395.0037265056</v>
      </c>
      <c r="CI719" s="63" t="n">
        <v>5034.49063159948</v>
      </c>
      <c r="CJ719" s="64" t="n">
        <v>1002206.01861866</v>
      </c>
      <c r="CK719" s="65" t="n">
        <v>0.502340889804125</v>
      </c>
    </row>
    <row r="720" s="1" customFormat="true" ht="15" hidden="false" customHeight="false" outlineLevel="0" collapsed="false">
      <c r="A720" s="7" t="s">
        <v>488</v>
      </c>
      <c r="B720" s="66" t="n">
        <v>711</v>
      </c>
      <c r="C720" s="8" t="s">
        <v>803</v>
      </c>
      <c r="D720" s="67" t="n">
        <v>42019</v>
      </c>
      <c r="E720" s="4" t="s">
        <v>583</v>
      </c>
      <c r="F720" s="7" t="n">
        <v>2096</v>
      </c>
      <c r="G720" s="68" t="n">
        <v>1</v>
      </c>
      <c r="H720" s="68" t="n">
        <v>69</v>
      </c>
      <c r="I720" s="7" t="n">
        <v>1</v>
      </c>
      <c r="J720" s="8" t="n">
        <v>677</v>
      </c>
      <c r="K720" s="32"/>
      <c r="L720" s="31" t="n">
        <v>931.502</v>
      </c>
      <c r="M720" s="31" t="n">
        <v>158.930939508314</v>
      </c>
      <c r="N720" s="31" t="n">
        <v>308.170968070999</v>
      </c>
      <c r="O720" s="95"/>
      <c r="P720" s="33" t="n">
        <v>39.2736917270223</v>
      </c>
      <c r="Q720" s="33" t="n">
        <v>6.84</v>
      </c>
      <c r="R720" s="31" t="n">
        <v>282.566561256758</v>
      </c>
      <c r="S720" s="34" t="s">
        <v>76</v>
      </c>
      <c r="T720" s="35"/>
      <c r="U720" s="35"/>
      <c r="V720" s="35" t="n">
        <v>16.933831143409</v>
      </c>
      <c r="W720" s="35" t="n">
        <v>15.7738975777477</v>
      </c>
      <c r="X720" s="35" t="n">
        <v>2.69130969309713</v>
      </c>
      <c r="Y720" s="35" t="n">
        <v>5.21851513661516</v>
      </c>
      <c r="Z720" s="35"/>
      <c r="AA720" s="35" t="n">
        <v>0.665054064083694</v>
      </c>
      <c r="AB720" s="35" t="n">
        <v>0.115827405020917</v>
      </c>
      <c r="AC720" s="71" t="n">
        <v>4.78493443509567</v>
      </c>
      <c r="AD720" s="72"/>
      <c r="AE720" s="72"/>
      <c r="AF720" s="72"/>
      <c r="AG720" s="72"/>
      <c r="AH720" s="72"/>
      <c r="AI720" s="73" t="n">
        <v>23.8855994056775</v>
      </c>
      <c r="AJ720" s="42" t="s">
        <v>16</v>
      </c>
      <c r="AK720" s="43" t="n">
        <v>713.634986343522</v>
      </c>
      <c r="AL720" s="74"/>
      <c r="AM720" s="74"/>
      <c r="AN720" s="74"/>
      <c r="AO720" s="78" t="n">
        <v>28.8285714285714</v>
      </c>
      <c r="AP720" s="76" t="n">
        <v>1.15603965364694</v>
      </c>
      <c r="AQ720" s="76" t="n">
        <v>0.893713730390116</v>
      </c>
      <c r="AR720" s="76" t="n">
        <v>1.45963903928919</v>
      </c>
      <c r="AS720" s="77" t="n">
        <v>28.8720233761327</v>
      </c>
      <c r="AT720" s="78" t="n">
        <v>28.8673159708704</v>
      </c>
      <c r="AU720" s="78" t="n">
        <v>40.1004835259097</v>
      </c>
      <c r="AV720" s="78" t="n">
        <v>31.0009718172984</v>
      </c>
      <c r="AW720" s="78" t="n">
        <v>50.6316812439261</v>
      </c>
      <c r="AX720" s="78" t="n">
        <v>20.75</v>
      </c>
      <c r="AY720" s="48" t="n">
        <v>1.70471263864623</v>
      </c>
      <c r="AZ720" s="48" t="n">
        <v>21.830994833554</v>
      </c>
      <c r="BA720" s="48" t="n">
        <v>-4.897163690145</v>
      </c>
      <c r="BB720" s="49" t="n">
        <f aca="false">AT720/V720</f>
        <v>1.70471263864623</v>
      </c>
      <c r="BC720" s="49" t="n">
        <f aca="false">AS720/V720</f>
        <v>1.70499062684763</v>
      </c>
      <c r="BD720" s="49" t="n">
        <f aca="false">SUM(AP720:AR720)/V720</f>
        <v>0.207241491521083</v>
      </c>
      <c r="BE720" s="53" t="n">
        <v>6.7</v>
      </c>
      <c r="BF720" s="51" t="n">
        <v>96.4356570121591</v>
      </c>
      <c r="BG720" s="51" t="n">
        <v>633.166758077449</v>
      </c>
      <c r="BH720" s="51" t="n">
        <v>203.448552403339</v>
      </c>
      <c r="BI720" s="51" t="n">
        <v>117.491225469519</v>
      </c>
      <c r="BJ720" s="51" t="n">
        <v>9.81160183444816</v>
      </c>
      <c r="BK720" s="51" t="n">
        <v>14.2064791102945</v>
      </c>
      <c r="BL720" s="51" t="n">
        <v>14.5169393284658</v>
      </c>
      <c r="BM720" s="51" t="n">
        <v>7.35844377648385</v>
      </c>
      <c r="BN720" s="52" t="n">
        <f aca="false">(BG720*0.5-BH720*0.25+BI720*0.5)/SUM(BG720:BI720)*1000</f>
        <v>340.074028891831</v>
      </c>
      <c r="BO720" s="93" t="n">
        <v>1.89428571428571</v>
      </c>
      <c r="BP720" s="94" t="s">
        <v>491</v>
      </c>
      <c r="BQ720" s="55" t="n">
        <v>469.333333333333</v>
      </c>
      <c r="BR720" s="56" t="n">
        <v>27.7157206398629</v>
      </c>
      <c r="BS720" s="56"/>
      <c r="BT720" s="56" t="n">
        <v>16.2582948067264</v>
      </c>
      <c r="BU720" s="55" t="n">
        <v>12866.1666666667</v>
      </c>
      <c r="BV720" s="55" t="n">
        <v>759.790655623402</v>
      </c>
      <c r="BW720" s="55"/>
      <c r="BX720" s="55" t="n">
        <v>445.700136432834</v>
      </c>
      <c r="BY720" s="96" t="n">
        <v>0.1133</v>
      </c>
      <c r="BZ720" s="96" t="n">
        <v>0.8844</v>
      </c>
      <c r="CA720" s="97" t="n">
        <v>4.01</v>
      </c>
      <c r="CB720" s="97"/>
      <c r="CC720" s="97" t="n">
        <v>5.3429</v>
      </c>
      <c r="CD720" s="97" t="n">
        <v>4.9203</v>
      </c>
      <c r="CE720" s="97" t="n">
        <v>82.82</v>
      </c>
      <c r="CF720" s="97" t="n">
        <v>33.97</v>
      </c>
      <c r="CG720" s="97" t="n">
        <v>0.0864</v>
      </c>
      <c r="CH720" s="63" t="n">
        <v>172032.044263882</v>
      </c>
      <c r="CI720" s="63" t="n">
        <v>2447.86628450301</v>
      </c>
      <c r="CJ720" s="64" t="n">
        <v>268089.915062898</v>
      </c>
      <c r="CK720" s="65" t="n">
        <v>0.913076601157752</v>
      </c>
    </row>
    <row r="721" s="1" customFormat="true" ht="15" hidden="false" customHeight="false" outlineLevel="0" collapsed="false">
      <c r="A721" s="7" t="s">
        <v>488</v>
      </c>
      <c r="B721" s="66" t="n">
        <v>712</v>
      </c>
      <c r="C721" s="8" t="s">
        <v>804</v>
      </c>
      <c r="D721" s="67" t="n">
        <v>42019</v>
      </c>
      <c r="E721" s="4" t="s">
        <v>583</v>
      </c>
      <c r="F721" s="7" t="n">
        <v>2107</v>
      </c>
      <c r="G721" s="68" t="n">
        <v>1</v>
      </c>
      <c r="H721" s="68" t="n">
        <v>158</v>
      </c>
      <c r="I721" s="7" t="n">
        <v>1</v>
      </c>
      <c r="J721" s="8" t="n">
        <v>690</v>
      </c>
      <c r="K721" s="32"/>
      <c r="L721" s="31" t="n">
        <v>931.502</v>
      </c>
      <c r="M721" s="31" t="n">
        <v>158.930939508314</v>
      </c>
      <c r="N721" s="31" t="n">
        <v>308.170968070999</v>
      </c>
      <c r="O721" s="95"/>
      <c r="P721" s="33" t="n">
        <v>39.2736917270223</v>
      </c>
      <c r="Q721" s="33" t="n">
        <v>6.84</v>
      </c>
      <c r="R721" s="31" t="n">
        <v>282.566561256758</v>
      </c>
      <c r="S721" s="34" t="s">
        <v>76</v>
      </c>
      <c r="T721" s="35"/>
      <c r="U721" s="35"/>
      <c r="V721" s="35" t="n">
        <v>19.4680303972277</v>
      </c>
      <c r="W721" s="35" t="n">
        <v>18.1345092510784</v>
      </c>
      <c r="X721" s="35" t="n">
        <v>3.0940723614078</v>
      </c>
      <c r="Y721" s="35" t="n">
        <v>5.99948177394928</v>
      </c>
      <c r="Z721" s="35"/>
      <c r="AA721" s="35" t="n">
        <v>0.76458142435302</v>
      </c>
      <c r="AB721" s="35" t="n">
        <v>0.133161327917037</v>
      </c>
      <c r="AC721" s="71" t="n">
        <v>5.50101440378666</v>
      </c>
      <c r="AD721" s="72"/>
      <c r="AE721" s="72"/>
      <c r="AF721" s="72"/>
      <c r="AG721" s="72"/>
      <c r="AH721" s="72"/>
      <c r="AI721" s="73" t="n">
        <v>27.0998810664749</v>
      </c>
      <c r="AJ721" s="42" t="s">
        <v>16</v>
      </c>
      <c r="AK721" s="43" t="n">
        <v>747.600368310778</v>
      </c>
      <c r="AL721" s="74"/>
      <c r="AM721" s="74"/>
      <c r="AN721" s="74"/>
      <c r="AO721" s="78" t="n">
        <v>31.4428571428571</v>
      </c>
      <c r="AP721" s="76" t="n">
        <v>1.04137969480122</v>
      </c>
      <c r="AQ721" s="76" t="n">
        <v>1.11684784117729</v>
      </c>
      <c r="AR721" s="76" t="n">
        <v>1.610338747744</v>
      </c>
      <c r="AS721" s="77" t="n">
        <v>28.1978382791611</v>
      </c>
      <c r="AT721" s="78" t="n">
        <v>29.9995000311846</v>
      </c>
      <c r="AU721" s="78" t="n">
        <v>33.1197540372945</v>
      </c>
      <c r="AV721" s="78" t="n">
        <v>35.5199222546161</v>
      </c>
      <c r="AW721" s="78" t="n">
        <v>51.2147716229349</v>
      </c>
      <c r="AX721" s="78" t="n">
        <v>21.21</v>
      </c>
      <c r="AY721" s="48" t="n">
        <v>1.54096225550668</v>
      </c>
      <c r="AZ721" s="48" t="n">
        <v>23.3691050594321</v>
      </c>
      <c r="BA721" s="48" t="n">
        <v>-3.90107466220443</v>
      </c>
      <c r="BB721" s="49" t="n">
        <f aca="false">AT721/V721</f>
        <v>1.54096225550668</v>
      </c>
      <c r="BC721" s="49" t="n">
        <f aca="false">AS721/V721</f>
        <v>1.44841762129037</v>
      </c>
      <c r="BD721" s="49" t="n">
        <f aca="false">SUM(AP721:AR721)/V721</f>
        <v>0.193577172771374</v>
      </c>
      <c r="BE721" s="53" t="n">
        <v>6.6</v>
      </c>
      <c r="BF721" s="51" t="n">
        <v>110.34135391276</v>
      </c>
      <c r="BG721" s="51" t="n">
        <v>633.266226670401</v>
      </c>
      <c r="BH721" s="51" t="n">
        <v>204.345488835601</v>
      </c>
      <c r="BI721" s="51" t="n">
        <v>113.378567268598</v>
      </c>
      <c r="BJ721" s="51" t="n">
        <v>8.83971572345092</v>
      </c>
      <c r="BK721" s="51" t="n">
        <v>14.3384947669341</v>
      </c>
      <c r="BL721" s="51" t="n">
        <v>18.1708652587671</v>
      </c>
      <c r="BM721" s="51" t="n">
        <v>7.6606414762473</v>
      </c>
      <c r="BN721" s="52" t="n">
        <f aca="false">(BG721*0.5-BH721*0.25+BI721*0.5)/SUM(BG721:BI721)*1000</f>
        <v>338.842605016369</v>
      </c>
      <c r="BO721" s="93" t="n">
        <v>4.25485714285714</v>
      </c>
      <c r="BP721" s="94" t="s">
        <v>491</v>
      </c>
      <c r="BQ721" s="55" t="n">
        <v>541.192307692308</v>
      </c>
      <c r="BR721" s="56" t="n">
        <v>27.7990272590378</v>
      </c>
      <c r="BS721" s="56"/>
      <c r="BT721" s="56" t="n">
        <v>18.0400442383952</v>
      </c>
      <c r="BU721" s="55" t="n">
        <v>14219.4038461538</v>
      </c>
      <c r="BV721" s="55" t="n">
        <v>730.397659959415</v>
      </c>
      <c r="BW721" s="55"/>
      <c r="BX721" s="55" t="n">
        <v>473.988027512882</v>
      </c>
      <c r="BY721" s="96" t="n">
        <v>0.07519</v>
      </c>
      <c r="BZ721" s="96" t="n">
        <v>0.6897</v>
      </c>
      <c r="CA721" s="97" t="n">
        <v>3.94</v>
      </c>
      <c r="CB721" s="97"/>
      <c r="CC721" s="97" t="n">
        <v>5.1106</v>
      </c>
      <c r="CD721" s="97" t="n">
        <v>5.2668</v>
      </c>
      <c r="CE721" s="97" t="n">
        <v>83.83</v>
      </c>
      <c r="CF721" s="97" t="n">
        <v>35.34</v>
      </c>
      <c r="CG721" s="97" t="n">
        <v>0.01</v>
      </c>
      <c r="CH721" s="63" t="n">
        <v>168492.695206759</v>
      </c>
      <c r="CI721" s="63" t="n">
        <v>3054.02725703822</v>
      </c>
      <c r="CJ721" s="64" t="n">
        <v>486663.687844544</v>
      </c>
      <c r="CK721" s="65" t="n">
        <v>0.62754368844831</v>
      </c>
    </row>
    <row r="722" s="1" customFormat="true" ht="15" hidden="false" customHeight="false" outlineLevel="0" collapsed="false">
      <c r="A722" s="7" t="s">
        <v>488</v>
      </c>
      <c r="B722" s="66" t="n">
        <v>713</v>
      </c>
      <c r="C722" s="8" t="s">
        <v>805</v>
      </c>
      <c r="D722" s="67" t="n">
        <v>42019</v>
      </c>
      <c r="E722" s="4" t="s">
        <v>583</v>
      </c>
      <c r="F722" s="7" t="n">
        <v>2109</v>
      </c>
      <c r="G722" s="68" t="n">
        <v>1</v>
      </c>
      <c r="H722" s="68" t="n">
        <v>153</v>
      </c>
      <c r="I722" s="7" t="n">
        <v>1</v>
      </c>
      <c r="J722" s="8" t="n">
        <v>656</v>
      </c>
      <c r="K722" s="32"/>
      <c r="L722" s="31" t="n">
        <v>931.502</v>
      </c>
      <c r="M722" s="31" t="n">
        <v>158.930939508314</v>
      </c>
      <c r="N722" s="31" t="n">
        <v>308.170968070999</v>
      </c>
      <c r="O722" s="95"/>
      <c r="P722" s="33" t="n">
        <v>39.2736917270223</v>
      </c>
      <c r="Q722" s="33" t="n">
        <v>6.84</v>
      </c>
      <c r="R722" s="31" t="n">
        <v>282.566561256758</v>
      </c>
      <c r="S722" s="34" t="s">
        <v>76</v>
      </c>
      <c r="T722" s="35"/>
      <c r="U722" s="35"/>
      <c r="V722" s="35" t="n">
        <v>17.5638330461542</v>
      </c>
      <c r="W722" s="35" t="n">
        <v>16.3607456101587</v>
      </c>
      <c r="X722" s="35" t="n">
        <v>2.79143648739245</v>
      </c>
      <c r="Y722" s="35" t="n">
        <v>5.41266343287074</v>
      </c>
      <c r="Z722" s="35"/>
      <c r="AA722" s="35" t="n">
        <v>0.689796564599547</v>
      </c>
      <c r="AB722" s="35" t="n">
        <v>0.120136618035695</v>
      </c>
      <c r="AC722" s="71" t="n">
        <v>4.9629519063396</v>
      </c>
      <c r="AD722" s="72"/>
      <c r="AE722" s="72"/>
      <c r="AF722" s="72"/>
      <c r="AG722" s="72"/>
      <c r="AH722" s="72"/>
      <c r="AI722" s="73" t="n">
        <v>21.889366594697</v>
      </c>
      <c r="AJ722" s="42" t="s">
        <v>16</v>
      </c>
      <c r="AK722" s="43" t="n">
        <v>687.519509968046</v>
      </c>
      <c r="AL722" s="74"/>
      <c r="AM722" s="74"/>
      <c r="AN722" s="74"/>
      <c r="AO722" s="78" t="n">
        <v>29.2714285714286</v>
      </c>
      <c r="AP722" s="76" t="n">
        <v>1.16646562654544</v>
      </c>
      <c r="AQ722" s="76" t="n">
        <v>1.04114119117035</v>
      </c>
      <c r="AR722" s="76" t="n">
        <v>1.44792586422324</v>
      </c>
      <c r="AS722" s="77" t="n">
        <v>29.205555826753</v>
      </c>
      <c r="AT722" s="78" t="n">
        <v>30.0719307925776</v>
      </c>
      <c r="AU722" s="78" t="n">
        <v>39.8499726003811</v>
      </c>
      <c r="AV722" s="78" t="n">
        <v>35.5685131195335</v>
      </c>
      <c r="AW722" s="78" t="n">
        <v>49.4655004859087</v>
      </c>
      <c r="AX722" s="78" t="n">
        <v>22.95</v>
      </c>
      <c r="AY722" s="48" t="n">
        <v>1.71215079951823</v>
      </c>
      <c r="AZ722" s="48" t="n">
        <v>23.2377249086281</v>
      </c>
      <c r="BA722" s="48" t="n">
        <v>-5.67389186247396</v>
      </c>
      <c r="BB722" s="49" t="n">
        <f aca="false">AT722/V722</f>
        <v>1.71215079951823</v>
      </c>
      <c r="BC722" s="49" t="n">
        <f aca="false">AS722/V722</f>
        <v>1.66282358469286</v>
      </c>
      <c r="BD722" s="49" t="n">
        <f aca="false">SUM(AP722:AR722)/V722</f>
        <v>0.208128412080269</v>
      </c>
      <c r="BE722" s="53" t="n">
        <v>6.44</v>
      </c>
      <c r="BF722" s="51" t="n">
        <v>107.333341723631</v>
      </c>
      <c r="BG722" s="51" t="n">
        <v>608.615510822908</v>
      </c>
      <c r="BH722" s="51" t="n">
        <v>212.225670347408</v>
      </c>
      <c r="BI722" s="51" t="n">
        <v>134.71005663652</v>
      </c>
      <c r="BJ722" s="51" t="n">
        <v>7.74974920792778</v>
      </c>
      <c r="BK722" s="51" t="n">
        <v>15.5253752023669</v>
      </c>
      <c r="BL722" s="51" t="n">
        <v>13.4043298462397</v>
      </c>
      <c r="BM722" s="51" t="n">
        <v>7.76930793662917</v>
      </c>
      <c r="BN722" s="52" t="n">
        <f aca="false">(BG722*0.5-BH722*0.25+BI722*0.5)/SUM(BG722:BI722)*1000</f>
        <v>333.426773507323</v>
      </c>
      <c r="BO722" s="93" t="n">
        <v>4.45885714285714</v>
      </c>
      <c r="BP722" s="94" t="s">
        <v>491</v>
      </c>
      <c r="BQ722" s="55" t="n">
        <v>450.5</v>
      </c>
      <c r="BR722" s="56" t="n">
        <v>25.6492986932965</v>
      </c>
      <c r="BS722" s="56"/>
      <c r="BT722" s="56" t="n">
        <v>14.9807474321267</v>
      </c>
      <c r="BU722" s="55" t="n">
        <v>11613.5</v>
      </c>
      <c r="BV722" s="55" t="n">
        <v>661.216715592894</v>
      </c>
      <c r="BW722" s="55"/>
      <c r="BX722" s="55" t="n">
        <v>386.19069989568</v>
      </c>
      <c r="BY722" s="96" t="n">
        <v>0.05974</v>
      </c>
      <c r="BZ722" s="96" t="n">
        <v>0.9669</v>
      </c>
      <c r="CA722" s="97" t="n">
        <v>3.96</v>
      </c>
      <c r="CB722" s="97"/>
      <c r="CC722" s="97" t="n">
        <v>6.8276</v>
      </c>
      <c r="CD722" s="97" t="n">
        <v>5.9895</v>
      </c>
      <c r="CE722" s="97" t="n">
        <v>75.75</v>
      </c>
      <c r="CF722" s="97" t="n">
        <v>35.29</v>
      </c>
      <c r="CG722" s="97" t="n">
        <v>0.0318</v>
      </c>
      <c r="CH722" s="63" t="n">
        <v>128830.38874991</v>
      </c>
      <c r="CI722" s="63" t="n">
        <v>4820.43279321575</v>
      </c>
      <c r="CJ722" s="64" t="n">
        <v>652623.616256519</v>
      </c>
      <c r="CK722" s="65" t="n">
        <v>0.738623714058341</v>
      </c>
    </row>
    <row r="723" s="1" customFormat="true" ht="15" hidden="false" customHeight="false" outlineLevel="0" collapsed="false">
      <c r="A723" s="7" t="s">
        <v>488</v>
      </c>
      <c r="B723" s="66" t="n">
        <v>714</v>
      </c>
      <c r="C723" s="8" t="s">
        <v>806</v>
      </c>
      <c r="D723" s="67" t="n">
        <v>42019</v>
      </c>
      <c r="E723" s="4" t="s">
        <v>583</v>
      </c>
      <c r="F723" s="7" t="n">
        <v>2114</v>
      </c>
      <c r="G723" s="68" t="n">
        <v>1</v>
      </c>
      <c r="H723" s="68" t="n">
        <v>150</v>
      </c>
      <c r="I723" s="7" t="n">
        <v>1</v>
      </c>
      <c r="J723" s="8" t="n">
        <v>682</v>
      </c>
      <c r="K723" s="32"/>
      <c r="L723" s="31" t="n">
        <v>931.502</v>
      </c>
      <c r="M723" s="31" t="n">
        <v>158.930939508314</v>
      </c>
      <c r="N723" s="31" t="n">
        <v>308.170968070999</v>
      </c>
      <c r="O723" s="95"/>
      <c r="P723" s="33" t="n">
        <v>39.2736917270223</v>
      </c>
      <c r="Q723" s="33" t="n">
        <v>6.84</v>
      </c>
      <c r="R723" s="31" t="n">
        <v>282.566561256758</v>
      </c>
      <c r="S723" s="34" t="s">
        <v>76</v>
      </c>
      <c r="T723" s="35"/>
      <c r="U723" s="35"/>
      <c r="V723" s="35" t="n">
        <v>16.7775806169961</v>
      </c>
      <c r="W723" s="35" t="n">
        <v>15.6283498998931</v>
      </c>
      <c r="X723" s="35" t="n">
        <v>2.66647665013567</v>
      </c>
      <c r="Y723" s="35" t="n">
        <v>5.17036326062892</v>
      </c>
      <c r="Z723" s="35"/>
      <c r="AA723" s="35" t="n">
        <v>0.65891752907717</v>
      </c>
      <c r="AB723" s="35" t="n">
        <v>0.114758651420253</v>
      </c>
      <c r="AC723" s="71" t="n">
        <v>4.74078326115263</v>
      </c>
      <c r="AD723" s="72"/>
      <c r="AE723" s="72"/>
      <c r="AF723" s="72"/>
      <c r="AG723" s="72"/>
      <c r="AH723" s="72"/>
      <c r="AI723" s="73" t="n">
        <v>23.1457890773211</v>
      </c>
      <c r="AJ723" s="42" t="s">
        <v>16</v>
      </c>
      <c r="AK723" s="43" t="n">
        <v>704.481883199134</v>
      </c>
      <c r="AL723" s="74"/>
      <c r="AM723" s="74"/>
      <c r="AN723" s="74"/>
      <c r="AO723" s="78" t="n">
        <v>28.7428571428571</v>
      </c>
      <c r="AP723" s="76" t="n">
        <v>1.0342770334748</v>
      </c>
      <c r="AQ723" s="76" t="n">
        <v>0.909911148132722</v>
      </c>
      <c r="AR723" s="76" t="n">
        <v>1.40292517006803</v>
      </c>
      <c r="AS723" s="77" t="n">
        <v>27.0112983592648</v>
      </c>
      <c r="AT723" s="78" t="n">
        <v>27.2076495613627</v>
      </c>
      <c r="AU723" s="78" t="n">
        <v>35.983793411151</v>
      </c>
      <c r="AV723" s="78" t="n">
        <v>31.6569484936832</v>
      </c>
      <c r="AW723" s="78" t="n">
        <v>48.8095238095238</v>
      </c>
      <c r="AX723" s="78" t="n">
        <v>25.595</v>
      </c>
      <c r="AY723" s="48" t="n">
        <v>1.62166704380491</v>
      </c>
      <c r="AZ723" s="48" t="n">
        <v>22.7812820453912</v>
      </c>
      <c r="BA723" s="48" t="n">
        <v>-6.00370142839514</v>
      </c>
      <c r="BB723" s="49" t="n">
        <f aca="false">AT723/V723</f>
        <v>1.62166704380491</v>
      </c>
      <c r="BC723" s="49" t="n">
        <f aca="false">AS723/V723</f>
        <v>1.6099638544965</v>
      </c>
      <c r="BD723" s="49" t="n">
        <f aca="false">SUM(AP723:AR723)/V723</f>
        <v>0.199499166660826</v>
      </c>
      <c r="BE723" s="53" t="n">
        <v>6.21</v>
      </c>
      <c r="BF723" s="51" t="n">
        <v>121.053273932365</v>
      </c>
      <c r="BG723" s="51" t="n">
        <v>614.107740865128</v>
      </c>
      <c r="BH723" s="51" t="n">
        <v>217.40406611964</v>
      </c>
      <c r="BI723" s="51" t="n">
        <v>122.338395359629</v>
      </c>
      <c r="BJ723" s="51" t="n">
        <v>9.57867593246966</v>
      </c>
      <c r="BK723" s="51" t="n">
        <v>13.9592611485754</v>
      </c>
      <c r="BL723" s="51" t="n">
        <v>17.6934998237308</v>
      </c>
      <c r="BM723" s="51" t="n">
        <v>4.91836075082734</v>
      </c>
      <c r="BN723" s="52" t="n">
        <f aca="false">(BG723*0.5-BH723*0.25+BI723*0.5)/SUM(BG723:BI723)*1000</f>
        <v>329.058012265475</v>
      </c>
      <c r="BO723" s="93" t="n">
        <v>5.59542857142857</v>
      </c>
      <c r="BP723" s="94" t="s">
        <v>491</v>
      </c>
      <c r="BQ723" s="55" t="n">
        <v>570.2</v>
      </c>
      <c r="BR723" s="56" t="n">
        <v>33.9858298414238</v>
      </c>
      <c r="BS723" s="56"/>
      <c r="BT723" s="56" t="n">
        <v>20.9573413798204</v>
      </c>
      <c r="BU723" s="55" t="n">
        <v>14302</v>
      </c>
      <c r="BV723" s="55" t="n">
        <v>852.447103458511</v>
      </c>
      <c r="BW723" s="55"/>
      <c r="BX723" s="55" t="n">
        <v>525.66098985302</v>
      </c>
      <c r="BY723" s="96" t="n">
        <v>0.10094</v>
      </c>
      <c r="BZ723" s="96" t="n">
        <v>0.5643</v>
      </c>
      <c r="CA723" s="97" t="n">
        <v>3.92</v>
      </c>
      <c r="CB723" s="97"/>
      <c r="CC723" s="97" t="n">
        <v>7.3023</v>
      </c>
      <c r="CD723" s="97" t="n">
        <v>5.3856</v>
      </c>
      <c r="CE723" s="97" t="n">
        <v>82.82</v>
      </c>
      <c r="CF723" s="97" t="n">
        <v>35.96</v>
      </c>
      <c r="CG723" s="97" t="n">
        <v>0.01</v>
      </c>
      <c r="CH723" s="63" t="n">
        <v>92286.6946640804</v>
      </c>
      <c r="CI723" s="63" t="n">
        <v>2872.41552486159</v>
      </c>
      <c r="CJ723" s="64" t="n">
        <v>698803.002722873</v>
      </c>
      <c r="CK723" s="65" t="n">
        <v>0.411047965402163</v>
      </c>
    </row>
    <row r="724" s="1" customFormat="true" ht="15" hidden="false" customHeight="false" outlineLevel="0" collapsed="false">
      <c r="A724" s="7" t="s">
        <v>488</v>
      </c>
      <c r="B724" s="66" t="n">
        <v>715</v>
      </c>
      <c r="C724" s="8" t="s">
        <v>807</v>
      </c>
      <c r="D724" s="67" t="n">
        <v>42019</v>
      </c>
      <c r="E724" s="4" t="s">
        <v>583</v>
      </c>
      <c r="F724" s="7" t="n">
        <v>2152</v>
      </c>
      <c r="G724" s="68" t="n">
        <v>1</v>
      </c>
      <c r="H724" s="68" t="n">
        <v>150</v>
      </c>
      <c r="I724" s="7" t="n">
        <v>1</v>
      </c>
      <c r="J724" s="8" t="n">
        <v>770</v>
      </c>
      <c r="K724" s="32"/>
      <c r="L724" s="31" t="n">
        <v>931.502</v>
      </c>
      <c r="M724" s="31" t="n">
        <v>158.930939508314</v>
      </c>
      <c r="N724" s="31" t="n">
        <v>308.170968070999</v>
      </c>
      <c r="O724" s="95"/>
      <c r="P724" s="33" t="n">
        <v>39.2736917270223</v>
      </c>
      <c r="Q724" s="33" t="n">
        <v>6.84</v>
      </c>
      <c r="R724" s="31" t="n">
        <v>282.566561256758</v>
      </c>
      <c r="S724" s="34" t="s">
        <v>76</v>
      </c>
      <c r="T724" s="35"/>
      <c r="U724" s="35"/>
      <c r="V724" s="35" t="n">
        <v>22.6426489898251</v>
      </c>
      <c r="W724" s="35" t="n">
        <v>21.0916728193201</v>
      </c>
      <c r="X724" s="35" t="n">
        <v>3.59861747690988</v>
      </c>
      <c r="Y724" s="35" t="n">
        <v>6.97780705888624</v>
      </c>
      <c r="Z724" s="35"/>
      <c r="AA724" s="35" t="n">
        <v>0.889260416309567</v>
      </c>
      <c r="AB724" s="35" t="n">
        <v>0.154875719090404</v>
      </c>
      <c r="AC724" s="71" t="n">
        <v>6.3980554627987</v>
      </c>
      <c r="AD724" s="72"/>
      <c r="AE724" s="72"/>
      <c r="AF724" s="72"/>
      <c r="AG724" s="72"/>
      <c r="AH724" s="72"/>
      <c r="AI724" s="73" t="n">
        <v>22.6959172056937</v>
      </c>
      <c r="AJ724" s="42" t="s">
        <v>16</v>
      </c>
      <c r="AK724" s="43" t="n">
        <v>698.624209014824</v>
      </c>
      <c r="AL724" s="74"/>
      <c r="AM724" s="74"/>
      <c r="AN724" s="74"/>
      <c r="AO724" s="78" t="n">
        <v>28.2</v>
      </c>
      <c r="AP724" s="76" t="n">
        <v>1.01521845851743</v>
      </c>
      <c r="AQ724" s="76" t="n">
        <v>0.865320699708455</v>
      </c>
      <c r="AR724" s="76" t="n">
        <v>1.44014577259475</v>
      </c>
      <c r="AS724" s="77" t="n">
        <v>26.5082768777614</v>
      </c>
      <c r="AT724" s="78" t="n">
        <v>26.8240060423182</v>
      </c>
      <c r="AU724" s="78" t="n">
        <v>36.0006545573556</v>
      </c>
      <c r="AV724" s="78" t="n">
        <v>30.6851311953353</v>
      </c>
      <c r="AW724" s="78" t="n">
        <v>51.0689990281827</v>
      </c>
      <c r="AX724" s="78" t="n">
        <v>23.7875</v>
      </c>
      <c r="AY724" s="48" t="n">
        <v>1.18466730877523</v>
      </c>
      <c r="AZ724" s="48" t="n">
        <v>23.8167571590306</v>
      </c>
      <c r="BA724" s="48" t="n">
        <v>-1.17410816920549</v>
      </c>
      <c r="BB724" s="49" t="n">
        <f aca="false">AT724/V724</f>
        <v>1.18466730877523</v>
      </c>
      <c r="BC724" s="49" t="n">
        <f aca="false">AS724/V724</f>
        <v>1.17072330581432</v>
      </c>
      <c r="BD724" s="49" t="n">
        <f aca="false">SUM(AP724:AR724)/V724</f>
        <v>0.146656203181564</v>
      </c>
      <c r="BE724" s="53" t="n">
        <v>6.38</v>
      </c>
      <c r="BF724" s="51" t="n">
        <v>124.328723079943</v>
      </c>
      <c r="BG724" s="51" t="n">
        <v>623.029593044923</v>
      </c>
      <c r="BH724" s="51" t="n">
        <v>208.495942473482</v>
      </c>
      <c r="BI724" s="51" t="n">
        <v>125.099811561152</v>
      </c>
      <c r="BJ724" s="51" t="n">
        <v>7.40454953076529</v>
      </c>
      <c r="BK724" s="51" t="n">
        <v>15.1846041574815</v>
      </c>
      <c r="BL724" s="51" t="n">
        <v>12.3937134804805</v>
      </c>
      <c r="BM724" s="51" t="n">
        <v>8.39178575171665</v>
      </c>
      <c r="BN724" s="52" t="n">
        <f aca="false">(BG724*0.5-BH724*0.25+BI724*0.5)/SUM(BG724:BI724)*1000</f>
        <v>336.53793271055</v>
      </c>
      <c r="BO724" s="93" t="n">
        <v>5.42057142857143</v>
      </c>
      <c r="BP724" s="94" t="s">
        <v>491</v>
      </c>
      <c r="BQ724" s="55" t="n">
        <v>456.214285714286</v>
      </c>
      <c r="BR724" s="56" t="n">
        <v>20.1484502064795</v>
      </c>
      <c r="BS724" s="56"/>
      <c r="BT724" s="56" t="n">
        <v>17.0076865101563</v>
      </c>
      <c r="BU724" s="55" t="n">
        <v>12358.4285714286</v>
      </c>
      <c r="BV724" s="55" t="n">
        <v>545.803124757268</v>
      </c>
      <c r="BW724" s="55"/>
      <c r="BX724" s="55" t="n">
        <v>460.722703086616</v>
      </c>
      <c r="BY724" s="96" t="n">
        <v>0.05562</v>
      </c>
      <c r="BZ724" s="96" t="n">
        <v>0.8184</v>
      </c>
      <c r="CA724" s="97" t="n">
        <v>4</v>
      </c>
      <c r="CB724" s="97"/>
      <c r="CC724" s="97" t="n">
        <v>6.969</v>
      </c>
      <c r="CD724" s="97" t="n">
        <v>5.2569</v>
      </c>
      <c r="CE724" s="97" t="n">
        <v>80.8</v>
      </c>
      <c r="CF724" s="97" t="n">
        <v>36.13</v>
      </c>
      <c r="CG724" s="97" t="n">
        <v>0.01</v>
      </c>
      <c r="CH724" s="63" t="n">
        <v>140527.662840653</v>
      </c>
      <c r="CI724" s="63" t="n">
        <v>3234.29870649862</v>
      </c>
      <c r="CJ724" s="64" t="n">
        <v>489717.444362779</v>
      </c>
      <c r="CK724" s="65" t="n">
        <v>0.660441800415562</v>
      </c>
    </row>
    <row r="725" s="1" customFormat="true" ht="15" hidden="false" customHeight="false" outlineLevel="0" collapsed="false">
      <c r="A725" s="7" t="s">
        <v>488</v>
      </c>
      <c r="B725" s="66" t="n">
        <v>716</v>
      </c>
      <c r="C725" s="8" t="s">
        <v>808</v>
      </c>
      <c r="D725" s="67" t="n">
        <v>42019</v>
      </c>
      <c r="E725" s="4" t="s">
        <v>583</v>
      </c>
      <c r="F725" s="7" t="n">
        <v>2195</v>
      </c>
      <c r="G725" s="68" t="n">
        <v>1</v>
      </c>
      <c r="H725" s="68" t="n">
        <v>155</v>
      </c>
      <c r="I725" s="7" t="n">
        <v>1</v>
      </c>
      <c r="J725" s="8" t="n">
        <v>760</v>
      </c>
      <c r="K725" s="32"/>
      <c r="L725" s="31" t="n">
        <v>931.502</v>
      </c>
      <c r="M725" s="31" t="n">
        <v>158.930939508314</v>
      </c>
      <c r="N725" s="31" t="n">
        <v>308.170968070999</v>
      </c>
      <c r="O725" s="95"/>
      <c r="P725" s="33" t="n">
        <v>39.2736917270223</v>
      </c>
      <c r="Q725" s="33" t="n">
        <v>6.84</v>
      </c>
      <c r="R725" s="31" t="n">
        <v>282.566561256758</v>
      </c>
      <c r="S725" s="34" t="s">
        <v>76</v>
      </c>
      <c r="T725" s="35"/>
      <c r="U725" s="35"/>
      <c r="V725" s="35" t="n">
        <v>15.054414648915</v>
      </c>
      <c r="W725" s="35" t="n">
        <v>14.0232173542936</v>
      </c>
      <c r="X725" s="35" t="n">
        <v>2.39261226389978</v>
      </c>
      <c r="Y725" s="35" t="n">
        <v>4.63933353609835</v>
      </c>
      <c r="Z725" s="35"/>
      <c r="AA725" s="35" t="n">
        <v>0.591242440052255</v>
      </c>
      <c r="AB725" s="35" t="n">
        <v>0.102972196198578</v>
      </c>
      <c r="AC725" s="71" t="n">
        <v>4.25387417907727</v>
      </c>
      <c r="AD725" s="72"/>
      <c r="AE725" s="72"/>
      <c r="AF725" s="72"/>
      <c r="AG725" s="72"/>
      <c r="AH725" s="72"/>
      <c r="AI725" s="73" t="n">
        <v>26.4093770323636</v>
      </c>
      <c r="AJ725" s="42" t="s">
        <v>16</v>
      </c>
      <c r="AK725" s="43" t="n">
        <v>741.001084894284</v>
      </c>
      <c r="AL725" s="74"/>
      <c r="AM725" s="74"/>
      <c r="AN725" s="74"/>
      <c r="AO725" s="78" t="n">
        <v>22</v>
      </c>
      <c r="AP725" s="76" t="n">
        <v>0.818522541291649</v>
      </c>
      <c r="AQ725" s="76" t="n">
        <v>0.718367346938776</v>
      </c>
      <c r="AR725" s="76" t="n">
        <v>1.13367346938776</v>
      </c>
      <c r="AS725" s="77" t="n">
        <v>21.0778381193747</v>
      </c>
      <c r="AT725" s="78" t="n">
        <v>21.637026213714</v>
      </c>
      <c r="AU725" s="78" t="n">
        <v>37.2055700587113</v>
      </c>
      <c r="AV725" s="78" t="n">
        <v>32.6530612244898</v>
      </c>
      <c r="AW725" s="78" t="n">
        <v>51.530612244898</v>
      </c>
      <c r="AX725" s="78" t="n">
        <v>21.615</v>
      </c>
      <c r="AY725" s="48" t="n">
        <v>1.43725456740183</v>
      </c>
      <c r="AZ725" s="48" t="n">
        <v>21.6986318939521</v>
      </c>
      <c r="BA725" s="48" t="n">
        <v>-6.64421724503713</v>
      </c>
      <c r="BB725" s="49" t="n">
        <f aca="false">AT725/V725</f>
        <v>1.43725456740183</v>
      </c>
      <c r="BC725" s="49" t="n">
        <f aca="false">AS725/V725</f>
        <v>1.40011010796052</v>
      </c>
      <c r="BD725" s="49" t="n">
        <f aca="false">SUM(AP725:AR725)/V725</f>
        <v>0.177394034899302</v>
      </c>
      <c r="BE725" s="53" t="n">
        <v>6.61</v>
      </c>
      <c r="BF725" s="51" t="n">
        <v>101.896615684967</v>
      </c>
      <c r="BG725" s="51" t="n">
        <v>654.783879717554</v>
      </c>
      <c r="BH725" s="51" t="n">
        <v>174.952788509991</v>
      </c>
      <c r="BI725" s="51" t="n">
        <v>121.070593475424</v>
      </c>
      <c r="BJ725" s="51" t="n">
        <v>9.53071472356201</v>
      </c>
      <c r="BK725" s="51" t="n">
        <v>13.339777079911</v>
      </c>
      <c r="BL725" s="51" t="n">
        <v>17.8127933937338</v>
      </c>
      <c r="BM725" s="51" t="n">
        <v>8.50945309982439</v>
      </c>
      <c r="BN725" s="52" t="n">
        <f aca="false">(BG725*0.5-BH725*0.25+BI725*0.5)/SUM(BG725:BI725)*1000</f>
        <v>361.996645726624</v>
      </c>
      <c r="BO725" s="93" t="n">
        <v>3.32228571428571</v>
      </c>
      <c r="BP725" s="94" t="s">
        <v>491</v>
      </c>
      <c r="BQ725" s="55" t="n">
        <v>409.238095238095</v>
      </c>
      <c r="BR725" s="56" t="n">
        <v>27.1839260962292</v>
      </c>
      <c r="BS725" s="56"/>
      <c r="BT725" s="56" t="n">
        <v>18.9137865433056</v>
      </c>
      <c r="BU725" s="55" t="n">
        <v>11812.6904761905</v>
      </c>
      <c r="BV725" s="55" t="n">
        <v>784.666209326304</v>
      </c>
      <c r="BW725" s="55"/>
      <c r="BX725" s="55" t="n">
        <v>545.947967133457</v>
      </c>
      <c r="BY725" s="96" t="n">
        <v>0.06592</v>
      </c>
      <c r="BZ725" s="96" t="n">
        <v>1.012</v>
      </c>
      <c r="CA725" s="97" t="n">
        <v>4.07</v>
      </c>
      <c r="CB725" s="97"/>
      <c r="CC725" s="97" t="n">
        <v>6.0196</v>
      </c>
      <c r="CD725" s="97" t="n">
        <v>7.9794</v>
      </c>
      <c r="CE725" s="97" t="n">
        <v>78.78</v>
      </c>
      <c r="CF725" s="97" t="n">
        <v>34.62</v>
      </c>
      <c r="CG725" s="97" t="n">
        <v>0.0682</v>
      </c>
      <c r="CH725" s="63" t="n">
        <v>147415.727584801</v>
      </c>
      <c r="CI725" s="63" t="n">
        <v>2331.93395509426</v>
      </c>
      <c r="CJ725" s="64" t="n">
        <v>379809.563734165</v>
      </c>
      <c r="CK725" s="65" t="n">
        <v>0.613974522433672</v>
      </c>
    </row>
    <row r="726" s="1" customFormat="true" ht="15" hidden="false" customHeight="false" outlineLevel="0" collapsed="false">
      <c r="A726" s="7" t="s">
        <v>488</v>
      </c>
      <c r="B726" s="66" t="n">
        <v>717</v>
      </c>
      <c r="C726" s="8" t="s">
        <v>809</v>
      </c>
      <c r="D726" s="67" t="n">
        <v>42048</v>
      </c>
      <c r="E726" s="4" t="s">
        <v>583</v>
      </c>
      <c r="F726" s="7" t="n">
        <v>32</v>
      </c>
      <c r="G726" s="68" t="n">
        <v>1</v>
      </c>
      <c r="H726" s="68" t="n">
        <v>154</v>
      </c>
      <c r="I726" s="7" t="n">
        <v>1</v>
      </c>
      <c r="J726" s="8" t="n">
        <v>687</v>
      </c>
      <c r="K726" s="32"/>
      <c r="L726" s="31" t="n">
        <v>935.138</v>
      </c>
      <c r="M726" s="31" t="n">
        <v>159.747016219525</v>
      </c>
      <c r="N726" s="31" t="n">
        <v>327.858818728961</v>
      </c>
      <c r="O726" s="95"/>
      <c r="P726" s="33" t="n">
        <v>39.171682138121</v>
      </c>
      <c r="Q726" s="33" t="n">
        <v>6.8</v>
      </c>
      <c r="R726" s="31" t="n">
        <v>270.223400999694</v>
      </c>
      <c r="S726" s="34" t="s">
        <v>76</v>
      </c>
      <c r="T726" s="35"/>
      <c r="U726" s="35"/>
      <c r="V726" s="35" t="n">
        <v>20.3784972876778</v>
      </c>
      <c r="W726" s="35" t="n">
        <v>19.0567071966045</v>
      </c>
      <c r="X726" s="35" t="n">
        <v>3.25540413674421</v>
      </c>
      <c r="Y726" s="35" t="n">
        <v>6.68127004820937</v>
      </c>
      <c r="Z726" s="35"/>
      <c r="AA726" s="35" t="n">
        <v>0.798260018205476</v>
      </c>
      <c r="AB726" s="35" t="n">
        <v>0.138573781556209</v>
      </c>
      <c r="AC726" s="71" t="n">
        <v>5.50674684433934</v>
      </c>
      <c r="AD726" s="72"/>
      <c r="AE726" s="72"/>
      <c r="AF726" s="72"/>
      <c r="AG726" s="72"/>
      <c r="AH726" s="72"/>
      <c r="AI726" s="73" t="n">
        <v>23.1341626952196</v>
      </c>
      <c r="AJ726" s="42" t="s">
        <v>16</v>
      </c>
      <c r="AK726" s="43" t="n">
        <v>706.062411266558</v>
      </c>
      <c r="AL726" s="74"/>
      <c r="AM726" s="74"/>
      <c r="AN726" s="74"/>
      <c r="AO726" s="78" t="n">
        <v>32.5428571428571</v>
      </c>
      <c r="AP726" s="76" t="n">
        <v>1.03826936672982</v>
      </c>
      <c r="AQ726" s="76" t="n">
        <v>1.08001804803554</v>
      </c>
      <c r="AR726" s="76" t="n">
        <v>1.66667499652922</v>
      </c>
      <c r="AS726" s="77" t="n">
        <v>28.5911833580902</v>
      </c>
      <c r="AT726" s="78" t="n">
        <v>29.9817181826952</v>
      </c>
      <c r="AU726" s="78" t="n">
        <v>31.9046776431464</v>
      </c>
      <c r="AV726" s="78" t="n">
        <v>33.1875607385811</v>
      </c>
      <c r="AW726" s="78" t="n">
        <v>51.2147716229349</v>
      </c>
      <c r="AX726" s="78" t="n">
        <v>18.0483333333333</v>
      </c>
      <c r="AY726" s="48" t="n">
        <v>1.47124283795077</v>
      </c>
      <c r="AZ726" s="48" t="n">
        <v>23.4544728121578</v>
      </c>
      <c r="BA726" s="48" t="n">
        <v>-3.07597552448002</v>
      </c>
      <c r="BB726" s="49" t="n">
        <f aca="false">AT726/V726</f>
        <v>1.47124283795077</v>
      </c>
      <c r="BC726" s="49" t="n">
        <f aca="false">AS726/V726</f>
        <v>1.40300744232885</v>
      </c>
      <c r="BD726" s="49" t="n">
        <f aca="false">SUM(AP726:AR726)/V726</f>
        <v>0.185733145965735</v>
      </c>
      <c r="BE726" s="53" t="n">
        <v>5.95</v>
      </c>
      <c r="BF726" s="51" t="n">
        <v>132.541599965645</v>
      </c>
      <c r="BG726" s="51" t="n">
        <v>538.847684868259</v>
      </c>
      <c r="BH726" s="51" t="n">
        <v>323.044649766406</v>
      </c>
      <c r="BI726" s="51" t="n">
        <v>101.443573968181</v>
      </c>
      <c r="BJ726" s="51" t="n">
        <v>5.3451305369117</v>
      </c>
      <c r="BK726" s="51" t="n">
        <v>14.671871466187</v>
      </c>
      <c r="BL726" s="51" t="n">
        <v>13.6745233596717</v>
      </c>
      <c r="BM726" s="51" t="n">
        <v>2.97256603438356</v>
      </c>
      <c r="BN726" s="52" t="n">
        <f aca="false">(BG726*0.5-BH726*0.25+BI726*0.5)/SUM(BG726:BI726)*1000</f>
        <v>248.495322180821</v>
      </c>
      <c r="BO726" s="93" t="n">
        <v>2.12742857142857</v>
      </c>
      <c r="BP726" s="94" t="s">
        <v>491</v>
      </c>
      <c r="BQ726" s="55" t="n">
        <v>431.493518518519</v>
      </c>
      <c r="BR726" s="56" t="n">
        <v>21.1739615746559</v>
      </c>
      <c r="BS726" s="56"/>
      <c r="BT726" s="56" t="n">
        <v>14.3918876126175</v>
      </c>
      <c r="BU726" s="55" t="n">
        <v>11998.125</v>
      </c>
      <c r="BV726" s="55" t="n">
        <v>588.763971681801</v>
      </c>
      <c r="BW726" s="55"/>
      <c r="BX726" s="55" t="n">
        <v>400.181368088673</v>
      </c>
      <c r="BY726" s="96" t="n">
        <v>0.05871</v>
      </c>
      <c r="BZ726" s="96" t="n">
        <v>0.5896</v>
      </c>
      <c r="CA726" s="97" t="n">
        <v>3.81</v>
      </c>
      <c r="CB726" s="97"/>
      <c r="CC726" s="97" t="n">
        <v>3.939</v>
      </c>
      <c r="CD726" s="97" t="n">
        <v>5.7123</v>
      </c>
      <c r="CE726" s="97" t="n">
        <v>76.76</v>
      </c>
      <c r="CF726" s="97" t="n">
        <v>34.88</v>
      </c>
      <c r="CG726" s="97" t="n">
        <v>0.0591</v>
      </c>
      <c r="CH726" s="63" t="n">
        <v>31651.8333281266</v>
      </c>
      <c r="CI726" s="63" t="n">
        <v>4499.34623621514</v>
      </c>
      <c r="CJ726" s="64" t="n">
        <v>889085.389107051</v>
      </c>
      <c r="CK726" s="65" t="n">
        <v>0.506064579548882</v>
      </c>
    </row>
    <row r="727" s="1" customFormat="true" ht="15" hidden="false" customHeight="false" outlineLevel="0" collapsed="false">
      <c r="A727" s="7" t="s">
        <v>488</v>
      </c>
      <c r="B727" s="66" t="n">
        <v>718</v>
      </c>
      <c r="C727" s="8" t="s">
        <v>810</v>
      </c>
      <c r="D727" s="67" t="n">
        <v>42048</v>
      </c>
      <c r="E727" s="4" t="s">
        <v>583</v>
      </c>
      <c r="F727" s="7" t="n">
        <v>33</v>
      </c>
      <c r="G727" s="68" t="n">
        <v>1</v>
      </c>
      <c r="H727" s="68" t="n">
        <v>150</v>
      </c>
      <c r="I727" s="7" t="n">
        <v>1</v>
      </c>
      <c r="J727" s="8" t="n">
        <v>725</v>
      </c>
      <c r="K727" s="32"/>
      <c r="L727" s="31" t="n">
        <v>935.138</v>
      </c>
      <c r="M727" s="31" t="n">
        <v>159.747016219525</v>
      </c>
      <c r="N727" s="31" t="n">
        <v>327.858818728961</v>
      </c>
      <c r="O727" s="95"/>
      <c r="P727" s="33" t="n">
        <v>39.171682138121</v>
      </c>
      <c r="Q727" s="33" t="n">
        <v>6.8</v>
      </c>
      <c r="R727" s="31" t="n">
        <v>270.223400999694</v>
      </c>
      <c r="S727" s="34" t="s">
        <v>76</v>
      </c>
      <c r="T727" s="35"/>
      <c r="U727" s="35"/>
      <c r="V727" s="35" t="n">
        <v>18.1612921690436</v>
      </c>
      <c r="W727" s="35" t="n">
        <v>16.9833144363751</v>
      </c>
      <c r="X727" s="35" t="n">
        <v>2.90121223469574</v>
      </c>
      <c r="Y727" s="35" t="n">
        <v>5.95433979713416</v>
      </c>
      <c r="Z727" s="35"/>
      <c r="AA727" s="35" t="n">
        <v>0.711408364063322</v>
      </c>
      <c r="AB727" s="35" t="n">
        <v>0.123496786749497</v>
      </c>
      <c r="AC727" s="71" t="n">
        <v>4.90760613646807</v>
      </c>
      <c r="AD727" s="72"/>
      <c r="AE727" s="72"/>
      <c r="AF727" s="72"/>
      <c r="AG727" s="72"/>
      <c r="AH727" s="72"/>
      <c r="AI727" s="73" t="n">
        <v>23.1196958338114</v>
      </c>
      <c r="AJ727" s="42" t="s">
        <v>16</v>
      </c>
      <c r="AK727" s="43" t="n">
        <v>705.878483485265</v>
      </c>
      <c r="AL727" s="74"/>
      <c r="AM727" s="74"/>
      <c r="AN727" s="74"/>
      <c r="AO727" s="78" t="n">
        <v>35.7714285714286</v>
      </c>
      <c r="AP727" s="76" t="n">
        <v>0.898207129177941</v>
      </c>
      <c r="AQ727" s="76" t="n">
        <v>1.22106066916563</v>
      </c>
      <c r="AR727" s="76" t="n">
        <v>1.78944051089824</v>
      </c>
      <c r="AS727" s="77" t="n">
        <v>27.7816783662405</v>
      </c>
      <c r="AT727" s="78" t="n">
        <v>30.0282853066907</v>
      </c>
      <c r="AU727" s="78" t="n">
        <v>25.1096242182332</v>
      </c>
      <c r="AV727" s="78" t="n">
        <v>34.1350826044704</v>
      </c>
      <c r="AW727" s="78" t="n">
        <v>50.0242954324587</v>
      </c>
      <c r="AX727" s="78" t="n">
        <v>23.6016666666667</v>
      </c>
      <c r="AY727" s="48" t="n">
        <v>1.65342229105673</v>
      </c>
      <c r="AZ727" s="48" t="n">
        <v>23.66684583167</v>
      </c>
      <c r="BA727" s="48" t="n">
        <v>-5.50555366262639</v>
      </c>
      <c r="BB727" s="49" t="n">
        <f aca="false">AT727/V727</f>
        <v>1.65342229105673</v>
      </c>
      <c r="BC727" s="49" t="n">
        <f aca="false">AS727/V727</f>
        <v>1.52971925717902</v>
      </c>
      <c r="BD727" s="49" t="n">
        <f aca="false">SUM(AP727:AR727)/V727</f>
        <v>0.215221927650297</v>
      </c>
      <c r="BE727" s="53" t="n">
        <v>6.33</v>
      </c>
      <c r="BF727" s="51" t="n">
        <v>120.338648008689</v>
      </c>
      <c r="BG727" s="51" t="n">
        <v>531.194454161572</v>
      </c>
      <c r="BH727" s="51" t="n">
        <v>303.62891055957</v>
      </c>
      <c r="BI727" s="51" t="n">
        <v>103.430737163679</v>
      </c>
      <c r="BJ727" s="51" t="n">
        <v>7.5829448584821</v>
      </c>
      <c r="BK727" s="51" t="n">
        <v>30.8910992143618</v>
      </c>
      <c r="BL727" s="51" t="n">
        <v>18.0170942181707</v>
      </c>
      <c r="BM727" s="51" t="n">
        <v>5.2547598241649</v>
      </c>
      <c r="BN727" s="52" t="n">
        <f aca="false">(BG727*0.5-BH727*0.25+BI727*0.5)/SUM(BG727:BI727)*1000</f>
        <v>257.29209980301</v>
      </c>
      <c r="BO727" s="93" t="n">
        <v>4.60457142857143</v>
      </c>
      <c r="BP727" s="94" t="s">
        <v>491</v>
      </c>
      <c r="BQ727" s="55" t="n">
        <v>336.697771672772</v>
      </c>
      <c r="BR727" s="56" t="n">
        <v>18.5393070349191</v>
      </c>
      <c r="BS727" s="56"/>
      <c r="BT727" s="56" t="n">
        <v>11.2126872458399</v>
      </c>
      <c r="BU727" s="55" t="n">
        <v>12193.1891941392</v>
      </c>
      <c r="BV727" s="55" t="n">
        <v>671.383350955765</v>
      </c>
      <c r="BW727" s="55"/>
      <c r="BX727" s="55" t="n">
        <v>406.056791775</v>
      </c>
      <c r="BY727" s="96" t="n">
        <v>0.11948</v>
      </c>
      <c r="BZ727" s="96" t="n">
        <v>0.5863</v>
      </c>
      <c r="CA727" s="97" t="n">
        <v>4.08</v>
      </c>
      <c r="CB727" s="97"/>
      <c r="CC727" s="97" t="n">
        <v>4.5753</v>
      </c>
      <c r="CD727" s="97" t="n">
        <v>6.8013</v>
      </c>
      <c r="CE727" s="97" t="n">
        <v>76.76</v>
      </c>
      <c r="CF727" s="97" t="n">
        <v>35.3</v>
      </c>
      <c r="CG727" s="97" t="n">
        <v>0.0955</v>
      </c>
      <c r="CH727" s="63" t="n">
        <v>10711.4377563968</v>
      </c>
      <c r="CI727" s="63" t="n">
        <v>4270.50220965423</v>
      </c>
      <c r="CJ727" s="64" t="n">
        <v>934413.537193762</v>
      </c>
      <c r="CK727" s="65" t="n">
        <v>0.457024865294593</v>
      </c>
    </row>
    <row r="728" s="1" customFormat="true" ht="15" hidden="false" customHeight="false" outlineLevel="0" collapsed="false">
      <c r="A728" s="7" t="s">
        <v>488</v>
      </c>
      <c r="B728" s="66" t="n">
        <v>719</v>
      </c>
      <c r="C728" s="8" t="s">
        <v>811</v>
      </c>
      <c r="D728" s="67" t="n">
        <v>42048</v>
      </c>
      <c r="E728" s="4" t="s">
        <v>583</v>
      </c>
      <c r="F728" s="7" t="n">
        <v>245</v>
      </c>
      <c r="G728" s="68" t="n">
        <v>1</v>
      </c>
      <c r="H728" s="68" t="n">
        <v>170</v>
      </c>
      <c r="I728" s="7" t="n">
        <v>1</v>
      </c>
      <c r="J728" s="8" t="n">
        <v>604</v>
      </c>
      <c r="K728" s="32"/>
      <c r="L728" s="31" t="n">
        <v>935.138</v>
      </c>
      <c r="M728" s="31" t="n">
        <v>159.747016219525</v>
      </c>
      <c r="N728" s="31" t="n">
        <v>327.858818728961</v>
      </c>
      <c r="O728" s="95"/>
      <c r="P728" s="33" t="n">
        <v>39.171682138121</v>
      </c>
      <c r="Q728" s="33" t="n">
        <v>6.8</v>
      </c>
      <c r="R728" s="31" t="n">
        <v>270.223400999694</v>
      </c>
      <c r="S728" s="34" t="s">
        <v>76</v>
      </c>
      <c r="T728" s="35"/>
      <c r="U728" s="35"/>
      <c r="V728" s="35" t="n">
        <v>21.0940790013575</v>
      </c>
      <c r="W728" s="35" t="n">
        <v>19.7258748491715</v>
      </c>
      <c r="X728" s="35" t="n">
        <v>3.36971618036579</v>
      </c>
      <c r="Y728" s="35" t="n">
        <v>6.91587982356044</v>
      </c>
      <c r="Z728" s="35"/>
      <c r="AA728" s="35" t="n">
        <v>0.826290557637588</v>
      </c>
      <c r="AB728" s="35" t="n">
        <v>0.143439737209231</v>
      </c>
      <c r="AC728" s="71" t="n">
        <v>5.70011376870305</v>
      </c>
      <c r="AD728" s="72"/>
      <c r="AE728" s="72"/>
      <c r="AF728" s="72"/>
      <c r="AG728" s="72"/>
      <c r="AH728" s="72"/>
      <c r="AI728" s="73" t="n">
        <v>25.7029375485839</v>
      </c>
      <c r="AJ728" s="42" t="s">
        <v>16</v>
      </c>
      <c r="AK728" s="43" t="n">
        <v>735.438800053629</v>
      </c>
      <c r="AL728" s="74"/>
      <c r="AM728" s="74"/>
      <c r="AN728" s="74"/>
      <c r="AO728" s="78" t="n">
        <v>34.3142857142857</v>
      </c>
      <c r="AP728" s="76" t="n">
        <v>1.2736926565498</v>
      </c>
      <c r="AQ728" s="76" t="n">
        <v>1.10462654449535</v>
      </c>
      <c r="AR728" s="76" t="n">
        <v>1.78574344023324</v>
      </c>
      <c r="AS728" s="77" t="n">
        <v>32.8311041339613</v>
      </c>
      <c r="AT728" s="78" t="n">
        <v>33.6818131650918</v>
      </c>
      <c r="AU728" s="78" t="n">
        <v>37.1184371184371</v>
      </c>
      <c r="AV728" s="78" t="n">
        <v>32.1914480077745</v>
      </c>
      <c r="AW728" s="78" t="n">
        <v>52.0408163265306</v>
      </c>
      <c r="AX728" s="78" t="n">
        <v>23.7683333333333</v>
      </c>
      <c r="AY728" s="48" t="n">
        <v>1.59674253438248</v>
      </c>
      <c r="AZ728" s="48" t="n">
        <v>23.8949402938149</v>
      </c>
      <c r="BA728" s="48" t="n">
        <v>-2.80086129245736</v>
      </c>
      <c r="BB728" s="49" t="n">
        <f aca="false">AT728/V728</f>
        <v>1.59674253438248</v>
      </c>
      <c r="BC728" s="49" t="n">
        <f aca="false">AS728/V728</f>
        <v>1.55641325377839</v>
      </c>
      <c r="BD728" s="49" t="n">
        <f aca="false">SUM(AP728:AR728)/V728</f>
        <v>0.197404335169618</v>
      </c>
      <c r="BE728" s="53" t="n">
        <v>6.71</v>
      </c>
      <c r="BF728" s="51" t="n">
        <v>107.479011053166</v>
      </c>
      <c r="BG728" s="51" t="n">
        <v>618.479710314919</v>
      </c>
      <c r="BH728" s="51" t="n">
        <v>208.068159246176</v>
      </c>
      <c r="BI728" s="51" t="n">
        <v>129.191245529826</v>
      </c>
      <c r="BJ728" s="51" t="n">
        <v>7.45859089458741</v>
      </c>
      <c r="BK728" s="51" t="n">
        <v>14.4338279958532</v>
      </c>
      <c r="BL728" s="51" t="n">
        <v>13.4115227553167</v>
      </c>
      <c r="BM728" s="51" t="n">
        <v>8.95694326332206</v>
      </c>
      <c r="BN728" s="52" t="n">
        <f aca="false">(BG728*0.5-BH728*0.25+BI728*0.5)/SUM(BG728:BI728)*1000</f>
        <v>336.722054198036</v>
      </c>
      <c r="BO728" s="93" t="n">
        <v>2.91428571428571</v>
      </c>
      <c r="BP728" s="94" t="s">
        <v>491</v>
      </c>
      <c r="BQ728" s="55" t="n">
        <v>464.252976190476</v>
      </c>
      <c r="BR728" s="56" t="n">
        <v>22.0086867106452</v>
      </c>
      <c r="BS728" s="56"/>
      <c r="BT728" s="56" t="n">
        <v>13.7834912246243</v>
      </c>
      <c r="BU728" s="55" t="n">
        <v>12492.9480952381</v>
      </c>
      <c r="BV728" s="55" t="n">
        <v>592.249042702178</v>
      </c>
      <c r="BW728" s="55"/>
      <c r="BX728" s="55" t="n">
        <v>370.910794914863</v>
      </c>
      <c r="BY728" s="96" t="n">
        <v>0.08549</v>
      </c>
      <c r="BZ728" s="96" t="n">
        <v>1.2727</v>
      </c>
      <c r="CA728" s="97" t="n">
        <v>4.21</v>
      </c>
      <c r="CB728" s="97"/>
      <c r="CC728" s="97" t="n">
        <v>4.2925</v>
      </c>
      <c r="CD728" s="97" t="n">
        <v>5.8014</v>
      </c>
      <c r="CE728" s="97" t="n">
        <v>69.69</v>
      </c>
      <c r="CF728" s="97" t="n">
        <v>34.32</v>
      </c>
      <c r="CG728" s="97" t="n">
        <v>0.6506</v>
      </c>
      <c r="CH728" s="63" t="n">
        <v>85902.1713264513</v>
      </c>
      <c r="CI728" s="63" t="n">
        <v>2334.24285136283</v>
      </c>
      <c r="CJ728" s="64" t="n">
        <v>332743.193697263</v>
      </c>
      <c r="CK728" s="65" t="n">
        <v>0.70151483052921</v>
      </c>
    </row>
    <row r="729" s="1" customFormat="true" ht="15" hidden="false" customHeight="false" outlineLevel="0" collapsed="false">
      <c r="A729" s="7" t="s">
        <v>488</v>
      </c>
      <c r="B729" s="66" t="n">
        <v>720</v>
      </c>
      <c r="C729" s="8" t="s">
        <v>812</v>
      </c>
      <c r="D729" s="67" t="n">
        <v>42048</v>
      </c>
      <c r="E729" s="4" t="s">
        <v>583</v>
      </c>
      <c r="F729" s="7" t="n">
        <v>283</v>
      </c>
      <c r="G729" s="68" t="n">
        <v>1</v>
      </c>
      <c r="H729" s="68" t="n">
        <v>157</v>
      </c>
      <c r="I729" s="7" t="n">
        <v>1</v>
      </c>
      <c r="J729" s="8" t="n">
        <v>750</v>
      </c>
      <c r="K729" s="32"/>
      <c r="L729" s="31" t="n">
        <v>935.138</v>
      </c>
      <c r="M729" s="31" t="n">
        <v>159.747016219525</v>
      </c>
      <c r="N729" s="31" t="n">
        <v>327.858818728961</v>
      </c>
      <c r="O729" s="95"/>
      <c r="P729" s="33" t="n">
        <v>39.171682138121</v>
      </c>
      <c r="Q729" s="33" t="n">
        <v>6.8</v>
      </c>
      <c r="R729" s="31" t="n">
        <v>270.223400999694</v>
      </c>
      <c r="S729" s="34" t="s">
        <v>76</v>
      </c>
      <c r="T729" s="35"/>
      <c r="U729" s="35"/>
      <c r="V729" s="35" t="n">
        <v>29.319135376434</v>
      </c>
      <c r="W729" s="35" t="n">
        <v>27.4174376176478</v>
      </c>
      <c r="X729" s="35" t="n">
        <v>4.68364439452165</v>
      </c>
      <c r="Y729" s="35" t="n">
        <v>9.61253709067214</v>
      </c>
      <c r="Z729" s="35"/>
      <c r="AA729" s="35" t="n">
        <v>1.14847985153021</v>
      </c>
      <c r="AB729" s="35" t="n">
        <v>0.199370120559751</v>
      </c>
      <c r="AC729" s="71" t="n">
        <v>7.92271647579045</v>
      </c>
      <c r="AD729" s="72"/>
      <c r="AE729" s="72"/>
      <c r="AF729" s="72"/>
      <c r="AG729" s="72"/>
      <c r="AH729" s="72"/>
      <c r="AI729" s="73" t="n">
        <v>18.9967036930112</v>
      </c>
      <c r="AJ729" s="42" t="s">
        <v>16</v>
      </c>
      <c r="AK729" s="43" t="n">
        <v>642.043161282676</v>
      </c>
      <c r="AL729" s="74"/>
      <c r="AM729" s="74"/>
      <c r="AN729" s="74"/>
      <c r="AO729" s="78" t="n">
        <v>36.4857142857143</v>
      </c>
      <c r="AP729" s="76" t="n">
        <v>1.41612744909498</v>
      </c>
      <c r="AQ729" s="76" t="n">
        <v>1.28001388310426</v>
      </c>
      <c r="AR729" s="76" t="n">
        <v>1.8881091211995</v>
      </c>
      <c r="AS729" s="77" t="n">
        <v>35.8361974507104</v>
      </c>
      <c r="AT729" s="78" t="n">
        <v>37.3243937649092</v>
      </c>
      <c r="AU729" s="78" t="n">
        <v>38.8132033816165</v>
      </c>
      <c r="AV729" s="78" t="n">
        <v>35.0826044703596</v>
      </c>
      <c r="AW729" s="78" t="n">
        <v>51.7492711370262</v>
      </c>
      <c r="AX729" s="78" t="n">
        <v>25.5783333333333</v>
      </c>
      <c r="AY729" s="48" t="n">
        <v>1.27303869250215</v>
      </c>
      <c r="AZ729" s="48" t="n">
        <v>27.02278682565</v>
      </c>
      <c r="BA729" s="48" t="n">
        <v>2.296348550784</v>
      </c>
      <c r="BB729" s="49" t="n">
        <f aca="false">AT729/V729</f>
        <v>1.27303869250215</v>
      </c>
      <c r="BC729" s="49" t="n">
        <f aca="false">AS729/V729</f>
        <v>1.22228015903616</v>
      </c>
      <c r="BD729" s="49" t="n">
        <f aca="false">SUM(AP729:AR729)/V729</f>
        <v>0.156356945542243</v>
      </c>
      <c r="BE729" s="53" t="n">
        <v>6.23</v>
      </c>
      <c r="BF729" s="51" t="n">
        <v>135.670887863102</v>
      </c>
      <c r="BG729" s="51" t="n">
        <v>554.639299234984</v>
      </c>
      <c r="BH729" s="51" t="n">
        <v>305.006797148599</v>
      </c>
      <c r="BI729" s="51" t="n">
        <v>103.973882938587</v>
      </c>
      <c r="BJ729" s="51" t="n">
        <v>6.61727769355477</v>
      </c>
      <c r="BK729" s="51" t="n">
        <v>12.9335556685382</v>
      </c>
      <c r="BL729" s="51" t="n">
        <v>14.6030868322813</v>
      </c>
      <c r="BM729" s="51" t="n">
        <v>2.22610048345583</v>
      </c>
      <c r="BN729" s="52" t="n">
        <f aca="false">(BG729*0.5-BH729*0.25+BI729*0.5)/SUM(BG729:BI729)*1000</f>
        <v>262.608598025997</v>
      </c>
      <c r="BO729" s="93" t="n">
        <v>9.32571428571429</v>
      </c>
      <c r="BP729" s="94" t="s">
        <v>491</v>
      </c>
      <c r="BQ729" s="55" t="n">
        <v>437.599285714286</v>
      </c>
      <c r="BR729" s="56" t="n">
        <v>14.9253816695433</v>
      </c>
      <c r="BS729" s="56"/>
      <c r="BT729" s="56" t="n">
        <v>11.7242168344526</v>
      </c>
      <c r="BU729" s="55" t="n">
        <v>11957.5193809524</v>
      </c>
      <c r="BV729" s="55" t="n">
        <v>407.840109451643</v>
      </c>
      <c r="BW729" s="55"/>
      <c r="BX729" s="55" t="n">
        <v>320.367410553747</v>
      </c>
      <c r="BY729" s="96" t="n">
        <v>0.0618</v>
      </c>
      <c r="BZ729" s="96" t="n">
        <v>0.5907</v>
      </c>
      <c r="CA729" s="97" t="n">
        <v>4.06</v>
      </c>
      <c r="CB729" s="97"/>
      <c r="CC729" s="97" t="n">
        <v>4.6056</v>
      </c>
      <c r="CD729" s="97" t="n">
        <v>6.1479</v>
      </c>
      <c r="CE729" s="97" t="n">
        <v>68.68</v>
      </c>
      <c r="CF729" s="97" t="n">
        <v>34.71</v>
      </c>
      <c r="CG729" s="97" t="n">
        <v>0.0409</v>
      </c>
      <c r="CH729" s="63" t="n">
        <v>40784.0228426574</v>
      </c>
      <c r="CI729" s="63" t="n">
        <v>3092.28205156391</v>
      </c>
      <c r="CJ729" s="64" t="n">
        <v>1077162.62439765</v>
      </c>
      <c r="CK729" s="65" t="n">
        <v>0.287076619771608</v>
      </c>
    </row>
    <row r="730" s="1" customFormat="true" ht="15" hidden="false" customHeight="false" outlineLevel="0" collapsed="false">
      <c r="A730" s="7" t="s">
        <v>488</v>
      </c>
      <c r="B730" s="66" t="n">
        <v>721</v>
      </c>
      <c r="C730" s="8" t="s">
        <v>813</v>
      </c>
      <c r="D730" s="67" t="n">
        <v>42048</v>
      </c>
      <c r="E730" s="4" t="s">
        <v>583</v>
      </c>
      <c r="F730" s="7" t="n">
        <v>371</v>
      </c>
      <c r="G730" s="68" t="n">
        <v>1</v>
      </c>
      <c r="H730" s="68" t="n">
        <v>156</v>
      </c>
      <c r="I730" s="7" t="n">
        <v>1</v>
      </c>
      <c r="J730" s="8" t="n">
        <v>640</v>
      </c>
      <c r="K730" s="32"/>
      <c r="L730" s="31" t="n">
        <v>935.138</v>
      </c>
      <c r="M730" s="31" t="n">
        <v>159.747016219525</v>
      </c>
      <c r="N730" s="31" t="n">
        <v>327.858818728961</v>
      </c>
      <c r="O730" s="95"/>
      <c r="P730" s="33" t="n">
        <v>39.171682138121</v>
      </c>
      <c r="Q730" s="33" t="n">
        <v>6.8</v>
      </c>
      <c r="R730" s="31" t="n">
        <v>270.223400999694</v>
      </c>
      <c r="S730" s="34" t="s">
        <v>76</v>
      </c>
      <c r="T730" s="35"/>
      <c r="U730" s="35"/>
      <c r="V730" s="35" t="n">
        <v>18.0768207871042</v>
      </c>
      <c r="W730" s="35" t="n">
        <v>16.9043220372111</v>
      </c>
      <c r="X730" s="35" t="n">
        <v>2.88771818347498</v>
      </c>
      <c r="Y730" s="35" t="n">
        <v>5.92664510963511</v>
      </c>
      <c r="Z730" s="35"/>
      <c r="AA730" s="35" t="n">
        <v>0.708099477940224</v>
      </c>
      <c r="AB730" s="35" t="n">
        <v>0.122922381352309</v>
      </c>
      <c r="AC730" s="71" t="n">
        <v>4.88477999235327</v>
      </c>
      <c r="AD730" s="72"/>
      <c r="AE730" s="72"/>
      <c r="AF730" s="72"/>
      <c r="AG730" s="72"/>
      <c r="AH730" s="72"/>
      <c r="AI730" s="73" t="n">
        <v>23.1786680564583</v>
      </c>
      <c r="AJ730" s="42" t="s">
        <v>16</v>
      </c>
      <c r="AK730" s="43" t="n">
        <v>706.626800839606</v>
      </c>
      <c r="AL730" s="74"/>
      <c r="AM730" s="74"/>
      <c r="AN730" s="74"/>
      <c r="AO730" s="78" t="n">
        <v>27.7142857142857</v>
      </c>
      <c r="AP730" s="76" t="n">
        <v>0.824371722999691</v>
      </c>
      <c r="AQ730" s="76" t="n">
        <v>0.967800453514739</v>
      </c>
      <c r="AR730" s="76" t="n">
        <v>1.42207413577676</v>
      </c>
      <c r="AS730" s="77" t="n">
        <v>23.4512901307097</v>
      </c>
      <c r="AT730" s="78" t="n">
        <v>25.1875795815217</v>
      </c>
      <c r="AU730" s="78" t="n">
        <v>29.7453714484425</v>
      </c>
      <c r="AV730" s="78" t="n">
        <v>34.9206349206349</v>
      </c>
      <c r="AW730" s="78" t="n">
        <v>51.3119533527697</v>
      </c>
      <c r="AX730" s="78" t="n">
        <v>15.3275</v>
      </c>
      <c r="AY730" s="48" t="n">
        <v>1.3933633506778</v>
      </c>
      <c r="AZ730" s="48" t="n">
        <v>20.8969005329599</v>
      </c>
      <c r="BA730" s="48" t="n">
        <v>-2.82007974585573</v>
      </c>
      <c r="BB730" s="49" t="n">
        <f aca="false">AT730/V730</f>
        <v>1.3933633506778</v>
      </c>
      <c r="BC730" s="49" t="n">
        <f aca="false">AS730/V730</f>
        <v>1.29731275244149</v>
      </c>
      <c r="BD730" s="49" t="n">
        <f aca="false">SUM(AP730:AR730)/V730</f>
        <v>0.177810376622431</v>
      </c>
      <c r="BE730" s="53" t="n">
        <v>5.88</v>
      </c>
      <c r="BF730" s="51" t="n">
        <v>151.281683739521</v>
      </c>
      <c r="BG730" s="51" t="n">
        <v>563.4329833567</v>
      </c>
      <c r="BH730" s="51" t="n">
        <v>269.017332406325</v>
      </c>
      <c r="BI730" s="51" t="n">
        <v>138.247285013324</v>
      </c>
      <c r="BJ730" s="51" t="n">
        <v>4.81832127099917</v>
      </c>
      <c r="BK730" s="51" t="n">
        <v>14.0909442619842</v>
      </c>
      <c r="BL730" s="51" t="n">
        <v>10.1689684701687</v>
      </c>
      <c r="BM730" s="51" t="n">
        <v>0.224165220498695</v>
      </c>
      <c r="BN730" s="52" t="n">
        <f aca="false">(BG730*0.5-BH730*0.25+BI730*0.5)/SUM(BG730:BI730)*1000</f>
        <v>292.146391272239</v>
      </c>
      <c r="BO730" s="93" t="n">
        <v>4.488</v>
      </c>
      <c r="BP730" s="94" t="s">
        <v>491</v>
      </c>
      <c r="BQ730" s="55" t="n">
        <v>403.595238095238</v>
      </c>
      <c r="BR730" s="56" t="n">
        <v>22.3266714235037</v>
      </c>
      <c r="BS730" s="56"/>
      <c r="BT730" s="56" t="n">
        <v>16.0235816541629</v>
      </c>
      <c r="BU730" s="55" t="n">
        <v>12386.8650793651</v>
      </c>
      <c r="BV730" s="55" t="n">
        <v>685.234711637</v>
      </c>
      <c r="BW730" s="55"/>
      <c r="BX730" s="55" t="n">
        <v>491.784652799764</v>
      </c>
      <c r="BY730" s="96" t="n">
        <v>0.07004</v>
      </c>
      <c r="BZ730" s="96" t="n">
        <v>1.1484</v>
      </c>
      <c r="CA730" s="97" t="n">
        <v>3.72</v>
      </c>
      <c r="CB730" s="97"/>
      <c r="CC730" s="97" t="n">
        <v>4.5652</v>
      </c>
      <c r="CD730" s="97" t="n">
        <v>4.8807</v>
      </c>
      <c r="CE730" s="97" t="n">
        <v>76.76</v>
      </c>
      <c r="CF730" s="97" t="n">
        <v>33.94</v>
      </c>
      <c r="CG730" s="97" t="n">
        <v>0.0591</v>
      </c>
      <c r="CH730" s="63" t="n">
        <v>67367.421368746</v>
      </c>
      <c r="CI730" s="63" t="n">
        <v>2098.01251147151</v>
      </c>
      <c r="CJ730" s="64" t="n">
        <v>728021.889753073</v>
      </c>
      <c r="CK730" s="65" t="n">
        <v>0.288179866704709</v>
      </c>
    </row>
    <row r="731" s="1" customFormat="true" ht="15" hidden="false" customHeight="false" outlineLevel="0" collapsed="false">
      <c r="A731" s="7" t="s">
        <v>488</v>
      </c>
      <c r="B731" s="66" t="n">
        <v>722</v>
      </c>
      <c r="C731" s="8" t="s">
        <v>814</v>
      </c>
      <c r="D731" s="67" t="n">
        <v>42048</v>
      </c>
      <c r="E731" s="4" t="s">
        <v>583</v>
      </c>
      <c r="F731" s="7" t="n">
        <v>625</v>
      </c>
      <c r="G731" s="68" t="n">
        <v>1</v>
      </c>
      <c r="H731" s="68" t="n">
        <v>150</v>
      </c>
      <c r="I731" s="7" t="n">
        <v>1</v>
      </c>
      <c r="J731" s="8" t="n">
        <v>740</v>
      </c>
      <c r="K731" s="32"/>
      <c r="L731" s="31" t="n">
        <v>935.138</v>
      </c>
      <c r="M731" s="31" t="n">
        <v>159.747016219525</v>
      </c>
      <c r="N731" s="31" t="n">
        <v>327.858818728961</v>
      </c>
      <c r="O731" s="95"/>
      <c r="P731" s="33" t="n">
        <v>39.171682138121</v>
      </c>
      <c r="Q731" s="33" t="n">
        <v>6.8</v>
      </c>
      <c r="R731" s="31" t="n">
        <v>270.223400999694</v>
      </c>
      <c r="S731" s="34" t="s">
        <v>76</v>
      </c>
      <c r="T731" s="35"/>
      <c r="U731" s="35"/>
      <c r="V731" s="35" t="n">
        <v>18.1689272990378</v>
      </c>
      <c r="W731" s="35" t="n">
        <v>16.9904543365676</v>
      </c>
      <c r="X731" s="35" t="n">
        <v>2.90243192393076</v>
      </c>
      <c r="Y731" s="35" t="n">
        <v>5.9568430418349</v>
      </c>
      <c r="Z731" s="35"/>
      <c r="AA731" s="35" t="n">
        <v>0.711707444948538</v>
      </c>
      <c r="AB731" s="35" t="n">
        <v>0.123548705633457</v>
      </c>
      <c r="AC731" s="71" t="n">
        <v>4.90966932726218</v>
      </c>
      <c r="AD731" s="72"/>
      <c r="AE731" s="72"/>
      <c r="AF731" s="72"/>
      <c r="AG731" s="72"/>
      <c r="AH731" s="72"/>
      <c r="AI731" s="73" t="n">
        <v>23.8636491809579</v>
      </c>
      <c r="AJ731" s="42" t="s">
        <v>16</v>
      </c>
      <c r="AK731" s="43" t="n">
        <v>715.0477720974</v>
      </c>
      <c r="AL731" s="74"/>
      <c r="AM731" s="74"/>
      <c r="AN731" s="74"/>
      <c r="AO731" s="78" t="n">
        <v>35.0571428571429</v>
      </c>
      <c r="AP731" s="76" t="n">
        <v>1.36945816580073</v>
      </c>
      <c r="AQ731" s="76" t="n">
        <v>1.17964389837568</v>
      </c>
      <c r="AR731" s="76" t="n">
        <v>1.84228862973761</v>
      </c>
      <c r="AS731" s="77" t="n">
        <v>34.5647296298681</v>
      </c>
      <c r="AT731" s="78" t="n">
        <v>35.730817478937</v>
      </c>
      <c r="AU731" s="78" t="n">
        <v>39.0635988614715</v>
      </c>
      <c r="AV731" s="78" t="n">
        <v>33.6491739552964</v>
      </c>
      <c r="AW731" s="78" t="n">
        <v>52.5510204081633</v>
      </c>
      <c r="AX731" s="78" t="n">
        <v>27.9083333333333</v>
      </c>
      <c r="AY731" s="48" t="n">
        <v>1.96658927028836</v>
      </c>
      <c r="AZ731" s="48" t="n">
        <v>26.377402206969</v>
      </c>
      <c r="BA731" s="48" t="n">
        <v>-8.20847490793124</v>
      </c>
      <c r="BB731" s="49" t="n">
        <f aca="false">AT731/V731</f>
        <v>1.96658927028836</v>
      </c>
      <c r="BC731" s="49" t="n">
        <f aca="false">AS731/V731</f>
        <v>1.9024089348246</v>
      </c>
      <c r="BD731" s="49" t="n">
        <f aca="false">SUM(AP731:AR731)/V731</f>
        <v>0.241697851592294</v>
      </c>
      <c r="BE731" s="53" t="n">
        <v>6.3</v>
      </c>
      <c r="BF731" s="51" t="n">
        <v>132.362650012908</v>
      </c>
      <c r="BG731" s="51" t="n">
        <v>594.105802220684</v>
      </c>
      <c r="BH731" s="51" t="n">
        <v>236.397035444248</v>
      </c>
      <c r="BI731" s="51" t="n">
        <v>124.874934803157</v>
      </c>
      <c r="BJ731" s="51" t="n">
        <v>7.37853365985244</v>
      </c>
      <c r="BK731" s="51" t="n">
        <v>14.9906620321004</v>
      </c>
      <c r="BL731" s="51" t="n">
        <v>13.9744968832602</v>
      </c>
      <c r="BM731" s="51" t="n">
        <v>8.27853495669792</v>
      </c>
      <c r="BN731" s="52" t="n">
        <f aca="false">(BG731*0.5-BH731*0.25+BI731*0.5)/SUM(BG731:BI731)*1000</f>
        <v>314.421287900428</v>
      </c>
      <c r="BO731" s="93" t="n">
        <v>5.712</v>
      </c>
      <c r="BP731" s="94" t="s">
        <v>491</v>
      </c>
      <c r="BQ731" s="55" t="n">
        <v>478.743181818182</v>
      </c>
      <c r="BR731" s="56" t="n">
        <v>26.3495567976396</v>
      </c>
      <c r="BS731" s="56"/>
      <c r="BT731" s="56" t="n">
        <v>13.3986070176087</v>
      </c>
      <c r="BU731" s="55" t="n">
        <v>12391.3393939394</v>
      </c>
      <c r="BV731" s="55" t="n">
        <v>682.007208790781</v>
      </c>
      <c r="BW731" s="55"/>
      <c r="BX731" s="55" t="n">
        <v>346.796974383359</v>
      </c>
      <c r="BY731" s="96" t="n">
        <v>0.09167</v>
      </c>
      <c r="BZ731" s="96" t="n">
        <v>0.7645</v>
      </c>
      <c r="CA731" s="97" t="n">
        <v>3.84</v>
      </c>
      <c r="CB731" s="97"/>
      <c r="CC731" s="97" t="n">
        <v>5.6459</v>
      </c>
      <c r="CD731" s="97" t="n">
        <v>7.2567</v>
      </c>
      <c r="CE731" s="97" t="n">
        <v>77.77</v>
      </c>
      <c r="CF731" s="97" t="n">
        <v>36.59</v>
      </c>
      <c r="CG731" s="97" t="n">
        <v>0.05</v>
      </c>
      <c r="CH731" s="63" t="n">
        <v>93230.7981698277</v>
      </c>
      <c r="CI731" s="63" t="n">
        <v>2803.71726374419</v>
      </c>
      <c r="CJ731" s="64" t="n">
        <v>469644.06806173</v>
      </c>
      <c r="CK731" s="65" t="n">
        <v>0.596987687998578</v>
      </c>
    </row>
    <row r="732" s="1" customFormat="true" ht="15" hidden="false" customHeight="false" outlineLevel="0" collapsed="false">
      <c r="A732" s="7" t="s">
        <v>488</v>
      </c>
      <c r="B732" s="66" t="n">
        <v>723</v>
      </c>
      <c r="C732" s="8" t="s">
        <v>815</v>
      </c>
      <c r="D732" s="67" t="n">
        <v>42048</v>
      </c>
      <c r="E732" s="4" t="s">
        <v>583</v>
      </c>
      <c r="F732" s="7" t="n">
        <v>633</v>
      </c>
      <c r="G732" s="68" t="n">
        <v>1</v>
      </c>
      <c r="H732" s="68" t="n">
        <v>156</v>
      </c>
      <c r="I732" s="7" t="n">
        <v>1</v>
      </c>
      <c r="J732" s="8" t="n">
        <v>745</v>
      </c>
      <c r="K732" s="32"/>
      <c r="L732" s="31" t="n">
        <v>935.138</v>
      </c>
      <c r="M732" s="31" t="n">
        <v>159.747016219525</v>
      </c>
      <c r="N732" s="31" t="n">
        <v>327.858818728961</v>
      </c>
      <c r="O732" s="95"/>
      <c r="P732" s="33" t="n">
        <v>39.171682138121</v>
      </c>
      <c r="Q732" s="33" t="n">
        <v>6.8</v>
      </c>
      <c r="R732" s="31" t="n">
        <v>270.223400999694</v>
      </c>
      <c r="S732" s="34" t="s">
        <v>76</v>
      </c>
      <c r="T732" s="35"/>
      <c r="U732" s="35"/>
      <c r="V732" s="35" t="n">
        <v>19.6943914358248</v>
      </c>
      <c r="W732" s="35" t="n">
        <v>18.4169738185143</v>
      </c>
      <c r="X732" s="35" t="n">
        <v>3.14612026813237</v>
      </c>
      <c r="Y732" s="35" t="n">
        <v>6.45697991173527</v>
      </c>
      <c r="Z732" s="35"/>
      <c r="AA732" s="35" t="n">
        <v>0.77146244122786</v>
      </c>
      <c r="AB732" s="35" t="n">
        <v>0.133921861763608</v>
      </c>
      <c r="AC732" s="71" t="n">
        <v>5.32188543440782</v>
      </c>
      <c r="AD732" s="72"/>
      <c r="AE732" s="72"/>
      <c r="AF732" s="72"/>
      <c r="AG732" s="72"/>
      <c r="AH732" s="72"/>
      <c r="AI732" s="73" t="n">
        <v>21.9840082049141</v>
      </c>
      <c r="AJ732" s="42" t="s">
        <v>16</v>
      </c>
      <c r="AK732" s="43" t="n">
        <v>690.684249359042</v>
      </c>
      <c r="AL732" s="74"/>
      <c r="AM732" s="74"/>
      <c r="AN732" s="74"/>
      <c r="AO732" s="78" t="n">
        <v>35.7142857142857</v>
      </c>
      <c r="AP732" s="76" t="n">
        <v>1.2228101799844</v>
      </c>
      <c r="AQ732" s="76" t="n">
        <v>1.20609468277107</v>
      </c>
      <c r="AR732" s="76" t="n">
        <v>1.81608357628766</v>
      </c>
      <c r="AS732" s="77" t="n">
        <v>32.6278669854803</v>
      </c>
      <c r="AT732" s="78" t="n">
        <v>34.0122386250146</v>
      </c>
      <c r="AU732" s="78" t="n">
        <v>34.2386850395632</v>
      </c>
      <c r="AV732" s="78" t="n">
        <v>33.7706511175899</v>
      </c>
      <c r="AW732" s="78" t="n">
        <v>50.8503401360544</v>
      </c>
      <c r="AX732" s="78" t="n">
        <v>30.695</v>
      </c>
      <c r="AY732" s="48" t="n">
        <v>1.72700124986574</v>
      </c>
      <c r="AZ732" s="48" t="n">
        <v>25.7634740306385</v>
      </c>
      <c r="BA732" s="48" t="n">
        <v>-6.06908259481373</v>
      </c>
      <c r="BB732" s="49" t="n">
        <f aca="false">AT732/V732</f>
        <v>1.72700124986574</v>
      </c>
      <c r="BC732" s="49" t="n">
        <f aca="false">AS732/V732</f>
        <v>1.65670856557309</v>
      </c>
      <c r="BD732" s="49" t="n">
        <f aca="false">SUM(AP732:AR732)/V732</f>
        <v>0.215543011464743</v>
      </c>
      <c r="BE732" s="53" t="n">
        <v>6.38</v>
      </c>
      <c r="BF732" s="51" t="n">
        <v>131.394185467239</v>
      </c>
      <c r="BG732" s="51" t="n">
        <v>625.675458203043</v>
      </c>
      <c r="BH732" s="51" t="n">
        <v>199.155817118003</v>
      </c>
      <c r="BI732" s="51" t="n">
        <v>131.268407589478</v>
      </c>
      <c r="BJ732" s="51" t="n">
        <v>6.98195433307204</v>
      </c>
      <c r="BK732" s="51" t="n">
        <v>14.4912893324654</v>
      </c>
      <c r="BL732" s="51" t="n">
        <v>15.2274959310589</v>
      </c>
      <c r="BM732" s="51" t="n">
        <v>7.19957749288003</v>
      </c>
      <c r="BN732" s="52" t="n">
        <f aca="false">(BG732*0.5-BH732*0.25+BI732*0.5)/SUM(BG732:BI732)*1000</f>
        <v>343.774801405848</v>
      </c>
      <c r="BO732" s="93" t="n">
        <v>8.74285714285714</v>
      </c>
      <c r="BP732" s="94" t="s">
        <v>491</v>
      </c>
      <c r="BQ732" s="55" t="n">
        <v>472.464054232804</v>
      </c>
      <c r="BR732" s="56" t="n">
        <v>23.9897767733699</v>
      </c>
      <c r="BS732" s="56"/>
      <c r="BT732" s="56" t="n">
        <v>13.8910013963423</v>
      </c>
      <c r="BU732" s="55" t="n">
        <v>12321.3512566138</v>
      </c>
      <c r="BV732" s="55" t="n">
        <v>625.627417671855</v>
      </c>
      <c r="BW732" s="55"/>
      <c r="BX732" s="55" t="n">
        <v>362.26228424588</v>
      </c>
      <c r="BY732" s="96" t="n">
        <v>0.0824</v>
      </c>
      <c r="BZ732" s="96" t="n">
        <v>0.9691</v>
      </c>
      <c r="CA732" s="97" t="n">
        <v>3.67</v>
      </c>
      <c r="CB732" s="97"/>
      <c r="CC732" s="97" t="n">
        <v>5.9792</v>
      </c>
      <c r="CD732" s="97" t="n">
        <v>5.7222</v>
      </c>
      <c r="CE732" s="97" t="n">
        <v>80.8</v>
      </c>
      <c r="CF732" s="97" t="n">
        <v>35.43</v>
      </c>
      <c r="CG732" s="97" t="n">
        <v>0.0136</v>
      </c>
      <c r="CH732" s="63" t="n">
        <v>268365.69096476</v>
      </c>
      <c r="CI732" s="63" t="n">
        <v>2413.60816863286</v>
      </c>
      <c r="CJ732" s="64" t="n">
        <v>390893.706278085</v>
      </c>
      <c r="CK732" s="65" t="n">
        <v>0.617458948524437</v>
      </c>
    </row>
    <row r="733" s="1" customFormat="true" ht="15" hidden="false" customHeight="false" outlineLevel="0" collapsed="false">
      <c r="A733" s="7" t="s">
        <v>488</v>
      </c>
      <c r="B733" s="66" t="n">
        <v>724</v>
      </c>
      <c r="C733" s="8" t="s">
        <v>816</v>
      </c>
      <c r="D733" s="67" t="n">
        <v>42048</v>
      </c>
      <c r="E733" s="4" t="s">
        <v>583</v>
      </c>
      <c r="F733" s="7" t="n">
        <v>639</v>
      </c>
      <c r="G733" s="68" t="n">
        <v>1</v>
      </c>
      <c r="H733" s="68" t="n">
        <v>165</v>
      </c>
      <c r="I733" s="7" t="n">
        <v>1</v>
      </c>
      <c r="J733" s="8" t="n">
        <v>750</v>
      </c>
      <c r="K733" s="32"/>
      <c r="L733" s="31" t="n">
        <v>935.138</v>
      </c>
      <c r="M733" s="31" t="n">
        <v>159.747016219525</v>
      </c>
      <c r="N733" s="31" t="n">
        <v>327.858818728961</v>
      </c>
      <c r="O733" s="95"/>
      <c r="P733" s="33" t="n">
        <v>39.171682138121</v>
      </c>
      <c r="Q733" s="33" t="n">
        <v>6.8</v>
      </c>
      <c r="R733" s="31" t="n">
        <v>270.223400999694</v>
      </c>
      <c r="S733" s="34" t="s">
        <v>76</v>
      </c>
      <c r="T733" s="35"/>
      <c r="U733" s="35"/>
      <c r="V733" s="35" t="n">
        <v>28.8877656738805</v>
      </c>
      <c r="W733" s="35" t="n">
        <v>27.0140474167413</v>
      </c>
      <c r="X733" s="35" t="n">
        <v>4.61473437165122</v>
      </c>
      <c r="Y733" s="35" t="n">
        <v>9.47110872955748</v>
      </c>
      <c r="Z733" s="35"/>
      <c r="AA733" s="35" t="n">
        <v>1.13158237465777</v>
      </c>
      <c r="AB733" s="35" t="n">
        <v>0.196436806582388</v>
      </c>
      <c r="AC733" s="71" t="n">
        <v>7.80615028767821</v>
      </c>
      <c r="AD733" s="72"/>
      <c r="AE733" s="72"/>
      <c r="AF733" s="72"/>
      <c r="AG733" s="72"/>
      <c r="AH733" s="72"/>
      <c r="AI733" s="73" t="n">
        <v>23.4160723247452</v>
      </c>
      <c r="AJ733" s="42" t="s">
        <v>16</v>
      </c>
      <c r="AK733" s="43" t="n">
        <v>709.601170269105</v>
      </c>
      <c r="AL733" s="74"/>
      <c r="AM733" s="74"/>
      <c r="AN733" s="74"/>
      <c r="AO733" s="78" t="n">
        <v>36.6</v>
      </c>
      <c r="AP733" s="76" t="n">
        <v>1.3358952622931</v>
      </c>
      <c r="AQ733" s="76" t="n">
        <v>1.34715743440233</v>
      </c>
      <c r="AR733" s="76" t="n">
        <v>1.82644314868805</v>
      </c>
      <c r="AS733" s="77" t="n">
        <v>34.6784289343965</v>
      </c>
      <c r="AT733" s="78" t="n">
        <v>36.5391681967078</v>
      </c>
      <c r="AU733" s="78" t="n">
        <v>36.4998705544563</v>
      </c>
      <c r="AV733" s="78" t="n">
        <v>36.8075801749271</v>
      </c>
      <c r="AW733" s="78" t="n">
        <v>49.9028182701652</v>
      </c>
      <c r="AX733" s="78" t="n">
        <v>24.1683333333333</v>
      </c>
      <c r="AY733" s="48" t="n">
        <v>1.26486653932344</v>
      </c>
      <c r="AZ733" s="48" t="n">
        <v>26.6301235773194</v>
      </c>
      <c r="BA733" s="48" t="n">
        <v>2.25764209656111</v>
      </c>
      <c r="BB733" s="49" t="n">
        <f aca="false">AT733/V733</f>
        <v>1.26486653932344</v>
      </c>
      <c r="BC733" s="49" t="n">
        <f aca="false">AS733/V733</f>
        <v>1.20045382968998</v>
      </c>
      <c r="BD733" s="49" t="n">
        <f aca="false">SUM(AP733:AR733)/V733</f>
        <v>0.156104002514145</v>
      </c>
      <c r="BE733" s="53" t="n">
        <v>6.24</v>
      </c>
      <c r="BF733" s="51" t="n">
        <v>127.672842764108</v>
      </c>
      <c r="BG733" s="51" t="n">
        <v>557.563332171998</v>
      </c>
      <c r="BH733" s="51" t="n">
        <v>299.293234731724</v>
      </c>
      <c r="BI733" s="51" t="n">
        <v>104.686674265467</v>
      </c>
      <c r="BJ733" s="51" t="n">
        <v>6.46704701803761</v>
      </c>
      <c r="BK733" s="51" t="n">
        <v>13.3439200879742</v>
      </c>
      <c r="BL733" s="51" t="n">
        <v>15.446018229165</v>
      </c>
      <c r="BM733" s="51" t="n">
        <v>3.19977349563482</v>
      </c>
      <c r="BN733" s="52" t="n">
        <f aca="false">(BG733*0.5-BH733*0.25+BI733*0.5)/SUM(BG733:BI733)*1000</f>
        <v>266.552437334125</v>
      </c>
      <c r="BO733" s="93" t="n">
        <v>4.10914285714286</v>
      </c>
      <c r="BP733" s="94" t="s">
        <v>491</v>
      </c>
      <c r="BQ733" s="55" t="n">
        <v>465.737343358396</v>
      </c>
      <c r="BR733" s="56" t="n">
        <v>16.1223041136581</v>
      </c>
      <c r="BS733" s="56"/>
      <c r="BT733" s="56" t="n">
        <v>12.7462491989722</v>
      </c>
      <c r="BU733" s="55" t="n">
        <v>12921.4359649123</v>
      </c>
      <c r="BV733" s="55" t="n">
        <v>447.297866881947</v>
      </c>
      <c r="BW733" s="55"/>
      <c r="BX733" s="55" t="n">
        <v>353.632460797959</v>
      </c>
      <c r="BY733" s="96" t="n">
        <v>0.09167</v>
      </c>
      <c r="BZ733" s="96" t="n">
        <v>0.4686</v>
      </c>
      <c r="CA733" s="97" t="n">
        <v>4.34</v>
      </c>
      <c r="CB733" s="97"/>
      <c r="CC733" s="97" t="n">
        <v>4.242</v>
      </c>
      <c r="CD733" s="97" t="n">
        <v>6.8706</v>
      </c>
      <c r="CE733" s="97" t="n">
        <v>81.81</v>
      </c>
      <c r="CF733" s="97" t="n">
        <v>36.03</v>
      </c>
      <c r="CG733" s="97" t="n">
        <v>0.05</v>
      </c>
      <c r="CH733" s="63" t="n">
        <v>64445.1750867634</v>
      </c>
      <c r="CI733" s="63" t="n">
        <v>3820.74187864073</v>
      </c>
      <c r="CJ733" s="64" t="n">
        <v>864701.907849257</v>
      </c>
      <c r="CK733" s="65" t="n">
        <v>0.441856533905879</v>
      </c>
    </row>
    <row r="734" s="1" customFormat="true" ht="15" hidden="false" customHeight="false" outlineLevel="0" collapsed="false">
      <c r="A734" s="7" t="s">
        <v>488</v>
      </c>
      <c r="B734" s="66" t="n">
        <v>725</v>
      </c>
      <c r="C734" s="8" t="s">
        <v>817</v>
      </c>
      <c r="D734" s="67" t="n">
        <v>42048</v>
      </c>
      <c r="E734" s="4" t="s">
        <v>583</v>
      </c>
      <c r="F734" s="7" t="n">
        <v>708</v>
      </c>
      <c r="G734" s="68" t="n">
        <v>1</v>
      </c>
      <c r="H734" s="68" t="n">
        <v>159</v>
      </c>
      <c r="I734" s="7" t="n">
        <v>5</v>
      </c>
      <c r="J734" s="8" t="n">
        <v>833</v>
      </c>
      <c r="K734" s="32"/>
      <c r="L734" s="31" t="n">
        <v>935.138</v>
      </c>
      <c r="M734" s="31" t="n">
        <v>159.747016219525</v>
      </c>
      <c r="N734" s="31" t="n">
        <v>327.858818728961</v>
      </c>
      <c r="O734" s="95"/>
      <c r="P734" s="33" t="n">
        <v>39.171682138121</v>
      </c>
      <c r="Q734" s="33" t="n">
        <v>6.8</v>
      </c>
      <c r="R734" s="31" t="n">
        <v>270.223400999694</v>
      </c>
      <c r="S734" s="34" t="s">
        <v>76</v>
      </c>
      <c r="T734" s="35"/>
      <c r="U734" s="35"/>
      <c r="V734" s="35" t="n">
        <v>23.5056369340127</v>
      </c>
      <c r="W734" s="35" t="n">
        <v>21.9810143111987</v>
      </c>
      <c r="X734" s="35" t="n">
        <v>3.75495536454798</v>
      </c>
      <c r="Y734" s="35" t="n">
        <v>7.70653035865722</v>
      </c>
      <c r="Z734" s="35"/>
      <c r="AA734" s="35" t="n">
        <v>0.920755338433221</v>
      </c>
      <c r="AB734" s="35" t="n">
        <v>0.159838331151286</v>
      </c>
      <c r="AC734" s="71" t="n">
        <v>6.35177315497292</v>
      </c>
      <c r="AD734" s="72"/>
      <c r="AE734" s="72"/>
      <c r="AF734" s="72"/>
      <c r="AG734" s="72"/>
      <c r="AH734" s="72"/>
      <c r="AI734" s="73" t="n">
        <v>23.6567008828394</v>
      </c>
      <c r="AJ734" s="42" t="s">
        <v>16</v>
      </c>
      <c r="AK734" s="43" t="n">
        <v>712.555016285777</v>
      </c>
      <c r="AL734" s="74"/>
      <c r="AM734" s="74"/>
      <c r="AN734" s="74"/>
      <c r="AO734" s="78" t="n">
        <v>49.2857142857143</v>
      </c>
      <c r="AP734" s="76" t="n">
        <v>1.81398680705284</v>
      </c>
      <c r="AQ734" s="76" t="n">
        <v>1.61651395251978</v>
      </c>
      <c r="AR734" s="76" t="n">
        <v>2.47625989171179</v>
      </c>
      <c r="AS734" s="77" t="n">
        <v>46.9240878200783</v>
      </c>
      <c r="AT734" s="78" t="n">
        <v>47.9531481706146</v>
      </c>
      <c r="AU734" s="78" t="n">
        <v>36.8055294184634</v>
      </c>
      <c r="AV734" s="78" t="n">
        <v>32.798833819242</v>
      </c>
      <c r="AW734" s="78" t="n">
        <v>50.242954324587</v>
      </c>
      <c r="AX734" s="78" t="n">
        <v>25.0616666666667</v>
      </c>
      <c r="AY734" s="48" t="n">
        <v>2.04007014594981</v>
      </c>
      <c r="AZ734" s="48" t="n">
        <v>32.2601939076931</v>
      </c>
      <c r="BA734" s="48" t="n">
        <v>-8.75455697368043</v>
      </c>
      <c r="BB734" s="49" t="n">
        <f aca="false">AT734/V734</f>
        <v>2.04007014594981</v>
      </c>
      <c r="BC734" s="49" t="n">
        <f aca="false">AS734/V734</f>
        <v>1.99629084511976</v>
      </c>
      <c r="BD734" s="49" t="n">
        <f aca="false">SUM(AP734:AR734)/V734</f>
        <v>0.251291239963692</v>
      </c>
      <c r="BE734" s="53" t="n">
        <v>6.18</v>
      </c>
      <c r="BF734" s="51" t="n">
        <v>114.416833859445</v>
      </c>
      <c r="BG734" s="51" t="n">
        <v>587.87066772253</v>
      </c>
      <c r="BH734" s="51" t="n">
        <v>255.337623513445</v>
      </c>
      <c r="BI734" s="51" t="n">
        <v>116.28586861086</v>
      </c>
      <c r="BJ734" s="51" t="n">
        <v>6.40291726205305</v>
      </c>
      <c r="BK734" s="51" t="n">
        <v>13.6051261542786</v>
      </c>
      <c r="BL734" s="51" t="n">
        <v>13.7551193550944</v>
      </c>
      <c r="BM734" s="51" t="n">
        <v>6.74267738173962</v>
      </c>
      <c r="BN734" s="52" t="n">
        <f aca="false">(BG734*0.5-BH734*0.25+BI734*0.5)/SUM(BG734:BI734)*1000</f>
        <v>300.412315520864</v>
      </c>
      <c r="BO734" s="93" t="n">
        <v>3.70114285714286</v>
      </c>
      <c r="BP734" s="94" t="s">
        <v>491</v>
      </c>
      <c r="BQ734" s="55" t="n">
        <v>513.166666666667</v>
      </c>
      <c r="BR734" s="56" t="n">
        <v>21.8316426867002</v>
      </c>
      <c r="BS734" s="56"/>
      <c r="BT734" s="56" t="n">
        <v>10.7014176596049</v>
      </c>
      <c r="BU734" s="55" t="n">
        <v>13830.1025641026</v>
      </c>
      <c r="BV734" s="55" t="n">
        <v>588.373869762721</v>
      </c>
      <c r="BW734" s="55"/>
      <c r="BX734" s="55" t="n">
        <v>288.408646600132</v>
      </c>
      <c r="BY734" s="96" t="n">
        <v>0.12257</v>
      </c>
      <c r="BZ734" s="96" t="n">
        <v>1.1726</v>
      </c>
      <c r="CA734" s="97" t="n">
        <v>3.4749</v>
      </c>
      <c r="CB734" s="97"/>
      <c r="CC734" s="97" t="n">
        <v>4.3461</v>
      </c>
      <c r="CD734" s="97" t="n">
        <v>7.1478</v>
      </c>
      <c r="CE734" s="97" t="n">
        <v>80.8</v>
      </c>
      <c r="CF734" s="97" t="n">
        <v>35.0262</v>
      </c>
      <c r="CG734" s="97" t="n">
        <v>0.0696</v>
      </c>
      <c r="CH734" s="63" t="n">
        <v>75497.1515535675</v>
      </c>
      <c r="CI734" s="63" t="n">
        <v>2440.77343434586</v>
      </c>
      <c r="CJ734" s="64" t="n">
        <v>795976.894753893</v>
      </c>
      <c r="CK734" s="65" t="n">
        <v>0.306638729143076</v>
      </c>
    </row>
    <row r="735" s="1" customFormat="true" ht="15" hidden="false" customHeight="false" outlineLevel="0" collapsed="false">
      <c r="A735" s="7" t="s">
        <v>488</v>
      </c>
      <c r="B735" s="66" t="n">
        <v>726</v>
      </c>
      <c r="C735" s="8" t="s">
        <v>818</v>
      </c>
      <c r="D735" s="67" t="n">
        <v>42048</v>
      </c>
      <c r="E735" s="4" t="s">
        <v>583</v>
      </c>
      <c r="F735" s="7" t="n">
        <v>736</v>
      </c>
      <c r="G735" s="68" t="n">
        <v>1</v>
      </c>
      <c r="H735" s="68" t="n">
        <v>150</v>
      </c>
      <c r="I735" s="7" t="n">
        <v>5</v>
      </c>
      <c r="J735" s="8" t="n">
        <v>802</v>
      </c>
      <c r="K735" s="32"/>
      <c r="L735" s="31" t="n">
        <v>935.138</v>
      </c>
      <c r="M735" s="31" t="n">
        <v>159.747016219525</v>
      </c>
      <c r="N735" s="31" t="n">
        <v>327.858818728961</v>
      </c>
      <c r="O735" s="95"/>
      <c r="P735" s="33" t="n">
        <v>39.171682138121</v>
      </c>
      <c r="Q735" s="33" t="n">
        <v>6.8</v>
      </c>
      <c r="R735" s="31" t="n">
        <v>270.223400999694</v>
      </c>
      <c r="S735" s="34" t="s">
        <v>76</v>
      </c>
      <c r="T735" s="35"/>
      <c r="U735" s="35"/>
      <c r="V735" s="35" t="n">
        <v>27.0754867649796</v>
      </c>
      <c r="W735" s="35" t="n">
        <v>25.3193165424295</v>
      </c>
      <c r="X735" s="35" t="n">
        <v>4.32522822339673</v>
      </c>
      <c r="Y735" s="35" t="n">
        <v>8.87693710727782</v>
      </c>
      <c r="Z735" s="35"/>
      <c r="AA735" s="35" t="n">
        <v>1.06059236129268</v>
      </c>
      <c r="AB735" s="35" t="n">
        <v>0.184113310001861</v>
      </c>
      <c r="AC735" s="71" t="n">
        <v>7.316430117355</v>
      </c>
      <c r="AD735" s="72"/>
      <c r="AE735" s="72"/>
      <c r="AF735" s="72"/>
      <c r="AG735" s="72"/>
      <c r="AH735" s="72"/>
      <c r="AI735" s="73" t="n">
        <v>27.2211369667745</v>
      </c>
      <c r="AJ735" s="42" t="s">
        <v>16</v>
      </c>
      <c r="AK735" s="43" t="n">
        <v>750.194122739989</v>
      </c>
      <c r="AL735" s="74"/>
      <c r="AM735" s="74"/>
      <c r="AN735" s="74"/>
      <c r="AO735" s="78" t="n">
        <v>36.3285714285714</v>
      </c>
      <c r="AP735" s="76" t="n">
        <v>1.54314440189863</v>
      </c>
      <c r="AQ735" s="76" t="n">
        <v>1.2153654727197</v>
      </c>
      <c r="AR735" s="76" t="n">
        <v>1.6425527557962</v>
      </c>
      <c r="AS735" s="77" t="n">
        <v>37.6785945999081</v>
      </c>
      <c r="AT735" s="78" t="n">
        <v>37.0809232617755</v>
      </c>
      <c r="AU735" s="78" t="n">
        <v>42.4774314325224</v>
      </c>
      <c r="AV735" s="78" t="n">
        <v>33.4548104956268</v>
      </c>
      <c r="AW735" s="78" t="n">
        <v>45.2137998056365</v>
      </c>
      <c r="AX735" s="78" t="n">
        <v>24.1766666666667</v>
      </c>
      <c r="AY735" s="48" t="n">
        <v>1.36953856392851</v>
      </c>
      <c r="AZ735" s="48" t="n">
        <v>28.3737890814128</v>
      </c>
      <c r="BA735" s="48" t="n">
        <v>-1.29830231643315</v>
      </c>
      <c r="BB735" s="49" t="n">
        <f aca="false">AT735/V735</f>
        <v>1.36953856392851</v>
      </c>
      <c r="BC735" s="49" t="n">
        <f aca="false">AS735/V735</f>
        <v>1.39161282406353</v>
      </c>
      <c r="BD735" s="49" t="n">
        <f aca="false">SUM(AP735:AR735)/V735</f>
        <v>0.162547867324292</v>
      </c>
      <c r="BE735" s="53" t="n">
        <v>6.37</v>
      </c>
      <c r="BF735" s="51" t="n">
        <v>122.323172387715</v>
      </c>
      <c r="BG735" s="51" t="n">
        <v>592.862370998948</v>
      </c>
      <c r="BH735" s="51" t="n">
        <v>259.481382482851</v>
      </c>
      <c r="BI735" s="51" t="n">
        <v>109.569630182698</v>
      </c>
      <c r="BJ735" s="51" t="n">
        <v>7.24380587167473</v>
      </c>
      <c r="BK735" s="51" t="n">
        <v>12.3594654508694</v>
      </c>
      <c r="BL735" s="51" t="n">
        <v>15.7645244506305</v>
      </c>
      <c r="BM735" s="51" t="n">
        <v>2.71882056232872</v>
      </c>
      <c r="BN735" s="52" t="n">
        <f aca="false">(BG735*0.5-BH735*0.25+BI735*0.5)/SUM(BG735:BI735)*1000</f>
        <v>297.683408748561</v>
      </c>
      <c r="BO735" s="93" t="n">
        <v>7.78114285714286</v>
      </c>
      <c r="BP735" s="94" t="s">
        <v>491</v>
      </c>
      <c r="BQ735" s="55" t="n">
        <v>730.448717948718</v>
      </c>
      <c r="BR735" s="56" t="n">
        <v>26.97823031915</v>
      </c>
      <c r="BS735" s="56"/>
      <c r="BT735" s="56" t="n">
        <v>19.6987737546895</v>
      </c>
      <c r="BU735" s="55" t="n">
        <v>15731.2435897436</v>
      </c>
      <c r="BV735" s="55" t="n">
        <v>581.014248286422</v>
      </c>
      <c r="BW735" s="55"/>
      <c r="BX735" s="55" t="n">
        <v>424.240881994435</v>
      </c>
      <c r="BY735" s="96" t="n">
        <v>0.0721</v>
      </c>
      <c r="BZ735" s="96" t="n">
        <v>0.7128</v>
      </c>
      <c r="CA735" s="97" t="n">
        <v>3.9501</v>
      </c>
      <c r="CB735" s="97"/>
      <c r="CC735" s="97" t="n">
        <v>4.6827</v>
      </c>
      <c r="CD735" s="97" t="n">
        <v>5.0886</v>
      </c>
      <c r="CE735" s="97" t="n">
        <v>81.81</v>
      </c>
      <c r="CF735" s="97" t="n">
        <v>33.3828</v>
      </c>
      <c r="CG735" s="97" t="n">
        <v>0.0892</v>
      </c>
      <c r="CH735" s="63" t="n">
        <v>78848.695154757</v>
      </c>
      <c r="CI735" s="63" t="n">
        <v>2540.94917626067</v>
      </c>
      <c r="CJ735" s="64" t="n">
        <v>691864.600139121</v>
      </c>
      <c r="CK735" s="65" t="n">
        <v>0.367261047284358</v>
      </c>
    </row>
    <row r="736" s="1" customFormat="true" ht="15" hidden="false" customHeight="false" outlineLevel="0" collapsed="false">
      <c r="A736" s="7" t="s">
        <v>488</v>
      </c>
      <c r="B736" s="66" t="n">
        <v>727</v>
      </c>
      <c r="C736" s="8" t="s">
        <v>819</v>
      </c>
      <c r="D736" s="67" t="n">
        <v>42048</v>
      </c>
      <c r="E736" s="4" t="s">
        <v>583</v>
      </c>
      <c r="F736" s="7" t="n">
        <v>764</v>
      </c>
      <c r="G736" s="68" t="n">
        <v>1</v>
      </c>
      <c r="H736" s="68" t="n">
        <v>161</v>
      </c>
      <c r="I736" s="7" t="n">
        <v>4</v>
      </c>
      <c r="J736" s="8" t="n">
        <v>833</v>
      </c>
      <c r="K736" s="32"/>
      <c r="L736" s="31" t="n">
        <v>935.138</v>
      </c>
      <c r="M736" s="31" t="n">
        <v>159.747016219525</v>
      </c>
      <c r="N736" s="31" t="n">
        <v>327.858818728961</v>
      </c>
      <c r="O736" s="95"/>
      <c r="P736" s="33" t="n">
        <v>39.171682138121</v>
      </c>
      <c r="Q736" s="33" t="n">
        <v>6.8</v>
      </c>
      <c r="R736" s="31" t="n">
        <v>270.223400999694</v>
      </c>
      <c r="S736" s="34" t="s">
        <v>76</v>
      </c>
      <c r="T736" s="35"/>
      <c r="U736" s="35"/>
      <c r="V736" s="35" t="n">
        <v>21.5518207684181</v>
      </c>
      <c r="W736" s="35" t="n">
        <v>20.153926569737</v>
      </c>
      <c r="X736" s="35" t="n">
        <v>3.44283906185278</v>
      </c>
      <c r="Y736" s="35" t="n">
        <v>7.06595449859185</v>
      </c>
      <c r="Z736" s="35"/>
      <c r="AA736" s="35" t="n">
        <v>0.844221072638229</v>
      </c>
      <c r="AB736" s="35" t="n">
        <v>0.146552381225243</v>
      </c>
      <c r="AC736" s="71" t="n">
        <v>5.82380630577779</v>
      </c>
      <c r="AD736" s="72"/>
      <c r="AE736" s="72"/>
      <c r="AF736" s="72"/>
      <c r="AG736" s="72"/>
      <c r="AH736" s="72"/>
      <c r="AI736" s="73" t="n">
        <v>23.35028738618</v>
      </c>
      <c r="AJ736" s="42" t="s">
        <v>16</v>
      </c>
      <c r="AK736" s="43" t="n">
        <v>708.783027483225</v>
      </c>
      <c r="AL736" s="74"/>
      <c r="AM736" s="74"/>
      <c r="AN736" s="74"/>
      <c r="AO736" s="78" t="n">
        <v>35.6</v>
      </c>
      <c r="AP736" s="76" t="n">
        <v>1.3732118627641</v>
      </c>
      <c r="AQ736" s="76" t="n">
        <v>1.1875315840622</v>
      </c>
      <c r="AR736" s="76" t="n">
        <v>1.79643343051506</v>
      </c>
      <c r="AS736" s="77" t="n">
        <v>34.8381779414615</v>
      </c>
      <c r="AT736" s="78" t="n">
        <v>35.5994291779903</v>
      </c>
      <c r="AU736" s="78" t="n">
        <v>38.5733669315759</v>
      </c>
      <c r="AV736" s="78" t="n">
        <v>33.357628765792</v>
      </c>
      <c r="AW736" s="78" t="n">
        <v>50.4616132167153</v>
      </c>
      <c r="AX736" s="78" t="n">
        <v>23.945</v>
      </c>
      <c r="AY736" s="48" t="n">
        <v>1.65180610773069</v>
      </c>
      <c r="AZ736" s="48" t="n">
        <v>27.802019452321</v>
      </c>
      <c r="BA736" s="48" t="n">
        <v>-6.25019868390287</v>
      </c>
      <c r="BB736" s="49" t="n">
        <f aca="false">AT736/V736</f>
        <v>1.65180610773069</v>
      </c>
      <c r="BC736" s="49" t="n">
        <f aca="false">AS736/V736</f>
        <v>1.61648420872695</v>
      </c>
      <c r="BD736" s="49" t="n">
        <f aca="false">SUM(AP736:AR736)/V736</f>
        <v>0.20217210063877</v>
      </c>
      <c r="BE736" s="53" t="n">
        <v>6.6</v>
      </c>
      <c r="BF736" s="51" t="n">
        <v>107.971892804104</v>
      </c>
      <c r="BG736" s="51" t="n">
        <v>647.321380517598</v>
      </c>
      <c r="BH736" s="51" t="n">
        <v>191.077351603823</v>
      </c>
      <c r="BI736" s="51" t="n">
        <v>105.014478173477</v>
      </c>
      <c r="BJ736" s="51" t="n">
        <v>8.15640863226459</v>
      </c>
      <c r="BK736" s="51" t="n">
        <v>16.3452269291197</v>
      </c>
      <c r="BL736" s="51" t="n">
        <v>19.6634060499857</v>
      </c>
      <c r="BM736" s="51" t="n">
        <v>12.4217480937323</v>
      </c>
      <c r="BN736" s="52" t="n">
        <f aca="false">(BG736*0.5-BH736*0.25+BI736*0.5)/SUM(BG736:BI736)*1000</f>
        <v>348.096240185071</v>
      </c>
      <c r="BO736" s="93" t="n">
        <v>5.15828571428572</v>
      </c>
      <c r="BP736" s="94" t="s">
        <v>491</v>
      </c>
      <c r="BQ736" s="55" t="n">
        <v>620.167543859649</v>
      </c>
      <c r="BR736" s="56" t="n">
        <v>28.7756450150345</v>
      </c>
      <c r="BS736" s="56"/>
      <c r="BT736" s="56" t="n">
        <v>17.4207159547118</v>
      </c>
      <c r="BU736" s="55" t="n">
        <v>15215.6692982456</v>
      </c>
      <c r="BV736" s="55" t="n">
        <v>706.003889961007</v>
      </c>
      <c r="BW736" s="55"/>
      <c r="BX736" s="55" t="n">
        <v>427.413294246102</v>
      </c>
      <c r="BY736" s="96" t="n">
        <v>0.06283</v>
      </c>
      <c r="BZ736" s="96" t="n">
        <v>0.6303</v>
      </c>
      <c r="CA736" s="97" t="n">
        <v>4.1976</v>
      </c>
      <c r="CB736" s="97"/>
      <c r="CC736" s="97" t="n">
        <v>3.5838</v>
      </c>
      <c r="CD736" s="97" t="n">
        <v>6.6924</v>
      </c>
      <c r="CE736" s="97" t="n">
        <v>79.79</v>
      </c>
      <c r="CF736" s="97" t="n">
        <v>32.6799</v>
      </c>
      <c r="CG736" s="97" t="n">
        <v>0.6772</v>
      </c>
      <c r="CH736" s="63" t="n">
        <v>142904.023037323</v>
      </c>
      <c r="CI736" s="63" t="n">
        <v>5597.18283483621</v>
      </c>
      <c r="CJ736" s="64" t="n">
        <v>654941.421846888</v>
      </c>
      <c r="CK736" s="65" t="n">
        <v>0.85460816007828</v>
      </c>
    </row>
    <row r="737" s="1" customFormat="true" ht="15" hidden="false" customHeight="false" outlineLevel="0" collapsed="false">
      <c r="A737" s="7" t="s">
        <v>488</v>
      </c>
      <c r="B737" s="66" t="n">
        <v>728</v>
      </c>
      <c r="C737" s="8" t="s">
        <v>820</v>
      </c>
      <c r="D737" s="67" t="n">
        <v>42048</v>
      </c>
      <c r="E737" s="4" t="s">
        <v>583</v>
      </c>
      <c r="F737" s="7" t="n">
        <v>819</v>
      </c>
      <c r="G737" s="68" t="n">
        <v>1</v>
      </c>
      <c r="H737" s="68" t="n">
        <v>161</v>
      </c>
      <c r="I737" s="7" t="n">
        <v>4</v>
      </c>
      <c r="J737" s="8" t="n">
        <v>680</v>
      </c>
      <c r="K737" s="32"/>
      <c r="L737" s="31" t="n">
        <v>935.138</v>
      </c>
      <c r="M737" s="31" t="n">
        <v>159.747016219525</v>
      </c>
      <c r="N737" s="31" t="n">
        <v>327.858818728961</v>
      </c>
      <c r="O737" s="95"/>
      <c r="P737" s="33" t="n">
        <v>39.171682138121</v>
      </c>
      <c r="Q737" s="33" t="n">
        <v>6.8</v>
      </c>
      <c r="R737" s="31" t="n">
        <v>270.223400999694</v>
      </c>
      <c r="S737" s="34" t="s">
        <v>76</v>
      </c>
      <c r="T737" s="35"/>
      <c r="U737" s="35"/>
      <c r="V737" s="35" t="n">
        <v>29.9938962195831</v>
      </c>
      <c r="W737" s="35" t="n">
        <v>28.0484321229885</v>
      </c>
      <c r="X737" s="35" t="n">
        <v>4.79143542587648</v>
      </c>
      <c r="Y737" s="35" t="n">
        <v>9.83376338363156</v>
      </c>
      <c r="Z737" s="35"/>
      <c r="AA737" s="35" t="n">
        <v>1.1749113687973</v>
      </c>
      <c r="AB737" s="35" t="n">
        <v>0.203958494293165</v>
      </c>
      <c r="AC737" s="71" t="n">
        <v>8.10505264568761</v>
      </c>
      <c r="AD737" s="72"/>
      <c r="AE737" s="72"/>
      <c r="AF737" s="72"/>
      <c r="AG737" s="72"/>
      <c r="AH737" s="72"/>
      <c r="AI737" s="73" t="n">
        <v>27.6867919679104</v>
      </c>
      <c r="AJ737" s="42" t="s">
        <v>16</v>
      </c>
      <c r="AK737" s="43" t="n">
        <v>754.395525206339</v>
      </c>
      <c r="AL737" s="74"/>
      <c r="AM737" s="74"/>
      <c r="AN737" s="74"/>
      <c r="AO737" s="78" t="n">
        <v>45.5142857142857</v>
      </c>
      <c r="AP737" s="76" t="n">
        <v>1.39466297701547</v>
      </c>
      <c r="AQ737" s="76" t="n">
        <v>1.49281549354436</v>
      </c>
      <c r="AR737" s="76" t="n">
        <v>2.24696376509788</v>
      </c>
      <c r="AS737" s="77" t="n">
        <v>39.1256589409464</v>
      </c>
      <c r="AT737" s="78" t="n">
        <v>40.6524373733983</v>
      </c>
      <c r="AU737" s="78" t="n">
        <v>30.6423127404529</v>
      </c>
      <c r="AV737" s="78" t="n">
        <v>32.798833819242</v>
      </c>
      <c r="AW737" s="78" t="n">
        <v>49.3683187560739</v>
      </c>
      <c r="AX737" s="78" t="n">
        <v>20.1633333333333</v>
      </c>
      <c r="AY737" s="48" t="n">
        <v>1.35535700583161</v>
      </c>
      <c r="AZ737" s="48" t="n">
        <v>27.2809613194185</v>
      </c>
      <c r="BA737" s="48" t="n">
        <v>2.71293490016461</v>
      </c>
      <c r="BB737" s="49" t="n">
        <f aca="false">AT737/V737</f>
        <v>1.35535700583161</v>
      </c>
      <c r="BC737" s="49" t="n">
        <f aca="false">AS737/V737</f>
        <v>1.30445403473128</v>
      </c>
      <c r="BD737" s="49" t="n">
        <f aca="false">SUM(AP737:AR737)/V737</f>
        <v>0.171182903283682</v>
      </c>
      <c r="BE737" s="53" t="n">
        <v>5.97</v>
      </c>
      <c r="BF737" s="51" t="n">
        <v>151.681949339275</v>
      </c>
      <c r="BG737" s="51" t="n">
        <v>568.290106057639</v>
      </c>
      <c r="BH737" s="51" t="n">
        <v>287.697040858276</v>
      </c>
      <c r="BI737" s="51" t="n">
        <v>102.812402831787</v>
      </c>
      <c r="BJ737" s="51" t="n">
        <v>6.87631895297573</v>
      </c>
      <c r="BK737" s="51" t="n">
        <v>14.3623511442047</v>
      </c>
      <c r="BL737" s="51" t="n">
        <v>16.8099979207793</v>
      </c>
      <c r="BM737" s="51" t="n">
        <v>3.15178223433816</v>
      </c>
      <c r="BN737" s="52" t="n">
        <f aca="false">(BG737*0.5-BH737*0.25+BI737*0.5)/SUM(BG737:BI737)*1000</f>
        <v>274.955275374832</v>
      </c>
      <c r="BO737" s="93" t="n">
        <v>8.772</v>
      </c>
      <c r="BP737" s="94" t="s">
        <v>491</v>
      </c>
      <c r="BQ737" s="55" t="n">
        <v>501.755357142857</v>
      </c>
      <c r="BR737" s="56" t="n">
        <v>16.7285821578345</v>
      </c>
      <c r="BS737" s="56"/>
      <c r="BT737" s="56" t="n">
        <v>12.3425651587423</v>
      </c>
      <c r="BU737" s="55" t="n">
        <v>13303.3404761905</v>
      </c>
      <c r="BV737" s="55" t="n">
        <v>443.534923865766</v>
      </c>
      <c r="BW737" s="55"/>
      <c r="BX737" s="55" t="n">
        <v>327.245826713844</v>
      </c>
      <c r="BY737" s="96" t="n">
        <v>0.07622</v>
      </c>
      <c r="BZ737" s="96" t="n">
        <v>0.5533</v>
      </c>
      <c r="CA737" s="97" t="n">
        <v>4.2768</v>
      </c>
      <c r="CB737" s="97"/>
      <c r="CC737" s="97" t="n">
        <v>4.6035</v>
      </c>
      <c r="CD737" s="97" t="n">
        <v>6.534</v>
      </c>
      <c r="CE737" s="97" t="n">
        <v>79.79</v>
      </c>
      <c r="CF737" s="97" t="n">
        <v>36.2241</v>
      </c>
      <c r="CG737" s="97" t="n">
        <v>0.4126</v>
      </c>
      <c r="CH737" s="63" t="n">
        <v>54968.5700907728</v>
      </c>
      <c r="CI737" s="63" t="n">
        <v>2156.36511443013</v>
      </c>
      <c r="CJ737" s="64" t="n">
        <v>846795.21513598</v>
      </c>
      <c r="CK737" s="65" t="n">
        <v>0.254650129793643</v>
      </c>
    </row>
    <row r="738" s="1" customFormat="true" ht="15" hidden="false" customHeight="false" outlineLevel="0" collapsed="false">
      <c r="A738" s="7" t="s">
        <v>488</v>
      </c>
      <c r="B738" s="66" t="n">
        <v>729</v>
      </c>
      <c r="C738" s="8" t="s">
        <v>821</v>
      </c>
      <c r="D738" s="67" t="n">
        <v>42048</v>
      </c>
      <c r="E738" s="4" t="s">
        <v>583</v>
      </c>
      <c r="F738" s="7" t="n">
        <v>958</v>
      </c>
      <c r="G738" s="68" t="n">
        <v>1</v>
      </c>
      <c r="H738" s="68" t="n">
        <v>162</v>
      </c>
      <c r="I738" s="7" t="n">
        <v>4</v>
      </c>
      <c r="J738" s="8" t="n">
        <v>802</v>
      </c>
      <c r="K738" s="32"/>
      <c r="L738" s="31" t="n">
        <v>935.138</v>
      </c>
      <c r="M738" s="31" t="n">
        <v>159.747016219525</v>
      </c>
      <c r="N738" s="31" t="n">
        <v>327.858818728961</v>
      </c>
      <c r="O738" s="95"/>
      <c r="P738" s="33" t="n">
        <v>39.171682138121</v>
      </c>
      <c r="Q738" s="33" t="n">
        <v>6.8</v>
      </c>
      <c r="R738" s="31" t="n">
        <v>270.223400999694</v>
      </c>
      <c r="S738" s="34" t="s">
        <v>76</v>
      </c>
      <c r="T738" s="35"/>
      <c r="U738" s="35"/>
      <c r="V738" s="35" t="n">
        <v>23.8759384618187</v>
      </c>
      <c r="W738" s="35" t="n">
        <v>22.3272973413082</v>
      </c>
      <c r="X738" s="35" t="n">
        <v>3.81410992871652</v>
      </c>
      <c r="Y738" s="35" t="n">
        <v>7.82793698013722</v>
      </c>
      <c r="Z738" s="35"/>
      <c r="AA738" s="35" t="n">
        <v>0.935260672175698</v>
      </c>
      <c r="AB738" s="35" t="n">
        <v>0.162356381540367</v>
      </c>
      <c r="AC738" s="71" t="n">
        <v>6.45183729321204</v>
      </c>
      <c r="AD738" s="72"/>
      <c r="AE738" s="72"/>
      <c r="AF738" s="72"/>
      <c r="AG738" s="72"/>
      <c r="AH738" s="72"/>
      <c r="AI738" s="73" t="n">
        <v>23.3438828067845</v>
      </c>
      <c r="AJ738" s="42" t="s">
        <v>16</v>
      </c>
      <c r="AK738" s="43" t="n">
        <v>708.703129797083</v>
      </c>
      <c r="AL738" s="74"/>
      <c r="AM738" s="74"/>
      <c r="AN738" s="74"/>
      <c r="AO738" s="78" t="n">
        <v>40.5571428571429</v>
      </c>
      <c r="AP738" s="76" t="n">
        <v>1.7069523990117</v>
      </c>
      <c r="AQ738" s="76" t="n">
        <v>1.41299666805498</v>
      </c>
      <c r="AR738" s="76" t="n">
        <v>1.99435512980703</v>
      </c>
      <c r="AS738" s="77" t="n">
        <v>41.8271431280327</v>
      </c>
      <c r="AT738" s="78" t="n">
        <v>42.4831092207738</v>
      </c>
      <c r="AU738" s="78" t="n">
        <v>42.0875899721097</v>
      </c>
      <c r="AV738" s="78" t="n">
        <v>34.8396501457726</v>
      </c>
      <c r="AW738" s="78" t="n">
        <v>49.1739552964043</v>
      </c>
      <c r="AX738" s="78" t="n">
        <v>23.54</v>
      </c>
      <c r="AY738" s="48" t="n">
        <v>1.77932730429469</v>
      </c>
      <c r="AZ738" s="48" t="n">
        <v>29.9728671370796</v>
      </c>
      <c r="BA738" s="48" t="n">
        <v>-6.09692867526092</v>
      </c>
      <c r="BB738" s="49" t="n">
        <f aca="false">AT738/V738</f>
        <v>1.77932730429469</v>
      </c>
      <c r="BC738" s="49" t="n">
        <f aca="false">AS738/V738</f>
        <v>1.75185336462987</v>
      </c>
      <c r="BD738" s="49" t="n">
        <f aca="false">SUM(AP738:AR738)/V738</f>
        <v>0.214203274357248</v>
      </c>
      <c r="BE738" s="53" t="n">
        <v>6.43</v>
      </c>
      <c r="BF738" s="51" t="n">
        <v>123.676494271641</v>
      </c>
      <c r="BG738" s="51" t="n">
        <v>599.057247910844</v>
      </c>
      <c r="BH738" s="51" t="n">
        <v>237.638756116728</v>
      </c>
      <c r="BI738" s="51" t="n">
        <v>117.44613131737</v>
      </c>
      <c r="BJ738" s="51" t="n">
        <v>6.88987272391054</v>
      </c>
      <c r="BK738" s="51" t="n">
        <v>16.0607290779468</v>
      </c>
      <c r="BL738" s="51" t="n">
        <v>14.3234485161298</v>
      </c>
      <c r="BM738" s="51" t="n">
        <v>8.58381433707169</v>
      </c>
      <c r="BN738" s="52" t="n">
        <f aca="false">(BG738*0.5-BH738*0.25+BI738*0.5)/SUM(BG738:BI738)*1000</f>
        <v>313.204908906876</v>
      </c>
      <c r="BO738" s="93" t="n">
        <v>6.41142857142857</v>
      </c>
      <c r="BP738" s="94" t="s">
        <v>491</v>
      </c>
      <c r="BQ738" s="55" t="n">
        <v>576.045454545455</v>
      </c>
      <c r="BR738" s="56" t="n">
        <v>24.1266099536419</v>
      </c>
      <c r="BS738" s="56"/>
      <c r="BT738" s="56" t="n">
        <v>13.559399608722</v>
      </c>
      <c r="BU738" s="55" t="n">
        <v>13836.7121212121</v>
      </c>
      <c r="BV738" s="55" t="n">
        <v>579.525372095391</v>
      </c>
      <c r="BW738" s="55"/>
      <c r="BX738" s="55" t="n">
        <v>325.69913961114</v>
      </c>
      <c r="BY738" s="96" t="n">
        <v>0.06592</v>
      </c>
      <c r="BZ738" s="96" t="n">
        <v>0.924</v>
      </c>
      <c r="CA738" s="97" t="n">
        <v>3.4551</v>
      </c>
      <c r="CB738" s="97"/>
      <c r="CC738" s="97" t="n">
        <v>5.3658</v>
      </c>
      <c r="CD738" s="97" t="n">
        <v>6.2271</v>
      </c>
      <c r="CE738" s="97" t="n">
        <v>75.75</v>
      </c>
      <c r="CF738" s="97" t="n">
        <v>37.7883</v>
      </c>
      <c r="CG738" s="97" t="n">
        <v>0.0696</v>
      </c>
      <c r="CH738" s="63" t="n">
        <v>79197.6988862972</v>
      </c>
      <c r="CI738" s="63" t="n">
        <v>3278.66418578332</v>
      </c>
      <c r="CJ738" s="64" t="n">
        <v>436379.59857843</v>
      </c>
      <c r="CK738" s="65" t="n">
        <v>0.751333058755279</v>
      </c>
    </row>
    <row r="739" s="1" customFormat="true" ht="15" hidden="false" customHeight="false" outlineLevel="0" collapsed="false">
      <c r="A739" s="7" t="s">
        <v>488</v>
      </c>
      <c r="B739" s="66" t="n">
        <v>730</v>
      </c>
      <c r="C739" s="8" t="s">
        <v>822</v>
      </c>
      <c r="D739" s="67" t="n">
        <v>42048</v>
      </c>
      <c r="E739" s="4" t="s">
        <v>583</v>
      </c>
      <c r="F739" s="7" t="n">
        <v>1119</v>
      </c>
      <c r="G739" s="68" t="n">
        <v>1</v>
      </c>
      <c r="H739" s="68" t="n">
        <v>152</v>
      </c>
      <c r="I739" s="7" t="n">
        <v>3</v>
      </c>
      <c r="J739" s="8" t="n">
        <v>810</v>
      </c>
      <c r="K739" s="32"/>
      <c r="L739" s="31" t="n">
        <v>935.138</v>
      </c>
      <c r="M739" s="31" t="n">
        <v>159.747016219525</v>
      </c>
      <c r="N739" s="31" t="n">
        <v>327.858818728961</v>
      </c>
      <c r="O739" s="95"/>
      <c r="P739" s="33" t="n">
        <v>39.171682138121</v>
      </c>
      <c r="Q739" s="33" t="n">
        <v>6.8</v>
      </c>
      <c r="R739" s="31" t="n">
        <v>270.223400999694</v>
      </c>
      <c r="S739" s="34" t="s">
        <v>76</v>
      </c>
      <c r="T739" s="35"/>
      <c r="U739" s="35"/>
      <c r="V739" s="35" t="n">
        <v>25.1041323808964</v>
      </c>
      <c r="W739" s="35" t="n">
        <v>23.4758281464067</v>
      </c>
      <c r="X739" s="35" t="n">
        <v>4.01031024262815</v>
      </c>
      <c r="Y739" s="35" t="n">
        <v>8.23061118761614</v>
      </c>
      <c r="Z739" s="35"/>
      <c r="AA739" s="35" t="n">
        <v>0.983371093977784</v>
      </c>
      <c r="AB739" s="35" t="n">
        <v>0.170708100190096</v>
      </c>
      <c r="AC739" s="71" t="n">
        <v>6.78372403111237</v>
      </c>
      <c r="AD739" s="72"/>
      <c r="AE739" s="72"/>
      <c r="AF739" s="72"/>
      <c r="AG739" s="72"/>
      <c r="AH739" s="72"/>
      <c r="AI739" s="73" t="n">
        <v>22.0602195757159</v>
      </c>
      <c r="AJ739" s="42" t="s">
        <v>16</v>
      </c>
      <c r="AK739" s="43" t="n">
        <v>691.752841504556</v>
      </c>
      <c r="AL739" s="74"/>
      <c r="AM739" s="74"/>
      <c r="AN739" s="74"/>
      <c r="AO739" s="78" t="n">
        <v>43.7</v>
      </c>
      <c r="AP739" s="76" t="n">
        <v>1.8896398421675</v>
      </c>
      <c r="AQ739" s="76" t="n">
        <v>1.36535957240039</v>
      </c>
      <c r="AR739" s="76" t="n">
        <v>2.19137026239067</v>
      </c>
      <c r="AS739" s="77" t="n">
        <v>45.8245976325126</v>
      </c>
      <c r="AT739" s="78" t="n">
        <v>45.4027903653014</v>
      </c>
      <c r="AU739" s="78" t="n">
        <v>43.2411863196225</v>
      </c>
      <c r="AV739" s="78" t="n">
        <v>31.2439261418853</v>
      </c>
      <c r="AW739" s="78" t="n">
        <v>50.1457725947522</v>
      </c>
      <c r="AX739" s="78" t="n">
        <v>28.625</v>
      </c>
      <c r="AY739" s="48" t="n">
        <v>1.80857835181955</v>
      </c>
      <c r="AZ739" s="48" t="n">
        <v>31.501438798123</v>
      </c>
      <c r="BA739" s="48" t="n">
        <v>-6.39730641722662</v>
      </c>
      <c r="BB739" s="49" t="n">
        <f aca="false">AT739/V739</f>
        <v>1.80857835181955</v>
      </c>
      <c r="BC739" s="49" t="n">
        <f aca="false">AS739/V739</f>
        <v>1.82538065595065</v>
      </c>
      <c r="BD739" s="49" t="n">
        <f aca="false">SUM(AP739:AR739)/V739</f>
        <v>0.216951121605107</v>
      </c>
      <c r="BE739" s="53" t="n">
        <v>6.1</v>
      </c>
      <c r="BF739" s="51" t="n">
        <v>133.692864821861</v>
      </c>
      <c r="BG739" s="51" t="n">
        <v>634.852924306635</v>
      </c>
      <c r="BH739" s="51" t="n">
        <v>193.27587982933</v>
      </c>
      <c r="BI739" s="51" t="n">
        <v>132.327017159361</v>
      </c>
      <c r="BJ739" s="51" t="n">
        <v>6.94634544354129</v>
      </c>
      <c r="BK739" s="51" t="n">
        <v>12.3437724458686</v>
      </c>
      <c r="BL739" s="51" t="n">
        <v>13.0908073773765</v>
      </c>
      <c r="BM739" s="51" t="n">
        <v>7.16325343788747</v>
      </c>
      <c r="BN739" s="52" t="n">
        <f aca="false">(BG739*0.5-BH739*0.25+BI739*0.5)/SUM(BG739:BI739)*1000</f>
        <v>349.074880220414</v>
      </c>
      <c r="BO739" s="93" t="n">
        <v>6.44057142857143</v>
      </c>
      <c r="BP739" s="94" t="s">
        <v>491</v>
      </c>
      <c r="BQ739" s="55" t="n">
        <v>603.299333333333</v>
      </c>
      <c r="BR739" s="56" t="n">
        <v>24.0318734851967</v>
      </c>
      <c r="BS739" s="56"/>
      <c r="BT739" s="56" t="n">
        <v>13.2877148844666</v>
      </c>
      <c r="BU739" s="55" t="n">
        <v>14792.8746666667</v>
      </c>
      <c r="BV739" s="55" t="n">
        <v>589.260542536163</v>
      </c>
      <c r="BW739" s="55"/>
      <c r="BX739" s="55" t="n">
        <v>325.814218633839</v>
      </c>
      <c r="BY739" s="96" t="n">
        <v>0.08446</v>
      </c>
      <c r="BZ739" s="96" t="n">
        <v>1.8832</v>
      </c>
      <c r="CA739" s="97" t="n">
        <v>3.3957</v>
      </c>
      <c r="CB739" s="97"/>
      <c r="CC739" s="97" t="n">
        <v>5.2272</v>
      </c>
      <c r="CD739" s="97" t="n">
        <v>8.019</v>
      </c>
      <c r="CE739" s="97" t="n">
        <v>76.76</v>
      </c>
      <c r="CF739" s="97" t="n">
        <v>35.8182</v>
      </c>
      <c r="CG739" s="97" t="n">
        <v>0.099</v>
      </c>
      <c r="CH739" s="63" t="n">
        <v>137174.031583408</v>
      </c>
      <c r="CI739" s="63" t="n">
        <v>1979.9493275321</v>
      </c>
      <c r="CJ739" s="64" t="n">
        <v>428181.547154785</v>
      </c>
      <c r="CK739" s="65" t="n">
        <v>0.46240884052305</v>
      </c>
    </row>
    <row r="740" s="1" customFormat="true" ht="15" hidden="false" customHeight="false" outlineLevel="0" collapsed="false">
      <c r="A740" s="7" t="s">
        <v>488</v>
      </c>
      <c r="B740" s="66" t="n">
        <v>731</v>
      </c>
      <c r="C740" s="8" t="s">
        <v>823</v>
      </c>
      <c r="D740" s="67" t="n">
        <v>42048</v>
      </c>
      <c r="E740" s="4" t="s">
        <v>583</v>
      </c>
      <c r="F740" s="7" t="n">
        <v>1333</v>
      </c>
      <c r="G740" s="68" t="n">
        <v>1</v>
      </c>
      <c r="H740" s="68" t="n">
        <v>159</v>
      </c>
      <c r="I740" s="7" t="n">
        <v>3</v>
      </c>
      <c r="J740" s="8" t="n">
        <v>880</v>
      </c>
      <c r="K740" s="32"/>
      <c r="L740" s="31" t="n">
        <v>935.138</v>
      </c>
      <c r="M740" s="31" t="n">
        <v>159.747016219525</v>
      </c>
      <c r="N740" s="31" t="n">
        <v>327.858818728961</v>
      </c>
      <c r="O740" s="95"/>
      <c r="P740" s="33" t="n">
        <v>39.171682138121</v>
      </c>
      <c r="Q740" s="33" t="n">
        <v>6.8</v>
      </c>
      <c r="R740" s="31" t="n">
        <v>270.223400999694</v>
      </c>
      <c r="S740" s="34" t="s">
        <v>76</v>
      </c>
      <c r="T740" s="35"/>
      <c r="U740" s="35"/>
      <c r="V740" s="35" t="n">
        <v>22.3654619797526</v>
      </c>
      <c r="W740" s="35" t="n">
        <v>20.9147933848219</v>
      </c>
      <c r="X740" s="35" t="n">
        <v>3.57281581763671</v>
      </c>
      <c r="Y740" s="35" t="n">
        <v>7.33271394500918</v>
      </c>
      <c r="Z740" s="35"/>
      <c r="AA740" s="35" t="n">
        <v>0.8760927675431</v>
      </c>
      <c r="AB740" s="35" t="n">
        <v>0.152085141462318</v>
      </c>
      <c r="AC740" s="71" t="n">
        <v>6.04367120109811</v>
      </c>
      <c r="AD740" s="72"/>
      <c r="AE740" s="72"/>
      <c r="AF740" s="72"/>
      <c r="AG740" s="72"/>
      <c r="AH740" s="72"/>
      <c r="AI740" s="73" t="n">
        <v>22.8323685821301</v>
      </c>
      <c r="AJ740" s="42" t="s">
        <v>16</v>
      </c>
      <c r="AK740" s="43" t="n">
        <v>702.177197449324</v>
      </c>
      <c r="AL740" s="74"/>
      <c r="AM740" s="74"/>
      <c r="AN740" s="74"/>
      <c r="AO740" s="78" t="n">
        <v>34.8857142857143</v>
      </c>
      <c r="AP740" s="76" t="n">
        <v>1.17761814593289</v>
      </c>
      <c r="AQ740" s="76" t="n">
        <v>1.14166805497709</v>
      </c>
      <c r="AR740" s="76" t="n">
        <v>1.68665139525198</v>
      </c>
      <c r="AS740" s="77" t="n">
        <v>31.6185579032791</v>
      </c>
      <c r="AT740" s="78" t="n">
        <v>32.2772262047317</v>
      </c>
      <c r="AU740" s="78" t="n">
        <v>33.7564579096243</v>
      </c>
      <c r="AV740" s="78" t="n">
        <v>32.7259475218659</v>
      </c>
      <c r="AW740" s="78" t="n">
        <v>48.3479105928086</v>
      </c>
      <c r="AX740" s="78" t="n">
        <v>24.7383333333333</v>
      </c>
      <c r="AY740" s="48" t="n">
        <v>1.44317279177833</v>
      </c>
      <c r="AZ740" s="48" t="n">
        <v>27.2292464178308</v>
      </c>
      <c r="BA740" s="48" t="n">
        <v>-4.86378443807813</v>
      </c>
      <c r="BB740" s="49" t="n">
        <f aca="false">AT740/V740</f>
        <v>1.44317279177833</v>
      </c>
      <c r="BC740" s="49" t="n">
        <f aca="false">AS740/V740</f>
        <v>1.41372254827123</v>
      </c>
      <c r="BD740" s="49" t="n">
        <f aca="false">SUM(AP740:AR740)/V740</f>
        <v>0.179112669337594</v>
      </c>
      <c r="BE740" s="53" t="n">
        <v>6.35</v>
      </c>
      <c r="BF740" s="51" t="n">
        <v>126.28261779938</v>
      </c>
      <c r="BG740" s="51" t="n">
        <v>602.731162053813</v>
      </c>
      <c r="BH740" s="51" t="n">
        <v>240.141341611292</v>
      </c>
      <c r="BI740" s="51" t="n">
        <v>119.270794954219</v>
      </c>
      <c r="BJ740" s="51" t="n">
        <v>6.29291502891913</v>
      </c>
      <c r="BK740" s="51" t="n">
        <v>12.943341620231</v>
      </c>
      <c r="BL740" s="51" t="n">
        <v>13.4126066463729</v>
      </c>
      <c r="BM740" s="51" t="n">
        <v>5.20783808515362</v>
      </c>
      <c r="BN740" s="52" t="n">
        <f aca="false">(BG740*0.5-BH740*0.25+BI740*0.5)/SUM(BG740:BI740)*1000</f>
        <v>312.807503344958</v>
      </c>
      <c r="BO740" s="93" t="n">
        <v>6.70285714285714</v>
      </c>
      <c r="BP740" s="94" t="s">
        <v>491</v>
      </c>
      <c r="BQ740" s="55" t="n">
        <v>559.018115942029</v>
      </c>
      <c r="BR740" s="56" t="n">
        <v>24.9947046230525</v>
      </c>
      <c r="BS740" s="56"/>
      <c r="BT740" s="56" t="n">
        <v>17.3192737317707</v>
      </c>
      <c r="BU740" s="55" t="n">
        <v>14775.3079710145</v>
      </c>
      <c r="BV740" s="55" t="n">
        <v>660.630573354153</v>
      </c>
      <c r="BW740" s="55"/>
      <c r="BX740" s="55" t="n">
        <v>457.762630447114</v>
      </c>
      <c r="BY740" s="96" t="n">
        <v>0.08652</v>
      </c>
      <c r="BZ740" s="96" t="n">
        <v>0.6952</v>
      </c>
      <c r="CA740" s="97" t="n">
        <v>4.4946</v>
      </c>
      <c r="CB740" s="97"/>
      <c r="CC740" s="97" t="n">
        <v>5.4846</v>
      </c>
      <c r="CD740" s="97" t="n">
        <v>7.524</v>
      </c>
      <c r="CE740" s="97" t="n">
        <v>81.81</v>
      </c>
      <c r="CF740" s="97" t="n">
        <v>35.6796</v>
      </c>
      <c r="CG740" s="97" t="n">
        <v>0.0794</v>
      </c>
      <c r="CH740" s="63" t="n">
        <v>114971.120235926</v>
      </c>
      <c r="CI740" s="63" t="n">
        <v>1198.50086244201</v>
      </c>
      <c r="CJ740" s="64" t="n">
        <v>225296.200288319</v>
      </c>
      <c r="CK740" s="65" t="n">
        <v>0.531966744626962</v>
      </c>
    </row>
    <row r="741" s="1" customFormat="true" ht="15" hidden="false" customHeight="false" outlineLevel="0" collapsed="false">
      <c r="A741" s="7" t="s">
        <v>488</v>
      </c>
      <c r="B741" s="66" t="n">
        <v>732</v>
      </c>
      <c r="C741" s="8" t="s">
        <v>824</v>
      </c>
      <c r="D741" s="67" t="n">
        <v>42048</v>
      </c>
      <c r="E741" s="4" t="s">
        <v>583</v>
      </c>
      <c r="F741" s="7" t="n">
        <v>1338</v>
      </c>
      <c r="G741" s="68" t="n">
        <v>1</v>
      </c>
      <c r="H741" s="68" t="n">
        <v>158</v>
      </c>
      <c r="I741" s="7" t="n">
        <v>3</v>
      </c>
      <c r="J741" s="8" t="n">
        <v>802</v>
      </c>
      <c r="K741" s="32"/>
      <c r="L741" s="31" t="n">
        <v>935.138</v>
      </c>
      <c r="M741" s="31" t="n">
        <v>159.747016219525</v>
      </c>
      <c r="N741" s="31" t="n">
        <v>327.858818728961</v>
      </c>
      <c r="O741" s="95"/>
      <c r="P741" s="33" t="n">
        <v>39.171682138121</v>
      </c>
      <c r="Q741" s="33" t="n">
        <v>6.8</v>
      </c>
      <c r="R741" s="31" t="n">
        <v>270.223400999694</v>
      </c>
      <c r="S741" s="34" t="s">
        <v>76</v>
      </c>
      <c r="T741" s="35"/>
      <c r="U741" s="35"/>
      <c r="V741" s="35" t="n">
        <v>24.2787758217209</v>
      </c>
      <c r="W741" s="35" t="n">
        <v>22.7040058643724</v>
      </c>
      <c r="X741" s="35" t="n">
        <v>3.87846199498265</v>
      </c>
      <c r="Y741" s="35" t="n">
        <v>7.96001076109466</v>
      </c>
      <c r="Z741" s="35"/>
      <c r="AA741" s="35" t="n">
        <v>0.951040489191148</v>
      </c>
      <c r="AB741" s="35" t="n">
        <v>0.165095675587702</v>
      </c>
      <c r="AC741" s="71" t="n">
        <v>6.56069337465456</v>
      </c>
      <c r="AD741" s="72"/>
      <c r="AE741" s="72"/>
      <c r="AF741" s="72"/>
      <c r="AG741" s="72"/>
      <c r="AH741" s="72"/>
      <c r="AI741" s="73" t="n">
        <v>20.8613347863161</v>
      </c>
      <c r="AJ741" s="42" t="s">
        <v>16</v>
      </c>
      <c r="AK741" s="43" t="n">
        <v>674.038115506376</v>
      </c>
      <c r="AL741" s="74"/>
      <c r="AM741" s="74"/>
      <c r="AN741" s="74"/>
      <c r="AO741" s="78" t="n">
        <v>40.3571428571429</v>
      </c>
      <c r="AP741" s="76" t="n">
        <v>1.61193252811329</v>
      </c>
      <c r="AQ741" s="76" t="n">
        <v>1.52564903512425</v>
      </c>
      <c r="AR741" s="76" t="n">
        <v>1.9139247535749</v>
      </c>
      <c r="AS741" s="77" t="n">
        <v>40.3218450645564</v>
      </c>
      <c r="AT741" s="78" t="n">
        <v>41.7673346363113</v>
      </c>
      <c r="AU741" s="78" t="n">
        <v>39.9416909620991</v>
      </c>
      <c r="AV741" s="78" t="n">
        <v>37.8036929057337</v>
      </c>
      <c r="AW741" s="78" t="n">
        <v>47.424684159378</v>
      </c>
      <c r="AX741" s="78" t="n">
        <v>22.925</v>
      </c>
      <c r="AY741" s="48" t="n">
        <v>1.7203229249699</v>
      </c>
      <c r="AZ741" s="48" t="n">
        <v>29.3962137560521</v>
      </c>
      <c r="BA741" s="48" t="n">
        <v>-5.11743793433124</v>
      </c>
      <c r="BB741" s="49" t="n">
        <f aca="false">AT741/V741</f>
        <v>1.7203229249699</v>
      </c>
      <c r="BC741" s="49" t="n">
        <f aca="false">AS741/V741</f>
        <v>1.660785756277</v>
      </c>
      <c r="BD741" s="49" t="n">
        <f aca="false">SUM(AP741:AR741)/V741</f>
        <v>0.208062645081682</v>
      </c>
      <c r="BE741" s="53" t="n">
        <v>6.09</v>
      </c>
      <c r="BF741" s="51" t="n">
        <v>133.167077791045</v>
      </c>
      <c r="BG741" s="51" t="n">
        <v>540.154624768701</v>
      </c>
      <c r="BH741" s="51" t="n">
        <v>302.162028014068</v>
      </c>
      <c r="BI741" s="51" t="n">
        <v>108.347942229452</v>
      </c>
      <c r="BJ741" s="51" t="n">
        <v>6.01445443215436</v>
      </c>
      <c r="BK741" s="51" t="n">
        <v>23.9029917934753</v>
      </c>
      <c r="BL741" s="51" t="n">
        <v>13.4816951421535</v>
      </c>
      <c r="BM741" s="51" t="n">
        <v>5.93626361999663</v>
      </c>
      <c r="BN741" s="52" t="n">
        <f aca="false">(BG741*0.5-BH741*0.25+BI741*0.5)/SUM(BG741:BI741)*1000</f>
        <v>261.617796434674</v>
      </c>
      <c r="BO741" s="93" t="n">
        <v>3.264</v>
      </c>
      <c r="BP741" s="94" t="s">
        <v>491</v>
      </c>
      <c r="BQ741" s="55" t="n">
        <v>443.599142857143</v>
      </c>
      <c r="BR741" s="56" t="n">
        <v>18.2710671293517</v>
      </c>
      <c r="BS741" s="56"/>
      <c r="BT741" s="56" t="n">
        <v>10.620719438283</v>
      </c>
      <c r="BU741" s="55" t="n">
        <v>14656.928</v>
      </c>
      <c r="BV741" s="55" t="n">
        <v>603.693040688125</v>
      </c>
      <c r="BW741" s="55"/>
      <c r="BX741" s="55" t="n">
        <v>350.918442070222</v>
      </c>
      <c r="BY741" s="96" t="n">
        <v>0.07828</v>
      </c>
      <c r="BZ741" s="96" t="n">
        <v>0.8833</v>
      </c>
      <c r="CA741" s="97" t="n">
        <v>4.158</v>
      </c>
      <c r="CB741" s="97"/>
      <c r="CC741" s="97" t="n">
        <v>4.257</v>
      </c>
      <c r="CD741" s="97" t="n">
        <v>6.039</v>
      </c>
      <c r="CE741" s="97" t="n">
        <v>70.7</v>
      </c>
      <c r="CF741" s="97" t="n">
        <v>32.9076</v>
      </c>
      <c r="CG741" s="97" t="n">
        <v>0.736</v>
      </c>
      <c r="CH741" s="63" t="n">
        <v>63154.687471001</v>
      </c>
      <c r="CI741" s="63" t="n">
        <v>2815.15918053881</v>
      </c>
      <c r="CJ741" s="64" t="n">
        <v>893449.620334446</v>
      </c>
      <c r="CK741" s="65" t="n">
        <v>0.315088743278553</v>
      </c>
    </row>
    <row r="742" s="1" customFormat="true" ht="15" hidden="false" customHeight="false" outlineLevel="0" collapsed="false">
      <c r="A742" s="7" t="s">
        <v>488</v>
      </c>
      <c r="B742" s="66" t="n">
        <v>733</v>
      </c>
      <c r="C742" s="8" t="s">
        <v>825</v>
      </c>
      <c r="D742" s="67" t="n">
        <v>42048</v>
      </c>
      <c r="E742" s="4" t="s">
        <v>583</v>
      </c>
      <c r="F742" s="7" t="n">
        <v>1384</v>
      </c>
      <c r="G742" s="68" t="n">
        <v>1</v>
      </c>
      <c r="H742" s="68" t="n">
        <v>170</v>
      </c>
      <c r="I742" s="7" t="n">
        <v>3</v>
      </c>
      <c r="J742" s="8" t="n">
        <v>840</v>
      </c>
      <c r="K742" s="32"/>
      <c r="L742" s="31" t="n">
        <v>935.138</v>
      </c>
      <c r="M742" s="31" t="n">
        <v>159.747016219525</v>
      </c>
      <c r="N742" s="31" t="n">
        <v>327.858818728961</v>
      </c>
      <c r="O742" s="95"/>
      <c r="P742" s="33" t="n">
        <v>39.171682138121</v>
      </c>
      <c r="Q742" s="33" t="n">
        <v>6.8</v>
      </c>
      <c r="R742" s="31" t="n">
        <v>270.223400999694</v>
      </c>
      <c r="S742" s="34" t="s">
        <v>76</v>
      </c>
      <c r="T742" s="35"/>
      <c r="U742" s="35"/>
      <c r="V742" s="35" t="n">
        <v>27.2802722940212</v>
      </c>
      <c r="W742" s="35" t="n">
        <v>25.5108192724864</v>
      </c>
      <c r="X742" s="35" t="n">
        <v>4.35794210062605</v>
      </c>
      <c r="Y742" s="35" t="n">
        <v>8.94407784892218</v>
      </c>
      <c r="Z742" s="35"/>
      <c r="AA742" s="35" t="n">
        <v>1.06861415494279</v>
      </c>
      <c r="AB742" s="35" t="n">
        <v>0.185505851599344</v>
      </c>
      <c r="AC742" s="71" t="n">
        <v>7.37176795948813</v>
      </c>
      <c r="AD742" s="72"/>
      <c r="AE742" s="72"/>
      <c r="AF742" s="72"/>
      <c r="AG742" s="72"/>
      <c r="AH742" s="72"/>
      <c r="AI742" s="73" t="n">
        <v>28.5154090352953</v>
      </c>
      <c r="AJ742" s="42" t="s">
        <v>16</v>
      </c>
      <c r="AK742" s="43" t="n">
        <v>761.532440527743</v>
      </c>
      <c r="AL742" s="74"/>
      <c r="AM742" s="74"/>
      <c r="AN742" s="74"/>
      <c r="AO742" s="78" t="n">
        <v>46.1</v>
      </c>
      <c r="AP742" s="76" t="n">
        <v>1.4152977033379</v>
      </c>
      <c r="AQ742" s="76" t="n">
        <v>1.45266520894072</v>
      </c>
      <c r="AR742" s="76" t="n">
        <v>2.26915937803693</v>
      </c>
      <c r="AS742" s="77" t="n">
        <v>39.6694655500684</v>
      </c>
      <c r="AT742" s="78" t="n">
        <v>40.7154669448846</v>
      </c>
      <c r="AU742" s="78" t="n">
        <v>30.7006009400845</v>
      </c>
      <c r="AV742" s="78" t="n">
        <v>31.511175898931</v>
      </c>
      <c r="AW742" s="78" t="n">
        <v>49.2225461613217</v>
      </c>
      <c r="AX742" s="78" t="n">
        <v>23.3666666666667</v>
      </c>
      <c r="AY742" s="48" t="n">
        <v>1.49248755679788</v>
      </c>
      <c r="AZ742" s="48" t="n">
        <v>29.7214680234261</v>
      </c>
      <c r="BA742" s="48" t="n">
        <v>-2.44119572940487</v>
      </c>
      <c r="BB742" s="49" t="n">
        <f aca="false">AT742/V742</f>
        <v>1.49248755679788</v>
      </c>
      <c r="BC742" s="49" t="n">
        <f aca="false">AS742/V742</f>
        <v>1.45414477988046</v>
      </c>
      <c r="BD742" s="49" t="n">
        <f aca="false">SUM(AP742:AR742)/V742</f>
        <v>0.188309054797866</v>
      </c>
      <c r="BE742" s="53" t="n">
        <v>6.46</v>
      </c>
      <c r="BF742" s="51" t="n">
        <v>110.148823896612</v>
      </c>
      <c r="BG742" s="51" t="n">
        <v>550.675066187487</v>
      </c>
      <c r="BH742" s="51" t="n">
        <v>324.00754739356</v>
      </c>
      <c r="BI742" s="51" t="n">
        <v>90.8355553494216</v>
      </c>
      <c r="BJ742" s="51" t="n">
        <v>6.03839469316612</v>
      </c>
      <c r="BK742" s="51" t="n">
        <v>14.4414619595432</v>
      </c>
      <c r="BL742" s="51" t="n">
        <v>10.361811335542</v>
      </c>
      <c r="BM742" s="51" t="n">
        <v>3.64016308128079</v>
      </c>
      <c r="BN742" s="52" t="n">
        <f aca="false">(BG742*0.5-BH742*0.25+BI742*0.5)/SUM(BG742:BI742)*1000</f>
        <v>248.315807651394</v>
      </c>
      <c r="BO742" s="93" t="n">
        <v>4.54628571428571</v>
      </c>
      <c r="BP742" s="94" t="s">
        <v>491</v>
      </c>
      <c r="BQ742" s="55" t="n">
        <v>380.576169432419</v>
      </c>
      <c r="BR742" s="56" t="n">
        <v>13.950600101445</v>
      </c>
      <c r="BS742" s="56"/>
      <c r="BT742" s="56" t="n">
        <v>9.34721367552029</v>
      </c>
      <c r="BU742" s="55" t="n">
        <v>12225.9141654642</v>
      </c>
      <c r="BV742" s="55" t="n">
        <v>448.159535714885</v>
      </c>
      <c r="BW742" s="55"/>
      <c r="BX742" s="55" t="n">
        <v>300.276899243574</v>
      </c>
      <c r="BY742" s="96" t="n">
        <v>0.09373</v>
      </c>
      <c r="BZ742" s="96" t="n">
        <v>0.7392</v>
      </c>
      <c r="CA742" s="97" t="n">
        <v>4.0095</v>
      </c>
      <c r="CB742" s="97"/>
      <c r="CC742" s="97" t="n">
        <v>6.0885</v>
      </c>
      <c r="CD742" s="97" t="n">
        <v>5.7618</v>
      </c>
      <c r="CE742" s="97" t="n">
        <v>76.76</v>
      </c>
      <c r="CF742" s="97" t="n">
        <v>37.6596</v>
      </c>
      <c r="CG742" s="97" t="n">
        <v>0.0696</v>
      </c>
      <c r="CH742" s="63" t="n">
        <v>62105.2050616574</v>
      </c>
      <c r="CI742" s="63" t="n">
        <v>3956.32802361013</v>
      </c>
      <c r="CJ742" s="64" t="n">
        <v>842492.356836144</v>
      </c>
      <c r="CK742" s="65" t="n">
        <v>0.469598090891595</v>
      </c>
    </row>
    <row r="743" s="1" customFormat="true" ht="15" hidden="false" customHeight="false" outlineLevel="0" collapsed="false">
      <c r="A743" s="7" t="s">
        <v>488</v>
      </c>
      <c r="B743" s="66" t="n">
        <v>734</v>
      </c>
      <c r="C743" s="8" t="s">
        <v>826</v>
      </c>
      <c r="D743" s="67" t="n">
        <v>42048</v>
      </c>
      <c r="E743" s="4" t="s">
        <v>583</v>
      </c>
      <c r="F743" s="7" t="n">
        <v>1463</v>
      </c>
      <c r="G743" s="68" t="n">
        <v>1</v>
      </c>
      <c r="H743" s="68" t="n">
        <v>164</v>
      </c>
      <c r="I743" s="7" t="n">
        <v>3</v>
      </c>
      <c r="J743" s="8" t="n">
        <v>770</v>
      </c>
      <c r="K743" s="32"/>
      <c r="L743" s="31" t="n">
        <v>935.138</v>
      </c>
      <c r="M743" s="31" t="n">
        <v>159.747016219525</v>
      </c>
      <c r="N743" s="31" t="n">
        <v>327.858818728961</v>
      </c>
      <c r="O743" s="95"/>
      <c r="P743" s="33" t="n">
        <v>39.171682138121</v>
      </c>
      <c r="Q743" s="33" t="n">
        <v>6.8</v>
      </c>
      <c r="R743" s="31" t="n">
        <v>270.223400999694</v>
      </c>
      <c r="S743" s="34" t="s">
        <v>76</v>
      </c>
      <c r="T743" s="35"/>
      <c r="U743" s="35"/>
      <c r="V743" s="35" t="n">
        <v>31.6110768008637</v>
      </c>
      <c r="W743" s="35" t="n">
        <v>29.5607191374061</v>
      </c>
      <c r="X743" s="35" t="n">
        <v>5.04977519842421</v>
      </c>
      <c r="Y743" s="35" t="n">
        <v>10.3639702986816</v>
      </c>
      <c r="Z743" s="35"/>
      <c r="AA743" s="35" t="n">
        <v>1.23825905248716</v>
      </c>
      <c r="AB743" s="35" t="n">
        <v>0.214955322245873</v>
      </c>
      <c r="AC743" s="71" t="n">
        <v>8.54205268239191</v>
      </c>
      <c r="AD743" s="72"/>
      <c r="AE743" s="72"/>
      <c r="AF743" s="72"/>
      <c r="AG743" s="72"/>
      <c r="AH743" s="72"/>
      <c r="AI743" s="73" t="n">
        <v>22.2066596448093</v>
      </c>
      <c r="AJ743" s="42" t="s">
        <v>16</v>
      </c>
      <c r="AK743" s="43" t="n">
        <v>693.785553128452</v>
      </c>
      <c r="AL743" s="74"/>
      <c r="AM743" s="74"/>
      <c r="AN743" s="74"/>
      <c r="AO743" s="78" t="n">
        <v>38.7142857142857</v>
      </c>
      <c r="AP743" s="76" t="n">
        <v>1.61707943983454</v>
      </c>
      <c r="AQ743" s="76" t="n">
        <v>1.21522976537554</v>
      </c>
      <c r="AR743" s="76" t="n">
        <v>1.83319103151465</v>
      </c>
      <c r="AS743" s="77" t="n">
        <v>39.7419058832324</v>
      </c>
      <c r="AT743" s="78" t="n">
        <v>39.0016140902194</v>
      </c>
      <c r="AU743" s="78" t="n">
        <v>41.7695796267225</v>
      </c>
      <c r="AV743" s="78" t="n">
        <v>31.3896987366375</v>
      </c>
      <c r="AW743" s="78" t="n">
        <v>47.351797862002</v>
      </c>
      <c r="AX743" s="78" t="n">
        <v>25.185</v>
      </c>
      <c r="AY743" s="48" t="n">
        <v>1.23379580948517</v>
      </c>
      <c r="AZ743" s="48" t="n">
        <v>28.7744166058242</v>
      </c>
      <c r="BA743" s="48" t="n">
        <v>2.83666019503951</v>
      </c>
      <c r="BB743" s="49" t="n">
        <f aca="false">AT743/V743</f>
        <v>1.23379580948517</v>
      </c>
      <c r="BC743" s="49" t="n">
        <f aca="false">AS743/V743</f>
        <v>1.25721455594789</v>
      </c>
      <c r="BD743" s="49" t="n">
        <f aca="false">SUM(AP743:AR743)/V743</f>
        <v>0.147590677347545</v>
      </c>
      <c r="BE743" s="53" t="n">
        <v>5.94</v>
      </c>
      <c r="BF743" s="51" t="n">
        <v>133.569715211407</v>
      </c>
      <c r="BG743" s="51" t="n">
        <v>584.231248481516</v>
      </c>
      <c r="BH743" s="51" t="n">
        <v>247.722607994</v>
      </c>
      <c r="BI743" s="51" t="n">
        <v>124.600532903603</v>
      </c>
      <c r="BJ743" s="51" t="n">
        <v>6.45983240073516</v>
      </c>
      <c r="BK743" s="51" t="n">
        <v>13.3813898703784</v>
      </c>
      <c r="BL743" s="51" t="n">
        <v>17.7875686848321</v>
      </c>
      <c r="BM743" s="51" t="n">
        <v>5.81681966493599</v>
      </c>
      <c r="BN743" s="52" t="n">
        <f aca="false">(BG743*0.5-BH743*0.25+BI743*0.5)/SUM(BG743:BI743)*1000</f>
        <v>305.769585024753</v>
      </c>
      <c r="BO743" s="93" t="n">
        <v>2.76857142857143</v>
      </c>
      <c r="BP743" s="94" t="s">
        <v>491</v>
      </c>
      <c r="BQ743" s="55" t="n">
        <v>447.666666666667</v>
      </c>
      <c r="BR743" s="56" t="n">
        <v>14.1617025413837</v>
      </c>
      <c r="BS743" s="56"/>
      <c r="BT743" s="56" t="n">
        <v>11.4781574329492</v>
      </c>
      <c r="BU743" s="55" t="n">
        <v>12398.0555555556</v>
      </c>
      <c r="BV743" s="55" t="n">
        <v>392.206049596413</v>
      </c>
      <c r="BW743" s="55"/>
      <c r="BX743" s="55" t="n">
        <v>317.88570408589</v>
      </c>
      <c r="BY743" s="96" t="n">
        <v>0.05871</v>
      </c>
      <c r="BZ743" s="96" t="n">
        <v>0.6171</v>
      </c>
      <c r="CA743" s="97" t="n">
        <v>4.3164</v>
      </c>
      <c r="CB743" s="97"/>
      <c r="CC743" s="97" t="n">
        <v>4.0194</v>
      </c>
      <c r="CD743" s="97" t="n">
        <v>4.0887</v>
      </c>
      <c r="CE743" s="97" t="n">
        <v>74.74</v>
      </c>
      <c r="CF743" s="97" t="n">
        <v>28.2843</v>
      </c>
      <c r="CG743" s="97" t="n">
        <v>0.7752</v>
      </c>
      <c r="CH743" s="63" t="n">
        <v>145864.976141731</v>
      </c>
      <c r="CI743" s="63" t="n">
        <v>3255.65052866719</v>
      </c>
      <c r="CJ743" s="64" t="n">
        <v>407637.416218635</v>
      </c>
      <c r="CK743" s="65" t="n">
        <v>0.798663321651768</v>
      </c>
    </row>
    <row r="744" s="1" customFormat="true" ht="15" hidden="false" customHeight="false" outlineLevel="0" collapsed="false">
      <c r="A744" s="7" t="s">
        <v>488</v>
      </c>
      <c r="B744" s="66" t="n">
        <v>735</v>
      </c>
      <c r="C744" s="8" t="s">
        <v>827</v>
      </c>
      <c r="D744" s="67" t="n">
        <v>42048</v>
      </c>
      <c r="E744" s="4" t="s">
        <v>583</v>
      </c>
      <c r="F744" s="7" t="n">
        <v>1644</v>
      </c>
      <c r="G744" s="68" t="n">
        <v>1</v>
      </c>
      <c r="H744" s="68" t="n">
        <v>164</v>
      </c>
      <c r="I744" s="7" t="n">
        <v>2</v>
      </c>
      <c r="J744" s="8" t="n">
        <v>750</v>
      </c>
      <c r="K744" s="32"/>
      <c r="L744" s="31" t="n">
        <v>935.138</v>
      </c>
      <c r="M744" s="31" t="n">
        <v>159.747016219525</v>
      </c>
      <c r="N744" s="31" t="n">
        <v>327.858818728961</v>
      </c>
      <c r="O744" s="95"/>
      <c r="P744" s="33" t="n">
        <v>39.171682138121</v>
      </c>
      <c r="Q744" s="33" t="n">
        <v>6.8</v>
      </c>
      <c r="R744" s="31" t="n">
        <v>270.223400999694</v>
      </c>
      <c r="S744" s="34" t="s">
        <v>76</v>
      </c>
      <c r="T744" s="35"/>
      <c r="U744" s="35"/>
      <c r="V744" s="35" t="n">
        <v>24.4381357452289</v>
      </c>
      <c r="W744" s="35" t="n">
        <v>22.8530293845219</v>
      </c>
      <c r="X744" s="35" t="n">
        <v>3.90391926726803</v>
      </c>
      <c r="Y744" s="35" t="n">
        <v>8.01225831736873</v>
      </c>
      <c r="Z744" s="35"/>
      <c r="AA744" s="35" t="n">
        <v>0.957282885460359</v>
      </c>
      <c r="AB744" s="35" t="n">
        <v>0.166179323067557</v>
      </c>
      <c r="AC744" s="71" t="n">
        <v>6.60375615516794</v>
      </c>
      <c r="AD744" s="72"/>
      <c r="AE744" s="72"/>
      <c r="AF744" s="72"/>
      <c r="AG744" s="72"/>
      <c r="AH744" s="72"/>
      <c r="AI744" s="73" t="n">
        <v>23.7996988267939</v>
      </c>
      <c r="AJ744" s="42" t="s">
        <v>16</v>
      </c>
      <c r="AK744" s="43" t="n">
        <v>714.282098715278</v>
      </c>
      <c r="AL744" s="74"/>
      <c r="AM744" s="74"/>
      <c r="AN744" s="74"/>
      <c r="AO744" s="78" t="n">
        <v>43.0714285714286</v>
      </c>
      <c r="AP744" s="76" t="n">
        <v>1.77526689536038</v>
      </c>
      <c r="AQ744" s="76" t="n">
        <v>1.57279779258642</v>
      </c>
      <c r="AR744" s="76" t="n">
        <v>2.18287172011662</v>
      </c>
      <c r="AS744" s="77" t="n">
        <v>43.8575748589771</v>
      </c>
      <c r="AT744" s="78" t="n">
        <v>45.557549520717</v>
      </c>
      <c r="AU744" s="78" t="n">
        <v>41.2168101742044</v>
      </c>
      <c r="AV744" s="78" t="n">
        <v>36.5160349854227</v>
      </c>
      <c r="AW744" s="78" t="n">
        <v>50.6802721088435</v>
      </c>
      <c r="AX744" s="78" t="n">
        <v>23.6683333333333</v>
      </c>
      <c r="AY744" s="48" t="n">
        <v>1.86419905330182</v>
      </c>
      <c r="AZ744" s="48" t="n">
        <v>30.0219994030297</v>
      </c>
      <c r="BA744" s="48" t="n">
        <v>-5.58386365780076</v>
      </c>
      <c r="BB744" s="49" t="n">
        <f aca="false">AT744/V744</f>
        <v>1.86419905330182</v>
      </c>
      <c r="BC744" s="49" t="n">
        <f aca="false">AS744/V744</f>
        <v>1.79463668244577</v>
      </c>
      <c r="BD744" s="49" t="n">
        <f aca="false">SUM(AP744:AR744)/V744</f>
        <v>0.226323990738256</v>
      </c>
      <c r="BE744" s="53" t="n">
        <v>6.39</v>
      </c>
      <c r="BF744" s="51" t="n">
        <v>125.012354478458</v>
      </c>
      <c r="BG744" s="51" t="n">
        <v>606.770701110543</v>
      </c>
      <c r="BH744" s="51" t="n">
        <v>210.091285369711</v>
      </c>
      <c r="BI744" s="51" t="n">
        <v>133.456486803465</v>
      </c>
      <c r="BJ744" s="51" t="n">
        <v>7.73742591953551</v>
      </c>
      <c r="BK744" s="51" t="n">
        <v>16.6238659373536</v>
      </c>
      <c r="BL744" s="51" t="n">
        <v>14.5601870827931</v>
      </c>
      <c r="BM744" s="51" t="n">
        <v>10.7600477765989</v>
      </c>
      <c r="BN744" s="52" t="n">
        <f aca="false">(BG744*0.5-BH744*0.25+BI744*0.5)/SUM(BG744:BI744)*1000</f>
        <v>334.194042884568</v>
      </c>
      <c r="BO744" s="93" t="n">
        <v>7.72285714285714</v>
      </c>
      <c r="BP744" s="94" t="s">
        <v>491</v>
      </c>
      <c r="BQ744" s="55" t="n">
        <v>540.632476190476</v>
      </c>
      <c r="BR744" s="56" t="n">
        <v>22.1224925594427</v>
      </c>
      <c r="BS744" s="56"/>
      <c r="BT744" s="56" t="n">
        <v>11.8670227410855</v>
      </c>
      <c r="BU744" s="55" t="n">
        <v>13326.7820952381</v>
      </c>
      <c r="BV744" s="55" t="n">
        <v>545.327280041805</v>
      </c>
      <c r="BW744" s="55"/>
      <c r="BX744" s="55" t="n">
        <v>292.526315296608</v>
      </c>
      <c r="BY744" s="96" t="n">
        <v>0.08137</v>
      </c>
      <c r="BZ744" s="96" t="n">
        <v>0.8525</v>
      </c>
      <c r="CA744" s="97" t="n">
        <v>3.6729</v>
      </c>
      <c r="CB744" s="97"/>
      <c r="CC744" s="97" t="n">
        <v>5.1282</v>
      </c>
      <c r="CD744" s="97" t="n">
        <v>6.1875</v>
      </c>
      <c r="CE744" s="97" t="n">
        <v>78.78</v>
      </c>
      <c r="CF744" s="97" t="n">
        <v>35.3826</v>
      </c>
      <c r="CG744" s="97" t="n">
        <v>0.1088</v>
      </c>
      <c r="CH744" s="63" t="n">
        <v>78570.0103520421</v>
      </c>
      <c r="CI744" s="63" t="n">
        <v>4379.92747980028</v>
      </c>
      <c r="CJ744" s="64" t="n">
        <v>780240.185943571</v>
      </c>
      <c r="CK744" s="65" t="n">
        <v>0.561356305238685</v>
      </c>
    </row>
    <row r="745" s="1" customFormat="true" ht="15" hidden="false" customHeight="false" outlineLevel="0" collapsed="false">
      <c r="A745" s="7" t="s">
        <v>488</v>
      </c>
      <c r="B745" s="66" t="n">
        <v>736</v>
      </c>
      <c r="C745" s="8" t="s">
        <v>828</v>
      </c>
      <c r="D745" s="67" t="n">
        <v>42048</v>
      </c>
      <c r="E745" s="4" t="s">
        <v>583</v>
      </c>
      <c r="F745" s="7" t="n">
        <v>1724</v>
      </c>
      <c r="G745" s="68" t="n">
        <v>1</v>
      </c>
      <c r="H745" s="68" t="n">
        <v>168</v>
      </c>
      <c r="I745" s="7" t="n">
        <v>2</v>
      </c>
      <c r="J745" s="8" t="n">
        <v>725</v>
      </c>
      <c r="K745" s="32"/>
      <c r="L745" s="31" t="n">
        <v>935.138</v>
      </c>
      <c r="M745" s="31" t="n">
        <v>159.747016219525</v>
      </c>
      <c r="N745" s="31" t="n">
        <v>327.858818728961</v>
      </c>
      <c r="O745" s="95"/>
      <c r="P745" s="33" t="n">
        <v>39.171682138121</v>
      </c>
      <c r="Q745" s="33" t="n">
        <v>6.8</v>
      </c>
      <c r="R745" s="31" t="n">
        <v>270.223400999694</v>
      </c>
      <c r="S745" s="34" t="s">
        <v>76</v>
      </c>
      <c r="T745" s="35"/>
      <c r="U745" s="35"/>
      <c r="V745" s="35" t="n">
        <v>28.503762081756</v>
      </c>
      <c r="W745" s="35" t="n">
        <v>26.6549510656092</v>
      </c>
      <c r="X745" s="35" t="n">
        <v>4.55339094359175</v>
      </c>
      <c r="Y745" s="35" t="n">
        <v>9.34520976545586</v>
      </c>
      <c r="Z745" s="35"/>
      <c r="AA745" s="35" t="n">
        <v>1.11654030800717</v>
      </c>
      <c r="AB745" s="35" t="n">
        <v>0.193825582155941</v>
      </c>
      <c r="AC745" s="71" t="n">
        <v>7.70238353101823</v>
      </c>
      <c r="AD745" s="72"/>
      <c r="AE745" s="72"/>
      <c r="AF745" s="72"/>
      <c r="AG745" s="72"/>
      <c r="AH745" s="72"/>
      <c r="AI745" s="73" t="n">
        <v>24.566810644863</v>
      </c>
      <c r="AJ745" s="42" t="s">
        <v>16</v>
      </c>
      <c r="AK745" s="43" t="n">
        <v>723.203793186646</v>
      </c>
      <c r="AL745" s="74"/>
      <c r="AM745" s="74"/>
      <c r="AN745" s="74"/>
      <c r="AO745" s="78" t="n">
        <v>42.9714285714286</v>
      </c>
      <c r="AP745" s="76" t="n">
        <v>1.51297083935395</v>
      </c>
      <c r="AQ745" s="76" t="n">
        <v>1.44595307510759</v>
      </c>
      <c r="AR745" s="76" t="n">
        <v>2.15065944745245</v>
      </c>
      <c r="AS745" s="77" t="n">
        <v>39.8831340188807</v>
      </c>
      <c r="AT745" s="78" t="n">
        <v>41.210274967246</v>
      </c>
      <c r="AU745" s="78" t="n">
        <v>35.2087628839018</v>
      </c>
      <c r="AV745" s="78" t="n">
        <v>33.6491739552964</v>
      </c>
      <c r="AW745" s="78" t="n">
        <v>50.0485908649174</v>
      </c>
      <c r="AX745" s="78" t="n">
        <v>20.3033333333333</v>
      </c>
      <c r="AY745" s="48" t="n">
        <v>1.44578371265675</v>
      </c>
      <c r="AZ745" s="48" t="n">
        <v>28.2214741461234</v>
      </c>
      <c r="BA745" s="48" t="n">
        <v>0.282287935632624</v>
      </c>
      <c r="BB745" s="49" t="n">
        <f aca="false">AT745/V745</f>
        <v>1.44578371265675</v>
      </c>
      <c r="BC745" s="49" t="n">
        <f aca="false">AS745/V745</f>
        <v>1.39922350967166</v>
      </c>
      <c r="BD745" s="49" t="n">
        <f aca="false">SUM(AP745:AR745)/V745</f>
        <v>0.179259963904358</v>
      </c>
      <c r="BE745" s="53" t="n">
        <v>6.49</v>
      </c>
      <c r="BF745" s="51" t="n">
        <v>112.130715219613</v>
      </c>
      <c r="BG745" s="51" t="n">
        <v>529.698124721777</v>
      </c>
      <c r="BH745" s="51" t="n">
        <v>331.641843747973</v>
      </c>
      <c r="BI745" s="51" t="n">
        <v>87.9656896453308</v>
      </c>
      <c r="BJ745" s="51" t="n">
        <v>6.92878925992897</v>
      </c>
      <c r="BK745" s="51" t="n">
        <v>21.4323750698731</v>
      </c>
      <c r="BL745" s="51" t="n">
        <v>17.9748468429254</v>
      </c>
      <c r="BM745" s="51" t="n">
        <v>4.35833071219203</v>
      </c>
      <c r="BN745" s="52" t="n">
        <f aca="false">(BG745*0.5-BH745*0.25+BI745*0.5)/SUM(BG745:BI745)*1000</f>
        <v>237.98598935473</v>
      </c>
      <c r="BO745" s="93" t="n">
        <v>5.39142857142857</v>
      </c>
      <c r="BP745" s="94" t="s">
        <v>491</v>
      </c>
      <c r="BQ745" s="55" t="n">
        <v>463.339682539683</v>
      </c>
      <c r="BR745" s="56" t="n">
        <v>16.2553869629808</v>
      </c>
      <c r="BS745" s="56"/>
      <c r="BT745" s="56" t="n">
        <v>11.2433048046378</v>
      </c>
      <c r="BU745" s="55" t="n">
        <v>13601.7642857143</v>
      </c>
      <c r="BV745" s="55" t="n">
        <v>477.191896518817</v>
      </c>
      <c r="BW745" s="55"/>
      <c r="BX745" s="55" t="n">
        <v>330.057595988501</v>
      </c>
      <c r="BY745" s="96" t="n">
        <v>0.05768</v>
      </c>
      <c r="BZ745" s="96" t="n">
        <v>0.7139</v>
      </c>
      <c r="CA745" s="97" t="n">
        <v>3.8115</v>
      </c>
      <c r="CB745" s="97"/>
      <c r="CC745" s="97" t="n">
        <v>5.1876</v>
      </c>
      <c r="CD745" s="97" t="n">
        <v>4.4847</v>
      </c>
      <c r="CE745" s="97" t="n">
        <v>76.76</v>
      </c>
      <c r="CF745" s="97" t="n">
        <v>34.1748</v>
      </c>
      <c r="CG745" s="97" t="n">
        <v>0.1186</v>
      </c>
      <c r="CH745" s="63" t="n">
        <v>43211.1673203018</v>
      </c>
      <c r="CI745" s="63" t="n">
        <v>4782.08188819971</v>
      </c>
      <c r="CJ745" s="64" t="n">
        <v>999951.13916208</v>
      </c>
      <c r="CK745" s="65" t="n">
        <v>0.478231555614498</v>
      </c>
    </row>
    <row r="746" s="1" customFormat="true" ht="15" hidden="false" customHeight="false" outlineLevel="0" collapsed="false">
      <c r="A746" s="7" t="s">
        <v>488</v>
      </c>
      <c r="B746" s="66" t="n">
        <v>737</v>
      </c>
      <c r="C746" s="8" t="s">
        <v>829</v>
      </c>
      <c r="D746" s="67" t="n">
        <v>42048</v>
      </c>
      <c r="E746" s="4" t="s">
        <v>583</v>
      </c>
      <c r="F746" s="7" t="n">
        <v>1727</v>
      </c>
      <c r="G746" s="68" t="n">
        <v>1</v>
      </c>
      <c r="H746" s="68" t="n">
        <v>154</v>
      </c>
      <c r="I746" s="7" t="n">
        <v>2</v>
      </c>
      <c r="J746" s="8" t="n">
        <v>780</v>
      </c>
      <c r="K746" s="32"/>
      <c r="L746" s="31" t="n">
        <v>935.138</v>
      </c>
      <c r="M746" s="31" t="n">
        <v>159.747016219525</v>
      </c>
      <c r="N746" s="31" t="n">
        <v>327.858818728961</v>
      </c>
      <c r="O746" s="95"/>
      <c r="P746" s="33" t="n">
        <v>39.171682138121</v>
      </c>
      <c r="Q746" s="33" t="n">
        <v>6.8</v>
      </c>
      <c r="R746" s="31" t="n">
        <v>270.223400999694</v>
      </c>
      <c r="S746" s="34" t="s">
        <v>76</v>
      </c>
      <c r="T746" s="35"/>
      <c r="U746" s="35"/>
      <c r="V746" s="35" t="n">
        <v>25.2960508574049</v>
      </c>
      <c r="W746" s="35" t="n">
        <v>23.6552984066919</v>
      </c>
      <c r="X746" s="35" t="n">
        <v>4.04096864660778</v>
      </c>
      <c r="Y746" s="35" t="n">
        <v>8.29353335261647</v>
      </c>
      <c r="Z746" s="35"/>
      <c r="AA746" s="35" t="n">
        <v>0.990888863536006</v>
      </c>
      <c r="AB746" s="35" t="n">
        <v>0.172013145830353</v>
      </c>
      <c r="AC746" s="71" t="n">
        <v>6.83558489454917</v>
      </c>
      <c r="AD746" s="72"/>
      <c r="AE746" s="72"/>
      <c r="AF746" s="72"/>
      <c r="AG746" s="72"/>
      <c r="AH746" s="72"/>
      <c r="AI746" s="73" t="n">
        <v>23.2868699629695</v>
      </c>
      <c r="AJ746" s="42" t="s">
        <v>16</v>
      </c>
      <c r="AK746" s="43" t="n">
        <v>707.989952672331</v>
      </c>
      <c r="AL746" s="74"/>
      <c r="AM746" s="74"/>
      <c r="AN746" s="74"/>
      <c r="AO746" s="78" t="n">
        <v>39.0428571428571</v>
      </c>
      <c r="AP746" s="76" t="n">
        <v>1.45984323605002</v>
      </c>
      <c r="AQ746" s="76" t="n">
        <v>1.24546334860475</v>
      </c>
      <c r="AR746" s="76" t="n">
        <v>1.97585693461058</v>
      </c>
      <c r="AS746" s="77" t="n">
        <v>37.5147913978932</v>
      </c>
      <c r="AT746" s="78" t="n">
        <v>38.0704044007219</v>
      </c>
      <c r="AU746" s="78" t="n">
        <v>37.3907890682405</v>
      </c>
      <c r="AV746" s="78" t="n">
        <v>31.8999028182702</v>
      </c>
      <c r="AW746" s="78" t="n">
        <v>50.6073858114675</v>
      </c>
      <c r="AX746" s="78" t="n">
        <v>29.4583333333333</v>
      </c>
      <c r="AY746" s="48" t="n">
        <v>1.50499398563542</v>
      </c>
      <c r="AZ746" s="48" t="n">
        <v>28.0383020437176</v>
      </c>
      <c r="BA746" s="48" t="n">
        <v>-2.74225118631269</v>
      </c>
      <c r="BB746" s="49" t="n">
        <f aca="false">AT746/V746</f>
        <v>1.50499398563542</v>
      </c>
      <c r="BC746" s="49" t="n">
        <f aca="false">AS746/V746</f>
        <v>1.48302956889856</v>
      </c>
      <c r="BD746" s="49" t="n">
        <f aca="false">SUM(AP746:AR746)/V746</f>
        <v>0.185055111790109</v>
      </c>
      <c r="BE746" s="53" t="n">
        <v>6.03</v>
      </c>
      <c r="BF746" s="51" t="n">
        <v>134.246663188405</v>
      </c>
      <c r="BG746" s="51" t="n">
        <v>587.901771628399</v>
      </c>
      <c r="BH746" s="51" t="n">
        <v>254.078868789384</v>
      </c>
      <c r="BI746" s="51" t="n">
        <v>118.440723777404</v>
      </c>
      <c r="BJ746" s="51" t="n">
        <v>6.21243721538346</v>
      </c>
      <c r="BK746" s="51" t="n">
        <v>14.1719149785836</v>
      </c>
      <c r="BL746" s="51" t="n">
        <v>13.5189440541863</v>
      </c>
      <c r="BM746" s="51" t="n">
        <v>5.67533955665907</v>
      </c>
      <c r="BN746" s="52" t="n">
        <f aca="false">(BG746*0.5-BH746*0.25+BI746*0.5)/SUM(BG746:BI746)*1000</f>
        <v>301.587970971759</v>
      </c>
      <c r="BO746" s="93" t="n">
        <v>5.56628571428571</v>
      </c>
      <c r="BP746" s="94" t="s">
        <v>491</v>
      </c>
      <c r="BQ746" s="55" t="n">
        <v>490.822222222222</v>
      </c>
      <c r="BR746" s="56" t="n">
        <v>19.403116517634</v>
      </c>
      <c r="BS746" s="56"/>
      <c r="BT746" s="56" t="n">
        <v>12.8924877460171</v>
      </c>
      <c r="BU746" s="55" t="n">
        <v>12789.5022222222</v>
      </c>
      <c r="BV746" s="55" t="n">
        <v>505.592841124384</v>
      </c>
      <c r="BW746" s="55"/>
      <c r="BX746" s="55" t="n">
        <v>335.943429641627</v>
      </c>
      <c r="BY746" s="96" t="n">
        <v>0.06695</v>
      </c>
      <c r="BZ746" s="96" t="n">
        <v>0.6391</v>
      </c>
      <c r="CA746" s="97" t="n">
        <v>3.8412</v>
      </c>
      <c r="CB746" s="97"/>
      <c r="CC746" s="97" t="n">
        <v>6.0885</v>
      </c>
      <c r="CD746" s="97" t="n">
        <v>7.7913</v>
      </c>
      <c r="CE746" s="97" t="n">
        <v>75.75</v>
      </c>
      <c r="CF746" s="97" t="n">
        <v>36.3924</v>
      </c>
      <c r="CG746" s="97" t="n">
        <v>0.0598</v>
      </c>
      <c r="CH746" s="63" t="n">
        <v>113468.494295898</v>
      </c>
      <c r="CI746" s="63" t="n">
        <v>2504.53208266704</v>
      </c>
      <c r="CJ746" s="64" t="n">
        <v>436525.577686019</v>
      </c>
      <c r="CK746" s="65" t="n">
        <v>0.573742344250096</v>
      </c>
    </row>
    <row r="747" s="1" customFormat="true" ht="15" hidden="false" customHeight="false" outlineLevel="0" collapsed="false">
      <c r="A747" s="7" t="s">
        <v>488</v>
      </c>
      <c r="B747" s="66" t="n">
        <v>738</v>
      </c>
      <c r="C747" s="8" t="s">
        <v>830</v>
      </c>
      <c r="D747" s="67" t="n">
        <v>42048</v>
      </c>
      <c r="E747" s="4" t="s">
        <v>583</v>
      </c>
      <c r="F747" s="7" t="n">
        <v>1751</v>
      </c>
      <c r="G747" s="68" t="n">
        <v>1</v>
      </c>
      <c r="H747" s="68" t="n">
        <v>150</v>
      </c>
      <c r="I747" s="7" t="n">
        <v>2</v>
      </c>
      <c r="J747" s="8" t="n">
        <v>792</v>
      </c>
      <c r="K747" s="32"/>
      <c r="L747" s="31" t="n">
        <v>935.138</v>
      </c>
      <c r="M747" s="31" t="n">
        <v>159.747016219525</v>
      </c>
      <c r="N747" s="31" t="n">
        <v>327.858818728961</v>
      </c>
      <c r="O747" s="95"/>
      <c r="P747" s="33" t="n">
        <v>39.171682138121</v>
      </c>
      <c r="Q747" s="33" t="n">
        <v>6.8</v>
      </c>
      <c r="R747" s="31" t="n">
        <v>270.223400999694</v>
      </c>
      <c r="S747" s="34" t="s">
        <v>76</v>
      </c>
      <c r="T747" s="35"/>
      <c r="U747" s="35"/>
      <c r="V747" s="35" t="n">
        <v>18.9347580823791</v>
      </c>
      <c r="W747" s="35" t="n">
        <v>17.7066118036398</v>
      </c>
      <c r="X747" s="35" t="n">
        <v>3.02477110649859</v>
      </c>
      <c r="Y747" s="35" t="n">
        <v>6.20792741780745</v>
      </c>
      <c r="Z747" s="35"/>
      <c r="AA747" s="35" t="n">
        <v>0.741706324965172</v>
      </c>
      <c r="AB747" s="35" t="n">
        <v>0.128756354960178</v>
      </c>
      <c r="AC747" s="71" t="n">
        <v>5.11661472612693</v>
      </c>
      <c r="AD747" s="72"/>
      <c r="AE747" s="72"/>
      <c r="AF747" s="72"/>
      <c r="AG747" s="72"/>
      <c r="AH747" s="72"/>
      <c r="AI747" s="73" t="n">
        <v>23.0238651741864</v>
      </c>
      <c r="AJ747" s="42" t="s">
        <v>16</v>
      </c>
      <c r="AK747" s="43" t="n">
        <v>704.654281609331</v>
      </c>
      <c r="AL747" s="74"/>
      <c r="AM747" s="74"/>
      <c r="AN747" s="74"/>
      <c r="AO747" s="78" t="n">
        <v>32.2</v>
      </c>
      <c r="AP747" s="76" t="n">
        <v>1.40208465837167</v>
      </c>
      <c r="AQ747" s="76" t="n">
        <v>1.20945578231293</v>
      </c>
      <c r="AR747" s="76" t="n">
        <v>1.53489795918367</v>
      </c>
      <c r="AS747" s="77" t="n">
        <v>33.911269875575</v>
      </c>
      <c r="AT747" s="78" t="n">
        <v>34.7205173861483</v>
      </c>
      <c r="AU747" s="78" t="n">
        <v>43.5430018127848</v>
      </c>
      <c r="AV747" s="78" t="n">
        <v>37.5607385811467</v>
      </c>
      <c r="AW747" s="78" t="n">
        <v>47.667638483965</v>
      </c>
      <c r="AX747" s="78" t="n">
        <v>28.1483333333333</v>
      </c>
      <c r="AY747" s="48" t="n">
        <v>1.83369215677805</v>
      </c>
      <c r="AZ747" s="48" t="n">
        <v>26.8481265591845</v>
      </c>
      <c r="BA747" s="48" t="n">
        <v>-7.91336847680543</v>
      </c>
      <c r="BB747" s="49" t="n">
        <f aca="false">AT747/V747</f>
        <v>1.83369215677805</v>
      </c>
      <c r="BC747" s="49" t="n">
        <f aca="false">AS747/V747</f>
        <v>1.79095342692195</v>
      </c>
      <c r="BD747" s="49" t="n">
        <f aca="false">SUM(AP747:AR747)/V747</f>
        <v>0.218985549317738</v>
      </c>
      <c r="BE747" s="53" t="n">
        <v>5.74</v>
      </c>
      <c r="BF747" s="51" t="n">
        <v>149.956280648368</v>
      </c>
      <c r="BG747" s="51" t="n">
        <v>596.88619266809</v>
      </c>
      <c r="BH747" s="51" t="n">
        <v>241.805129392363</v>
      </c>
      <c r="BI747" s="51" t="n">
        <v>125.022310041016</v>
      </c>
      <c r="BJ747" s="51" t="n">
        <v>5.50346555822595</v>
      </c>
      <c r="BK747" s="51" t="n">
        <v>12.8087731948377</v>
      </c>
      <c r="BL747" s="51" t="n">
        <v>11.1605409166136</v>
      </c>
      <c r="BM747" s="51" t="n">
        <v>6.81358822885408</v>
      </c>
      <c r="BN747" s="52" t="n">
        <f aca="false">(BG747*0.5-BH747*0.25+BI747*0.5)/SUM(BG747:BI747)*1000</f>
        <v>311.817700815529</v>
      </c>
      <c r="BO747" s="93" t="n">
        <v>3.93428571428571</v>
      </c>
      <c r="BP747" s="94" t="s">
        <v>491</v>
      </c>
      <c r="BQ747" s="55" t="n">
        <v>485.617647058824</v>
      </c>
      <c r="BR747" s="56" t="n">
        <v>25.6468894371956</v>
      </c>
      <c r="BS747" s="56"/>
      <c r="BT747" s="56" t="n">
        <v>13.9864749611295</v>
      </c>
      <c r="BU747" s="55" t="n">
        <v>12397.1764705882</v>
      </c>
      <c r="BV747" s="55" t="n">
        <v>654.731178325704</v>
      </c>
      <c r="BW747" s="55"/>
      <c r="BX747" s="55" t="n">
        <v>357.056213555564</v>
      </c>
      <c r="BY747" s="96" t="n">
        <v>0.10094</v>
      </c>
      <c r="BZ747" s="96" t="n">
        <v>1.1154</v>
      </c>
      <c r="CA747" s="97" t="n">
        <v>4.1283</v>
      </c>
      <c r="CB747" s="97"/>
      <c r="CC747" s="97" t="n">
        <v>6.534</v>
      </c>
      <c r="CD747" s="97" t="n">
        <v>7.5141</v>
      </c>
      <c r="CE747" s="97" t="n">
        <v>79.79</v>
      </c>
      <c r="CF747" s="97" t="n">
        <v>36.3924</v>
      </c>
      <c r="CG747" s="97" t="n">
        <v>0.0206</v>
      </c>
      <c r="CH747" s="63" t="n">
        <v>95830.9621698981</v>
      </c>
      <c r="CI747" s="63" t="n">
        <v>3887.38055028178</v>
      </c>
      <c r="CJ747" s="64" t="n">
        <v>648411.7204103</v>
      </c>
      <c r="CK747" s="65" t="n">
        <v>0.599523486068688</v>
      </c>
    </row>
    <row r="748" s="1" customFormat="true" ht="15" hidden="false" customHeight="false" outlineLevel="0" collapsed="false">
      <c r="A748" s="7" t="s">
        <v>488</v>
      </c>
      <c r="B748" s="66" t="n">
        <v>739</v>
      </c>
      <c r="C748" s="8" t="s">
        <v>831</v>
      </c>
      <c r="D748" s="67" t="n">
        <v>42048</v>
      </c>
      <c r="E748" s="4" t="s">
        <v>583</v>
      </c>
      <c r="F748" s="7" t="n">
        <v>2006</v>
      </c>
      <c r="G748" s="68" t="n">
        <v>1</v>
      </c>
      <c r="H748" s="68" t="n">
        <v>162</v>
      </c>
      <c r="I748" s="7" t="n">
        <v>1</v>
      </c>
      <c r="J748" s="8" t="n">
        <v>635</v>
      </c>
      <c r="K748" s="32"/>
      <c r="L748" s="31" t="n">
        <v>935.138</v>
      </c>
      <c r="M748" s="31" t="n">
        <v>159.747016219525</v>
      </c>
      <c r="N748" s="31" t="n">
        <v>327.858818728961</v>
      </c>
      <c r="O748" s="95"/>
      <c r="P748" s="33" t="n">
        <v>39.171682138121</v>
      </c>
      <c r="Q748" s="33" t="n">
        <v>6.8</v>
      </c>
      <c r="R748" s="31" t="n">
        <v>270.223400999694</v>
      </c>
      <c r="S748" s="34" t="s">
        <v>76</v>
      </c>
      <c r="T748" s="35"/>
      <c r="U748" s="35"/>
      <c r="V748" s="35" t="n">
        <v>20.1480830244024</v>
      </c>
      <c r="W748" s="35" t="n">
        <v>18.8412380632736</v>
      </c>
      <c r="X748" s="35" t="n">
        <v>3.21859614569153</v>
      </c>
      <c r="Y748" s="35" t="n">
        <v>6.60572670003358</v>
      </c>
      <c r="Z748" s="35"/>
      <c r="AA748" s="35" t="n">
        <v>0.78923430392436</v>
      </c>
      <c r="AB748" s="35" t="n">
        <v>0.137006964565936</v>
      </c>
      <c r="AC748" s="71" t="n">
        <v>5.4444835184782</v>
      </c>
      <c r="AD748" s="72"/>
      <c r="AE748" s="72"/>
      <c r="AF748" s="72"/>
      <c r="AG748" s="72"/>
      <c r="AH748" s="72"/>
      <c r="AI748" s="73" t="n">
        <v>24.0937240775936</v>
      </c>
      <c r="AJ748" s="42" t="s">
        <v>16</v>
      </c>
      <c r="AK748" s="43" t="n">
        <v>717.768827346878</v>
      </c>
      <c r="AL748" s="74"/>
      <c r="AM748" s="74"/>
      <c r="AN748" s="74"/>
      <c r="AO748" s="78" t="n">
        <v>28.5571428571429</v>
      </c>
      <c r="AP748" s="76" t="n">
        <v>0.700090476067617</v>
      </c>
      <c r="AQ748" s="76" t="n">
        <v>0.91490166134481</v>
      </c>
      <c r="AR748" s="76" t="n">
        <v>1.43109491415614</v>
      </c>
      <c r="AS748" s="77" t="n">
        <v>21.9242142838714</v>
      </c>
      <c r="AT748" s="78" t="n">
        <v>23.3170471895604</v>
      </c>
      <c r="AU748" s="78" t="n">
        <v>24.5154243745539</v>
      </c>
      <c r="AV748" s="78" t="n">
        <v>32.0375769355361</v>
      </c>
      <c r="AW748" s="78" t="n">
        <v>50.1133786848073</v>
      </c>
      <c r="AX748" s="78" t="n">
        <v>27.195</v>
      </c>
      <c r="AY748" s="48" t="n">
        <v>1.15728365628233</v>
      </c>
      <c r="AZ748" s="48" t="n">
        <v>20.2821784727592</v>
      </c>
      <c r="BA748" s="48" t="n">
        <v>-0.134095448356831</v>
      </c>
      <c r="BB748" s="49" t="n">
        <f aca="false">AT748/V748</f>
        <v>1.15728365628233</v>
      </c>
      <c r="BC748" s="49" t="n">
        <f aca="false">AS748/V748</f>
        <v>1.08815385847467</v>
      </c>
      <c r="BD748" s="49" t="n">
        <f aca="false">SUM(AP748:AR748)/V748</f>
        <v>0.151184956299778</v>
      </c>
      <c r="BE748" s="53" t="n">
        <v>6.69</v>
      </c>
      <c r="BF748" s="51" t="n">
        <v>97.4697262631308</v>
      </c>
      <c r="BG748" s="51" t="n">
        <v>586.024264640291</v>
      </c>
      <c r="BH748" s="51" t="n">
        <v>268.954404149692</v>
      </c>
      <c r="BI748" s="51" t="n">
        <v>104.476707044714</v>
      </c>
      <c r="BJ748" s="51" t="n">
        <v>8.01397495199729</v>
      </c>
      <c r="BK748" s="51" t="n">
        <v>12.7958800364706</v>
      </c>
      <c r="BL748" s="51" t="n">
        <v>16.4155834937281</v>
      </c>
      <c r="BM748" s="51" t="n">
        <v>3.31918568310609</v>
      </c>
      <c r="BN748" s="52" t="n">
        <f aca="false">(BG748*0.5-BH748*0.25+BI748*0.5)/SUM(BG748:BI748)*1000</f>
        <v>289.760099122085</v>
      </c>
      <c r="BO748" s="93" t="n">
        <v>4.77942857142857</v>
      </c>
      <c r="BP748" s="94" t="s">
        <v>491</v>
      </c>
      <c r="BQ748" s="55" t="n">
        <v>383.125</v>
      </c>
      <c r="BR748" s="56" t="n">
        <v>19.015456683198</v>
      </c>
      <c r="BS748" s="56"/>
      <c r="BT748" s="56" t="n">
        <v>16.4311114046866</v>
      </c>
      <c r="BU748" s="55" t="n">
        <v>10707.5277777778</v>
      </c>
      <c r="BV748" s="55" t="n">
        <v>531.441515543159</v>
      </c>
      <c r="BW748" s="55"/>
      <c r="BX748" s="55" t="n">
        <v>459.214569097403</v>
      </c>
      <c r="BY748" s="96" t="n">
        <v>0.08755</v>
      </c>
      <c r="BZ748" s="96" t="n">
        <v>0.4554</v>
      </c>
      <c r="CA748" s="97" t="n">
        <v>4.4748</v>
      </c>
      <c r="CB748" s="97"/>
      <c r="CC748" s="97" t="n">
        <v>5.1876</v>
      </c>
      <c r="CD748" s="97" t="n">
        <v>6.1974</v>
      </c>
      <c r="CE748" s="97" t="n">
        <v>75.75</v>
      </c>
      <c r="CF748" s="97" t="n">
        <v>33.4521</v>
      </c>
      <c r="CG748" s="97" t="n">
        <v>0.197</v>
      </c>
      <c r="CH748" s="63" t="n">
        <v>80474.9087650088</v>
      </c>
      <c r="CI748" s="63" t="n">
        <v>4105.86708376853</v>
      </c>
      <c r="CJ748" s="64" t="n">
        <v>889521.491223181</v>
      </c>
      <c r="CK748" s="65" t="n">
        <v>0.461581549662454</v>
      </c>
    </row>
    <row r="749" s="1" customFormat="true" ht="15" hidden="false" customHeight="false" outlineLevel="0" collapsed="false">
      <c r="A749" s="7" t="s">
        <v>488</v>
      </c>
      <c r="B749" s="66" t="n">
        <v>740</v>
      </c>
      <c r="C749" s="8" t="s">
        <v>832</v>
      </c>
      <c r="D749" s="67" t="n">
        <v>42048</v>
      </c>
      <c r="E749" s="4" t="s">
        <v>583</v>
      </c>
      <c r="F749" s="7" t="n">
        <v>2048</v>
      </c>
      <c r="G749" s="68" t="n">
        <v>1</v>
      </c>
      <c r="H749" s="68" t="n">
        <v>173</v>
      </c>
      <c r="I749" s="7" t="n">
        <v>1</v>
      </c>
      <c r="J749" s="8" t="n">
        <v>646</v>
      </c>
      <c r="K749" s="32"/>
      <c r="L749" s="31" t="n">
        <v>935.138</v>
      </c>
      <c r="M749" s="31" t="n">
        <v>159.747016219525</v>
      </c>
      <c r="N749" s="31" t="n">
        <v>327.858818728961</v>
      </c>
      <c r="O749" s="95"/>
      <c r="P749" s="33" t="n">
        <v>39.171682138121</v>
      </c>
      <c r="Q749" s="33" t="n">
        <v>6.8</v>
      </c>
      <c r="R749" s="31" t="n">
        <v>270.223400999694</v>
      </c>
      <c r="S749" s="34" t="s">
        <v>76</v>
      </c>
      <c r="T749" s="35"/>
      <c r="U749" s="35"/>
      <c r="V749" s="35" t="n">
        <v>26.7117679375427</v>
      </c>
      <c r="W749" s="35" t="n">
        <v>24.9791892455778</v>
      </c>
      <c r="X749" s="35" t="n">
        <v>4.26712522597082</v>
      </c>
      <c r="Y749" s="35" t="n">
        <v>8.75768868216488</v>
      </c>
      <c r="Z749" s="35"/>
      <c r="AA749" s="35" t="n">
        <v>1.04634488299668</v>
      </c>
      <c r="AB749" s="35" t="n">
        <v>0.181640021975291</v>
      </c>
      <c r="AC749" s="71" t="n">
        <v>7.21814477879738</v>
      </c>
      <c r="AD749" s="72"/>
      <c r="AE749" s="72"/>
      <c r="AF749" s="72"/>
      <c r="AG749" s="72"/>
      <c r="AH749" s="72"/>
      <c r="AI749" s="73" t="n">
        <v>23.223237075039</v>
      </c>
      <c r="AJ749" s="42" t="s">
        <v>16</v>
      </c>
      <c r="AK749" s="43" t="n">
        <v>707.189829823129</v>
      </c>
      <c r="AL749" s="74"/>
      <c r="AM749" s="74"/>
      <c r="AN749" s="74"/>
      <c r="AO749" s="78" t="n">
        <v>26.3857142857143</v>
      </c>
      <c r="AP749" s="76" t="n">
        <v>0.934345655873838</v>
      </c>
      <c r="AQ749" s="76" t="n">
        <v>0.940423781757601</v>
      </c>
      <c r="AR749" s="76" t="n">
        <v>1.32313202832153</v>
      </c>
      <c r="AS749" s="77" t="n">
        <v>24.5694705523933</v>
      </c>
      <c r="AT749" s="78" t="n">
        <v>25.7880516473422</v>
      </c>
      <c r="AU749" s="78" t="n">
        <v>35.4110427239679</v>
      </c>
      <c r="AV749" s="78" t="n">
        <v>35.6413994169096</v>
      </c>
      <c r="AW749" s="78" t="n">
        <v>50.1457725947522</v>
      </c>
      <c r="AX749" s="78" t="n">
        <v>22.66</v>
      </c>
      <c r="AY749" s="48" t="n">
        <v>0.965419125669241</v>
      </c>
      <c r="AZ749" s="48" t="n">
        <v>21.4509224387667</v>
      </c>
      <c r="BA749" s="48" t="n">
        <v>5.26084549877602</v>
      </c>
      <c r="BB749" s="49" t="n">
        <f aca="false">AT749/V749</f>
        <v>0.965419125669241</v>
      </c>
      <c r="BC749" s="49" t="n">
        <f aca="false">AS749/V749</f>
        <v>0.919799490989943</v>
      </c>
      <c r="BD749" s="49" t="n">
        <f aca="false">SUM(AP749:AR749)/V749</f>
        <v>0.119718824805243</v>
      </c>
      <c r="BE749" s="53" t="n">
        <v>6.16</v>
      </c>
      <c r="BF749" s="51" t="n">
        <v>135.720839518347</v>
      </c>
      <c r="BG749" s="51" t="n">
        <v>623.655181409939</v>
      </c>
      <c r="BH749" s="51" t="n">
        <v>199.311334303436</v>
      </c>
      <c r="BI749" s="51" t="n">
        <v>128.921157589167</v>
      </c>
      <c r="BJ749" s="51" t="n">
        <v>7.70685967662231</v>
      </c>
      <c r="BK749" s="51" t="n">
        <v>14.0118766268774</v>
      </c>
      <c r="BL749" s="51" t="n">
        <v>18.147529403142</v>
      </c>
      <c r="BM749" s="51" t="n">
        <v>8.24606099081622</v>
      </c>
      <c r="BN749" s="52" t="n">
        <f aca="false">(BG749*0.5-BH749*0.25+BI749*0.5)/SUM(BG749:BI749)*1000</f>
        <v>342.960986973443</v>
      </c>
      <c r="BO749" s="93" t="n">
        <v>7.11085714285714</v>
      </c>
      <c r="BP749" s="94" t="s">
        <v>491</v>
      </c>
      <c r="BQ749" s="55" t="n">
        <v>480.62962962963</v>
      </c>
      <c r="BR749" s="56" t="n">
        <v>17.9931792891221</v>
      </c>
      <c r="BS749" s="56"/>
      <c r="BT749" s="56" t="n">
        <v>18.6376867939601</v>
      </c>
      <c r="BU749" s="55" t="n">
        <v>12077.5555555556</v>
      </c>
      <c r="BV749" s="55" t="n">
        <v>452.14362388125</v>
      </c>
      <c r="BW749" s="55"/>
      <c r="BX749" s="55" t="n">
        <v>468.339203004517</v>
      </c>
      <c r="BY749" s="96" t="n">
        <v>0.08858</v>
      </c>
      <c r="BZ749" s="96" t="n">
        <v>0.8778</v>
      </c>
      <c r="CA749" s="97" t="n">
        <v>3.6927</v>
      </c>
      <c r="CB749" s="97"/>
      <c r="CC749" s="97" t="n">
        <v>5.4747</v>
      </c>
      <c r="CD749" s="97" t="n">
        <v>6.534</v>
      </c>
      <c r="CE749" s="97" t="n">
        <v>86.86</v>
      </c>
      <c r="CF749" s="97" t="n">
        <v>36.1647</v>
      </c>
      <c r="CG749" s="97" t="n">
        <v>0.05</v>
      </c>
      <c r="CH749" s="63" t="n">
        <v>171051.574884756</v>
      </c>
      <c r="CI749" s="63" t="n">
        <v>1840.31909910952</v>
      </c>
      <c r="CJ749" s="64" t="n">
        <v>353632.909471355</v>
      </c>
      <c r="CK749" s="65" t="n">
        <v>0.52040380004808</v>
      </c>
    </row>
    <row r="750" s="1" customFormat="true" ht="15" hidden="false" customHeight="false" outlineLevel="0" collapsed="false">
      <c r="A750" s="7" t="s">
        <v>488</v>
      </c>
      <c r="B750" s="66" t="n">
        <v>741</v>
      </c>
      <c r="C750" s="8" t="s">
        <v>833</v>
      </c>
      <c r="D750" s="67" t="n">
        <v>42048</v>
      </c>
      <c r="E750" s="4" t="s">
        <v>583</v>
      </c>
      <c r="F750" s="7" t="n">
        <v>2092</v>
      </c>
      <c r="G750" s="68" t="n">
        <v>1</v>
      </c>
      <c r="H750" s="68" t="n">
        <v>176</v>
      </c>
      <c r="I750" s="7" t="n">
        <v>1</v>
      </c>
      <c r="J750" s="8" t="n">
        <v>720</v>
      </c>
      <c r="K750" s="32"/>
      <c r="L750" s="31" t="n">
        <v>935.138</v>
      </c>
      <c r="M750" s="31" t="n">
        <v>159.747016219525</v>
      </c>
      <c r="N750" s="31" t="n">
        <v>327.858818728961</v>
      </c>
      <c r="O750" s="95"/>
      <c r="P750" s="33" t="n">
        <v>39.171682138121</v>
      </c>
      <c r="Q750" s="33" t="n">
        <v>6.8</v>
      </c>
      <c r="R750" s="31" t="n">
        <v>270.223400999694</v>
      </c>
      <c r="S750" s="34" t="s">
        <v>76</v>
      </c>
      <c r="T750" s="35"/>
      <c r="U750" s="35"/>
      <c r="V750" s="35" t="n">
        <v>24.0203650294728</v>
      </c>
      <c r="W750" s="35" t="n">
        <v>22.4623561129312</v>
      </c>
      <c r="X750" s="35" t="n">
        <v>3.8371816419621</v>
      </c>
      <c r="Y750" s="35" t="n">
        <v>7.87528850400139</v>
      </c>
      <c r="Z750" s="35"/>
      <c r="AA750" s="35" t="n">
        <v>0.940918103776147</v>
      </c>
      <c r="AB750" s="35" t="n">
        <v>0.163338482200415</v>
      </c>
      <c r="AC750" s="71" t="n">
        <v>6.49086473151826</v>
      </c>
      <c r="AD750" s="72"/>
      <c r="AE750" s="72"/>
      <c r="AF750" s="72"/>
      <c r="AG750" s="72"/>
      <c r="AH750" s="72"/>
      <c r="AI750" s="73" t="n">
        <v>22.7571952017319</v>
      </c>
      <c r="AJ750" s="42" t="s">
        <v>16</v>
      </c>
      <c r="AK750" s="43" t="n">
        <v>701.193405438535</v>
      </c>
      <c r="AL750" s="74"/>
      <c r="AM750" s="74"/>
      <c r="AN750" s="74"/>
      <c r="AO750" s="78" t="n">
        <v>37.5285714285714</v>
      </c>
      <c r="AP750" s="76" t="n">
        <v>1.44490566613326</v>
      </c>
      <c r="AQ750" s="76" t="n">
        <v>1.22451096765237</v>
      </c>
      <c r="AR750" s="76" t="n">
        <v>1.88372275440789</v>
      </c>
      <c r="AS750" s="77" t="n">
        <v>36.6850135634275</v>
      </c>
      <c r="AT750" s="78" t="n">
        <v>37.2314229989074</v>
      </c>
      <c r="AU750" s="78" t="n">
        <v>38.501483300087</v>
      </c>
      <c r="AV750" s="78" t="n">
        <v>32.6287657920311</v>
      </c>
      <c r="AW750" s="78" t="n">
        <v>50.1943634596696</v>
      </c>
      <c r="AX750" s="78" t="n">
        <v>19.1316666666667</v>
      </c>
      <c r="AY750" s="48" t="n">
        <v>1.54999405517879</v>
      </c>
      <c r="AZ750" s="48" t="n">
        <v>26.9942847393646</v>
      </c>
      <c r="BA750" s="48" t="n">
        <v>-2.97391970989176</v>
      </c>
      <c r="BB750" s="49" t="n">
        <f aca="false">AT750/V750</f>
        <v>1.54999405517879</v>
      </c>
      <c r="BC750" s="49" t="n">
        <f aca="false">AS750/V750</f>
        <v>1.52724629781501</v>
      </c>
      <c r="BD750" s="49" t="n">
        <f aca="false">SUM(AP750:AR750)/V750</f>
        <v>0.189553297071333</v>
      </c>
      <c r="BE750" s="53" t="n">
        <v>5.99</v>
      </c>
      <c r="BF750" s="51" t="n">
        <v>131.032916710733</v>
      </c>
      <c r="BG750" s="51" t="n">
        <v>587.287668727875</v>
      </c>
      <c r="BH750" s="51" t="n">
        <v>263.534442635042</v>
      </c>
      <c r="BI750" s="51" t="n">
        <v>109.503282454041</v>
      </c>
      <c r="BJ750" s="51" t="n">
        <v>6.12060770051568</v>
      </c>
      <c r="BK750" s="51" t="n">
        <v>14.1035113081108</v>
      </c>
      <c r="BL750" s="51" t="n">
        <v>12.8929098277851</v>
      </c>
      <c r="BM750" s="51" t="n">
        <v>6.55757734662991</v>
      </c>
      <c r="BN750" s="52" t="n">
        <f aca="false">(BG750*0.5-BH750*0.25+BI750*0.5)/SUM(BG750:BI750)*1000</f>
        <v>294.183478590847</v>
      </c>
      <c r="BO750" s="93" t="n">
        <v>2.38971428571429</v>
      </c>
      <c r="BP750" s="94" t="s">
        <v>491</v>
      </c>
      <c r="BQ750" s="55" t="n">
        <v>485.409090909091</v>
      </c>
      <c r="BR750" s="56" t="n">
        <v>20.2082312368483</v>
      </c>
      <c r="BS750" s="56"/>
      <c r="BT750" s="56" t="n">
        <v>13.0376185439739</v>
      </c>
      <c r="BU750" s="55" t="n">
        <v>13155.7424242424</v>
      </c>
      <c r="BV750" s="55" t="n">
        <v>547.691194871536</v>
      </c>
      <c r="BW750" s="55"/>
      <c r="BX750" s="55" t="n">
        <v>353.350513211072</v>
      </c>
      <c r="BY750" s="96" t="n">
        <v>0.04223</v>
      </c>
      <c r="BZ750" s="96" t="n">
        <v>1.0153</v>
      </c>
      <c r="CA750" s="97" t="n">
        <v>3.9897</v>
      </c>
      <c r="CB750" s="97"/>
      <c r="CC750" s="97" t="n">
        <v>4.7223</v>
      </c>
      <c r="CD750" s="97" t="n">
        <v>6.6924</v>
      </c>
      <c r="CE750" s="97" t="n">
        <v>78.78</v>
      </c>
      <c r="CF750" s="97" t="n">
        <v>33.2244</v>
      </c>
      <c r="CG750" s="97" t="n">
        <v>0.0696</v>
      </c>
      <c r="CH750" s="63" t="n">
        <v>66686.003579781</v>
      </c>
      <c r="CI750" s="63" t="n">
        <v>1756.83711971981</v>
      </c>
      <c r="CJ750" s="64" t="n">
        <v>405471.221730499</v>
      </c>
      <c r="CK750" s="65" t="n">
        <v>0.433282814060601</v>
      </c>
    </row>
    <row r="751" s="1" customFormat="true" ht="15" hidden="false" customHeight="false" outlineLevel="0" collapsed="false">
      <c r="A751" s="7" t="s">
        <v>488</v>
      </c>
      <c r="B751" s="66" t="n">
        <v>742</v>
      </c>
      <c r="C751" s="8" t="s">
        <v>834</v>
      </c>
      <c r="D751" s="67" t="n">
        <v>42048</v>
      </c>
      <c r="E751" s="4" t="s">
        <v>583</v>
      </c>
      <c r="F751" s="7" t="n">
        <v>2111</v>
      </c>
      <c r="G751" s="68" t="n">
        <v>1</v>
      </c>
      <c r="H751" s="68" t="n">
        <v>171</v>
      </c>
      <c r="I751" s="7" t="n">
        <v>1</v>
      </c>
      <c r="J751" s="8" t="n">
        <v>677</v>
      </c>
      <c r="K751" s="32"/>
      <c r="L751" s="31" t="n">
        <v>935.138</v>
      </c>
      <c r="M751" s="31" t="n">
        <v>159.747016219525</v>
      </c>
      <c r="N751" s="31" t="n">
        <v>327.858818728961</v>
      </c>
      <c r="O751" s="95"/>
      <c r="P751" s="33" t="n">
        <v>39.171682138121</v>
      </c>
      <c r="Q751" s="33" t="n">
        <v>6.8</v>
      </c>
      <c r="R751" s="31" t="n">
        <v>270.223400999694</v>
      </c>
      <c r="S751" s="34" t="s">
        <v>76</v>
      </c>
      <c r="T751" s="35"/>
      <c r="U751" s="35"/>
      <c r="V751" s="35" t="n">
        <v>26.5310764454496</v>
      </c>
      <c r="W751" s="35" t="n">
        <v>24.8102177650448</v>
      </c>
      <c r="X751" s="35" t="n">
        <v>4.23826029925268</v>
      </c>
      <c r="Y751" s="35" t="n">
        <v>8.69844738301285</v>
      </c>
      <c r="Z751" s="35"/>
      <c r="AA751" s="35" t="n">
        <v>1.03926689330334</v>
      </c>
      <c r="AB751" s="35" t="n">
        <v>0.180411319829057</v>
      </c>
      <c r="AC751" s="71" t="n">
        <v>7.16931770927226</v>
      </c>
      <c r="AD751" s="72"/>
      <c r="AE751" s="72"/>
      <c r="AF751" s="72"/>
      <c r="AG751" s="72"/>
      <c r="AH751" s="72"/>
      <c r="AI751" s="73" t="n">
        <v>21.8446547279087</v>
      </c>
      <c r="AJ751" s="42" t="s">
        <v>16</v>
      </c>
      <c r="AK751" s="43" t="n">
        <v>688.71103321618</v>
      </c>
      <c r="AL751" s="74"/>
      <c r="AM751" s="74"/>
      <c r="AN751" s="74"/>
      <c r="AO751" s="78" t="n">
        <v>25.9857142857143</v>
      </c>
      <c r="AP751" s="76" t="n">
        <v>1.05725526061149</v>
      </c>
      <c r="AQ751" s="76" t="n">
        <v>0.9217478828266</v>
      </c>
      <c r="AR751" s="76" t="n">
        <v>1.33274642510065</v>
      </c>
      <c r="AS751" s="77" t="n">
        <v>26.2531146234581</v>
      </c>
      <c r="AT751" s="78" t="n">
        <v>27.1913074530901</v>
      </c>
      <c r="AU751" s="78" t="n">
        <v>40.6860188250711</v>
      </c>
      <c r="AV751" s="78" t="n">
        <v>35.4713313896987</v>
      </c>
      <c r="AW751" s="78" t="n">
        <v>51.287657920311</v>
      </c>
      <c r="AX751" s="78" t="n">
        <v>23.2133333333333</v>
      </c>
      <c r="AY751" s="48" t="n">
        <v>1.02488519487696</v>
      </c>
      <c r="AZ751" s="48" t="n">
        <v>22.5109505831798</v>
      </c>
      <c r="BA751" s="48" t="n">
        <v>4.02012586226981</v>
      </c>
      <c r="BB751" s="49" t="n">
        <f aca="false">AT751/V751</f>
        <v>1.02488519487696</v>
      </c>
      <c r="BC751" s="49" t="n">
        <f aca="false">AS751/V751</f>
        <v>0.989523160789836</v>
      </c>
      <c r="BD751" s="49" t="n">
        <f aca="false">SUM(AP751:AR751)/V751</f>
        <v>0.124825299695171</v>
      </c>
      <c r="BE751" s="53" t="n">
        <v>6.15</v>
      </c>
      <c r="BF751" s="51" t="n">
        <v>132.876814753055</v>
      </c>
      <c r="BG751" s="51" t="n">
        <v>596.443748101066</v>
      </c>
      <c r="BH751" s="51" t="n">
        <v>230.204806920561</v>
      </c>
      <c r="BI751" s="51" t="n">
        <v>130.188844845988</v>
      </c>
      <c r="BJ751" s="51" t="n">
        <v>7.42728958133683</v>
      </c>
      <c r="BK751" s="51" t="n">
        <v>14.5047362340923</v>
      </c>
      <c r="BL751" s="51" t="n">
        <v>14.9464026824808</v>
      </c>
      <c r="BM751" s="51" t="n">
        <v>6.28417163447466</v>
      </c>
      <c r="BN751" s="52" t="n">
        <f aca="false">(BG751*0.5-BH751*0.25+BI751*0.5)/SUM(BG751:BI751)*1000</f>
        <v>319.558051123097</v>
      </c>
      <c r="BO751" s="93" t="n">
        <v>7.46057142857143</v>
      </c>
      <c r="BP751" s="94" t="s">
        <v>491</v>
      </c>
      <c r="BQ751" s="55" t="n">
        <v>502.666666666667</v>
      </c>
      <c r="BR751" s="56" t="n">
        <v>18.9463351666185</v>
      </c>
      <c r="BS751" s="56"/>
      <c r="BT751" s="56" t="n">
        <v>18.4862999888423</v>
      </c>
      <c r="BU751" s="55" t="n">
        <v>11675.8888888889</v>
      </c>
      <c r="BV751" s="55" t="n">
        <v>440.083496532665</v>
      </c>
      <c r="BW751" s="55"/>
      <c r="BX751" s="55" t="n">
        <v>429.397847419875</v>
      </c>
      <c r="BY751" s="96" t="n">
        <v>0.07519</v>
      </c>
      <c r="BZ751" s="96" t="n">
        <v>0.9889</v>
      </c>
      <c r="CA751" s="97" t="n">
        <v>4.4154</v>
      </c>
      <c r="CB751" s="97"/>
      <c r="CC751" s="97" t="n">
        <v>5.3955</v>
      </c>
      <c r="CD751" s="97" t="n">
        <v>5.9895</v>
      </c>
      <c r="CE751" s="97" t="n">
        <v>79.79</v>
      </c>
      <c r="CF751" s="97" t="n">
        <v>36.1944</v>
      </c>
      <c r="CG751" s="97" t="n">
        <v>0.0696</v>
      </c>
      <c r="CH751" s="63" t="n">
        <v>77018.2655059524</v>
      </c>
      <c r="CI751" s="63" t="n">
        <v>2470.6418273877</v>
      </c>
      <c r="CJ751" s="64" t="n">
        <v>383345.046000145</v>
      </c>
      <c r="CK751" s="65" t="n">
        <v>0.644495566896348</v>
      </c>
    </row>
    <row r="752" s="1" customFormat="true" ht="15" hidden="false" customHeight="false" outlineLevel="0" collapsed="false">
      <c r="A752" s="7" t="s">
        <v>488</v>
      </c>
      <c r="B752" s="66" t="n">
        <v>743</v>
      </c>
      <c r="C752" s="8" t="s">
        <v>835</v>
      </c>
      <c r="D752" s="67" t="n">
        <v>42048</v>
      </c>
      <c r="E752" s="4" t="s">
        <v>583</v>
      </c>
      <c r="F752" s="7" t="n">
        <v>2112</v>
      </c>
      <c r="G752" s="68" t="n">
        <v>1</v>
      </c>
      <c r="H752" s="68" t="n">
        <v>153</v>
      </c>
      <c r="I752" s="7" t="n">
        <v>1</v>
      </c>
      <c r="J752" s="8" t="n">
        <v>710</v>
      </c>
      <c r="K752" s="32"/>
      <c r="L752" s="31" t="n">
        <v>935.138</v>
      </c>
      <c r="M752" s="31" t="n">
        <v>159.747016219525</v>
      </c>
      <c r="N752" s="31" t="n">
        <v>327.858818728961</v>
      </c>
      <c r="O752" s="95"/>
      <c r="P752" s="33" t="n">
        <v>39.171682138121</v>
      </c>
      <c r="Q752" s="33" t="n">
        <v>6.8</v>
      </c>
      <c r="R752" s="31" t="n">
        <v>270.223400999694</v>
      </c>
      <c r="S752" s="34" t="s">
        <v>76</v>
      </c>
      <c r="T752" s="35"/>
      <c r="U752" s="35"/>
      <c r="V752" s="35" t="n">
        <v>17.7933899628861</v>
      </c>
      <c r="W752" s="35" t="n">
        <v>16.6392751031134</v>
      </c>
      <c r="X752" s="35" t="n">
        <v>2.84244095500149</v>
      </c>
      <c r="Y752" s="35" t="n">
        <v>5.83371981441558</v>
      </c>
      <c r="Z752" s="35"/>
      <c r="AA752" s="35" t="n">
        <v>0.696997015785807</v>
      </c>
      <c r="AB752" s="35" t="n">
        <v>0.120995051747625</v>
      </c>
      <c r="AC752" s="71" t="n">
        <v>4.8081903510849</v>
      </c>
      <c r="AD752" s="72"/>
      <c r="AE752" s="72"/>
      <c r="AF752" s="72"/>
      <c r="AG752" s="72"/>
      <c r="AH752" s="72"/>
      <c r="AI752" s="73" t="n">
        <v>23.0969472917313</v>
      </c>
      <c r="AJ752" s="42" t="s">
        <v>16</v>
      </c>
      <c r="AK752" s="43" t="n">
        <v>705.588798635983</v>
      </c>
      <c r="AL752" s="74"/>
      <c r="AM752" s="74"/>
      <c r="AN752" s="74"/>
      <c r="AO752" s="78" t="n">
        <v>31.7571428571428</v>
      </c>
      <c r="AP752" s="76" t="n">
        <v>1.21570286574142</v>
      </c>
      <c r="AQ752" s="76" t="n">
        <v>1.11258017492711</v>
      </c>
      <c r="AR752" s="76" t="n">
        <v>1.58785714285714</v>
      </c>
      <c r="AS752" s="77" t="n">
        <v>30.9384001289785</v>
      </c>
      <c r="AT752" s="78" t="n">
        <v>31.9765573220168</v>
      </c>
      <c r="AU752" s="78" t="n">
        <v>38.2812418362122</v>
      </c>
      <c r="AV752" s="78" t="n">
        <v>35.0340136054422</v>
      </c>
      <c r="AW752" s="78" t="n">
        <v>50</v>
      </c>
      <c r="AX752" s="78" t="n">
        <v>19.9816666666667</v>
      </c>
      <c r="AY752" s="48" t="n">
        <v>1.79710315958422</v>
      </c>
      <c r="AZ752" s="48" t="n">
        <v>24.6387829977721</v>
      </c>
      <c r="BA752" s="48" t="n">
        <v>-6.84539303488604</v>
      </c>
      <c r="BB752" s="49" t="n">
        <f aca="false">AT752/V752</f>
        <v>1.79710315958422</v>
      </c>
      <c r="BC752" s="49" t="n">
        <f aca="false">AS752/V752</f>
        <v>1.73875805529529</v>
      </c>
      <c r="BD752" s="49" t="n">
        <f aca="false">SUM(AP752:AR752)/V752</f>
        <v>0.220089605842061</v>
      </c>
      <c r="BE752" s="53" t="n">
        <v>6.02</v>
      </c>
      <c r="BF752" s="51" t="n">
        <v>134.810519182163</v>
      </c>
      <c r="BG752" s="51" t="n">
        <v>626.732038977004</v>
      </c>
      <c r="BH752" s="51" t="n">
        <v>197.1429068559</v>
      </c>
      <c r="BI752" s="51" t="n">
        <v>126.757585238977</v>
      </c>
      <c r="BJ752" s="51" t="n">
        <v>7.89753164121385</v>
      </c>
      <c r="BK752" s="51" t="n">
        <v>14.3918684717054</v>
      </c>
      <c r="BL752" s="51" t="n">
        <v>17.96805897194</v>
      </c>
      <c r="BM752" s="51" t="n">
        <v>9.11000984326042</v>
      </c>
      <c r="BN752" s="52" t="n">
        <f aca="false">(BG752*0.5-BH752*0.25+BI752*0.5)/SUM(BG752:BI752)*1000</f>
        <v>344.464422046225</v>
      </c>
      <c r="BO752" s="93" t="n">
        <v>5.56628571428571</v>
      </c>
      <c r="BP752" s="94" t="s">
        <v>491</v>
      </c>
      <c r="BQ752" s="55" t="n">
        <v>564.571428571429</v>
      </c>
      <c r="BR752" s="56" t="n">
        <v>31.7292786674729</v>
      </c>
      <c r="BS752" s="56"/>
      <c r="BT752" s="56" t="n">
        <v>17.6557914876817</v>
      </c>
      <c r="BU752" s="55" t="n">
        <v>14230.9285714286</v>
      </c>
      <c r="BV752" s="55" t="n">
        <v>799.787370541072</v>
      </c>
      <c r="BW752" s="55"/>
      <c r="BX752" s="55" t="n">
        <v>445.042548768381</v>
      </c>
      <c r="BY752" s="96" t="n">
        <v>0.06695</v>
      </c>
      <c r="BZ752" s="96" t="n">
        <v>1.166</v>
      </c>
      <c r="CA752" s="97" t="n">
        <v>4.257</v>
      </c>
      <c r="CB752" s="97"/>
      <c r="CC752" s="97" t="n">
        <v>4.3362</v>
      </c>
      <c r="CD752" s="97" t="n">
        <v>7.4646</v>
      </c>
      <c r="CE752" s="97" t="n">
        <v>79.79</v>
      </c>
      <c r="CF752" s="97" t="n">
        <v>33.8778</v>
      </c>
      <c r="CG752" s="97" t="n">
        <v>0.0206</v>
      </c>
      <c r="CH752" s="63" t="n">
        <v>78377.3959893586</v>
      </c>
      <c r="CI752" s="63" t="n">
        <v>2795.20488114022</v>
      </c>
      <c r="CJ752" s="64" t="n">
        <v>445359.680267596</v>
      </c>
      <c r="CK752" s="65" t="n">
        <v>0.627628634783624</v>
      </c>
    </row>
    <row r="753" s="1" customFormat="true" ht="15" hidden="false" customHeight="false" outlineLevel="0" collapsed="false">
      <c r="A753" s="7" t="s">
        <v>488</v>
      </c>
      <c r="B753" s="66" t="n">
        <v>744</v>
      </c>
      <c r="C753" s="8" t="s">
        <v>836</v>
      </c>
      <c r="D753" s="67" t="n">
        <v>42048</v>
      </c>
      <c r="E753" s="4" t="s">
        <v>583</v>
      </c>
      <c r="F753" s="7" t="n">
        <v>2115</v>
      </c>
      <c r="G753" s="68" t="n">
        <v>1</v>
      </c>
      <c r="H753" s="68" t="n">
        <v>152</v>
      </c>
      <c r="I753" s="7" t="n">
        <v>1</v>
      </c>
      <c r="J753" s="8" t="n">
        <v>660</v>
      </c>
      <c r="K753" s="32"/>
      <c r="L753" s="31" t="n">
        <v>935.138</v>
      </c>
      <c r="M753" s="31" t="n">
        <v>159.747016219525</v>
      </c>
      <c r="N753" s="31" t="n">
        <v>327.858818728961</v>
      </c>
      <c r="O753" s="95"/>
      <c r="P753" s="33" t="n">
        <v>39.171682138121</v>
      </c>
      <c r="Q753" s="33" t="n">
        <v>6.8</v>
      </c>
      <c r="R753" s="31" t="n">
        <v>270.223400999694</v>
      </c>
      <c r="S753" s="34" t="s">
        <v>76</v>
      </c>
      <c r="T753" s="35"/>
      <c r="U753" s="35"/>
      <c r="V753" s="35" t="n">
        <v>18.0272589172049</v>
      </c>
      <c r="W753" s="35" t="n">
        <v>16.8579748493172</v>
      </c>
      <c r="X753" s="35" t="n">
        <v>2.8798008226403</v>
      </c>
      <c r="Y753" s="35" t="n">
        <v>5.91039581351592</v>
      </c>
      <c r="Z753" s="35"/>
      <c r="AA753" s="35" t="n">
        <v>0.706158056126357</v>
      </c>
      <c r="AB753" s="35" t="n">
        <v>0.122585360636993</v>
      </c>
      <c r="AC753" s="71" t="n">
        <v>4.87138721530917</v>
      </c>
      <c r="AD753" s="72"/>
      <c r="AE753" s="72"/>
      <c r="AF753" s="72"/>
      <c r="AG753" s="72"/>
      <c r="AH753" s="72"/>
      <c r="AI753" s="73" t="n">
        <v>22.424295381032</v>
      </c>
      <c r="AJ753" s="42" t="s">
        <v>16</v>
      </c>
      <c r="AK753" s="43" t="n">
        <v>696.757472890234</v>
      </c>
      <c r="AL753" s="74"/>
      <c r="AM753" s="74"/>
      <c r="AN753" s="74"/>
      <c r="AO753" s="78" t="n">
        <v>36.4285714285714</v>
      </c>
      <c r="AP753" s="76" t="n">
        <v>1.0790347229453</v>
      </c>
      <c r="AQ753" s="76" t="n">
        <v>1.12666597251145</v>
      </c>
      <c r="AR753" s="76" t="n">
        <v>1.79310703873386</v>
      </c>
      <c r="AS753" s="77" t="n">
        <v>30.7569494156081</v>
      </c>
      <c r="AT753" s="78" t="n">
        <v>31.5300663289209</v>
      </c>
      <c r="AU753" s="78" t="n">
        <v>29.6205610220279</v>
      </c>
      <c r="AV753" s="78" t="n">
        <v>30.9280855199223</v>
      </c>
      <c r="AW753" s="78" t="n">
        <v>49.2225461613217</v>
      </c>
      <c r="AX753" s="78" t="n">
        <v>21.17</v>
      </c>
      <c r="AY753" s="48" t="n">
        <v>1.74902166068238</v>
      </c>
      <c r="AZ753" s="48" t="n">
        <v>23.8624888378458</v>
      </c>
      <c r="BA753" s="48" t="n">
        <v>-5.83522992064092</v>
      </c>
      <c r="BB753" s="49" t="n">
        <f aca="false">AT753/V753</f>
        <v>1.74902166068238</v>
      </c>
      <c r="BC753" s="49" t="n">
        <f aca="false">AS753/V753</f>
        <v>1.70613566692905</v>
      </c>
      <c r="BD753" s="49" t="n">
        <f aca="false">SUM(AP753:AR753)/V753</f>
        <v>0.221820064412245</v>
      </c>
      <c r="BE753" s="53" t="n">
        <v>5.79</v>
      </c>
      <c r="BF753" s="51" t="n">
        <v>134.285968077542</v>
      </c>
      <c r="BG753" s="51" t="n">
        <v>627.156622434656</v>
      </c>
      <c r="BH753" s="51" t="n">
        <v>214.096646215088</v>
      </c>
      <c r="BI753" s="51" t="n">
        <v>115.284735226315</v>
      </c>
      <c r="BJ753" s="51" t="n">
        <v>7.0272303028047</v>
      </c>
      <c r="BK753" s="51" t="n">
        <v>14.3241998186899</v>
      </c>
      <c r="BL753" s="51" t="n">
        <v>14.5681047571673</v>
      </c>
      <c r="BM753" s="51" t="n">
        <v>7.54246124527978</v>
      </c>
      <c r="BN753" s="52" t="n">
        <f aca="false">(BG753*0.5-BH753*0.25+BI753*0.5)/SUM(BG753:BI753)*1000</f>
        <v>332.131620478593</v>
      </c>
      <c r="BO753" s="93" t="n">
        <v>5.44971428571429</v>
      </c>
      <c r="BP753" s="94" t="s">
        <v>491</v>
      </c>
      <c r="BQ753" s="55" t="n">
        <v>531.238095238095</v>
      </c>
      <c r="BR753" s="56" t="n">
        <v>29.4686007272626</v>
      </c>
      <c r="BS753" s="56"/>
      <c r="BT753" s="56" t="n">
        <v>16.8486196538958</v>
      </c>
      <c r="BU753" s="55" t="n">
        <v>13008.2738095238</v>
      </c>
      <c r="BV753" s="55" t="n">
        <v>721.58911508776</v>
      </c>
      <c r="BW753" s="55"/>
      <c r="BX753" s="55" t="n">
        <v>412.567283361278</v>
      </c>
      <c r="BY753" s="96" t="n">
        <v>0.07725</v>
      </c>
      <c r="BZ753" s="96" t="n">
        <v>1.4146</v>
      </c>
      <c r="CA753" s="97" t="n">
        <v>3.4353</v>
      </c>
      <c r="CB753" s="97"/>
      <c r="CC753" s="97" t="n">
        <v>4.95</v>
      </c>
      <c r="CD753" s="97" t="n">
        <v>8.4348</v>
      </c>
      <c r="CE753" s="97" t="n">
        <v>74.74</v>
      </c>
      <c r="CF753" s="97" t="n">
        <v>34.7589</v>
      </c>
      <c r="CG753" s="97" t="n">
        <v>0.0794</v>
      </c>
      <c r="CH753" s="63" t="n">
        <v>62253.2099069332</v>
      </c>
      <c r="CI753" s="63" t="n">
        <v>3277.50743000751</v>
      </c>
      <c r="CJ753" s="64" t="n">
        <v>419314.143566061</v>
      </c>
      <c r="CK753" s="65" t="n">
        <v>0.781635315740585</v>
      </c>
    </row>
    <row r="754" s="1" customFormat="true" ht="15" hidden="false" customHeight="false" outlineLevel="0" collapsed="false">
      <c r="A754" s="7" t="s">
        <v>488</v>
      </c>
      <c r="B754" s="66" t="n">
        <v>745</v>
      </c>
      <c r="C754" s="8" t="s">
        <v>837</v>
      </c>
      <c r="D754" s="67" t="n">
        <v>42048</v>
      </c>
      <c r="E754" s="4" t="s">
        <v>583</v>
      </c>
      <c r="F754" s="7" t="n">
        <v>2118</v>
      </c>
      <c r="G754" s="68" t="n">
        <v>1</v>
      </c>
      <c r="H754" s="68" t="n">
        <v>158</v>
      </c>
      <c r="I754" s="7" t="n">
        <v>1</v>
      </c>
      <c r="J754" s="8" t="n">
        <v>740</v>
      </c>
      <c r="K754" s="32"/>
      <c r="L754" s="31" t="n">
        <v>935.138</v>
      </c>
      <c r="M754" s="31" t="n">
        <v>159.747016219525</v>
      </c>
      <c r="N754" s="31" t="n">
        <v>327.858818728961</v>
      </c>
      <c r="O754" s="95"/>
      <c r="P754" s="33" t="n">
        <v>39.171682138121</v>
      </c>
      <c r="Q754" s="33" t="n">
        <v>6.8</v>
      </c>
      <c r="R754" s="31" t="n">
        <v>270.223400999694</v>
      </c>
      <c r="S754" s="34" t="s">
        <v>76</v>
      </c>
      <c r="T754" s="35"/>
      <c r="U754" s="35"/>
      <c r="V754" s="35" t="n">
        <v>20.9031358906219</v>
      </c>
      <c r="W754" s="35" t="n">
        <v>19.5473166904844</v>
      </c>
      <c r="X754" s="35" t="n">
        <v>3.33921358815811</v>
      </c>
      <c r="Y754" s="35" t="n">
        <v>6.85327744083025</v>
      </c>
      <c r="Z754" s="35"/>
      <c r="AA754" s="35" t="n">
        <v>0.818810994797391</v>
      </c>
      <c r="AB754" s="35" t="n">
        <v>0.142141324056229</v>
      </c>
      <c r="AC754" s="71" t="n">
        <v>5.64851647192263</v>
      </c>
      <c r="AD754" s="72"/>
      <c r="AE754" s="72"/>
      <c r="AF754" s="72"/>
      <c r="AG754" s="72"/>
      <c r="AH754" s="72"/>
      <c r="AI754" s="73" t="n">
        <v>23.3062755812911</v>
      </c>
      <c r="AJ754" s="42" t="s">
        <v>16</v>
      </c>
      <c r="AK754" s="43" t="n">
        <v>708.233090427428</v>
      </c>
      <c r="AL754" s="74"/>
      <c r="AM754" s="74"/>
      <c r="AN754" s="74"/>
      <c r="AO754" s="78" t="n">
        <v>37.1857142857143</v>
      </c>
      <c r="AP754" s="76" t="n">
        <v>1.09445469175153</v>
      </c>
      <c r="AQ754" s="76" t="n">
        <v>1.15369672358739</v>
      </c>
      <c r="AR754" s="76" t="n">
        <v>1.889099333611</v>
      </c>
      <c r="AS754" s="77" t="n">
        <v>31.2911060905587</v>
      </c>
      <c r="AT754" s="78" t="n">
        <v>32.4371091301079</v>
      </c>
      <c r="AU754" s="78" t="n">
        <v>29.4321277074942</v>
      </c>
      <c r="AV754" s="78" t="n">
        <v>31.0252672497571</v>
      </c>
      <c r="AW754" s="78" t="n">
        <v>50.801749271137</v>
      </c>
      <c r="AX754" s="78" t="n">
        <v>27.875</v>
      </c>
      <c r="AY754" s="48" t="n">
        <v>1.55178195749379</v>
      </c>
      <c r="AZ754" s="48" t="n">
        <v>25.2098202367388</v>
      </c>
      <c r="BA754" s="48" t="n">
        <v>-4.3066843461169</v>
      </c>
      <c r="BB754" s="49" t="n">
        <f aca="false">AT754/V754</f>
        <v>1.55178195749379</v>
      </c>
      <c r="BC754" s="49" t="n">
        <f aca="false">AS754/V754</f>
        <v>1.4969575021802</v>
      </c>
      <c r="BD754" s="49" t="n">
        <f aca="false">SUM(AP754:AR754)/V754</f>
        <v>0.197924884122582</v>
      </c>
      <c r="BE754" s="53" t="n">
        <v>5.89</v>
      </c>
      <c r="BF754" s="51" t="n">
        <v>140.960641600177</v>
      </c>
      <c r="BG754" s="51" t="n">
        <v>535.236500450446</v>
      </c>
      <c r="BH754" s="51" t="n">
        <v>330.760882638552</v>
      </c>
      <c r="BI754" s="51" t="n">
        <v>86.1294679729516</v>
      </c>
      <c r="BJ754" s="51" t="n">
        <v>6.49658001468957</v>
      </c>
      <c r="BK754" s="51" t="n">
        <v>21.3407746615598</v>
      </c>
      <c r="BL754" s="51" t="n">
        <v>16.253504299955</v>
      </c>
      <c r="BM754" s="51" t="n">
        <v>3.78228996184576</v>
      </c>
      <c r="BN754" s="52" t="n">
        <f aca="false">(BG754*0.5-BH754*0.25+BI754*0.5)/SUM(BG754:BI754)*1000</f>
        <v>239.456290196805</v>
      </c>
      <c r="BO754" s="93" t="n">
        <v>5.77028571428571</v>
      </c>
      <c r="BP754" s="94" t="s">
        <v>491</v>
      </c>
      <c r="BQ754" s="55" t="n">
        <v>433.351</v>
      </c>
      <c r="BR754" s="56" t="n">
        <v>20.7313870161663</v>
      </c>
      <c r="BS754" s="56"/>
      <c r="BT754" s="56" t="n">
        <v>13.3597293846931</v>
      </c>
      <c r="BU754" s="55" t="n">
        <v>13260.9286190476</v>
      </c>
      <c r="BV754" s="55" t="n">
        <v>634.399005414161</v>
      </c>
      <c r="BW754" s="55"/>
      <c r="BX754" s="55" t="n">
        <v>408.819681367317</v>
      </c>
      <c r="BY754" s="96" t="n">
        <v>0.1133</v>
      </c>
      <c r="BZ754" s="96" t="n">
        <v>0.6017</v>
      </c>
      <c r="CA754" s="97" t="n">
        <v>4.4847</v>
      </c>
      <c r="CB754" s="97"/>
      <c r="CC754" s="97" t="n">
        <v>5.643</v>
      </c>
      <c r="CD754" s="97" t="n">
        <v>8.1081</v>
      </c>
      <c r="CE754" s="97" t="n">
        <v>82.82</v>
      </c>
      <c r="CF754" s="97" t="n">
        <v>38.6298</v>
      </c>
      <c r="CG754" s="97" t="n">
        <v>0.0696</v>
      </c>
      <c r="CH754" s="63" t="n">
        <v>19282.7710198634</v>
      </c>
      <c r="CI754" s="63" t="n">
        <v>5613.80943786989</v>
      </c>
      <c r="CJ754" s="64" t="n">
        <v>959761.483337724</v>
      </c>
      <c r="CK754" s="65" t="n">
        <v>0.58491714194937</v>
      </c>
    </row>
    <row r="755" s="1" customFormat="true" ht="15" hidden="false" customHeight="false" outlineLevel="0" collapsed="false">
      <c r="A755" s="7" t="s">
        <v>488</v>
      </c>
      <c r="B755" s="66" t="n">
        <v>746</v>
      </c>
      <c r="C755" s="8" t="s">
        <v>838</v>
      </c>
      <c r="D755" s="67" t="n">
        <v>42048</v>
      </c>
      <c r="E755" s="4" t="s">
        <v>583</v>
      </c>
      <c r="F755" s="7" t="n">
        <v>2122</v>
      </c>
      <c r="G755" s="68" t="n">
        <v>1</v>
      </c>
      <c r="H755" s="68" t="n">
        <v>166</v>
      </c>
      <c r="I755" s="7" t="n">
        <v>1</v>
      </c>
      <c r="J755" s="8" t="n">
        <v>720</v>
      </c>
      <c r="K755" s="32"/>
      <c r="L755" s="31" t="n">
        <v>935.138</v>
      </c>
      <c r="M755" s="31" t="n">
        <v>159.747016219525</v>
      </c>
      <c r="N755" s="31" t="n">
        <v>327.858818728961</v>
      </c>
      <c r="O755" s="95"/>
      <c r="P755" s="33" t="n">
        <v>39.171682138121</v>
      </c>
      <c r="Q755" s="33" t="n">
        <v>6.8</v>
      </c>
      <c r="R755" s="31" t="n">
        <v>270.223400999694</v>
      </c>
      <c r="S755" s="34" t="s">
        <v>76</v>
      </c>
      <c r="T755" s="35"/>
      <c r="U755" s="35"/>
      <c r="V755" s="35" t="n">
        <v>16.1826798437502</v>
      </c>
      <c r="W755" s="35" t="n">
        <v>15.1330388637249</v>
      </c>
      <c r="X755" s="35" t="n">
        <v>2.58513481947494</v>
      </c>
      <c r="Y755" s="35" t="n">
        <v>5.3056342974409</v>
      </c>
      <c r="Z755" s="35"/>
      <c r="AA755" s="35" t="n">
        <v>0.63390279098236</v>
      </c>
      <c r="AB755" s="35" t="n">
        <v>0.110042222937501</v>
      </c>
      <c r="AC755" s="71" t="n">
        <v>4.37293878466738</v>
      </c>
      <c r="AD755" s="72"/>
      <c r="AE755" s="72"/>
      <c r="AF755" s="72"/>
      <c r="AG755" s="72"/>
      <c r="AH755" s="72"/>
      <c r="AI755" s="73" t="n">
        <v>24.1012421722258</v>
      </c>
      <c r="AJ755" s="42" t="s">
        <v>16</v>
      </c>
      <c r="AK755" s="43" t="n">
        <v>717.856865990239</v>
      </c>
      <c r="AL755" s="74"/>
      <c r="AM755" s="74"/>
      <c r="AN755" s="74"/>
      <c r="AO755" s="78" t="n">
        <v>32.4571428571429</v>
      </c>
      <c r="AP755" s="76" t="n">
        <v>1.1948073724321</v>
      </c>
      <c r="AQ755" s="76" t="n">
        <v>1.09688740802443</v>
      </c>
      <c r="AR755" s="76" t="n">
        <v>1.60393169512703</v>
      </c>
      <c r="AS755" s="77" t="n">
        <v>30.9049677293387</v>
      </c>
      <c r="AT755" s="78" t="n">
        <v>31.6900288958232</v>
      </c>
      <c r="AU755" s="78" t="n">
        <v>36.8118468619046</v>
      </c>
      <c r="AV755" s="78" t="n">
        <v>33.7949465500486</v>
      </c>
      <c r="AW755" s="78" t="n">
        <v>49.4169096209913</v>
      </c>
      <c r="AX755" s="78" t="n">
        <v>23.9433333333333</v>
      </c>
      <c r="AY755" s="48" t="n">
        <v>1.95826829683354</v>
      </c>
      <c r="AZ755" s="48" t="n">
        <v>24.8214523222104</v>
      </c>
      <c r="BA755" s="48" t="n">
        <v>-8.6387724784602</v>
      </c>
      <c r="BB755" s="49" t="n">
        <f aca="false">AT755/V755</f>
        <v>1.95826829683354</v>
      </c>
      <c r="BC755" s="49" t="n">
        <f aca="false">AS755/V755</f>
        <v>1.90975586415462</v>
      </c>
      <c r="BD755" s="49" t="n">
        <f aca="false">SUM(AP755:AR755)/V755</f>
        <v>0.24072814349646</v>
      </c>
      <c r="BE755" s="53" t="n">
        <v>6.12</v>
      </c>
      <c r="BF755" s="51" t="n">
        <v>130.839348454063</v>
      </c>
      <c r="BG755" s="51" t="n">
        <v>619.593194616148</v>
      </c>
      <c r="BH755" s="51" t="n">
        <v>219.121088797409</v>
      </c>
      <c r="BI755" s="51" t="n">
        <v>119.685532729251</v>
      </c>
      <c r="BJ755" s="51" t="n">
        <v>6.89444173990318</v>
      </c>
      <c r="BK755" s="51" t="n">
        <v>14.522261475883</v>
      </c>
      <c r="BL755" s="51" t="n">
        <v>13.3791178084132</v>
      </c>
      <c r="BM755" s="51" t="n">
        <v>6.80436283299204</v>
      </c>
      <c r="BN755" s="52" t="n">
        <f aca="false">(BG755*0.5-BH755*0.25+BI755*0.5)/SUM(BG755:BI755)*1000</f>
        <v>328.525826247061</v>
      </c>
      <c r="BO755" s="93" t="n">
        <v>4.75028571428572</v>
      </c>
      <c r="BP755" s="94" t="s">
        <v>491</v>
      </c>
      <c r="BQ755" s="55" t="n">
        <v>469.043663859289</v>
      </c>
      <c r="BR755" s="56" t="n">
        <v>28.984301017389</v>
      </c>
      <c r="BS755" s="56"/>
      <c r="BT755" s="56" t="n">
        <v>14.8009856791614</v>
      </c>
      <c r="BU755" s="55" t="n">
        <v>12804.8759748354</v>
      </c>
      <c r="BV755" s="55" t="n">
        <v>791.270426064854</v>
      </c>
      <c r="BW755" s="55"/>
      <c r="BX755" s="55" t="n">
        <v>404.06640261925</v>
      </c>
      <c r="BY755" s="96" t="n">
        <v>0.0618</v>
      </c>
      <c r="BZ755" s="96" t="n">
        <v>0.8756</v>
      </c>
      <c r="CA755" s="97" t="n">
        <v>3.6135</v>
      </c>
      <c r="CB755" s="97"/>
      <c r="CC755" s="97" t="n">
        <v>6.1974</v>
      </c>
      <c r="CD755" s="97" t="n">
        <v>6.6429</v>
      </c>
      <c r="CE755" s="97" t="n">
        <v>80.8</v>
      </c>
      <c r="CF755" s="97" t="n">
        <v>36.8181</v>
      </c>
      <c r="CG755" s="97" t="n">
        <v>0.0402</v>
      </c>
      <c r="CH755" s="63" t="n">
        <v>74206.1631467821</v>
      </c>
      <c r="CI755" s="63" t="n">
        <v>1315.0018893087</v>
      </c>
      <c r="CJ755" s="64" t="n">
        <v>218316.024732776</v>
      </c>
      <c r="CK755" s="65" t="n">
        <v>0.602338692690237</v>
      </c>
    </row>
    <row r="756" s="1" customFormat="true" ht="15" hidden="false" customHeight="false" outlineLevel="0" collapsed="false">
      <c r="A756" s="7" t="s">
        <v>488</v>
      </c>
      <c r="B756" s="66" t="n">
        <v>747</v>
      </c>
      <c r="C756" s="8" t="s">
        <v>839</v>
      </c>
      <c r="D756" s="67" t="n">
        <v>42048</v>
      </c>
      <c r="E756" s="4" t="s">
        <v>583</v>
      </c>
      <c r="F756" s="7" t="n">
        <v>2125</v>
      </c>
      <c r="G756" s="68" t="n">
        <v>1</v>
      </c>
      <c r="H756" s="68" t="n">
        <v>168</v>
      </c>
      <c r="I756" s="7" t="n">
        <v>1</v>
      </c>
      <c r="J756" s="8" t="n">
        <v>680</v>
      </c>
      <c r="K756" s="32"/>
      <c r="L756" s="31" t="n">
        <v>935.138</v>
      </c>
      <c r="M756" s="31" t="n">
        <v>159.747016219525</v>
      </c>
      <c r="N756" s="31" t="n">
        <v>327.858818728961</v>
      </c>
      <c r="O756" s="95"/>
      <c r="P756" s="33" t="n">
        <v>39.171682138121</v>
      </c>
      <c r="Q756" s="33" t="n">
        <v>6.8</v>
      </c>
      <c r="R756" s="31" t="n">
        <v>270.223400999694</v>
      </c>
      <c r="S756" s="34" t="s">
        <v>76</v>
      </c>
      <c r="T756" s="35"/>
      <c r="U756" s="35"/>
      <c r="V756" s="35" t="n">
        <v>17.5205576440257</v>
      </c>
      <c r="W756" s="35" t="n">
        <v>16.3841392341189</v>
      </c>
      <c r="X756" s="35" t="n">
        <v>2.79885680613529</v>
      </c>
      <c r="Y756" s="35" t="n">
        <v>5.74426933264293</v>
      </c>
      <c r="Z756" s="35"/>
      <c r="AA756" s="35" t="n">
        <v>0.686309714914401</v>
      </c>
      <c r="AB756" s="35" t="n">
        <v>0.119139791979375</v>
      </c>
      <c r="AC756" s="71" t="n">
        <v>4.73446467397981</v>
      </c>
      <c r="AD756" s="72"/>
      <c r="AE756" s="72"/>
      <c r="AF756" s="72"/>
      <c r="AG756" s="72"/>
      <c r="AH756" s="72"/>
      <c r="AI756" s="73" t="n">
        <v>26.9914535045439</v>
      </c>
      <c r="AJ756" s="42" t="s">
        <v>16</v>
      </c>
      <c r="AK756" s="43" t="n">
        <v>748.06840250914</v>
      </c>
      <c r="AL756" s="74"/>
      <c r="AM756" s="74"/>
      <c r="AN756" s="74"/>
      <c r="AO756" s="78" t="n">
        <v>36.4285714285714</v>
      </c>
      <c r="AP756" s="76" t="n">
        <v>1.06032702667257</v>
      </c>
      <c r="AQ756" s="76" t="n">
        <v>1.22844648063307</v>
      </c>
      <c r="AR756" s="76" t="n">
        <v>1.82496876301541</v>
      </c>
      <c r="AS756" s="77" t="n">
        <v>30.4763339715171</v>
      </c>
      <c r="AT756" s="78" t="n">
        <v>32.2541352616962</v>
      </c>
      <c r="AU756" s="78" t="n">
        <v>29.1070164184627</v>
      </c>
      <c r="AV756" s="78" t="n">
        <v>33.7220602526725</v>
      </c>
      <c r="AW756" s="78" t="n">
        <v>50.0971817298348</v>
      </c>
      <c r="AX756" s="78" t="n">
        <v>27.4183333333333</v>
      </c>
      <c r="AY756" s="48" t="n">
        <v>1.84093086059361</v>
      </c>
      <c r="AZ756" s="48" t="n">
        <v>24.1079046900292</v>
      </c>
      <c r="BA756" s="48" t="n">
        <v>-6.58734704600347</v>
      </c>
      <c r="BB756" s="49" t="n">
        <f aca="false">AT756/V756</f>
        <v>1.84093086059361</v>
      </c>
      <c r="BC756" s="49" t="n">
        <f aca="false">AS756/V756</f>
        <v>1.73946141388423</v>
      </c>
      <c r="BD756" s="49" t="n">
        <f aca="false">SUM(AP756:AR756)/V756</f>
        <v>0.234795167705395</v>
      </c>
      <c r="BE756" s="53" t="n">
        <v>5.82</v>
      </c>
      <c r="BF756" s="51" t="n">
        <v>144.476374118721</v>
      </c>
      <c r="BG756" s="51" t="n">
        <v>536.384651522749</v>
      </c>
      <c r="BH756" s="51" t="n">
        <v>330.0961906451</v>
      </c>
      <c r="BI756" s="51" t="n">
        <v>94.2911753936555</v>
      </c>
      <c r="BJ756" s="51" t="n">
        <v>6.13907011470548</v>
      </c>
      <c r="BK756" s="51" t="n">
        <v>15.8967231936717</v>
      </c>
      <c r="BL756" s="51" t="n">
        <v>13.6365522652657</v>
      </c>
      <c r="BM756" s="51" t="n">
        <v>3.55563686485299</v>
      </c>
      <c r="BN756" s="52" t="n">
        <f aca="false">(BG756*0.5-BH756*0.25+BI756*0.5)/SUM(BG756:BI756)*1000</f>
        <v>242.319573781741</v>
      </c>
      <c r="BO756" s="93" t="n">
        <v>8.24742857142857</v>
      </c>
      <c r="BP756" s="94" t="s">
        <v>491</v>
      </c>
      <c r="BQ756" s="55" t="n">
        <v>523.87037037037</v>
      </c>
      <c r="BR756" s="56" t="n">
        <v>29.9003251502673</v>
      </c>
      <c r="BS756" s="56"/>
      <c r="BT756" s="56" t="n">
        <v>16.2419598640581</v>
      </c>
      <c r="BU756" s="55" t="n">
        <v>13481.6111111111</v>
      </c>
      <c r="BV756" s="55" t="n">
        <v>769.473859509727</v>
      </c>
      <c r="BW756" s="55"/>
      <c r="BX756" s="55" t="n">
        <v>417.980857391684</v>
      </c>
      <c r="BY756" s="96" t="n">
        <v>0.09373</v>
      </c>
      <c r="BZ756" s="96" t="n">
        <v>0.4411</v>
      </c>
      <c r="CA756" s="97" t="n">
        <v>4.1481</v>
      </c>
      <c r="CB756" s="97"/>
      <c r="CC756" s="97" t="n">
        <v>6.0093</v>
      </c>
      <c r="CD756" s="97" t="n">
        <v>7.0488</v>
      </c>
      <c r="CE756" s="97" t="n">
        <v>60.6</v>
      </c>
      <c r="CF756" s="97" t="n">
        <v>37.62</v>
      </c>
      <c r="CG756" s="97" t="n">
        <v>0.1578</v>
      </c>
      <c r="CH756" s="63" t="n">
        <v>39007.1579279514</v>
      </c>
      <c r="CI756" s="63" t="n">
        <v>5015.63405507001</v>
      </c>
      <c r="CJ756" s="64" t="n">
        <v>809469.88008652</v>
      </c>
      <c r="CK756" s="65" t="n">
        <v>0.61961960271257</v>
      </c>
    </row>
    <row r="757" s="1" customFormat="true" ht="15" hidden="false" customHeight="false" outlineLevel="0" collapsed="false">
      <c r="A757" s="7" t="s">
        <v>488</v>
      </c>
      <c r="B757" s="66" t="n">
        <v>748</v>
      </c>
      <c r="C757" s="8" t="s">
        <v>840</v>
      </c>
      <c r="D757" s="67" t="n">
        <v>42048</v>
      </c>
      <c r="E757" s="4" t="s">
        <v>583</v>
      </c>
      <c r="F757" s="7" t="n">
        <v>2160</v>
      </c>
      <c r="G757" s="68" t="n">
        <v>1</v>
      </c>
      <c r="H757" s="68" t="n">
        <v>168</v>
      </c>
      <c r="I757" s="7" t="n">
        <v>1</v>
      </c>
      <c r="J757" s="8" t="n">
        <v>677</v>
      </c>
      <c r="K757" s="32"/>
      <c r="L757" s="31" t="n">
        <v>935.138</v>
      </c>
      <c r="M757" s="31" t="n">
        <v>159.747016219525</v>
      </c>
      <c r="N757" s="31" t="n">
        <v>327.858818728961</v>
      </c>
      <c r="O757" s="95"/>
      <c r="P757" s="33" t="n">
        <v>39.171682138121</v>
      </c>
      <c r="Q757" s="33" t="n">
        <v>6.8</v>
      </c>
      <c r="R757" s="31" t="n">
        <v>270.223400999694</v>
      </c>
      <c r="S757" s="34" t="s">
        <v>76</v>
      </c>
      <c r="T757" s="35"/>
      <c r="U757" s="35"/>
      <c r="V757" s="35" t="n">
        <v>21.5806017676938</v>
      </c>
      <c r="W757" s="35" t="n">
        <v>20.1808407758377</v>
      </c>
      <c r="X757" s="35" t="n">
        <v>3.44743674061089</v>
      </c>
      <c r="Y757" s="35" t="n">
        <v>7.07539060301621</v>
      </c>
      <c r="Z757" s="35"/>
      <c r="AA757" s="35" t="n">
        <v>0.845348472793474</v>
      </c>
      <c r="AB757" s="35" t="n">
        <v>0.146748092020318</v>
      </c>
      <c r="AC757" s="71" t="n">
        <v>5.83158360528623</v>
      </c>
      <c r="AD757" s="72"/>
      <c r="AE757" s="72"/>
      <c r="AF757" s="72"/>
      <c r="AG757" s="72"/>
      <c r="AH757" s="72"/>
      <c r="AI757" s="73" t="n">
        <v>22.7978686143398</v>
      </c>
      <c r="AJ757" s="42" t="s">
        <v>16</v>
      </c>
      <c r="AK757" s="43" t="n">
        <v>701.72650281339</v>
      </c>
      <c r="AL757" s="74"/>
      <c r="AM757" s="74"/>
      <c r="AN757" s="74"/>
      <c r="AO757" s="78" t="n">
        <v>22.2714285714286</v>
      </c>
      <c r="AP757" s="76" t="n">
        <v>0.840593024912059</v>
      </c>
      <c r="AQ757" s="76" t="n">
        <v>0.742380952380952</v>
      </c>
      <c r="AR757" s="76" t="n">
        <v>1.09409204498126</v>
      </c>
      <c r="AS757" s="77" t="n">
        <v>21.5174668022523</v>
      </c>
      <c r="AT757" s="78" t="n">
        <v>21.8845964640667</v>
      </c>
      <c r="AU757" s="78" t="n">
        <v>37.7431120871354</v>
      </c>
      <c r="AV757" s="78" t="n">
        <v>33.3333333333333</v>
      </c>
      <c r="AW757" s="78" t="n">
        <v>49.1253644314869</v>
      </c>
      <c r="AX757" s="78" t="n">
        <v>18.8883333333333</v>
      </c>
      <c r="AY757" s="48" t="n">
        <v>1.01408647912812</v>
      </c>
      <c r="AZ757" s="48" t="n">
        <v>20.7491682666121</v>
      </c>
      <c r="BA757" s="48" t="n">
        <v>0.831433501081666</v>
      </c>
      <c r="BB757" s="49" t="n">
        <f aca="false">AT757/V757</f>
        <v>1.01408647912812</v>
      </c>
      <c r="BC757" s="49" t="n">
        <f aca="false">AS757/V757</f>
        <v>0.997074457602196</v>
      </c>
      <c r="BD757" s="49" t="n">
        <f aca="false">SUM(AP757:AR757)/V757</f>
        <v>0.124049646580377</v>
      </c>
      <c r="BE757" s="53" t="n">
        <v>6.42</v>
      </c>
      <c r="BF757" s="51" t="n">
        <v>120.925133121233</v>
      </c>
      <c r="BG757" s="51" t="n">
        <v>610.134385521332</v>
      </c>
      <c r="BH757" s="51" t="n">
        <v>225.28305003468</v>
      </c>
      <c r="BI757" s="51" t="n">
        <v>115.343898491555</v>
      </c>
      <c r="BJ757" s="51" t="n">
        <v>8.62352010527329</v>
      </c>
      <c r="BK757" s="51" t="n">
        <v>14.9787887361365</v>
      </c>
      <c r="BL757" s="51" t="n">
        <v>18.2422748990137</v>
      </c>
      <c r="BM757" s="51" t="n">
        <v>7.39408221200982</v>
      </c>
      <c r="BN757" s="52" t="n">
        <f aca="false">(BG757*0.5-BH757*0.25+BI757*0.5)/SUM(BG757:BI757)*1000</f>
        <v>322.287380149647</v>
      </c>
      <c r="BO757" s="93" t="n">
        <v>6.20742857142857</v>
      </c>
      <c r="BP757" s="94" t="s">
        <v>491</v>
      </c>
      <c r="BQ757" s="55" t="n">
        <v>436.640625</v>
      </c>
      <c r="BR757" s="56" t="n">
        <v>20.2330143385367</v>
      </c>
      <c r="BS757" s="56"/>
      <c r="BT757" s="56" t="n">
        <v>19.9519614500062</v>
      </c>
      <c r="BU757" s="55" t="n">
        <v>11851.21875</v>
      </c>
      <c r="BV757" s="55" t="n">
        <v>549.160717461609</v>
      </c>
      <c r="BW757" s="55"/>
      <c r="BX757" s="55" t="n">
        <v>541.532432158804</v>
      </c>
      <c r="BY757" s="96" t="n">
        <v>0.06283</v>
      </c>
      <c r="BZ757" s="96" t="n">
        <v>0.5203</v>
      </c>
      <c r="CA757" s="97" t="n">
        <v>4.4946</v>
      </c>
      <c r="CB757" s="97"/>
      <c r="CC757" s="97" t="n">
        <v>4.6629</v>
      </c>
      <c r="CD757" s="97" t="n">
        <v>5.6232</v>
      </c>
      <c r="CE757" s="97" t="n">
        <v>80.8</v>
      </c>
      <c r="CF757" s="97" t="n">
        <v>37.719</v>
      </c>
      <c r="CG757" s="97" t="n">
        <v>0.0892</v>
      </c>
      <c r="CH757" s="63" t="n">
        <v>81601.7873061854</v>
      </c>
      <c r="CI757" s="63" t="n">
        <v>4577.82064405482</v>
      </c>
      <c r="CJ757" s="64" t="n">
        <v>466518.038565338</v>
      </c>
      <c r="CK757" s="65" t="n">
        <v>0.981274091379787</v>
      </c>
    </row>
    <row r="758" s="1" customFormat="true" ht="15" hidden="false" customHeight="false" outlineLevel="0" collapsed="false">
      <c r="A758" s="7" t="s">
        <v>488</v>
      </c>
      <c r="B758" s="66" t="n">
        <v>749</v>
      </c>
      <c r="C758" s="8" t="s">
        <v>841</v>
      </c>
      <c r="D758" s="67" t="n">
        <v>42048</v>
      </c>
      <c r="E758" s="4" t="s">
        <v>583</v>
      </c>
      <c r="F758" s="7" t="n">
        <v>2169</v>
      </c>
      <c r="G758" s="68" t="n">
        <v>1</v>
      </c>
      <c r="H758" s="68" t="n">
        <v>158</v>
      </c>
      <c r="I758" s="7" t="n">
        <v>1</v>
      </c>
      <c r="J758" s="8" t="n">
        <v>610</v>
      </c>
      <c r="K758" s="32"/>
      <c r="L758" s="31" t="n">
        <v>935.138</v>
      </c>
      <c r="M758" s="31" t="n">
        <v>159.747016219525</v>
      </c>
      <c r="N758" s="31" t="n">
        <v>327.858818728961</v>
      </c>
      <c r="O758" s="95"/>
      <c r="P758" s="33" t="n">
        <v>39.171682138121</v>
      </c>
      <c r="Q758" s="33" t="n">
        <v>6.8</v>
      </c>
      <c r="R758" s="31" t="n">
        <v>270.223400999694</v>
      </c>
      <c r="S758" s="34" t="s">
        <v>76</v>
      </c>
      <c r="T758" s="35"/>
      <c r="U758" s="35"/>
      <c r="V758" s="35" t="n">
        <v>28.4181919352295</v>
      </c>
      <c r="W758" s="35" t="n">
        <v>26.5749311699266</v>
      </c>
      <c r="X758" s="35" t="n">
        <v>4.53972136800667</v>
      </c>
      <c r="Y758" s="35" t="n">
        <v>9.31715483829721</v>
      </c>
      <c r="Z758" s="35"/>
      <c r="AA758" s="35" t="n">
        <v>1.11318838142692</v>
      </c>
      <c r="AB758" s="35" t="n">
        <v>0.19324370515956</v>
      </c>
      <c r="AC758" s="71" t="n">
        <v>7.67926047499978</v>
      </c>
      <c r="AD758" s="72"/>
      <c r="AE758" s="72"/>
      <c r="AF758" s="72"/>
      <c r="AG758" s="72"/>
      <c r="AH758" s="72"/>
      <c r="AI758" s="73" t="n">
        <v>23.3</v>
      </c>
      <c r="AJ758" s="42" t="s">
        <v>16</v>
      </c>
      <c r="AK758" s="43" t="n">
        <v>708.154506437768</v>
      </c>
      <c r="AL758" s="74"/>
      <c r="AM758" s="74"/>
      <c r="AN758" s="74"/>
      <c r="AO758" s="78" t="n">
        <v>36.5714285714286</v>
      </c>
      <c r="AP758" s="76" t="n">
        <v>1.23382368457587</v>
      </c>
      <c r="AQ758" s="76" t="n">
        <v>1.28035540746911</v>
      </c>
      <c r="AR758" s="76" t="n">
        <v>1.84634180202693</v>
      </c>
      <c r="AS758" s="77" t="n">
        <v>33.1359266972095</v>
      </c>
      <c r="AT758" s="78" t="n">
        <v>34.8839394767396</v>
      </c>
      <c r="AU758" s="78" t="n">
        <v>33.7373663751215</v>
      </c>
      <c r="AV758" s="78" t="n">
        <v>35.0097181729835</v>
      </c>
      <c r="AW758" s="78" t="n">
        <v>50.485908649174</v>
      </c>
      <c r="AX758" s="78" t="n">
        <v>24.0883333333333</v>
      </c>
      <c r="AY758" s="48" t="n">
        <v>1.22752142558002</v>
      </c>
      <c r="AZ758" s="48" t="n">
        <v>24.0511294065741</v>
      </c>
      <c r="BA758" s="48" t="n">
        <v>4.3670625286554</v>
      </c>
      <c r="BB758" s="49" t="n">
        <f aca="false">AT758/V758</f>
        <v>1.22752142558002</v>
      </c>
      <c r="BC758" s="49" t="n">
        <f aca="false">AS758/V758</f>
        <v>1.16601108095591</v>
      </c>
      <c r="BD758" s="49" t="n">
        <f aca="false">SUM(AP758:AR758)/V758</f>
        <v>0.153441179650358</v>
      </c>
      <c r="BE758" s="53" t="n">
        <v>6.41</v>
      </c>
      <c r="BF758" s="51" t="n">
        <v>125.384993172719</v>
      </c>
      <c r="BG758" s="51" t="n">
        <v>569.540644654167</v>
      </c>
      <c r="BH758" s="51" t="n">
        <v>278.064534503023</v>
      </c>
      <c r="BI758" s="51" t="n">
        <v>115.468822486347</v>
      </c>
      <c r="BJ758" s="51" t="n">
        <v>6.53888873188018</v>
      </c>
      <c r="BK758" s="51" t="n">
        <v>12.9689235437531</v>
      </c>
      <c r="BL758" s="51" t="n">
        <v>13.4020229559077</v>
      </c>
      <c r="BM758" s="51" t="n">
        <v>4.01616312492148</v>
      </c>
      <c r="BN758" s="52" t="n">
        <f aca="false">(BG758*0.5-BH758*0.25+BI758*0.5)/SUM(BG758:BI758)*1000</f>
        <v>283.455476400185</v>
      </c>
      <c r="BO758" s="93" t="n">
        <v>9.12171428571429</v>
      </c>
      <c r="BP758" s="94" t="s">
        <v>491</v>
      </c>
      <c r="BQ758" s="55" t="n">
        <v>454.84375</v>
      </c>
      <c r="BR758" s="56" t="n">
        <v>16.0053725809396</v>
      </c>
      <c r="BS758" s="56"/>
      <c r="BT758" s="56" t="n">
        <v>13.0387724787588</v>
      </c>
      <c r="BU758" s="55" t="n">
        <v>13087.9791666667</v>
      </c>
      <c r="BV758" s="55" t="n">
        <v>460.549326871206</v>
      </c>
      <c r="BW758" s="55"/>
      <c r="BX758" s="55" t="n">
        <v>375.186385568455</v>
      </c>
      <c r="BY758" s="96" t="n">
        <v>0.07416</v>
      </c>
      <c r="BZ758" s="96" t="n">
        <v>0.8052</v>
      </c>
      <c r="CA758" s="97" t="n">
        <v>3.9798</v>
      </c>
      <c r="CB758" s="97"/>
      <c r="CC758" s="97" t="n">
        <v>6.1578</v>
      </c>
      <c r="CD758" s="97" t="n">
        <v>6.5934</v>
      </c>
      <c r="CE758" s="97" t="n">
        <v>62.62</v>
      </c>
      <c r="CF758" s="97" t="n">
        <v>35.5905</v>
      </c>
      <c r="CG758" s="97" t="n">
        <v>0.0794</v>
      </c>
      <c r="CH758" s="63" t="n">
        <v>60818.9381309631</v>
      </c>
      <c r="CI758" s="63" t="n">
        <v>4767.47361762883</v>
      </c>
      <c r="CJ758" s="64" t="n">
        <v>477862.624108441</v>
      </c>
      <c r="CK758" s="65" t="n">
        <v>0.997666144432957</v>
      </c>
    </row>
    <row r="759" s="1" customFormat="true" ht="15" hidden="false" customHeight="false" outlineLevel="0" collapsed="false">
      <c r="A759" s="7" t="s">
        <v>488</v>
      </c>
      <c r="B759" s="66" t="n">
        <v>750</v>
      </c>
      <c r="C759" s="8" t="s">
        <v>842</v>
      </c>
      <c r="D759" s="67" t="n">
        <v>42075</v>
      </c>
      <c r="E759" s="4" t="s">
        <v>583</v>
      </c>
      <c r="F759" s="7" t="n">
        <v>96</v>
      </c>
      <c r="G759" s="68" t="n">
        <v>1</v>
      </c>
      <c r="H759" s="68" t="n">
        <v>174</v>
      </c>
      <c r="I759" s="7" t="n">
        <v>1</v>
      </c>
      <c r="J759" s="8" t="n">
        <v>728</v>
      </c>
      <c r="K759" s="32"/>
      <c r="L759" s="31" t="n">
        <v>934.239</v>
      </c>
      <c r="M759" s="31" t="n">
        <v>164.133428542283</v>
      </c>
      <c r="N759" s="31" t="n">
        <v>331.021115984903</v>
      </c>
      <c r="O759" s="95"/>
      <c r="P759" s="33" t="n">
        <v>41.1098643272468</v>
      </c>
      <c r="Q759" s="33" t="n">
        <v>7.1</v>
      </c>
      <c r="R759" s="31" t="n">
        <v>269.101295521779</v>
      </c>
      <c r="S759" s="34" t="s">
        <v>76</v>
      </c>
      <c r="T759" s="35"/>
      <c r="U759" s="35"/>
      <c r="V759" s="35" t="n">
        <v>21.35218981997</v>
      </c>
      <c r="W759" s="35" t="n">
        <v>19.948048465219</v>
      </c>
      <c r="X759" s="35" t="n">
        <v>3.50460812203731</v>
      </c>
      <c r="Y759" s="35" t="n">
        <v>7.06802570292796</v>
      </c>
      <c r="Z759" s="35"/>
      <c r="AA759" s="35" t="n">
        <v>0.877785626588588</v>
      </c>
      <c r="AB759" s="35" t="n">
        <v>0.151600547721787</v>
      </c>
      <c r="AC759" s="71" t="n">
        <v>5.74590194278088</v>
      </c>
      <c r="AD759" s="72"/>
      <c r="AE759" s="72"/>
      <c r="AF759" s="72"/>
      <c r="AG759" s="72"/>
      <c r="AH759" s="72"/>
      <c r="AI759" s="73" t="n">
        <v>24.6108591588144</v>
      </c>
      <c r="AJ759" s="42" t="s">
        <v>16</v>
      </c>
      <c r="AK759" s="43" t="n">
        <v>711.509461974345</v>
      </c>
      <c r="AL759" s="74"/>
      <c r="AM759" s="74"/>
      <c r="AN759" s="74"/>
      <c r="AO759" s="78" t="n">
        <v>35.6285714285714</v>
      </c>
      <c r="AP759" s="76" t="n">
        <v>1.26802302529369</v>
      </c>
      <c r="AQ759" s="76" t="n">
        <v>1.18761904761905</v>
      </c>
      <c r="AR759" s="76" t="n">
        <v>1.78662224073303</v>
      </c>
      <c r="AS759" s="77" t="n">
        <v>33.271773950834</v>
      </c>
      <c r="AT759" s="78" t="n">
        <v>34.2655751947214</v>
      </c>
      <c r="AU759" s="78" t="n">
        <v>35.5900608542737</v>
      </c>
      <c r="AV759" s="78" t="n">
        <v>33.3333333333333</v>
      </c>
      <c r="AW759" s="78" t="n">
        <v>50.1457725947522</v>
      </c>
      <c r="AX759" s="78" t="n">
        <v>21.9</v>
      </c>
      <c r="AY759" s="48" t="n">
        <v>1.60478037539147</v>
      </c>
      <c r="AZ759" s="48" t="n">
        <v>25.8353193398529</v>
      </c>
      <c r="BA759" s="48" t="n">
        <v>-4.48312951988282</v>
      </c>
      <c r="BB759" s="49" t="n">
        <f aca="false">AT759/V759</f>
        <v>1.60478037539147</v>
      </c>
      <c r="BC759" s="49" t="n">
        <f aca="false">AS759/V759</f>
        <v>1.55823708159975</v>
      </c>
      <c r="BD759" s="49" t="n">
        <f aca="false">SUM(AP759:AR759)/V759</f>
        <v>0.198680526419736</v>
      </c>
      <c r="BE759" s="53" t="n">
        <v>5.7</v>
      </c>
      <c r="BF759" s="51" t="n">
        <v>143.781999278303</v>
      </c>
      <c r="BG759" s="51" t="n">
        <v>536.689322866191</v>
      </c>
      <c r="BH759" s="51" t="n">
        <v>310.18325421955</v>
      </c>
      <c r="BI759" s="51" t="n">
        <v>116.059709419784</v>
      </c>
      <c r="BJ759" s="51" t="n">
        <v>5.69101350093465</v>
      </c>
      <c r="BK759" s="51" t="n">
        <v>14.346821394329</v>
      </c>
      <c r="BL759" s="51" t="n">
        <v>13.5666898180845</v>
      </c>
      <c r="BM759" s="51" t="n">
        <v>3.46318878112674</v>
      </c>
      <c r="BN759" s="52" t="n">
        <f aca="false">(BG759*0.5-BH759*0.25+BI759*0.5)/SUM(BG759:BI759)*1000</f>
        <v>258.407269207992</v>
      </c>
      <c r="BO759" s="93" t="n">
        <v>2.71203428571429</v>
      </c>
      <c r="BP759" s="94" t="s">
        <v>491</v>
      </c>
      <c r="BQ759" s="55" t="n">
        <v>449.485173160173</v>
      </c>
      <c r="BR759" s="56" t="n">
        <v>21.0510105497369</v>
      </c>
      <c r="BS759" s="56"/>
      <c r="BT759" s="56" t="n">
        <v>13.117689418779</v>
      </c>
      <c r="BU759" s="55" t="n">
        <v>12942.4461038961</v>
      </c>
      <c r="BV759" s="55" t="n">
        <v>606.141394068698</v>
      </c>
      <c r="BW759" s="55"/>
      <c r="BX759" s="55" t="n">
        <v>377.709874424927</v>
      </c>
      <c r="BY759" s="96" t="n">
        <v>0.09888</v>
      </c>
      <c r="BZ759" s="96" t="n">
        <v>0.8668</v>
      </c>
      <c r="CA759" s="97" t="n">
        <v>4.54</v>
      </c>
      <c r="CB759" s="97"/>
      <c r="CC759" s="97" t="n">
        <v>4.2966</v>
      </c>
      <c r="CD759" s="97" t="n">
        <v>7.43</v>
      </c>
      <c r="CE759" s="97" t="n">
        <v>82</v>
      </c>
      <c r="CF759" s="97" t="n">
        <v>36.1053</v>
      </c>
      <c r="CG759" s="97" t="n">
        <v>0.4542</v>
      </c>
      <c r="CH759" s="63" t="n">
        <v>54007.8126434201</v>
      </c>
      <c r="CI759" s="63" t="n">
        <v>1457.11393095417</v>
      </c>
      <c r="CJ759" s="64" t="n">
        <v>409599.92411298</v>
      </c>
      <c r="CK759" s="65" t="n">
        <v>0.355740771707823</v>
      </c>
    </row>
    <row r="760" s="1" customFormat="true" ht="15" hidden="false" customHeight="false" outlineLevel="0" collapsed="false">
      <c r="A760" s="7" t="s">
        <v>488</v>
      </c>
      <c r="B760" s="66" t="n">
        <v>751</v>
      </c>
      <c r="C760" s="8" t="s">
        <v>843</v>
      </c>
      <c r="D760" s="67" t="n">
        <v>42075</v>
      </c>
      <c r="E760" s="4" t="s">
        <v>583</v>
      </c>
      <c r="F760" s="7" t="n">
        <v>225</v>
      </c>
      <c r="G760" s="68" t="n">
        <v>1</v>
      </c>
      <c r="H760" s="68" t="n">
        <v>172</v>
      </c>
      <c r="I760" s="7" t="n">
        <v>1</v>
      </c>
      <c r="J760" s="8" t="n">
        <v>720</v>
      </c>
      <c r="K760" s="32"/>
      <c r="L760" s="31" t="n">
        <v>934.239</v>
      </c>
      <c r="M760" s="31" t="n">
        <v>164.133428542283</v>
      </c>
      <c r="N760" s="31" t="n">
        <v>331.021115984903</v>
      </c>
      <c r="O760" s="95"/>
      <c r="P760" s="33" t="n">
        <v>41.1098643272468</v>
      </c>
      <c r="Q760" s="33" t="n">
        <v>7.1</v>
      </c>
      <c r="R760" s="31" t="n">
        <v>269.101295521779</v>
      </c>
      <c r="S760" s="34" t="s">
        <v>76</v>
      </c>
      <c r="T760" s="35"/>
      <c r="U760" s="35"/>
      <c r="V760" s="35" t="n">
        <v>19.0156880465949</v>
      </c>
      <c r="W760" s="35" t="n">
        <v>17.7651973849627</v>
      </c>
      <c r="X760" s="35" t="n">
        <v>3.12111007517812</v>
      </c>
      <c r="Y760" s="35" t="n">
        <v>6.2945942784046</v>
      </c>
      <c r="Z760" s="35"/>
      <c r="AA760" s="35" t="n">
        <v>0.781732355684762</v>
      </c>
      <c r="AB760" s="35" t="n">
        <v>0.135011385130823</v>
      </c>
      <c r="AC760" s="71" t="n">
        <v>5.11714628857668</v>
      </c>
      <c r="AD760" s="72"/>
      <c r="AE760" s="72"/>
      <c r="AF760" s="72"/>
      <c r="AG760" s="72"/>
      <c r="AH760" s="72"/>
      <c r="AI760" s="73" t="n">
        <v>26.233463674398</v>
      </c>
      <c r="AJ760" s="42" t="s">
        <v>16</v>
      </c>
      <c r="AK760" s="43" t="n">
        <v>729.353314220223</v>
      </c>
      <c r="AL760" s="74"/>
      <c r="AM760" s="74"/>
      <c r="AN760" s="74"/>
      <c r="AO760" s="78" t="n">
        <v>27.4428571428571</v>
      </c>
      <c r="AP760" s="76" t="n">
        <v>1.14551356307525</v>
      </c>
      <c r="AQ760" s="76" t="n">
        <v>0.788748785228377</v>
      </c>
      <c r="AR760" s="76" t="n">
        <v>1.44348361793697</v>
      </c>
      <c r="AS760" s="77" t="n">
        <v>28.1598463032716</v>
      </c>
      <c r="AT760" s="78" t="n">
        <v>27.8357249209692</v>
      </c>
      <c r="AU760" s="78" t="n">
        <v>41.7417748127368</v>
      </c>
      <c r="AV760" s="78" t="n">
        <v>28.7414965986395</v>
      </c>
      <c r="AW760" s="78" t="n">
        <v>52.5996112730807</v>
      </c>
      <c r="AX760" s="78" t="n">
        <v>17.775</v>
      </c>
      <c r="AY760" s="48" t="n">
        <v>1.46382948924921</v>
      </c>
      <c r="AZ760" s="48" t="n">
        <v>23.824491536885</v>
      </c>
      <c r="BA760" s="48" t="n">
        <v>-4.80880349029014</v>
      </c>
      <c r="BB760" s="49" t="n">
        <f aca="false">AT760/V760</f>
        <v>1.46382948924921</v>
      </c>
      <c r="BC760" s="49" t="n">
        <f aca="false">AS760/V760</f>
        <v>1.48087443558553</v>
      </c>
      <c r="BD760" s="49" t="n">
        <f aca="false">SUM(AP760:AR760)/V760</f>
        <v>0.177629437229091</v>
      </c>
      <c r="BE760" s="53" t="n">
        <v>6.57</v>
      </c>
      <c r="BF760" s="51" t="n">
        <v>119.898440594067</v>
      </c>
      <c r="BG760" s="51" t="n">
        <v>622.358307546769</v>
      </c>
      <c r="BH760" s="51" t="n">
        <v>189.932639758114</v>
      </c>
      <c r="BI760" s="51" t="n">
        <v>125.247100036724</v>
      </c>
      <c r="BJ760" s="51" t="n">
        <v>7.78058365465409</v>
      </c>
      <c r="BK760" s="51" t="n">
        <v>17.7514280249807</v>
      </c>
      <c r="BL760" s="51" t="n">
        <v>20.9673589123924</v>
      </c>
      <c r="BM760" s="51" t="n">
        <v>15.9625820663659</v>
      </c>
      <c r="BN760" s="52" t="n">
        <f aca="false">(BG760*0.5-BH760*0.25+BI760*0.5)/SUM(BG760:BI760)*1000</f>
        <v>348.060054498587</v>
      </c>
      <c r="BO760" s="93" t="n">
        <v>3.37561714285714</v>
      </c>
      <c r="BP760" s="94" t="s">
        <v>491</v>
      </c>
      <c r="BQ760" s="55" t="n">
        <v>454.682954545455</v>
      </c>
      <c r="BR760" s="56" t="n">
        <v>23.9109388748557</v>
      </c>
      <c r="BS760" s="56"/>
      <c r="BT760" s="56" t="n">
        <v>16.3345109867404</v>
      </c>
      <c r="BU760" s="55" t="n">
        <v>11980.721969697</v>
      </c>
      <c r="BV760" s="55" t="n">
        <v>630.04409518815</v>
      </c>
      <c r="BW760" s="55"/>
      <c r="BX760" s="55" t="n">
        <v>430.408117759191</v>
      </c>
      <c r="BY760" s="96" t="n">
        <v>0.103</v>
      </c>
      <c r="BZ760" s="96" t="n">
        <v>0.7645</v>
      </c>
      <c r="CA760" s="97" t="n">
        <v>4.81</v>
      </c>
      <c r="CB760" s="97"/>
      <c r="CC760" s="97" t="n">
        <v>3.663</v>
      </c>
      <c r="CD760" s="97" t="n">
        <v>5.06</v>
      </c>
      <c r="CE760" s="97" t="n">
        <v>79</v>
      </c>
      <c r="CF760" s="97" t="n">
        <v>31.7592</v>
      </c>
      <c r="CG760" s="97" t="n">
        <v>1.3314</v>
      </c>
      <c r="CH760" s="63" t="n">
        <v>68313.9499318271</v>
      </c>
      <c r="CI760" s="63" t="n">
        <v>2269.98854757031</v>
      </c>
      <c r="CJ760" s="64" t="n">
        <v>200455.811900568</v>
      </c>
      <c r="CK760" s="65" t="n">
        <v>1.13241343618228</v>
      </c>
    </row>
    <row r="761" s="1" customFormat="true" ht="15" hidden="false" customHeight="false" outlineLevel="0" collapsed="false">
      <c r="A761" s="7" t="s">
        <v>488</v>
      </c>
      <c r="B761" s="66" t="n">
        <v>752</v>
      </c>
      <c r="C761" s="8" t="s">
        <v>844</v>
      </c>
      <c r="D761" s="67" t="n">
        <v>42075</v>
      </c>
      <c r="E761" s="4" t="s">
        <v>583</v>
      </c>
      <c r="F761" s="7" t="n">
        <v>341</v>
      </c>
      <c r="G761" s="68" t="n">
        <v>1</v>
      </c>
      <c r="H761" s="68" t="n">
        <v>165</v>
      </c>
      <c r="I761" s="7" t="n">
        <v>1</v>
      </c>
      <c r="J761" s="8" t="n">
        <v>729</v>
      </c>
      <c r="K761" s="32"/>
      <c r="L761" s="31" t="n">
        <v>934.239</v>
      </c>
      <c r="M761" s="31" t="n">
        <v>164.133428542283</v>
      </c>
      <c r="N761" s="31" t="n">
        <v>331.021115984903</v>
      </c>
      <c r="O761" s="95"/>
      <c r="P761" s="33" t="n">
        <v>41.1098643272468</v>
      </c>
      <c r="Q761" s="33" t="n">
        <v>7.1</v>
      </c>
      <c r="R761" s="31" t="n">
        <v>269.101295521779</v>
      </c>
      <c r="S761" s="34" t="s">
        <v>76</v>
      </c>
      <c r="T761" s="35"/>
      <c r="U761" s="35"/>
      <c r="V761" s="35" t="n">
        <v>24.0269709343614</v>
      </c>
      <c r="W761" s="35" t="n">
        <v>22.4469332987469</v>
      </c>
      <c r="X761" s="35" t="n">
        <v>3.94362911694252</v>
      </c>
      <c r="Y761" s="35" t="n">
        <v>7.95343473242914</v>
      </c>
      <c r="Z761" s="35"/>
      <c r="AA761" s="35" t="n">
        <v>0.987745515306299</v>
      </c>
      <c r="AB761" s="35" t="n">
        <v>0.170591493633966</v>
      </c>
      <c r="AC761" s="71" t="n">
        <v>6.46568900590079</v>
      </c>
      <c r="AD761" s="72"/>
      <c r="AE761" s="72"/>
      <c r="AF761" s="72"/>
      <c r="AG761" s="72"/>
      <c r="AH761" s="72"/>
      <c r="AI761" s="73" t="n">
        <v>23.8490642356977</v>
      </c>
      <c r="AJ761" s="42" t="s">
        <v>16</v>
      </c>
      <c r="AK761" s="43" t="n">
        <v>702.294399066082</v>
      </c>
      <c r="AL761" s="74"/>
      <c r="AM761" s="74"/>
      <c r="AN761" s="74"/>
      <c r="AO761" s="78" t="n">
        <v>29.9142857142857</v>
      </c>
      <c r="AP761" s="76" t="n">
        <v>0.9837983911727</v>
      </c>
      <c r="AQ761" s="76" t="n">
        <v>1.01894627238651</v>
      </c>
      <c r="AR761" s="76" t="n">
        <v>1.48553935860058</v>
      </c>
      <c r="AS761" s="77" t="n">
        <v>26.7226901533048</v>
      </c>
      <c r="AT761" s="78" t="n">
        <v>27.8751671589832</v>
      </c>
      <c r="AU761" s="78" t="n">
        <v>32.8872432579221</v>
      </c>
      <c r="AV761" s="78" t="n">
        <v>34.0621963070943</v>
      </c>
      <c r="AW761" s="78" t="n">
        <v>49.6598639455782</v>
      </c>
      <c r="AX761" s="78" t="n">
        <v>19.98</v>
      </c>
      <c r="AY761" s="48" t="n">
        <v>1.16016152161396</v>
      </c>
      <c r="AZ761" s="48" t="n">
        <v>23.3956263432068</v>
      </c>
      <c r="BA761" s="48" t="n">
        <v>0.631344591154637</v>
      </c>
      <c r="BB761" s="49" t="n">
        <f aca="false">AT761/V761</f>
        <v>1.16016152161396</v>
      </c>
      <c r="BC761" s="49" t="n">
        <f aca="false">AS761/V761</f>
        <v>1.11219555000536</v>
      </c>
      <c r="BD761" s="49" t="n">
        <f aca="false">SUM(AP761:AR761)/V761</f>
        <v>0.145182013649966</v>
      </c>
      <c r="BE761" s="53" t="n">
        <v>6.12</v>
      </c>
      <c r="BF761" s="51" t="n">
        <v>130.596116931186</v>
      </c>
      <c r="BG761" s="51" t="n">
        <v>610.54438828376</v>
      </c>
      <c r="BH761" s="51" t="n">
        <v>220.028623937404</v>
      </c>
      <c r="BI761" s="51" t="n">
        <v>123.20702791075</v>
      </c>
      <c r="BJ761" s="51" t="n">
        <v>7.74031303440219</v>
      </c>
      <c r="BK761" s="51" t="n">
        <v>16.1798558830844</v>
      </c>
      <c r="BL761" s="51" t="n">
        <v>12.7700184541648</v>
      </c>
      <c r="BM761" s="51" t="n">
        <v>9.52977249643527</v>
      </c>
      <c r="BN761" s="52" t="n">
        <f aca="false">(BG761*0.5-BH761*0.25+BI761*0.5)/SUM(BG761:BI761)*1000</f>
        <v>326.98162992567</v>
      </c>
      <c r="BO761" s="93" t="n">
        <v>4.61622857142857</v>
      </c>
      <c r="BP761" s="94" t="s">
        <v>491</v>
      </c>
      <c r="BQ761" s="55" t="n">
        <v>502.730900621118</v>
      </c>
      <c r="BR761" s="56" t="n">
        <v>20.9236071410963</v>
      </c>
      <c r="BS761" s="56"/>
      <c r="BT761" s="56" t="n">
        <v>18.0350811083515</v>
      </c>
      <c r="BU761" s="55" t="n">
        <v>12667.5482919255</v>
      </c>
      <c r="BV761" s="55" t="n">
        <v>527.222025886308</v>
      </c>
      <c r="BW761" s="55"/>
      <c r="BX761" s="55" t="n">
        <v>454.438469182172</v>
      </c>
      <c r="BY761" s="96" t="n">
        <v>0.07519</v>
      </c>
      <c r="BZ761" s="96" t="n">
        <v>0.8283</v>
      </c>
      <c r="CA761" s="97" t="n">
        <v>4.24</v>
      </c>
      <c r="CB761" s="97"/>
      <c r="CC761" s="97" t="n">
        <v>5.2569</v>
      </c>
      <c r="CD761" s="97" t="n">
        <v>4.9</v>
      </c>
      <c r="CE761" s="97" t="n">
        <v>81</v>
      </c>
      <c r="CF761" s="97" t="n">
        <v>32.7789</v>
      </c>
      <c r="CG761" s="97" t="n">
        <v>0.1016</v>
      </c>
      <c r="CH761" s="63" t="n">
        <v>96019.0665109948</v>
      </c>
      <c r="CI761" s="63" t="n">
        <v>2672.6666339826</v>
      </c>
      <c r="CJ761" s="64" t="n">
        <v>425208.287717977</v>
      </c>
      <c r="CK761" s="65" t="n">
        <v>0.628554689826569</v>
      </c>
    </row>
    <row r="762" s="1" customFormat="true" ht="15" hidden="false" customHeight="false" outlineLevel="0" collapsed="false">
      <c r="A762" s="7" t="s">
        <v>488</v>
      </c>
      <c r="B762" s="66" t="n">
        <v>753</v>
      </c>
      <c r="C762" s="8" t="s">
        <v>845</v>
      </c>
      <c r="D762" s="67" t="n">
        <v>42075</v>
      </c>
      <c r="E762" s="4" t="s">
        <v>583</v>
      </c>
      <c r="F762" s="7" t="n">
        <v>382</v>
      </c>
      <c r="G762" s="68" t="n">
        <v>1</v>
      </c>
      <c r="H762" s="68" t="n">
        <v>157</v>
      </c>
      <c r="I762" s="7" t="n">
        <v>1</v>
      </c>
      <c r="J762" s="8" t="n">
        <v>755</v>
      </c>
      <c r="K762" s="32"/>
      <c r="L762" s="31" t="n">
        <v>934.239</v>
      </c>
      <c r="M762" s="31" t="n">
        <v>164.133428542283</v>
      </c>
      <c r="N762" s="31" t="n">
        <v>331.021115984903</v>
      </c>
      <c r="O762" s="95"/>
      <c r="P762" s="33" t="n">
        <v>41.1098643272468</v>
      </c>
      <c r="Q762" s="33" t="n">
        <v>7.1</v>
      </c>
      <c r="R762" s="31" t="n">
        <v>269.101295521779</v>
      </c>
      <c r="S762" s="34" t="s">
        <v>76</v>
      </c>
      <c r="T762" s="35"/>
      <c r="U762" s="35"/>
      <c r="V762" s="35" t="n">
        <v>25.1209902938589</v>
      </c>
      <c r="W762" s="35" t="n">
        <v>23.4690088511444</v>
      </c>
      <c r="X762" s="35" t="n">
        <v>4.12319426530847</v>
      </c>
      <c r="Y762" s="35" t="n">
        <v>8.31557824171907</v>
      </c>
      <c r="Z762" s="35"/>
      <c r="AA762" s="35" t="n">
        <v>1.03272050274662</v>
      </c>
      <c r="AB762" s="35" t="n">
        <v>0.178359031086398</v>
      </c>
      <c r="AC762" s="71" t="n">
        <v>6.76009103286746</v>
      </c>
      <c r="AD762" s="72"/>
      <c r="AE762" s="72"/>
      <c r="AF762" s="72"/>
      <c r="AG762" s="72"/>
      <c r="AH762" s="72"/>
      <c r="AI762" s="73" t="n">
        <v>25.703761773845</v>
      </c>
      <c r="AJ762" s="42" t="s">
        <v>16</v>
      </c>
      <c r="AK762" s="43" t="n">
        <v>723.775840187539</v>
      </c>
      <c r="AL762" s="74"/>
      <c r="AM762" s="74"/>
      <c r="AN762" s="74"/>
      <c r="AO762" s="78" t="n">
        <v>36.2428571428571</v>
      </c>
      <c r="AP762" s="76" t="n">
        <v>1.33363002343795</v>
      </c>
      <c r="AQ762" s="76" t="n">
        <v>1.15438254893794</v>
      </c>
      <c r="AR762" s="76" t="n">
        <v>1.81038178536721</v>
      </c>
      <c r="AS762" s="77" t="n">
        <v>34.5015932087121</v>
      </c>
      <c r="AT762" s="78" t="n">
        <v>34.938862883695</v>
      </c>
      <c r="AU762" s="78" t="n">
        <v>36.797044399155</v>
      </c>
      <c r="AV762" s="78" t="n">
        <v>31.8513119533528</v>
      </c>
      <c r="AW762" s="78" t="n">
        <v>49.9514091350826</v>
      </c>
      <c r="AX762" s="78" t="n">
        <v>23.195</v>
      </c>
      <c r="AY762" s="48" t="n">
        <v>1.39082346973544</v>
      </c>
      <c r="AZ762" s="48" t="n">
        <v>26.5984684915945</v>
      </c>
      <c r="BA762" s="48" t="n">
        <v>-1.47747819773566</v>
      </c>
      <c r="BB762" s="49" t="n">
        <f aca="false">AT762/V762</f>
        <v>1.39082346973544</v>
      </c>
      <c r="BC762" s="49" t="n">
        <f aca="false">AS762/V762</f>
        <v>1.3734169236611</v>
      </c>
      <c r="BD762" s="49" t="n">
        <f aca="false">SUM(AP762:AR762)/V762</f>
        <v>0.171107679572405</v>
      </c>
      <c r="BE762" s="53" t="n">
        <v>5.93</v>
      </c>
      <c r="BF762" s="51" t="n">
        <v>134.795919894961</v>
      </c>
      <c r="BG762" s="51" t="n">
        <v>569.931745598539</v>
      </c>
      <c r="BH762" s="51" t="n">
        <v>279.032907331824</v>
      </c>
      <c r="BI762" s="51" t="n">
        <v>112.210472711352</v>
      </c>
      <c r="BJ762" s="51" t="n">
        <v>6.72195819583081</v>
      </c>
      <c r="BK762" s="51" t="n">
        <v>14.0646002902081</v>
      </c>
      <c r="BL762" s="51" t="n">
        <v>13.3501359839899</v>
      </c>
      <c r="BM762" s="51" t="n">
        <v>4.68817988825624</v>
      </c>
      <c r="BN762" s="52" t="n">
        <f aca="false">(BG762*0.5-BH762*0.25+BI762*0.5)/SUM(BG762:BI762)*1000</f>
        <v>282.272059569635</v>
      </c>
      <c r="BO762" s="93" t="n">
        <v>7.58792571428571</v>
      </c>
      <c r="BP762" s="94" t="s">
        <v>491</v>
      </c>
      <c r="BQ762" s="55" t="n">
        <v>440.438813303099</v>
      </c>
      <c r="BR762" s="56" t="n">
        <v>17.5327010659596</v>
      </c>
      <c r="BS762" s="56"/>
      <c r="BT762" s="56" t="n">
        <v>12.6059859122845</v>
      </c>
      <c r="BU762" s="55" t="n">
        <v>12212.0599773243</v>
      </c>
      <c r="BV762" s="55" t="n">
        <v>486.129719985985</v>
      </c>
      <c r="BW762" s="55"/>
      <c r="BX762" s="55" t="n">
        <v>349.5265434933</v>
      </c>
      <c r="BY762" s="96" t="n">
        <v>0.06386</v>
      </c>
      <c r="BZ762" s="96" t="n">
        <v>1.1044</v>
      </c>
      <c r="CA762" s="97" t="n">
        <v>3.59</v>
      </c>
      <c r="CB762" s="97"/>
      <c r="CC762" s="97" t="n">
        <v>5.5836</v>
      </c>
      <c r="CD762" s="97" t="n">
        <v>6.19</v>
      </c>
      <c r="CE762" s="97" t="n">
        <v>81</v>
      </c>
      <c r="CF762" s="97" t="n">
        <v>32.1057</v>
      </c>
      <c r="CG762" s="97" t="n">
        <v>0.0758</v>
      </c>
      <c r="CH762" s="63" t="n">
        <v>84016.7699652392</v>
      </c>
      <c r="CI762" s="63" t="n">
        <v>2087.63832899211</v>
      </c>
      <c r="CJ762" s="64" t="n">
        <v>368632.749785956</v>
      </c>
      <c r="CK762" s="65" t="n">
        <v>0.566319278524299</v>
      </c>
    </row>
    <row r="763" s="1" customFormat="true" ht="15" hidden="false" customHeight="false" outlineLevel="0" collapsed="false">
      <c r="A763" s="7" t="s">
        <v>488</v>
      </c>
      <c r="B763" s="66" t="n">
        <v>754</v>
      </c>
      <c r="C763" s="8" t="s">
        <v>846</v>
      </c>
      <c r="D763" s="67" t="n">
        <v>42075</v>
      </c>
      <c r="E763" s="4" t="s">
        <v>583</v>
      </c>
      <c r="F763" s="7" t="n">
        <v>638</v>
      </c>
      <c r="G763" s="68" t="n">
        <v>1</v>
      </c>
      <c r="H763" s="68" t="n">
        <v>145</v>
      </c>
      <c r="I763" s="7" t="n">
        <v>1</v>
      </c>
      <c r="J763" s="8" t="n">
        <v>670</v>
      </c>
      <c r="K763" s="32"/>
      <c r="L763" s="31" t="n">
        <v>934.239</v>
      </c>
      <c r="M763" s="31" t="n">
        <v>164.133428542283</v>
      </c>
      <c r="N763" s="31" t="n">
        <v>331.021115984903</v>
      </c>
      <c r="O763" s="95"/>
      <c r="P763" s="33" t="n">
        <v>41.1098643272468</v>
      </c>
      <c r="Q763" s="33" t="n">
        <v>7.1</v>
      </c>
      <c r="R763" s="31" t="n">
        <v>269.101295521779</v>
      </c>
      <c r="S763" s="34" t="s">
        <v>76</v>
      </c>
      <c r="T763" s="35"/>
      <c r="U763" s="35"/>
      <c r="V763" s="35" t="n">
        <v>19.6168651857762</v>
      </c>
      <c r="W763" s="35" t="n">
        <v>18.3268405142944</v>
      </c>
      <c r="X763" s="35" t="n">
        <v>3.2197833401932</v>
      </c>
      <c r="Y763" s="35" t="n">
        <v>6.49359660592104</v>
      </c>
      <c r="Z763" s="35"/>
      <c r="AA763" s="35" t="n">
        <v>0.806446666313152</v>
      </c>
      <c r="AB763" s="35" t="n">
        <v>0.139279742819011</v>
      </c>
      <c r="AC763" s="71" t="n">
        <v>5.27892383556847</v>
      </c>
      <c r="AD763" s="72"/>
      <c r="AE763" s="72"/>
      <c r="AF763" s="72"/>
      <c r="AG763" s="72"/>
      <c r="AH763" s="72"/>
      <c r="AI763" s="73" t="n">
        <v>26.8343313466054</v>
      </c>
      <c r="AJ763" s="42" t="s">
        <v>16</v>
      </c>
      <c r="AK763" s="43" t="n">
        <v>735.413567482159</v>
      </c>
      <c r="AL763" s="74"/>
      <c r="AM763" s="74"/>
      <c r="AN763" s="74"/>
      <c r="AO763" s="78" t="n">
        <v>40.1142857142857</v>
      </c>
      <c r="AP763" s="76" t="n">
        <v>1.17845839651754</v>
      </c>
      <c r="AQ763" s="76" t="n">
        <v>1.26599750104123</v>
      </c>
      <c r="AR763" s="76" t="n">
        <v>2.07198667221991</v>
      </c>
      <c r="AS763" s="77" t="n">
        <v>33.7225902334774</v>
      </c>
      <c r="AT763" s="78" t="n">
        <v>35.3099112689881</v>
      </c>
      <c r="AU763" s="78" t="n">
        <v>29.3775241297107</v>
      </c>
      <c r="AV763" s="78" t="n">
        <v>31.5597667638484</v>
      </c>
      <c r="AW763" s="78" t="n">
        <v>51.6520894071915</v>
      </c>
      <c r="AX763" s="78" t="n">
        <v>33.165</v>
      </c>
      <c r="AY763" s="48" t="n">
        <v>1.79997726112684</v>
      </c>
      <c r="AZ763" s="48" t="n">
        <v>25.0582212133272</v>
      </c>
      <c r="BA763" s="48" t="n">
        <v>-5.44135602755095</v>
      </c>
      <c r="BB763" s="49" t="n">
        <f aca="false">AT763/V763</f>
        <v>1.79997726112684</v>
      </c>
      <c r="BC763" s="49" t="n">
        <f aca="false">AS763/V763</f>
        <v>1.71906111981281</v>
      </c>
      <c r="BD763" s="49" t="n">
        <f aca="false">SUM(AP763:AR763)/V763</f>
        <v>0.230232635388321</v>
      </c>
      <c r="BE763" s="53" t="n">
        <v>6.32</v>
      </c>
      <c r="BF763" s="51" t="n">
        <v>125.097398717331</v>
      </c>
      <c r="BG763" s="51" t="n">
        <v>565.337708552778</v>
      </c>
      <c r="BH763" s="51" t="n">
        <v>245.052542998665</v>
      </c>
      <c r="BI763" s="51" t="n">
        <v>140.536780145582</v>
      </c>
      <c r="BJ763" s="51" t="n">
        <v>7.79029810664273</v>
      </c>
      <c r="BK763" s="51" t="n">
        <v>19.3179901973316</v>
      </c>
      <c r="BL763" s="51" t="n">
        <v>15.7905079028855</v>
      </c>
      <c r="BM763" s="51" t="n">
        <v>6.1741720961148</v>
      </c>
      <c r="BN763" s="52" t="n">
        <f aca="false">(BG763*0.5-BH763*0.25+BI763*0.5)/SUM(BG763:BI763)*1000</f>
        <v>306.726067171518</v>
      </c>
      <c r="BO763" s="93" t="n">
        <v>7.47252</v>
      </c>
      <c r="BP763" s="94" t="s">
        <v>491</v>
      </c>
      <c r="BQ763" s="55" t="n">
        <v>405.35625</v>
      </c>
      <c r="BR763" s="56" t="n">
        <v>20.6636608938881</v>
      </c>
      <c r="BS763" s="56"/>
      <c r="BT763" s="56" t="n">
        <v>11.4799566306477</v>
      </c>
      <c r="BU763" s="55" t="n">
        <v>11596.76875</v>
      </c>
      <c r="BV763" s="55" t="n">
        <v>591.163197594311</v>
      </c>
      <c r="BW763" s="55"/>
      <c r="BX763" s="55" t="n">
        <v>328.428147600166</v>
      </c>
      <c r="BY763" s="96" t="n">
        <v>0.12875</v>
      </c>
      <c r="BZ763" s="96" t="n">
        <v>0.9559</v>
      </c>
      <c r="CA763" s="97" t="n">
        <v>3.68</v>
      </c>
      <c r="CB763" s="97"/>
      <c r="CC763" s="97" t="n">
        <v>6.7617</v>
      </c>
      <c r="CD763" s="97" t="n">
        <v>7.17</v>
      </c>
      <c r="CE763" s="97" t="n">
        <v>88</v>
      </c>
      <c r="CF763" s="97" t="n">
        <v>37.4022</v>
      </c>
      <c r="CG763" s="97" t="n">
        <v>0.2822</v>
      </c>
      <c r="CH763" s="63" t="n">
        <v>30124.3089775566</v>
      </c>
      <c r="CI763" s="63" t="n">
        <v>4886.46526664437</v>
      </c>
      <c r="CJ763" s="64" t="n">
        <v>792251.124017146</v>
      </c>
      <c r="CK763" s="65" t="n">
        <v>0.616782370956739</v>
      </c>
    </row>
    <row r="764" s="1" customFormat="true" ht="15" hidden="false" customHeight="false" outlineLevel="0" collapsed="false">
      <c r="A764" s="7" t="s">
        <v>488</v>
      </c>
      <c r="B764" s="66" t="n">
        <v>755</v>
      </c>
      <c r="C764" s="8" t="s">
        <v>847</v>
      </c>
      <c r="D764" s="67" t="n">
        <v>42075</v>
      </c>
      <c r="E764" s="4" t="s">
        <v>583</v>
      </c>
      <c r="F764" s="7" t="n">
        <v>641</v>
      </c>
      <c r="G764" s="68" t="n">
        <v>1</v>
      </c>
      <c r="H764" s="68" t="n">
        <v>152</v>
      </c>
      <c r="I764" s="7" t="n">
        <v>1</v>
      </c>
      <c r="J764" s="8" t="n">
        <v>770</v>
      </c>
      <c r="K764" s="32"/>
      <c r="L764" s="31" t="n">
        <v>934.239</v>
      </c>
      <c r="M764" s="31" t="n">
        <v>164.133428542283</v>
      </c>
      <c r="N764" s="31" t="n">
        <v>331.021115984903</v>
      </c>
      <c r="O764" s="95"/>
      <c r="P764" s="33" t="n">
        <v>41.1098643272468</v>
      </c>
      <c r="Q764" s="33" t="n">
        <v>7.1</v>
      </c>
      <c r="R764" s="31" t="n">
        <v>269.101295521779</v>
      </c>
      <c r="S764" s="34" t="s">
        <v>76</v>
      </c>
      <c r="T764" s="35"/>
      <c r="U764" s="35"/>
      <c r="V764" s="35" t="n">
        <v>22.639595779167</v>
      </c>
      <c r="W764" s="35" t="n">
        <v>21.1507933211332</v>
      </c>
      <c r="X764" s="35" t="n">
        <v>3.71591447604607</v>
      </c>
      <c r="Y764" s="35" t="n">
        <v>7.49418426026694</v>
      </c>
      <c r="Z764" s="35"/>
      <c r="AA764" s="35" t="n">
        <v>0.930710710905263</v>
      </c>
      <c r="AB764" s="35" t="n">
        <v>0.160741130032086</v>
      </c>
      <c r="AC764" s="71" t="n">
        <v>6.09234455426323</v>
      </c>
      <c r="AD764" s="72"/>
      <c r="AE764" s="72"/>
      <c r="AF764" s="72"/>
      <c r="AG764" s="72"/>
      <c r="AH764" s="72"/>
      <c r="AI764" s="73" t="n">
        <v>25.2731654723608</v>
      </c>
      <c r="AJ764" s="42" t="s">
        <v>16</v>
      </c>
      <c r="AK764" s="43" t="n">
        <v>719.069619206795</v>
      </c>
      <c r="AL764" s="74"/>
      <c r="AM764" s="74"/>
      <c r="AN764" s="74"/>
      <c r="AO764" s="78" t="n">
        <v>24.1428571428571</v>
      </c>
      <c r="AP764" s="76" t="n">
        <v>0.858464837182038</v>
      </c>
      <c r="AQ764" s="76" t="n">
        <v>0.84523462446203</v>
      </c>
      <c r="AR764" s="76" t="n">
        <v>1.21476815215882</v>
      </c>
      <c r="AS764" s="77" t="n">
        <v>22.5341154148734</v>
      </c>
      <c r="AT764" s="78" t="n">
        <v>23.5432813871393</v>
      </c>
      <c r="AU764" s="78" t="n">
        <v>35.5577151495519</v>
      </c>
      <c r="AV764" s="78" t="n">
        <v>35.0097181729835</v>
      </c>
      <c r="AW764" s="78" t="n">
        <v>50.3158406219631</v>
      </c>
      <c r="AX764" s="78" t="n">
        <v>23.6025</v>
      </c>
      <c r="AY764" s="48" t="n">
        <v>1.03991615472233</v>
      </c>
      <c r="AZ764" s="48" t="n">
        <v>22.3600206255375</v>
      </c>
      <c r="BA764" s="48" t="n">
        <v>0.279575153629477</v>
      </c>
      <c r="BB764" s="49" t="n">
        <f aca="false">AT764/V764</f>
        <v>1.03991615472233</v>
      </c>
      <c r="BC764" s="49" t="n">
        <f aca="false">AS764/V764</f>
        <v>0.99534089012355</v>
      </c>
      <c r="BD764" s="49" t="n">
        <f aca="false">SUM(AP764:AR764)/V764</f>
        <v>0.128909881707715</v>
      </c>
      <c r="BE764" s="53" t="n">
        <v>6.85</v>
      </c>
      <c r="BF764" s="51" t="n">
        <v>89.1920312393473</v>
      </c>
      <c r="BG764" s="51" t="n">
        <v>653.492650909451</v>
      </c>
      <c r="BH764" s="51" t="n">
        <v>160.33581424308</v>
      </c>
      <c r="BI764" s="51" t="n">
        <v>124.108291195741</v>
      </c>
      <c r="BJ764" s="51" t="n">
        <v>11.5455880008203</v>
      </c>
      <c r="BK764" s="51" t="n">
        <v>14.3805981307428</v>
      </c>
      <c r="BL764" s="51" t="n">
        <v>25.985201085338</v>
      </c>
      <c r="BM764" s="51" t="n">
        <v>10.151856434827</v>
      </c>
      <c r="BN764" s="52" t="n">
        <f aca="false">(BG764*0.5-BH764*0.25+BI764*0.5)/SUM(BG764:BI764)*1000</f>
        <v>371.791077736953</v>
      </c>
      <c r="BO764" s="93" t="n">
        <v>2.51007428571429</v>
      </c>
      <c r="BP764" s="94" t="s">
        <v>491</v>
      </c>
      <c r="BQ764" s="55" t="n">
        <v>456.867647058824</v>
      </c>
      <c r="BR764" s="56" t="n">
        <v>20.1800266893119</v>
      </c>
      <c r="BS764" s="56"/>
      <c r="BT764" s="56" t="n">
        <v>19.4054362918328</v>
      </c>
      <c r="BU764" s="55" t="n">
        <v>11210.5441176471</v>
      </c>
      <c r="BV764" s="55" t="n">
        <v>495.174217198835</v>
      </c>
      <c r="BW764" s="55"/>
      <c r="BX764" s="55" t="n">
        <v>476.167443836904</v>
      </c>
      <c r="BY764" s="96" t="n">
        <v>0.07931</v>
      </c>
      <c r="BZ764" s="96" t="n">
        <v>0.6864</v>
      </c>
      <c r="CA764" s="97" t="n">
        <v>5.08</v>
      </c>
      <c r="CB764" s="97"/>
      <c r="CC764" s="97" t="n">
        <v>6.2172</v>
      </c>
      <c r="CD764" s="97" t="n">
        <v>4.96</v>
      </c>
      <c r="CE764" s="97" t="n">
        <v>97</v>
      </c>
      <c r="CF764" s="97" t="n">
        <v>38.4615</v>
      </c>
      <c r="CG764" s="97" t="n">
        <v>0.01</v>
      </c>
      <c r="CH764" s="63" t="n">
        <v>108835.062736447</v>
      </c>
      <c r="CI764" s="63" t="n">
        <v>1280.49126821766</v>
      </c>
      <c r="CJ764" s="64" t="n">
        <v>123097.914735816</v>
      </c>
      <c r="CK764" s="65" t="n">
        <v>1.04022173809017</v>
      </c>
    </row>
    <row r="765" s="1" customFormat="true" ht="15" hidden="false" customHeight="false" outlineLevel="0" collapsed="false">
      <c r="A765" s="7" t="s">
        <v>488</v>
      </c>
      <c r="B765" s="66" t="n">
        <v>756</v>
      </c>
      <c r="C765" s="8" t="s">
        <v>848</v>
      </c>
      <c r="D765" s="67" t="n">
        <v>42075</v>
      </c>
      <c r="E765" s="4" t="s">
        <v>583</v>
      </c>
      <c r="F765" s="7" t="n">
        <v>643</v>
      </c>
      <c r="G765" s="68" t="n">
        <v>1</v>
      </c>
      <c r="H765" s="68" t="n">
        <v>160</v>
      </c>
      <c r="I765" s="7" t="n">
        <v>1</v>
      </c>
      <c r="J765" s="8" t="n">
        <v>680</v>
      </c>
      <c r="K765" s="32"/>
      <c r="L765" s="31" t="n">
        <v>934.239</v>
      </c>
      <c r="M765" s="31" t="n">
        <v>164.133428542283</v>
      </c>
      <c r="N765" s="31" t="n">
        <v>331.021115984903</v>
      </c>
      <c r="O765" s="95"/>
      <c r="P765" s="33" t="n">
        <v>41.1098643272468</v>
      </c>
      <c r="Q765" s="33" t="n">
        <v>7.1</v>
      </c>
      <c r="R765" s="31" t="n">
        <v>269.101295521779</v>
      </c>
      <c r="S765" s="34" t="s">
        <v>76</v>
      </c>
      <c r="T765" s="35"/>
      <c r="U765" s="35"/>
      <c r="V765" s="35" t="n">
        <v>22.7243024958682</v>
      </c>
      <c r="W765" s="35" t="n">
        <v>21.2299296394374</v>
      </c>
      <c r="X765" s="35" t="n">
        <v>3.72981767987881</v>
      </c>
      <c r="Y765" s="35" t="n">
        <v>7.5222239721608</v>
      </c>
      <c r="Z765" s="35"/>
      <c r="AA765" s="35" t="n">
        <v>0.934192992536457</v>
      </c>
      <c r="AB765" s="35" t="n">
        <v>0.161342547720664</v>
      </c>
      <c r="AC765" s="71" t="n">
        <v>6.11513924146693</v>
      </c>
      <c r="AD765" s="72"/>
      <c r="AE765" s="72"/>
      <c r="AF765" s="72"/>
      <c r="AG765" s="72"/>
      <c r="AH765" s="72"/>
      <c r="AI765" s="73" t="n">
        <v>25.8917305974739</v>
      </c>
      <c r="AJ765" s="42" t="s">
        <v>16</v>
      </c>
      <c r="AK765" s="43" t="n">
        <v>725.78117274661</v>
      </c>
      <c r="AL765" s="74"/>
      <c r="AM765" s="74"/>
      <c r="AN765" s="74"/>
      <c r="AO765" s="78" t="n">
        <v>31</v>
      </c>
      <c r="AP765" s="76" t="n">
        <v>1.33942290491179</v>
      </c>
      <c r="AQ765" s="76" t="n">
        <v>1.11166180758018</v>
      </c>
      <c r="AR765" s="76" t="n">
        <v>1.59443634596696</v>
      </c>
      <c r="AS765" s="77" t="n">
        <v>32.4913435736768</v>
      </c>
      <c r="AT765" s="78" t="n">
        <v>33.5082134279793</v>
      </c>
      <c r="AU765" s="78" t="n">
        <v>43.2071904810254</v>
      </c>
      <c r="AV765" s="78" t="n">
        <v>35.8600583090379</v>
      </c>
      <c r="AW765" s="78" t="n">
        <v>51.4334305150632</v>
      </c>
      <c r="AX765" s="78" t="n">
        <v>25.9425</v>
      </c>
      <c r="AY765" s="48" t="n">
        <v>1.47455410057457</v>
      </c>
      <c r="AZ765" s="48" t="n">
        <v>24.8235871173515</v>
      </c>
      <c r="BA765" s="48" t="n">
        <v>-2.09928462148326</v>
      </c>
      <c r="BB765" s="49" t="n">
        <f aca="false">AT765/V765</f>
        <v>1.47455410057457</v>
      </c>
      <c r="BC765" s="49" t="n">
        <f aca="false">AS765/V765</f>
        <v>1.42980597884509</v>
      </c>
      <c r="BD765" s="49" t="n">
        <f aca="false">SUM(AP765:AR765)/V765</f>
        <v>0.178026192847701</v>
      </c>
      <c r="BE765" s="53" t="n">
        <v>6.4</v>
      </c>
      <c r="BF765" s="51" t="n">
        <v>115.451981139369</v>
      </c>
      <c r="BG765" s="51" t="n">
        <v>610.52242084539</v>
      </c>
      <c r="BH765" s="51" t="n">
        <v>224.108111004725</v>
      </c>
      <c r="BI765" s="51" t="n">
        <v>122.659569348706</v>
      </c>
      <c r="BJ765" s="51" t="n">
        <v>7.36366219209006</v>
      </c>
      <c r="BK765" s="51" t="n">
        <v>13.5361009938144</v>
      </c>
      <c r="BL765" s="51" t="n">
        <v>14.6376802083872</v>
      </c>
      <c r="BM765" s="51" t="n">
        <v>7.17245540688789</v>
      </c>
      <c r="BN765" s="52" t="n">
        <f aca="false">(BG765*0.5-BH765*0.25+BI765*0.5)/SUM(BG765:BI765)*1000</f>
        <v>324.419908820686</v>
      </c>
      <c r="BO765" s="93" t="n">
        <v>4.27001142857143</v>
      </c>
      <c r="BP765" s="94" t="s">
        <v>491</v>
      </c>
      <c r="BQ765" s="55" t="n">
        <v>521.646047008547</v>
      </c>
      <c r="BR765" s="56" t="n">
        <v>22.9554261171886</v>
      </c>
      <c r="BS765" s="56"/>
      <c r="BT765" s="56" t="n">
        <v>15.5677069483201</v>
      </c>
      <c r="BU765" s="55" t="n">
        <v>12530.7752581909</v>
      </c>
      <c r="BV765" s="55" t="n">
        <v>551.426177347765</v>
      </c>
      <c r="BW765" s="55"/>
      <c r="BX765" s="55" t="n">
        <v>373.96130608765</v>
      </c>
      <c r="BY765" s="96" t="n">
        <v>0.08652</v>
      </c>
      <c r="BZ765" s="96" t="n">
        <v>0.8228</v>
      </c>
      <c r="CA765" s="97" t="n">
        <v>3.85</v>
      </c>
      <c r="CB765" s="97"/>
      <c r="CC765" s="97" t="n">
        <v>5.6034</v>
      </c>
      <c r="CD765" s="97" t="n">
        <v>5.39</v>
      </c>
      <c r="CE765" s="97" t="n">
        <v>92</v>
      </c>
      <c r="CF765" s="97" t="n">
        <v>36.7983</v>
      </c>
      <c r="CG765" s="97" t="n">
        <v>0.2134</v>
      </c>
      <c r="CH765" s="63" t="n">
        <v>118584.298438302</v>
      </c>
      <c r="CI765" s="63" t="n">
        <v>1539.90991237617</v>
      </c>
      <c r="CJ765" s="64" t="n">
        <v>236880.144242462</v>
      </c>
      <c r="CK765" s="65" t="n">
        <v>0.650079776547235</v>
      </c>
    </row>
    <row r="766" s="1" customFormat="true" ht="15" hidden="false" customHeight="false" outlineLevel="0" collapsed="false">
      <c r="A766" s="7" t="s">
        <v>488</v>
      </c>
      <c r="B766" s="66" t="n">
        <v>757</v>
      </c>
      <c r="C766" s="8" t="s">
        <v>849</v>
      </c>
      <c r="D766" s="67" t="n">
        <v>42075</v>
      </c>
      <c r="E766" s="4" t="s">
        <v>583</v>
      </c>
      <c r="F766" s="7" t="n">
        <v>731</v>
      </c>
      <c r="G766" s="68" t="n">
        <v>1</v>
      </c>
      <c r="H766" s="68" t="n">
        <v>176</v>
      </c>
      <c r="I766" s="7" t="n">
        <v>4</v>
      </c>
      <c r="J766" s="8" t="n">
        <v>840</v>
      </c>
      <c r="K766" s="32"/>
      <c r="L766" s="31" t="n">
        <v>934.239</v>
      </c>
      <c r="M766" s="31" t="n">
        <v>164.133428542283</v>
      </c>
      <c r="N766" s="31" t="n">
        <v>331.021115984903</v>
      </c>
      <c r="O766" s="95"/>
      <c r="P766" s="33" t="n">
        <v>41.1098643272468</v>
      </c>
      <c r="Q766" s="33" t="n">
        <v>7.1</v>
      </c>
      <c r="R766" s="31" t="n">
        <v>269.101295521779</v>
      </c>
      <c r="S766" s="34" t="s">
        <v>76</v>
      </c>
      <c r="T766" s="35"/>
      <c r="U766" s="35"/>
      <c r="V766" s="35" t="n">
        <v>26.6393859785426</v>
      </c>
      <c r="W766" s="35" t="n">
        <v>24.8875533172076</v>
      </c>
      <c r="X766" s="35" t="n">
        <v>4.37241375491941</v>
      </c>
      <c r="Y766" s="35" t="n">
        <v>8.81819927576973</v>
      </c>
      <c r="Z766" s="35"/>
      <c r="AA766" s="35" t="n">
        <v>1.09514154333905</v>
      </c>
      <c r="AB766" s="35" t="n">
        <v>0.189139640447652</v>
      </c>
      <c r="AC766" s="71" t="n">
        <v>7.16869327873052</v>
      </c>
      <c r="AD766" s="72"/>
      <c r="AE766" s="72"/>
      <c r="AF766" s="72"/>
      <c r="AG766" s="72"/>
      <c r="AH766" s="72"/>
      <c r="AI766" s="73" t="n">
        <v>26.0439168260074</v>
      </c>
      <c r="AJ766" s="42" t="s">
        <v>16</v>
      </c>
      <c r="AK766" s="43" t="n">
        <v>727.383555728838</v>
      </c>
      <c r="AL766" s="74"/>
      <c r="AM766" s="74"/>
      <c r="AN766" s="74"/>
      <c r="AO766" s="78" t="n">
        <v>48.1285714285714</v>
      </c>
      <c r="AP766" s="76" t="n">
        <v>1.45657058644061</v>
      </c>
      <c r="AQ766" s="76" t="n">
        <v>1.35990108288213</v>
      </c>
      <c r="AR766" s="76" t="n">
        <v>2.24740316534777</v>
      </c>
      <c r="AS766" s="77" t="n">
        <v>41.0999873680378</v>
      </c>
      <c r="AT766" s="78" t="n">
        <v>40.402729124155</v>
      </c>
      <c r="AU766" s="78" t="n">
        <v>30.2641558476827</v>
      </c>
      <c r="AV766" s="78" t="n">
        <v>28.2555879494655</v>
      </c>
      <c r="AW766" s="78" t="n">
        <v>46.6958211856171</v>
      </c>
      <c r="AX766" s="78" t="n">
        <v>20.925</v>
      </c>
      <c r="AY766" s="48" t="n">
        <v>1.51665391825091</v>
      </c>
      <c r="AZ766" s="48" t="n">
        <v>30.2726574510599</v>
      </c>
      <c r="BA766" s="48" t="n">
        <v>-3.63327147251729</v>
      </c>
      <c r="BB766" s="49" t="n">
        <f aca="false">AT766/V766</f>
        <v>1.51665391825091</v>
      </c>
      <c r="BC766" s="49" t="n">
        <f aca="false">AS766/V766</f>
        <v>1.54282787903381</v>
      </c>
      <c r="BD766" s="49" t="n">
        <f aca="false">SUM(AP766:AR766)/V766</f>
        <v>0.190089773043168</v>
      </c>
      <c r="BE766" s="53" t="n">
        <v>6.57</v>
      </c>
      <c r="BF766" s="51" t="n">
        <v>112.519153541558</v>
      </c>
      <c r="BG766" s="51" t="n">
        <v>583.774747379647</v>
      </c>
      <c r="BH766" s="51" t="n">
        <v>251.841501023909</v>
      </c>
      <c r="BI766" s="51" t="n">
        <v>125.274014862406</v>
      </c>
      <c r="BJ766" s="51" t="n">
        <v>6.33941650963677</v>
      </c>
      <c r="BK766" s="51" t="n">
        <v>14.2128438687273</v>
      </c>
      <c r="BL766" s="51" t="n">
        <v>11.8518560414427</v>
      </c>
      <c r="BM766" s="51" t="n">
        <v>6.70562031423205</v>
      </c>
      <c r="BN766" s="52" t="n">
        <f aca="false">(BG766*0.5-BH766*0.25+BI766*0.5)/SUM(BG766:BI766)*1000</f>
        <v>303.431116966525</v>
      </c>
      <c r="BO766" s="93" t="n">
        <v>4.09690285714286</v>
      </c>
      <c r="BP766" s="94" t="s">
        <v>491</v>
      </c>
      <c r="BQ766" s="55" t="n">
        <v>513.769841269841</v>
      </c>
      <c r="BR766" s="56" t="n">
        <v>19.2860992247971</v>
      </c>
      <c r="BS766" s="56"/>
      <c r="BT766" s="56" t="n">
        <v>12.7162162657641</v>
      </c>
      <c r="BU766" s="55" t="n">
        <v>14970.6785714286</v>
      </c>
      <c r="BV766" s="55" t="n">
        <v>561.975361725196</v>
      </c>
      <c r="BW766" s="55"/>
      <c r="BX766" s="55" t="n">
        <v>370.536320094235</v>
      </c>
      <c r="BY766" s="96" t="n">
        <v>0.09476</v>
      </c>
      <c r="BZ766" s="96" t="n">
        <v>1.188</v>
      </c>
      <c r="CA766" s="97" t="n">
        <v>3.79</v>
      </c>
      <c r="CB766" s="97"/>
      <c r="CC766" s="97" t="n">
        <v>4.3461</v>
      </c>
      <c r="CD766" s="97" t="n">
        <v>5.97</v>
      </c>
      <c r="CE766" s="97" t="n">
        <v>84</v>
      </c>
      <c r="CF766" s="97" t="n">
        <v>34.5708</v>
      </c>
      <c r="CG766" s="97" t="n">
        <v>0.1016</v>
      </c>
      <c r="CH766" s="63" t="n">
        <v>67637.1744600204</v>
      </c>
      <c r="CI766" s="63" t="n">
        <v>5103.78650088046</v>
      </c>
      <c r="CJ766" s="64" t="n">
        <v>661533.828130918</v>
      </c>
      <c r="CK766" s="65" t="n">
        <v>0.771508014231197</v>
      </c>
    </row>
    <row r="767" s="1" customFormat="true" ht="15" hidden="false" customHeight="false" outlineLevel="0" collapsed="false">
      <c r="A767" s="7" t="s">
        <v>488</v>
      </c>
      <c r="B767" s="66" t="n">
        <v>758</v>
      </c>
      <c r="C767" s="8" t="s">
        <v>850</v>
      </c>
      <c r="D767" s="67" t="n">
        <v>42075</v>
      </c>
      <c r="E767" s="4" t="s">
        <v>583</v>
      </c>
      <c r="F767" s="7" t="n">
        <v>738</v>
      </c>
      <c r="G767" s="68" t="n">
        <v>1</v>
      </c>
      <c r="H767" s="68" t="n">
        <v>154</v>
      </c>
      <c r="I767" s="7" t="n">
        <v>4</v>
      </c>
      <c r="J767" s="8" t="n">
        <v>730</v>
      </c>
      <c r="K767" s="32"/>
      <c r="L767" s="31" t="n">
        <v>934.239</v>
      </c>
      <c r="M767" s="31" t="n">
        <v>164.133428542283</v>
      </c>
      <c r="N767" s="31" t="n">
        <v>331.021115984903</v>
      </c>
      <c r="O767" s="95"/>
      <c r="P767" s="33" t="n">
        <v>41.1098643272468</v>
      </c>
      <c r="Q767" s="33" t="n">
        <v>7.1</v>
      </c>
      <c r="R767" s="31" t="n">
        <v>269.101295521779</v>
      </c>
      <c r="S767" s="34" t="s">
        <v>76</v>
      </c>
      <c r="T767" s="35"/>
      <c r="U767" s="35"/>
      <c r="V767" s="35" t="n">
        <v>29.7907194772159</v>
      </c>
      <c r="W767" s="35" t="n">
        <v>27.8316519736747</v>
      </c>
      <c r="X767" s="35" t="n">
        <v>4.88965292653681</v>
      </c>
      <c r="Y767" s="35" t="n">
        <v>9.86135720734117</v>
      </c>
      <c r="Z767" s="35"/>
      <c r="AA767" s="35" t="n">
        <v>1.22469243591941</v>
      </c>
      <c r="AB767" s="35" t="n">
        <v>0.211514108288233</v>
      </c>
      <c r="AC767" s="71" t="n">
        <v>8.01672120584468</v>
      </c>
      <c r="AD767" s="72"/>
      <c r="AE767" s="72"/>
      <c r="AF767" s="72"/>
      <c r="AG767" s="72"/>
      <c r="AH767" s="72"/>
      <c r="AI767" s="73" t="n">
        <v>23.6142482859014</v>
      </c>
      <c r="AJ767" s="42" t="s">
        <v>16</v>
      </c>
      <c r="AK767" s="43" t="n">
        <v>699.334066702476</v>
      </c>
      <c r="AL767" s="74"/>
      <c r="AM767" s="74"/>
      <c r="AN767" s="74"/>
      <c r="AO767" s="78" t="n">
        <v>46.8142857142857</v>
      </c>
      <c r="AP767" s="76" t="n">
        <v>1.57326581232409</v>
      </c>
      <c r="AQ767" s="76" t="n">
        <v>1.46266208524226</v>
      </c>
      <c r="AR767" s="76" t="n">
        <v>2.25996078023046</v>
      </c>
      <c r="AS767" s="77" t="n">
        <v>42.3247014705757</v>
      </c>
      <c r="AT767" s="78" t="n">
        <v>42.6755764631124</v>
      </c>
      <c r="AU767" s="78" t="n">
        <v>33.6065324573349</v>
      </c>
      <c r="AV767" s="78" t="n">
        <v>31.2439261418853</v>
      </c>
      <c r="AW767" s="78" t="n">
        <v>48.2750242954325</v>
      </c>
      <c r="AX767" s="78" t="n">
        <v>25.64</v>
      </c>
      <c r="AY767" s="48" t="n">
        <v>1.43251244723213</v>
      </c>
      <c r="AZ767" s="48" t="n">
        <v>29.1271124236263</v>
      </c>
      <c r="BA767" s="48" t="n">
        <v>0.663607053589587</v>
      </c>
      <c r="BB767" s="49" t="n">
        <f aca="false">AT767/V767</f>
        <v>1.43251244723213</v>
      </c>
      <c r="BC767" s="49" t="n">
        <f aca="false">AS767/V767</f>
        <v>1.42073445063809</v>
      </c>
      <c r="BD767" s="49" t="n">
        <f aca="false">SUM(AP767:AR767)/V767</f>
        <v>0.177769747449273</v>
      </c>
      <c r="BE767" s="53" t="n">
        <v>6.14</v>
      </c>
      <c r="BF767" s="51" t="n">
        <v>127.762669014605</v>
      </c>
      <c r="BG767" s="51" t="n">
        <v>583.483361584425</v>
      </c>
      <c r="BH767" s="51" t="n">
        <v>255.554469273317</v>
      </c>
      <c r="BI767" s="51" t="n">
        <v>122.370743894325</v>
      </c>
      <c r="BJ767" s="51" t="n">
        <v>6.04263728311406</v>
      </c>
      <c r="BK767" s="51" t="n">
        <v>14.2576670506357</v>
      </c>
      <c r="BL767" s="51" t="n">
        <v>10.6050130946306</v>
      </c>
      <c r="BM767" s="51" t="n">
        <v>7.68610781955211</v>
      </c>
      <c r="BN767" s="52" t="n">
        <f aca="false">(BG767*0.5-BH767*0.25+BI767*0.5)/SUM(BG767:BI767)*1000</f>
        <v>300.640584046782</v>
      </c>
      <c r="BO767" s="93" t="n">
        <v>2.39466857142857</v>
      </c>
      <c r="BP767" s="94" t="s">
        <v>491</v>
      </c>
      <c r="BQ767" s="55" t="n">
        <v>486.974637681159</v>
      </c>
      <c r="BR767" s="56" t="n">
        <v>16.3465215418379</v>
      </c>
      <c r="BS767" s="56"/>
      <c r="BT767" s="56" t="n">
        <v>11.411085169572</v>
      </c>
      <c r="BU767" s="55" t="n">
        <v>13371.1449275362</v>
      </c>
      <c r="BV767" s="55" t="n">
        <v>448.835918104045</v>
      </c>
      <c r="BW767" s="55"/>
      <c r="BX767" s="55" t="n">
        <v>313.320780542798</v>
      </c>
      <c r="BY767" s="96" t="n">
        <v>0.0721</v>
      </c>
      <c r="BZ767" s="96" t="n">
        <v>0.4576</v>
      </c>
      <c r="CA767" s="97" t="n">
        <v>3.71</v>
      </c>
      <c r="CB767" s="97"/>
      <c r="CC767" s="97" t="n">
        <v>5.0589</v>
      </c>
      <c r="CD767" s="97" t="n">
        <v>5.19</v>
      </c>
      <c r="CE767" s="97" t="n">
        <v>84</v>
      </c>
      <c r="CF767" s="97" t="n">
        <v>36.2934</v>
      </c>
      <c r="CG767" s="97" t="n">
        <v>0.0672</v>
      </c>
      <c r="CH767" s="63" t="n">
        <v>70207.712618541</v>
      </c>
      <c r="CI767" s="63" t="n">
        <v>2208.9711649942</v>
      </c>
      <c r="CJ767" s="64" t="n">
        <v>457753.790917933</v>
      </c>
      <c r="CK767" s="65" t="n">
        <v>0.482567530585503</v>
      </c>
    </row>
    <row r="768" s="1" customFormat="true" ht="15" hidden="false" customHeight="false" outlineLevel="0" collapsed="false">
      <c r="A768" s="7" t="s">
        <v>488</v>
      </c>
      <c r="B768" s="66" t="n">
        <v>759</v>
      </c>
      <c r="C768" s="8" t="s">
        <v>851</v>
      </c>
      <c r="D768" s="67" t="n">
        <v>42075</v>
      </c>
      <c r="E768" s="4" t="s">
        <v>583</v>
      </c>
      <c r="F768" s="7" t="n">
        <v>1300</v>
      </c>
      <c r="G768" s="68" t="n">
        <v>1</v>
      </c>
      <c r="H768" s="68" t="n">
        <v>150</v>
      </c>
      <c r="I768" s="7" t="n">
        <v>3</v>
      </c>
      <c r="J768" s="8" t="n">
        <v>810</v>
      </c>
      <c r="K768" s="32"/>
      <c r="L768" s="31" t="n">
        <v>934.239</v>
      </c>
      <c r="M768" s="31" t="n">
        <v>164.133428542283</v>
      </c>
      <c r="N768" s="31" t="n">
        <v>331.021115984903</v>
      </c>
      <c r="O768" s="95"/>
      <c r="P768" s="33" t="n">
        <v>41.1098643272468</v>
      </c>
      <c r="Q768" s="33" t="n">
        <v>7.1</v>
      </c>
      <c r="R768" s="31" t="n">
        <v>269.101295521779</v>
      </c>
      <c r="S768" s="34" t="s">
        <v>76</v>
      </c>
      <c r="T768" s="35"/>
      <c r="U768" s="35"/>
      <c r="V768" s="35" t="n">
        <v>29.5189048736762</v>
      </c>
      <c r="W768" s="35" t="n">
        <v>27.5777121702784</v>
      </c>
      <c r="X768" s="35" t="n">
        <v>4.84503906372998</v>
      </c>
      <c r="Y768" s="35" t="n">
        <v>9.77138083393647</v>
      </c>
      <c r="Z768" s="35"/>
      <c r="AA768" s="35" t="n">
        <v>1.21351817444573</v>
      </c>
      <c r="AB768" s="35" t="n">
        <v>0.209584224603101</v>
      </c>
      <c r="AC768" s="71" t="n">
        <v>7.94357554389042</v>
      </c>
      <c r="AD768" s="72"/>
      <c r="AE768" s="72"/>
      <c r="AF768" s="72"/>
      <c r="AG768" s="72"/>
      <c r="AH768" s="72"/>
      <c r="AI768" s="73" t="n">
        <v>27.0120898701273</v>
      </c>
      <c r="AJ768" s="42" t="s">
        <v>16</v>
      </c>
      <c r="AK768" s="43" t="n">
        <v>737.15473204271</v>
      </c>
      <c r="AL768" s="74"/>
      <c r="AM768" s="74"/>
      <c r="AN768" s="74"/>
      <c r="AO768" s="78" t="n">
        <v>45.4857142857143</v>
      </c>
      <c r="AP768" s="76" t="n">
        <v>2.08958232489235</v>
      </c>
      <c r="AQ768" s="76" t="n">
        <v>1.48856309870887</v>
      </c>
      <c r="AR768" s="76" t="n">
        <v>2.2654449534916</v>
      </c>
      <c r="AS768" s="77" t="n">
        <v>49.5380205876709</v>
      </c>
      <c r="AT768" s="78" t="n">
        <v>49.1930712893621</v>
      </c>
      <c r="AU768" s="78" t="n">
        <v>45.9393099065529</v>
      </c>
      <c r="AV768" s="78" t="n">
        <v>32.7259475218659</v>
      </c>
      <c r="AW768" s="78" t="n">
        <v>49.8056365403304</v>
      </c>
      <c r="AX768" s="78" t="n">
        <v>31.78</v>
      </c>
      <c r="AY768" s="48" t="n">
        <v>1.66649377745821</v>
      </c>
      <c r="AZ768" s="48" t="n">
        <v>32.8579929834371</v>
      </c>
      <c r="BA768" s="48" t="n">
        <v>-3.33908810976094</v>
      </c>
      <c r="BB768" s="49" t="n">
        <f aca="false">AT768/V768</f>
        <v>1.66649377745821</v>
      </c>
      <c r="BC768" s="49" t="n">
        <f aca="false">AS768/V768</f>
        <v>1.67817948530492</v>
      </c>
      <c r="BD768" s="49" t="n">
        <f aca="false">SUM(AP768:AR768)/V768</f>
        <v>0.197960947470782</v>
      </c>
      <c r="BE768" s="53" t="n">
        <v>6.5</v>
      </c>
      <c r="BF768" s="51" t="n">
        <v>111.170752934561</v>
      </c>
      <c r="BG768" s="51" t="n">
        <v>541.111791188823</v>
      </c>
      <c r="BH768" s="51" t="n">
        <v>311.436739740822</v>
      </c>
      <c r="BI768" s="51" t="n">
        <v>111.667132671481</v>
      </c>
      <c r="BJ768" s="51" t="n">
        <v>5.22673492053585</v>
      </c>
      <c r="BK768" s="51" t="n">
        <v>14.9047550331242</v>
      </c>
      <c r="BL768" s="51" t="n">
        <v>11.598623683183</v>
      </c>
      <c r="BM768" s="51" t="n">
        <v>4.05422276203091</v>
      </c>
      <c r="BN768" s="52" t="n">
        <f aca="false">(BG768*0.5-BH768*0.25+BI768*0.5)/SUM(BG768:BI768)*1000</f>
        <v>257.753826635364</v>
      </c>
      <c r="BO768" s="93" t="n">
        <v>6.00109714285714</v>
      </c>
      <c r="BP768" s="94" t="s">
        <v>491</v>
      </c>
      <c r="BQ768" s="55" t="n">
        <v>563.934970238095</v>
      </c>
      <c r="BR768" s="56" t="n">
        <v>19.104196874898</v>
      </c>
      <c r="BS768" s="56"/>
      <c r="BT768" s="56" t="n">
        <v>11.463707295707</v>
      </c>
      <c r="BU768" s="55" t="n">
        <v>13743.7164434524</v>
      </c>
      <c r="BV768" s="55" t="n">
        <v>465.590322617574</v>
      </c>
      <c r="BW768" s="55"/>
      <c r="BX768" s="55" t="n">
        <v>279.383174972131</v>
      </c>
      <c r="BY768" s="96" t="n">
        <v>0.08343</v>
      </c>
      <c r="BZ768" s="96" t="n">
        <v>0.6589</v>
      </c>
      <c r="CA768" s="97" t="n">
        <v>3.87</v>
      </c>
      <c r="CB768" s="97"/>
      <c r="CC768" s="97" t="n">
        <v>6.3558</v>
      </c>
      <c r="CD768" s="97" t="n">
        <v>7.3</v>
      </c>
      <c r="CE768" s="97" t="n">
        <v>86</v>
      </c>
      <c r="CF768" s="97" t="n">
        <v>38.4516</v>
      </c>
      <c r="CG768" s="97" t="n">
        <v>0.1188</v>
      </c>
      <c r="CH768" s="63" t="n">
        <v>35109.012688848</v>
      </c>
      <c r="CI768" s="63" t="n">
        <v>2860.4086882732</v>
      </c>
      <c r="CJ768" s="64" t="n">
        <v>553636.697596022</v>
      </c>
      <c r="CK768" s="65" t="n">
        <v>0.51665807210641</v>
      </c>
    </row>
    <row r="769" s="1" customFormat="true" ht="15" hidden="false" customHeight="false" outlineLevel="0" collapsed="false">
      <c r="A769" s="7" t="s">
        <v>488</v>
      </c>
      <c r="B769" s="66" t="n">
        <v>760</v>
      </c>
      <c r="C769" s="8" t="s">
        <v>852</v>
      </c>
      <c r="D769" s="67" t="n">
        <v>42075</v>
      </c>
      <c r="E769" s="4" t="s">
        <v>583</v>
      </c>
      <c r="F769" s="7" t="n">
        <v>1317</v>
      </c>
      <c r="G769" s="68" t="n">
        <v>1</v>
      </c>
      <c r="H769" s="68" t="n">
        <v>162</v>
      </c>
      <c r="I769" s="7" t="n">
        <v>3</v>
      </c>
      <c r="J769" s="8" t="n">
        <v>760</v>
      </c>
      <c r="K769" s="32"/>
      <c r="L769" s="31" t="n">
        <v>934.239</v>
      </c>
      <c r="M769" s="31" t="n">
        <v>164.133428542283</v>
      </c>
      <c r="N769" s="31" t="n">
        <v>331.021115984903</v>
      </c>
      <c r="O769" s="95"/>
      <c r="P769" s="33" t="n">
        <v>41.1098643272468</v>
      </c>
      <c r="Q769" s="33" t="n">
        <v>7.1</v>
      </c>
      <c r="R769" s="31" t="n">
        <v>269.101295521779</v>
      </c>
      <c r="S769" s="34" t="s">
        <v>76</v>
      </c>
      <c r="T769" s="35"/>
      <c r="U769" s="35"/>
      <c r="V769" s="35" t="n">
        <v>33.0150842629527</v>
      </c>
      <c r="W769" s="35" t="n">
        <v>30.8439793067367</v>
      </c>
      <c r="X769" s="35" t="n">
        <v>5.4188789736908</v>
      </c>
      <c r="Y769" s="35" t="n">
        <v>10.9286900370582</v>
      </c>
      <c r="Z769" s="35"/>
      <c r="AA769" s="35" t="n">
        <v>1.3572456348026</v>
      </c>
      <c r="AB769" s="35" t="n">
        <v>0.234407098266964</v>
      </c>
      <c r="AC769" s="71" t="n">
        <v>8.88440194692127</v>
      </c>
      <c r="AD769" s="72"/>
      <c r="AE769" s="72"/>
      <c r="AF769" s="72"/>
      <c r="AG769" s="72"/>
      <c r="AH769" s="72"/>
      <c r="AI769" s="73" t="n">
        <v>29.6446561389708</v>
      </c>
      <c r="AJ769" s="42" t="s">
        <v>16</v>
      </c>
      <c r="AK769" s="43" t="n">
        <v>760.496462947116</v>
      </c>
      <c r="AL769" s="74"/>
      <c r="AM769" s="74"/>
      <c r="AN769" s="74"/>
      <c r="AO769" s="78" t="n">
        <v>47.3428571428571</v>
      </c>
      <c r="AP769" s="76" t="n">
        <v>1.51995750768509</v>
      </c>
      <c r="AQ769" s="76" t="n">
        <v>1.46537414965986</v>
      </c>
      <c r="AR769" s="76" t="n">
        <v>2.36139178120228</v>
      </c>
      <c r="AS769" s="77" t="n">
        <v>41.7365054724192</v>
      </c>
      <c r="AT769" s="78" t="n">
        <v>42.5840268057486</v>
      </c>
      <c r="AU769" s="78" t="n">
        <v>32.1053185087376</v>
      </c>
      <c r="AV769" s="78" t="n">
        <v>30.9523809523809</v>
      </c>
      <c r="AW769" s="78" t="n">
        <v>49.8785228377065</v>
      </c>
      <c r="AX769" s="78" t="n">
        <v>22.1425</v>
      </c>
      <c r="AY769" s="48" t="n">
        <v>1.28983547237326</v>
      </c>
      <c r="AZ769" s="48" t="n">
        <v>29.3658785828828</v>
      </c>
      <c r="BA769" s="48" t="n">
        <v>3.64920568006984</v>
      </c>
      <c r="BB769" s="49" t="n">
        <f aca="false">AT769/V769</f>
        <v>1.28983547237326</v>
      </c>
      <c r="BC769" s="49" t="n">
        <f aca="false">AS769/V769</f>
        <v>1.26416474178905</v>
      </c>
      <c r="BD769" s="49" t="n">
        <f aca="false">SUM(AP769:AR769)/V769</f>
        <v>0.161947896178686</v>
      </c>
      <c r="BE769" s="53" t="n">
        <v>6.35</v>
      </c>
      <c r="BF769" s="51" t="n">
        <v>116.167613783937</v>
      </c>
      <c r="BG769" s="51" t="n">
        <v>561.270017863272</v>
      </c>
      <c r="BH769" s="51" t="n">
        <v>304.151083022926</v>
      </c>
      <c r="BI769" s="51" t="n">
        <v>98.9488682945014</v>
      </c>
      <c r="BJ769" s="51" t="n">
        <v>6.20901824170399</v>
      </c>
      <c r="BK769" s="51" t="n">
        <v>13.3932955718782</v>
      </c>
      <c r="BL769" s="51" t="n">
        <v>12.4323950114546</v>
      </c>
      <c r="BM769" s="51" t="n">
        <v>3.59532199426337</v>
      </c>
      <c r="BN769" s="52" t="n">
        <f aca="false">(BG769*0.5-BH769*0.25+BI769*0.5)/SUM(BG769:BI769)*1000</f>
        <v>263.458714438201</v>
      </c>
      <c r="BO769" s="93" t="n">
        <v>2.27926285714286</v>
      </c>
      <c r="BP769" s="94" t="s">
        <v>491</v>
      </c>
      <c r="BQ769" s="55" t="n">
        <v>581.442995169082</v>
      </c>
      <c r="BR769" s="56" t="n">
        <v>17.6114345351388</v>
      </c>
      <c r="BS769" s="56"/>
      <c r="BT769" s="56" t="n">
        <v>13.6540162775445</v>
      </c>
      <c r="BU769" s="55" t="n">
        <v>14510.970531401</v>
      </c>
      <c r="BV769" s="55" t="n">
        <v>439.525473139083</v>
      </c>
      <c r="BW769" s="55"/>
      <c r="BX769" s="55" t="n">
        <v>340.760881952152</v>
      </c>
      <c r="BY769" s="96" t="n">
        <v>0.05459</v>
      </c>
      <c r="BZ769" s="96" t="n">
        <v>0.7777</v>
      </c>
      <c r="CA769" s="97" t="n">
        <v>3.87</v>
      </c>
      <c r="CB769" s="97"/>
      <c r="CC769" s="97" t="n">
        <v>4.257</v>
      </c>
      <c r="CD769" s="97" t="n">
        <v>5.47</v>
      </c>
      <c r="CE769" s="97" t="n">
        <v>78</v>
      </c>
      <c r="CF769" s="97" t="n">
        <v>32.9868</v>
      </c>
      <c r="CG769" s="97" t="n">
        <v>1.082</v>
      </c>
      <c r="CH769" s="63" t="n">
        <v>33723.2849344299</v>
      </c>
      <c r="CI769" s="63" t="n">
        <v>5126.75521109284</v>
      </c>
      <c r="CJ769" s="64" t="n">
        <v>801310.551859842</v>
      </c>
      <c r="CK769" s="65" t="n">
        <v>0.63979629360847</v>
      </c>
    </row>
    <row r="770" s="1" customFormat="true" ht="15" hidden="false" customHeight="false" outlineLevel="0" collapsed="false">
      <c r="A770" s="7" t="s">
        <v>488</v>
      </c>
      <c r="B770" s="66" t="n">
        <v>761</v>
      </c>
      <c r="C770" s="8" t="s">
        <v>853</v>
      </c>
      <c r="D770" s="67" t="n">
        <v>42075</v>
      </c>
      <c r="E770" s="4" t="s">
        <v>583</v>
      </c>
      <c r="F770" s="7" t="n">
        <v>1646</v>
      </c>
      <c r="G770" s="68" t="n">
        <v>1</v>
      </c>
      <c r="H770" s="68" t="n">
        <v>176</v>
      </c>
      <c r="I770" s="7" t="n">
        <v>2</v>
      </c>
      <c r="J770" s="8" t="n">
        <v>728</v>
      </c>
      <c r="K770" s="32"/>
      <c r="L770" s="31" t="n">
        <v>934.239</v>
      </c>
      <c r="M770" s="31" t="n">
        <v>164.133428542283</v>
      </c>
      <c r="N770" s="31" t="n">
        <v>331.021115984903</v>
      </c>
      <c r="O770" s="95"/>
      <c r="P770" s="33" t="n">
        <v>41.1098643272468</v>
      </c>
      <c r="Q770" s="33" t="n">
        <v>7.1</v>
      </c>
      <c r="R770" s="31" t="n">
        <v>269.101295521779</v>
      </c>
      <c r="S770" s="34" t="s">
        <v>76</v>
      </c>
      <c r="T770" s="35"/>
      <c r="U770" s="35"/>
      <c r="V770" s="35" t="n">
        <v>31.0384677856438</v>
      </c>
      <c r="W770" s="35" t="n">
        <v>28.997347105592</v>
      </c>
      <c r="X770" s="35" t="n">
        <v>5.09445013435691</v>
      </c>
      <c r="Y770" s="35" t="n">
        <v>10.2743882448653</v>
      </c>
      <c r="Z770" s="35"/>
      <c r="AA770" s="35" t="n">
        <v>1.27598719959343</v>
      </c>
      <c r="AB770" s="35" t="n">
        <v>0.220373121278071</v>
      </c>
      <c r="AC770" s="71" t="n">
        <v>8.35249189212774</v>
      </c>
      <c r="AD770" s="72"/>
      <c r="AE770" s="72"/>
      <c r="AF770" s="72"/>
      <c r="AG770" s="72"/>
      <c r="AH770" s="72"/>
      <c r="AI770" s="73" t="n">
        <v>23.5276349566552</v>
      </c>
      <c r="AJ770" s="42" t="s">
        <v>16</v>
      </c>
      <c r="AK770" s="43" t="n">
        <v>698.227211826422</v>
      </c>
      <c r="AL770" s="74"/>
      <c r="AM770" s="74"/>
      <c r="AN770" s="74"/>
      <c r="AO770" s="78" t="n">
        <v>37.6285714285714</v>
      </c>
      <c r="AP770" s="76" t="n">
        <v>1.66783631542783</v>
      </c>
      <c r="AQ770" s="76" t="n">
        <v>1.43072678050812</v>
      </c>
      <c r="AR770" s="76" t="n">
        <v>1.92988129945856</v>
      </c>
      <c r="AS770" s="77" t="n">
        <v>40.068973302846</v>
      </c>
      <c r="AT770" s="78" t="n">
        <v>41.7837156340122</v>
      </c>
      <c r="AU770" s="78" t="n">
        <v>44.3236682156218</v>
      </c>
      <c r="AV770" s="78" t="n">
        <v>38.022351797862</v>
      </c>
      <c r="AW770" s="78" t="n">
        <v>51.287657920311</v>
      </c>
      <c r="AX770" s="78" t="n">
        <v>16.0375</v>
      </c>
      <c r="AY770" s="48" t="n">
        <v>1.34619131081395</v>
      </c>
      <c r="AZ770" s="48" t="n">
        <v>28.3596600902183</v>
      </c>
      <c r="BA770" s="48" t="n">
        <v>2.67880769542551</v>
      </c>
      <c r="BB770" s="49" t="n">
        <f aca="false">AT770/V770</f>
        <v>1.34619131081395</v>
      </c>
      <c r="BC770" s="49" t="n">
        <f aca="false">AS770/V770</f>
        <v>1.29094559627003</v>
      </c>
      <c r="BD770" s="49" t="n">
        <f aca="false">SUM(AP770:AR770)/V770</f>
        <v>0.162006850019843</v>
      </c>
      <c r="BE770" s="53" t="n">
        <v>6.29</v>
      </c>
      <c r="BF770" s="51" t="n">
        <v>124.341929869151</v>
      </c>
      <c r="BG770" s="51" t="n">
        <v>593.073165963887</v>
      </c>
      <c r="BH770" s="51" t="n">
        <v>237.762973731999</v>
      </c>
      <c r="BI770" s="51" t="n">
        <v>124.653096454133</v>
      </c>
      <c r="BJ770" s="51" t="n">
        <v>6.45283904510246</v>
      </c>
      <c r="BK770" s="51" t="n">
        <v>15.5466469396476</v>
      </c>
      <c r="BL770" s="51" t="n">
        <v>13.3209710763792</v>
      </c>
      <c r="BM770" s="51" t="n">
        <v>9.19030678885286</v>
      </c>
      <c r="BN770" s="52" t="n">
        <f aca="false">(BG770*0.5-BH770*0.25+BI770*0.5)/SUM(BG770:BI770)*1000</f>
        <v>313.370759656573</v>
      </c>
      <c r="BO770" s="93" t="n">
        <v>2.27926285714286</v>
      </c>
      <c r="BP770" s="94" t="s">
        <v>491</v>
      </c>
      <c r="BQ770" s="55" t="n">
        <v>490.747142857143</v>
      </c>
      <c r="BR770" s="56" t="n">
        <v>15.8109332666263</v>
      </c>
      <c r="BS770" s="56"/>
      <c r="BT770" s="56" t="n">
        <v>11.7449378402736</v>
      </c>
      <c r="BU770" s="55" t="n">
        <v>13594.7703571429</v>
      </c>
      <c r="BV770" s="55" t="n">
        <v>437.997469818109</v>
      </c>
      <c r="BW770" s="55"/>
      <c r="BX770" s="55" t="n">
        <v>325.360493935504</v>
      </c>
      <c r="BY770" s="96" t="n">
        <v>0.06592</v>
      </c>
      <c r="BZ770" s="96" t="n">
        <v>1.1132</v>
      </c>
      <c r="CA770" s="97" t="n">
        <v>3.65</v>
      </c>
      <c r="CB770" s="97"/>
      <c r="CC770" s="97" t="n">
        <v>5.3559</v>
      </c>
      <c r="CD770" s="97" t="n">
        <v>5.36</v>
      </c>
      <c r="CE770" s="97" t="n">
        <v>82</v>
      </c>
      <c r="CF770" s="97" t="n">
        <v>35.9964</v>
      </c>
      <c r="CG770" s="97" t="n">
        <v>0.0758</v>
      </c>
      <c r="CH770" s="63" t="n">
        <v>62516.6100542221</v>
      </c>
      <c r="CI770" s="63" t="n">
        <v>4397.54716266527</v>
      </c>
      <c r="CJ770" s="64" t="n">
        <v>553194.53235177</v>
      </c>
      <c r="CK770" s="65" t="n">
        <v>0.794936845085974</v>
      </c>
    </row>
    <row r="771" s="1" customFormat="true" ht="15" hidden="false" customHeight="false" outlineLevel="0" collapsed="false">
      <c r="A771" s="7" t="s">
        <v>488</v>
      </c>
      <c r="B771" s="66" t="n">
        <v>762</v>
      </c>
      <c r="C771" s="8" t="s">
        <v>854</v>
      </c>
      <c r="D771" s="67" t="n">
        <v>42075</v>
      </c>
      <c r="E771" s="4" t="s">
        <v>583</v>
      </c>
      <c r="F771" s="7" t="n">
        <v>1662</v>
      </c>
      <c r="G771" s="68" t="n">
        <v>1</v>
      </c>
      <c r="H771" s="68" t="n">
        <v>158</v>
      </c>
      <c r="I771" s="7" t="n">
        <v>2</v>
      </c>
      <c r="J771" s="8" t="n">
        <v>750</v>
      </c>
      <c r="K771" s="32"/>
      <c r="L771" s="31" t="n">
        <v>934.239</v>
      </c>
      <c r="M771" s="31" t="n">
        <v>164.133428542283</v>
      </c>
      <c r="N771" s="31" t="n">
        <v>331.021115984903</v>
      </c>
      <c r="O771" s="95"/>
      <c r="P771" s="33" t="n">
        <v>41.1098643272468</v>
      </c>
      <c r="Q771" s="33" t="n">
        <v>7.1</v>
      </c>
      <c r="R771" s="31" t="n">
        <v>269.101295521779</v>
      </c>
      <c r="S771" s="34" t="s">
        <v>76</v>
      </c>
      <c r="T771" s="35"/>
      <c r="U771" s="35"/>
      <c r="V771" s="35" t="n">
        <v>27.6648869236144</v>
      </c>
      <c r="W771" s="35" t="n">
        <v>25.8456162946306</v>
      </c>
      <c r="X771" s="35" t="n">
        <v>4.5407327410074</v>
      </c>
      <c r="Y771" s="35" t="n">
        <v>9.15766174305098</v>
      </c>
      <c r="Z771" s="35"/>
      <c r="AA771" s="35" t="n">
        <v>1.13729974805841</v>
      </c>
      <c r="AB771" s="35" t="n">
        <v>0.196420697157662</v>
      </c>
      <c r="AC771" s="71" t="n">
        <v>7.44465691160816</v>
      </c>
      <c r="AD771" s="72"/>
      <c r="AE771" s="72"/>
      <c r="AF771" s="72"/>
      <c r="AG771" s="72"/>
      <c r="AH771" s="72"/>
      <c r="AI771" s="73" t="n">
        <v>23.3314181785199</v>
      </c>
      <c r="AJ771" s="42" t="s">
        <v>16</v>
      </c>
      <c r="AK771" s="43" t="n">
        <v>695.689308482043</v>
      </c>
      <c r="AL771" s="74"/>
      <c r="AM771" s="74"/>
      <c r="AN771" s="74"/>
      <c r="AO771" s="78" t="n">
        <v>52.5571428571429</v>
      </c>
      <c r="AP771" s="76" t="n">
        <v>1.73568624495183</v>
      </c>
      <c r="AQ771" s="76" t="n">
        <v>1.73658197973067</v>
      </c>
      <c r="AR771" s="76" t="n">
        <v>2.63296473691518</v>
      </c>
      <c r="AS771" s="77" t="n">
        <v>47.0581508171347</v>
      </c>
      <c r="AT771" s="78" t="n">
        <v>48.7704575467698</v>
      </c>
      <c r="AU771" s="78" t="n">
        <v>33.0247450792684</v>
      </c>
      <c r="AV771" s="78" t="n">
        <v>33.041788143829</v>
      </c>
      <c r="AW771" s="78" t="n">
        <v>50.0971817298348</v>
      </c>
      <c r="AX771" s="78" t="n">
        <v>21.5975</v>
      </c>
      <c r="AY771" s="48" t="n">
        <v>1.76290102617914</v>
      </c>
      <c r="AZ771" s="48" t="n">
        <v>31.1751893083937</v>
      </c>
      <c r="BA771" s="48" t="n">
        <v>-3.51030238477932</v>
      </c>
      <c r="BB771" s="49" t="n">
        <f aca="false">AT771/V771</f>
        <v>1.76290102617914</v>
      </c>
      <c r="BC771" s="49" t="n">
        <f aca="false">AS771/V771</f>
        <v>1.70100643993475</v>
      </c>
      <c r="BD771" s="49" t="n">
        <f aca="false">SUM(AP771:AR771)/V771</f>
        <v>0.220685267156698</v>
      </c>
      <c r="BE771" s="53" t="n">
        <v>6.56</v>
      </c>
      <c r="BF771" s="51" t="n">
        <v>116.553503943406</v>
      </c>
      <c r="BG771" s="51" t="n">
        <v>566.272241421078</v>
      </c>
      <c r="BH771" s="51" t="n">
        <v>265.898452107831</v>
      </c>
      <c r="BI771" s="51" t="n">
        <v>128.906655175329</v>
      </c>
      <c r="BJ771" s="51" t="n">
        <v>5.41656546415036</v>
      </c>
      <c r="BK771" s="51" t="n">
        <v>15.7754368045484</v>
      </c>
      <c r="BL771" s="51" t="n">
        <v>12.3020771859425</v>
      </c>
      <c r="BM771" s="51" t="n">
        <v>5.42857184111986</v>
      </c>
      <c r="BN771" s="52" t="n">
        <f aca="false">(BG771*0.5-BH771*0.25+BI771*0.5)/SUM(BG771:BI771)*1000</f>
        <v>292.499699061949</v>
      </c>
      <c r="BO771" s="93" t="n">
        <v>2.85629142857143</v>
      </c>
      <c r="BP771" s="94" t="s">
        <v>491</v>
      </c>
      <c r="BQ771" s="55" t="n">
        <v>468.03768115942</v>
      </c>
      <c r="BR771" s="56" t="n">
        <v>16.9181129296397</v>
      </c>
      <c r="BS771" s="56"/>
      <c r="BT771" s="56" t="n">
        <v>9.59674574942386</v>
      </c>
      <c r="BU771" s="55" t="n">
        <v>13325.3449275362</v>
      </c>
      <c r="BV771" s="55" t="n">
        <v>481.669958179438</v>
      </c>
      <c r="BW771" s="55"/>
      <c r="BX771" s="55" t="n">
        <v>273.225751773141</v>
      </c>
      <c r="BY771" s="96" t="n">
        <v>0.0824</v>
      </c>
      <c r="BZ771" s="96" t="n">
        <v>0.9966</v>
      </c>
      <c r="CA771" s="97" t="n">
        <v>3.85</v>
      </c>
      <c r="CB771" s="97"/>
      <c r="CC771" s="97" t="n">
        <v>6.0192</v>
      </c>
      <c r="CD771" s="97" t="n">
        <v>5.79</v>
      </c>
      <c r="CE771" s="97" t="n">
        <v>85</v>
      </c>
      <c r="CF771" s="97" t="n">
        <v>37.1547</v>
      </c>
      <c r="CG771" s="97" t="n">
        <v>0.136</v>
      </c>
      <c r="CH771" s="63" t="n">
        <v>25087.5206277703</v>
      </c>
      <c r="CI771" s="63" t="n">
        <v>5585.43106717845</v>
      </c>
      <c r="CJ771" s="64" t="n">
        <v>967435.304403655</v>
      </c>
      <c r="CK771" s="65" t="n">
        <v>0.577344142988601</v>
      </c>
    </row>
    <row r="772" s="1" customFormat="true" ht="15" hidden="false" customHeight="false" outlineLevel="0" collapsed="false">
      <c r="A772" s="7" t="s">
        <v>488</v>
      </c>
      <c r="B772" s="66" t="n">
        <v>763</v>
      </c>
      <c r="C772" s="8" t="s">
        <v>855</v>
      </c>
      <c r="D772" s="67" t="n">
        <v>42075</v>
      </c>
      <c r="E772" s="4" t="s">
        <v>583</v>
      </c>
      <c r="F772" s="7" t="n">
        <v>1704</v>
      </c>
      <c r="G772" s="68" t="n">
        <v>1</v>
      </c>
      <c r="H772" s="68" t="n">
        <v>154</v>
      </c>
      <c r="I772" s="7" t="n">
        <v>2</v>
      </c>
      <c r="J772" s="8" t="n">
        <v>725</v>
      </c>
      <c r="K772" s="32"/>
      <c r="L772" s="31" t="n">
        <v>934.239</v>
      </c>
      <c r="M772" s="31" t="n">
        <v>164.133428542283</v>
      </c>
      <c r="N772" s="31" t="n">
        <v>331.021115984903</v>
      </c>
      <c r="O772" s="95"/>
      <c r="P772" s="33" t="n">
        <v>41.1098643272468</v>
      </c>
      <c r="Q772" s="33" t="n">
        <v>7.1</v>
      </c>
      <c r="R772" s="31" t="n">
        <v>269.101295521779</v>
      </c>
      <c r="S772" s="34" t="s">
        <v>76</v>
      </c>
      <c r="T772" s="35"/>
      <c r="U772" s="35"/>
      <c r="V772" s="35" t="n">
        <v>29.7442214243772</v>
      </c>
      <c r="W772" s="35" t="n">
        <v>27.7882116792888</v>
      </c>
      <c r="X772" s="35" t="n">
        <v>4.88202104170386</v>
      </c>
      <c r="Y772" s="35" t="n">
        <v>9.8459653699994</v>
      </c>
      <c r="Z772" s="35"/>
      <c r="AA772" s="35" t="n">
        <v>1.22278090727573</v>
      </c>
      <c r="AB772" s="35" t="n">
        <v>0.211183972113078</v>
      </c>
      <c r="AC772" s="71" t="n">
        <v>8.00420851958657</v>
      </c>
      <c r="AD772" s="72"/>
      <c r="AE772" s="72"/>
      <c r="AF772" s="72"/>
      <c r="AG772" s="72"/>
      <c r="AH772" s="72"/>
      <c r="AI772" s="73" t="n">
        <v>28.0090716189085</v>
      </c>
      <c r="AJ772" s="42" t="s">
        <v>16</v>
      </c>
      <c r="AK772" s="43" t="n">
        <v>746.51069851216</v>
      </c>
      <c r="AL772" s="74"/>
      <c r="AM772" s="74"/>
      <c r="AN772" s="74"/>
      <c r="AO772" s="78" t="n">
        <v>38.3</v>
      </c>
      <c r="AP772" s="76" t="n">
        <v>1.78315171258008</v>
      </c>
      <c r="AQ772" s="76" t="n">
        <v>1.23293245869776</v>
      </c>
      <c r="AR772" s="76" t="n">
        <v>1.88708454810496</v>
      </c>
      <c r="AS772" s="77" t="n">
        <v>42.0672756887011</v>
      </c>
      <c r="AT772" s="78" t="n">
        <v>41.4448613114518</v>
      </c>
      <c r="AU772" s="78" t="n">
        <v>46.5574859681482</v>
      </c>
      <c r="AV772" s="78" t="n">
        <v>32.1914480077745</v>
      </c>
      <c r="AW772" s="78" t="n">
        <v>49.2711370262391</v>
      </c>
      <c r="AX772" s="78" t="n">
        <v>31.395</v>
      </c>
      <c r="AY772" s="48" t="n">
        <v>1.39337522808666</v>
      </c>
      <c r="AZ772" s="48" t="n">
        <v>28.9626533808507</v>
      </c>
      <c r="BA772" s="48" t="n">
        <v>0.781568043526498</v>
      </c>
      <c r="BB772" s="49" t="n">
        <f aca="false">AT772/V772</f>
        <v>1.39337522808666</v>
      </c>
      <c r="BC772" s="49" t="n">
        <f aca="false">AS772/V772</f>
        <v>1.41430078429366</v>
      </c>
      <c r="BD772" s="49" t="n">
        <f aca="false">SUM(AP772:AR772)/V772</f>
        <v>0.164844412950892</v>
      </c>
      <c r="BE772" s="53" t="n">
        <v>6.49</v>
      </c>
      <c r="BF772" s="51" t="n">
        <v>106.940153580197</v>
      </c>
      <c r="BG772" s="51" t="n">
        <v>603.041667863929</v>
      </c>
      <c r="BH772" s="51" t="n">
        <v>232.344478428026</v>
      </c>
      <c r="BI772" s="51" t="n">
        <v>121.619522532243</v>
      </c>
      <c r="BJ772" s="51" t="n">
        <v>6.69503970328516</v>
      </c>
      <c r="BK772" s="51" t="n">
        <v>14.8334640932537</v>
      </c>
      <c r="BL772" s="51" t="n">
        <v>13.4603561806404</v>
      </c>
      <c r="BM772" s="51" t="n">
        <v>8.00547119862191</v>
      </c>
      <c r="BN772" s="52" t="n">
        <f aca="false">(BG772*0.5-BH772*0.25+BI772*0.5)/SUM(BG772:BI772)*1000</f>
        <v>317.9129293611</v>
      </c>
      <c r="BO772" s="93" t="n">
        <v>3.31791428571429</v>
      </c>
      <c r="BP772" s="94" t="s">
        <v>491</v>
      </c>
      <c r="BQ772" s="55" t="n">
        <v>651.733333333333</v>
      </c>
      <c r="BR772" s="56" t="n">
        <v>21.9112587966144</v>
      </c>
      <c r="BS772" s="56"/>
      <c r="BT772" s="56" t="n">
        <v>15.7253109965951</v>
      </c>
      <c r="BU772" s="55" t="n">
        <v>14844.5964912281</v>
      </c>
      <c r="BV772" s="55" t="n">
        <v>499.074972561292</v>
      </c>
      <c r="BW772" s="55"/>
      <c r="BX772" s="55" t="n">
        <v>358.17700968217</v>
      </c>
      <c r="BY772" s="96" t="n">
        <v>0.08549</v>
      </c>
      <c r="BZ772" s="96" t="n">
        <v>1.0989</v>
      </c>
      <c r="CA772" s="97" t="n">
        <v>3.58</v>
      </c>
      <c r="CB772" s="97"/>
      <c r="CC772" s="97" t="n">
        <v>6.4548</v>
      </c>
      <c r="CD772" s="97" t="n">
        <v>6.38</v>
      </c>
      <c r="CE772" s="97" t="n">
        <v>78</v>
      </c>
      <c r="CF772" s="97" t="n">
        <v>35.739</v>
      </c>
      <c r="CG772" s="97" t="n">
        <v>0.0672</v>
      </c>
      <c r="CH772" s="63" t="n">
        <v>64768.9714454075</v>
      </c>
      <c r="CI772" s="63" t="n">
        <v>4592.24054872601</v>
      </c>
      <c r="CJ772" s="64" t="n">
        <v>472791.044358898</v>
      </c>
      <c r="CK772" s="65" t="n">
        <v>0.971304470234428</v>
      </c>
    </row>
    <row r="773" s="1" customFormat="true" ht="15" hidden="false" customHeight="false" outlineLevel="0" collapsed="false">
      <c r="A773" s="7" t="s">
        <v>488</v>
      </c>
      <c r="B773" s="66" t="n">
        <v>764</v>
      </c>
      <c r="C773" s="8" t="s">
        <v>856</v>
      </c>
      <c r="D773" s="67" t="n">
        <v>42075</v>
      </c>
      <c r="E773" s="4" t="s">
        <v>583</v>
      </c>
      <c r="F773" s="7" t="n">
        <v>1707</v>
      </c>
      <c r="G773" s="68" t="n">
        <v>1</v>
      </c>
      <c r="H773" s="68" t="n">
        <v>162</v>
      </c>
      <c r="I773" s="7" t="n">
        <v>2</v>
      </c>
      <c r="J773" s="8" t="n">
        <v>771</v>
      </c>
      <c r="K773" s="32"/>
      <c r="L773" s="31" t="n">
        <v>934.239</v>
      </c>
      <c r="M773" s="31" t="n">
        <v>164.133428542283</v>
      </c>
      <c r="N773" s="31" t="n">
        <v>331.021115984903</v>
      </c>
      <c r="O773" s="95"/>
      <c r="P773" s="33" t="n">
        <v>41.1098643272468</v>
      </c>
      <c r="Q773" s="33" t="n">
        <v>7.1</v>
      </c>
      <c r="R773" s="31" t="n">
        <v>269.101295521779</v>
      </c>
      <c r="S773" s="34" t="s">
        <v>76</v>
      </c>
      <c r="T773" s="35"/>
      <c r="U773" s="35"/>
      <c r="V773" s="35" t="n">
        <v>24.4035144986639</v>
      </c>
      <c r="W773" s="35" t="n">
        <v>22.7987149817173</v>
      </c>
      <c r="X773" s="35" t="n">
        <v>4.00543250314702</v>
      </c>
      <c r="Y773" s="35" t="n">
        <v>8.07807860330147</v>
      </c>
      <c r="Z773" s="35"/>
      <c r="AA773" s="35" t="n">
        <v>1.00322517014807</v>
      </c>
      <c r="AB773" s="35" t="n">
        <v>0.173264952940514</v>
      </c>
      <c r="AC773" s="71" t="n">
        <v>6.56701736687497</v>
      </c>
      <c r="AD773" s="72"/>
      <c r="AE773" s="72"/>
      <c r="AF773" s="72"/>
      <c r="AG773" s="72"/>
      <c r="AH773" s="72"/>
      <c r="AI773" s="73" t="n">
        <v>25.9492994706763</v>
      </c>
      <c r="AJ773" s="42" t="s">
        <v>16</v>
      </c>
      <c r="AK773" s="43" t="n">
        <v>726.389530938079</v>
      </c>
      <c r="AL773" s="74"/>
      <c r="AM773" s="74"/>
      <c r="AN773" s="74"/>
      <c r="AO773" s="78" t="n">
        <v>41.4857142857143</v>
      </c>
      <c r="AP773" s="76" t="n">
        <v>1.54014949911221</v>
      </c>
      <c r="AQ773" s="76" t="n">
        <v>1.35564348188255</v>
      </c>
      <c r="AR773" s="76" t="n">
        <v>2.02993752603082</v>
      </c>
      <c r="AS773" s="77" t="n">
        <v>39.6965282009689</v>
      </c>
      <c r="AT773" s="78" t="n">
        <v>40.2000697591782</v>
      </c>
      <c r="AU773" s="78" t="n">
        <v>37.12481574995</v>
      </c>
      <c r="AV773" s="78" t="n">
        <v>32.6773566569485</v>
      </c>
      <c r="AW773" s="78" t="n">
        <v>48.9310009718173</v>
      </c>
      <c r="AX773" s="78" t="n">
        <v>23.4425</v>
      </c>
      <c r="AY773" s="48" t="n">
        <v>1.64730656977212</v>
      </c>
      <c r="AZ773" s="48" t="n">
        <v>28.7623596602736</v>
      </c>
      <c r="BA773" s="48" t="n">
        <v>-4.35884516160967</v>
      </c>
      <c r="BB773" s="49" t="n">
        <f aca="false">AT773/V773</f>
        <v>1.64730656977212</v>
      </c>
      <c r="BC773" s="49" t="n">
        <f aca="false">AS773/V773</f>
        <v>1.62667259271784</v>
      </c>
      <c r="BD773" s="49" t="n">
        <f aca="false">SUM(AP773:AR773)/V773</f>
        <v>0.201845127975123</v>
      </c>
      <c r="BE773" s="53" t="n">
        <v>6.6</v>
      </c>
      <c r="BF773" s="51" t="n">
        <v>116.16427755098</v>
      </c>
      <c r="BG773" s="51" t="n">
        <v>531.553067903484</v>
      </c>
      <c r="BH773" s="51" t="n">
        <v>311.975691990043</v>
      </c>
      <c r="BI773" s="51" t="n">
        <v>111.776302518423</v>
      </c>
      <c r="BJ773" s="51" t="n">
        <v>6.65618717947558</v>
      </c>
      <c r="BK773" s="51" t="n">
        <v>16.6431833422005</v>
      </c>
      <c r="BL773" s="51" t="n">
        <v>17.9799595220223</v>
      </c>
      <c r="BM773" s="51" t="n">
        <v>3.41560754435198</v>
      </c>
      <c r="BN773" s="52" t="n">
        <f aca="false">(BG773*0.5-BH773*0.25+BI773*0.5)/SUM(BG773:BI773)*1000</f>
        <v>255.071151406048</v>
      </c>
      <c r="BO773" s="93" t="n">
        <v>5.77028571428571</v>
      </c>
      <c r="BP773" s="94" t="s">
        <v>491</v>
      </c>
      <c r="BQ773" s="55" t="n">
        <v>627.023809523809</v>
      </c>
      <c r="BR773" s="56" t="n">
        <v>25.693996229852</v>
      </c>
      <c r="BS773" s="56"/>
      <c r="BT773" s="56" t="n">
        <v>15.5975801355582</v>
      </c>
      <c r="BU773" s="55" t="n">
        <v>15477.6428571429</v>
      </c>
      <c r="BV773" s="55" t="n">
        <v>634.238271622322</v>
      </c>
      <c r="BW773" s="55"/>
      <c r="BX773" s="55" t="n">
        <v>385.015323352993</v>
      </c>
      <c r="BY773" s="96" t="n">
        <v>0.07725</v>
      </c>
      <c r="BZ773" s="96" t="n">
        <v>0.6809</v>
      </c>
      <c r="CA773" s="97" t="n">
        <v>4.24</v>
      </c>
      <c r="CB773" s="97"/>
      <c r="CC773" s="97" t="n">
        <v>4.9401</v>
      </c>
      <c r="CD773" s="97" t="n">
        <v>6.25</v>
      </c>
      <c r="CE773" s="97" t="n">
        <v>84</v>
      </c>
      <c r="CF773" s="97" t="n">
        <v>34.6005</v>
      </c>
      <c r="CG773" s="97" t="n">
        <v>0.1102</v>
      </c>
      <c r="CH773" s="63" t="n">
        <v>46307.9138356486</v>
      </c>
      <c r="CI773" s="63" t="n">
        <v>3267.80032904839</v>
      </c>
      <c r="CJ773" s="64" t="n">
        <v>733684.362286853</v>
      </c>
      <c r="CK773" s="65" t="n">
        <v>0.445395935503224</v>
      </c>
    </row>
    <row r="774" s="1" customFormat="true" ht="15" hidden="false" customHeight="false" outlineLevel="0" collapsed="false">
      <c r="A774" s="7" t="s">
        <v>488</v>
      </c>
      <c r="B774" s="66" t="n">
        <v>765</v>
      </c>
      <c r="C774" s="8" t="s">
        <v>857</v>
      </c>
      <c r="D774" s="67" t="n">
        <v>42075</v>
      </c>
      <c r="E774" s="4" t="s">
        <v>583</v>
      </c>
      <c r="F774" s="7" t="n">
        <v>1732</v>
      </c>
      <c r="G774" s="68" t="n">
        <v>1</v>
      </c>
      <c r="H774" s="68" t="n">
        <v>152</v>
      </c>
      <c r="I774" s="7" t="n">
        <v>2</v>
      </c>
      <c r="J774" s="8" t="n">
        <v>780</v>
      </c>
      <c r="K774" s="32"/>
      <c r="L774" s="31" t="n">
        <v>934.239</v>
      </c>
      <c r="M774" s="31" t="n">
        <v>164.133428542283</v>
      </c>
      <c r="N774" s="31" t="n">
        <v>331.021115984903</v>
      </c>
      <c r="O774" s="95"/>
      <c r="P774" s="33" t="n">
        <v>41.1098643272468</v>
      </c>
      <c r="Q774" s="33" t="n">
        <v>7.1</v>
      </c>
      <c r="R774" s="31" t="n">
        <v>269.101295521779</v>
      </c>
      <c r="S774" s="34" t="s">
        <v>76</v>
      </c>
      <c r="T774" s="35"/>
      <c r="U774" s="35"/>
      <c r="V774" s="35" t="n">
        <v>21.4541592206504</v>
      </c>
      <c r="W774" s="35" t="n">
        <v>20.0433122561412</v>
      </c>
      <c r="X774" s="35" t="n">
        <v>3.52134470937739</v>
      </c>
      <c r="Y774" s="35" t="n">
        <v>7.10177972773749</v>
      </c>
      <c r="Z774" s="35"/>
      <c r="AA774" s="35" t="n">
        <v>0.881977574816089</v>
      </c>
      <c r="AB774" s="35" t="n">
        <v>0.152324530466618</v>
      </c>
      <c r="AC774" s="71" t="n">
        <v>5.77334204060755</v>
      </c>
      <c r="AD774" s="72"/>
      <c r="AE774" s="72"/>
      <c r="AF774" s="72"/>
      <c r="AG774" s="72"/>
      <c r="AH774" s="72"/>
      <c r="AI774" s="73" t="n">
        <v>27.7664185486574</v>
      </c>
      <c r="AJ774" s="42" t="s">
        <v>16</v>
      </c>
      <c r="AK774" s="43" t="n">
        <v>744.295434156981</v>
      </c>
      <c r="AL774" s="74"/>
      <c r="AM774" s="74"/>
      <c r="AN774" s="74"/>
      <c r="AO774" s="78" t="n">
        <v>36.9142857142857</v>
      </c>
      <c r="AP774" s="76" t="n">
        <v>1.57255948159738</v>
      </c>
      <c r="AQ774" s="76" t="n">
        <v>1.20446758295155</v>
      </c>
      <c r="AR774" s="76" t="n">
        <v>1.8627544078856</v>
      </c>
      <c r="AS774" s="77" t="n">
        <v>38.354106509675</v>
      </c>
      <c r="AT774" s="78" t="n">
        <v>38.5194991316308</v>
      </c>
      <c r="AU774" s="78" t="n">
        <v>42.6002955541087</v>
      </c>
      <c r="AV774" s="78" t="n">
        <v>32.6287657920311</v>
      </c>
      <c r="AW774" s="78" t="n">
        <v>50.4616132167153</v>
      </c>
      <c r="AX774" s="78" t="n">
        <v>23.7825</v>
      </c>
      <c r="AY774" s="48" t="n">
        <v>1.79543270540075</v>
      </c>
      <c r="AZ774" s="48" t="n">
        <v>28.3366159318634</v>
      </c>
      <c r="BA774" s="48" t="n">
        <v>-6.88245671121297</v>
      </c>
      <c r="BB774" s="49" t="n">
        <f aca="false">AT774/V774</f>
        <v>1.79543270540075</v>
      </c>
      <c r="BC774" s="49" t="n">
        <f aca="false">AS774/V774</f>
        <v>1.78772358847593</v>
      </c>
      <c r="BD774" s="49" t="n">
        <f aca="false">SUM(AP774:AR774)/V774</f>
        <v>0.216264894126849</v>
      </c>
      <c r="BE774" s="53" t="n">
        <v>6.28</v>
      </c>
      <c r="BF774" s="51" t="n">
        <v>123.614582096134</v>
      </c>
      <c r="BG774" s="51" t="n">
        <v>562.908782546191</v>
      </c>
      <c r="BH774" s="51" t="n">
        <v>268.638413274212</v>
      </c>
      <c r="BI774" s="51" t="n">
        <v>126.516030128883</v>
      </c>
      <c r="BJ774" s="51" t="n">
        <v>6.333086026769</v>
      </c>
      <c r="BK774" s="51" t="n">
        <v>15.0003858511145</v>
      </c>
      <c r="BL774" s="51" t="n">
        <v>16.5458923997406</v>
      </c>
      <c r="BM774" s="51" t="n">
        <v>4.05740977309014</v>
      </c>
      <c r="BN774" s="52" t="n">
        <f aca="false">(BG774*0.5-BH774*0.25+BI774*0.5)/SUM(BG774:BI774)*1000</f>
        <v>289.701969036515</v>
      </c>
      <c r="BO774" s="93" t="n">
        <v>5.049</v>
      </c>
      <c r="BP774" s="94" t="s">
        <v>491</v>
      </c>
      <c r="BQ774" s="55" t="n">
        <v>465.006944444444</v>
      </c>
      <c r="BR774" s="56" t="n">
        <v>21.6744426878709</v>
      </c>
      <c r="BS774" s="56"/>
      <c r="BT774" s="56" t="n">
        <v>12.0719883416811</v>
      </c>
      <c r="BU774" s="55" t="n">
        <v>12676.7361111111</v>
      </c>
      <c r="BV774" s="55" t="n">
        <v>590.875455930675</v>
      </c>
      <c r="BW774" s="55"/>
      <c r="BX774" s="55" t="n">
        <v>329.09919383405</v>
      </c>
      <c r="BY774" s="96" t="n">
        <v>0.06283</v>
      </c>
      <c r="BZ774" s="96" t="n">
        <v>0.8965</v>
      </c>
      <c r="CA774" s="97" t="n">
        <v>3.61</v>
      </c>
      <c r="CB774" s="97"/>
      <c r="CC774" s="97" t="n">
        <v>5.6232</v>
      </c>
      <c r="CD774" s="97" t="n">
        <v>5.22</v>
      </c>
      <c r="CE774" s="97" t="n">
        <v>93</v>
      </c>
      <c r="CF774" s="97" t="n">
        <v>33.9174</v>
      </c>
      <c r="CG774" s="97" t="n">
        <v>0.1274</v>
      </c>
      <c r="CH774" s="63" t="n">
        <v>69709.8595280178</v>
      </c>
      <c r="CI774" s="63" t="n">
        <v>3115.14880878002</v>
      </c>
      <c r="CJ774" s="64" t="n">
        <v>466601.268994837</v>
      </c>
      <c r="CK774" s="65" t="n">
        <v>0.66762544720265</v>
      </c>
    </row>
    <row r="775" s="1" customFormat="true" ht="15" hidden="false" customHeight="false" outlineLevel="0" collapsed="false">
      <c r="A775" s="7" t="s">
        <v>488</v>
      </c>
      <c r="B775" s="66" t="n">
        <v>766</v>
      </c>
      <c r="C775" s="8" t="s">
        <v>858</v>
      </c>
      <c r="D775" s="67" t="n">
        <v>42075</v>
      </c>
      <c r="E775" s="4" t="s">
        <v>583</v>
      </c>
      <c r="F775" s="7" t="n">
        <v>1736</v>
      </c>
      <c r="G775" s="68" t="n">
        <v>1</v>
      </c>
      <c r="H775" s="68" t="n">
        <v>166</v>
      </c>
      <c r="I775" s="7" t="n">
        <v>2</v>
      </c>
      <c r="J775" s="8" t="n">
        <v>700</v>
      </c>
      <c r="K775" s="32"/>
      <c r="L775" s="31" t="n">
        <v>934.239</v>
      </c>
      <c r="M775" s="31" t="n">
        <v>164.133428542283</v>
      </c>
      <c r="N775" s="31" t="n">
        <v>331.021115984903</v>
      </c>
      <c r="O775" s="95"/>
      <c r="P775" s="33" t="n">
        <v>41.1098643272468</v>
      </c>
      <c r="Q775" s="33" t="n">
        <v>7.1</v>
      </c>
      <c r="R775" s="31" t="n">
        <v>269.101295521779</v>
      </c>
      <c r="S775" s="34" t="s">
        <v>76</v>
      </c>
      <c r="T775" s="35"/>
      <c r="U775" s="35"/>
      <c r="V775" s="35" t="n">
        <v>27.8638746202158</v>
      </c>
      <c r="W775" s="35" t="n">
        <v>26.0315183613158</v>
      </c>
      <c r="X775" s="35" t="n">
        <v>4.57339327388833</v>
      </c>
      <c r="Y775" s="35" t="n">
        <v>9.22353087244725</v>
      </c>
      <c r="Z775" s="35"/>
      <c r="AA775" s="35" t="n">
        <v>1.14548010526849</v>
      </c>
      <c r="AB775" s="35" t="n">
        <v>0.197833509803532</v>
      </c>
      <c r="AC775" s="71" t="n">
        <v>7.4982047585565</v>
      </c>
      <c r="AD775" s="72"/>
      <c r="AE775" s="72"/>
      <c r="AF775" s="72"/>
      <c r="AG775" s="72"/>
      <c r="AH775" s="72"/>
      <c r="AI775" s="73" t="n">
        <v>25.3308889246877</v>
      </c>
      <c r="AJ775" s="42" t="s">
        <v>16</v>
      </c>
      <c r="AK775" s="43" t="n">
        <v>719.709796955437</v>
      </c>
      <c r="AL775" s="74"/>
      <c r="AM775" s="74"/>
      <c r="AN775" s="74"/>
      <c r="AO775" s="78" t="n">
        <v>34.2142857142857</v>
      </c>
      <c r="AP775" s="76" t="n">
        <v>1.68864137805829</v>
      </c>
      <c r="AQ775" s="76" t="n">
        <v>1.33914514785506</v>
      </c>
      <c r="AR775" s="76" t="n">
        <v>1.66499548799111</v>
      </c>
      <c r="AS775" s="77" t="n">
        <v>39.0153349565886</v>
      </c>
      <c r="AT775" s="78" t="n">
        <v>39.9138657463005</v>
      </c>
      <c r="AU775" s="78" t="n">
        <v>49.3548628242506</v>
      </c>
      <c r="AV775" s="78" t="n">
        <v>39.1399416909621</v>
      </c>
      <c r="AW775" s="78" t="n">
        <v>48.6637512147716</v>
      </c>
      <c r="AX775" s="78" t="n">
        <v>28.5025</v>
      </c>
      <c r="AY775" s="48" t="n">
        <v>1.43245927891673</v>
      </c>
      <c r="AZ775" s="48" t="n">
        <v>27.5429728093742</v>
      </c>
      <c r="BA775" s="48" t="n">
        <v>0.320901810841608</v>
      </c>
      <c r="BB775" s="49" t="n">
        <f aca="false">AT775/V775</f>
        <v>1.43245927891673</v>
      </c>
      <c r="BC775" s="49" t="n">
        <f aca="false">AS775/V775</f>
        <v>1.40021212011492</v>
      </c>
      <c r="BD775" s="49" t="n">
        <f aca="false">SUM(AP775:AR775)/V775</f>
        <v>0.168418142769698</v>
      </c>
      <c r="BE775" s="53" t="n">
        <v>6.36</v>
      </c>
      <c r="BF775" s="51" t="n">
        <v>116.915793379641</v>
      </c>
      <c r="BG775" s="51" t="n">
        <v>628.055126549557</v>
      </c>
      <c r="BH775" s="51" t="n">
        <v>208.86531545437</v>
      </c>
      <c r="BI775" s="51" t="n">
        <v>122.039413941542</v>
      </c>
      <c r="BJ775" s="51" t="n">
        <v>6.76698059943418</v>
      </c>
      <c r="BK775" s="51" t="n">
        <v>13.3626355420457</v>
      </c>
      <c r="BL775" s="51" t="n">
        <v>13.7847313894495</v>
      </c>
      <c r="BM775" s="51" t="n">
        <v>7.12579652360186</v>
      </c>
      <c r="BN775" s="52" t="n">
        <f aca="false">(BG775*0.5-BH775*0.25+BI775*0.5)/SUM(BG775:BI775)*1000</f>
        <v>336.646982019563</v>
      </c>
      <c r="BO775" s="93" t="n">
        <v>4.29886285714286</v>
      </c>
      <c r="BP775" s="94" t="s">
        <v>491</v>
      </c>
      <c r="BQ775" s="55" t="n">
        <v>539.738</v>
      </c>
      <c r="BR775" s="56" t="n">
        <v>19.3705293092443</v>
      </c>
      <c r="BS775" s="56"/>
      <c r="BT775" s="56" t="n">
        <v>13.5225689095281</v>
      </c>
      <c r="BU775" s="55" t="n">
        <v>13145.3356666667</v>
      </c>
      <c r="BV775" s="55" t="n">
        <v>471.769839831588</v>
      </c>
      <c r="BW775" s="55"/>
      <c r="BX775" s="55" t="n">
        <v>329.34258360793</v>
      </c>
      <c r="BY775" s="96" t="n">
        <v>0.0721</v>
      </c>
      <c r="BZ775" s="96" t="n">
        <v>1.3233</v>
      </c>
      <c r="CA775" s="97" t="n">
        <v>3.44</v>
      </c>
      <c r="CB775" s="97"/>
      <c r="CC775" s="97" t="n">
        <v>6.7716</v>
      </c>
      <c r="CD775" s="97" t="n">
        <v>6.71</v>
      </c>
      <c r="CE775" s="97" t="n">
        <v>87</v>
      </c>
      <c r="CF775" s="97" t="n">
        <v>34.7589</v>
      </c>
      <c r="CG775" s="97" t="n">
        <v>0.1102</v>
      </c>
      <c r="CH775" s="63" t="n">
        <v>82841.0970060696</v>
      </c>
      <c r="CI775" s="63" t="n">
        <v>2279.25232763184</v>
      </c>
      <c r="CJ775" s="64" t="n">
        <v>375841.568919361</v>
      </c>
      <c r="CK775" s="65" t="n">
        <v>0.606439658653315</v>
      </c>
    </row>
    <row r="776" s="1" customFormat="true" ht="15" hidden="false" customHeight="false" outlineLevel="0" collapsed="false">
      <c r="A776" s="7" t="s">
        <v>488</v>
      </c>
      <c r="B776" s="66" t="n">
        <v>767</v>
      </c>
      <c r="C776" s="8" t="s">
        <v>859</v>
      </c>
      <c r="D776" s="67" t="n">
        <v>42075</v>
      </c>
      <c r="E776" s="4" t="s">
        <v>583</v>
      </c>
      <c r="F776" s="7" t="n">
        <v>1757</v>
      </c>
      <c r="G776" s="68" t="n">
        <v>1</v>
      </c>
      <c r="H776" s="68" t="n">
        <v>149</v>
      </c>
      <c r="I776" s="7" t="n">
        <v>2</v>
      </c>
      <c r="J776" s="8" t="n">
        <v>640</v>
      </c>
      <c r="K776" s="32"/>
      <c r="L776" s="31" t="n">
        <v>934.239</v>
      </c>
      <c r="M776" s="31" t="n">
        <v>164.133428542283</v>
      </c>
      <c r="N776" s="31" t="n">
        <v>331.021115984903</v>
      </c>
      <c r="O776" s="95"/>
      <c r="P776" s="33" t="n">
        <v>41.1098643272468</v>
      </c>
      <c r="Q776" s="33" t="n">
        <v>7.1</v>
      </c>
      <c r="R776" s="31" t="n">
        <v>269.101295521779</v>
      </c>
      <c r="S776" s="34" t="s">
        <v>76</v>
      </c>
      <c r="T776" s="35"/>
      <c r="U776" s="35"/>
      <c r="V776" s="35" t="n">
        <v>27.07239929387</v>
      </c>
      <c r="W776" s="35" t="n">
        <v>25.2920912439059</v>
      </c>
      <c r="X776" s="35" t="n">
        <v>4.44348571496857</v>
      </c>
      <c r="Y776" s="35" t="n">
        <v>8.96153582664575</v>
      </c>
      <c r="Z776" s="35"/>
      <c r="AA776" s="35" t="n">
        <v>1.11294266198405</v>
      </c>
      <c r="AB776" s="35" t="n">
        <v>0.192214034986477</v>
      </c>
      <c r="AC776" s="71" t="n">
        <v>7.28521772286333</v>
      </c>
      <c r="AD776" s="72"/>
      <c r="AE776" s="72"/>
      <c r="AF776" s="72"/>
      <c r="AG776" s="72"/>
      <c r="AH776" s="72"/>
      <c r="AI776" s="73" t="n">
        <v>24.2195934304576</v>
      </c>
      <c r="AJ776" s="42" t="s">
        <v>16</v>
      </c>
      <c r="AK776" s="43" t="n">
        <v>706.84891881499</v>
      </c>
      <c r="AL776" s="74"/>
      <c r="AM776" s="74"/>
      <c r="AN776" s="74"/>
      <c r="AO776" s="78" t="n">
        <v>38.4857142857143</v>
      </c>
      <c r="AP776" s="76" t="n">
        <v>1.50533421920761</v>
      </c>
      <c r="AQ776" s="76" t="n">
        <v>1.26883173677634</v>
      </c>
      <c r="AR776" s="76" t="n">
        <v>1.88314452311537</v>
      </c>
      <c r="AS776" s="77" t="n">
        <v>37.9742990023998</v>
      </c>
      <c r="AT776" s="78" t="n">
        <v>38.3133418228284</v>
      </c>
      <c r="AU776" s="78" t="n">
        <v>39.1141036913632</v>
      </c>
      <c r="AV776" s="78" t="n">
        <v>32.9689018464529</v>
      </c>
      <c r="AW776" s="78" t="n">
        <v>48.9310009718173</v>
      </c>
      <c r="AX776" s="78" t="n">
        <v>20.0425</v>
      </c>
      <c r="AY776" s="48" t="n">
        <v>1.41521781674902</v>
      </c>
      <c r="AZ776" s="48" t="n">
        <v>26.2241098848123</v>
      </c>
      <c r="BA776" s="48" t="n">
        <v>0.84828940905772</v>
      </c>
      <c r="BB776" s="49" t="n">
        <f aca="false">AT776/V776</f>
        <v>1.41521781674902</v>
      </c>
      <c r="BC776" s="49" t="n">
        <f aca="false">AS776/V776</f>
        <v>1.40269425661871</v>
      </c>
      <c r="BD776" s="49" t="n">
        <f aca="false">SUM(AP776:AR776)/V776</f>
        <v>0.172031685427817</v>
      </c>
      <c r="BE776" s="53" t="n">
        <v>6.65</v>
      </c>
      <c r="BF776" s="51" t="n">
        <v>99.3191421136904</v>
      </c>
      <c r="BG776" s="51" t="n">
        <v>579.791250875134</v>
      </c>
      <c r="BH776" s="51" t="n">
        <v>263.528995583272</v>
      </c>
      <c r="BI776" s="51" t="n">
        <v>118.208815047586</v>
      </c>
      <c r="BJ776" s="51" t="n">
        <v>5.87779833035097</v>
      </c>
      <c r="BK776" s="51" t="n">
        <v>14.2827762047673</v>
      </c>
      <c r="BL776" s="51" t="n">
        <v>10.9206593999957</v>
      </c>
      <c r="BM776" s="51" t="n">
        <v>7.38970455889454</v>
      </c>
      <c r="BN776" s="52" t="n">
        <f aca="false">(BG776*0.5-BH776*0.25+BI776*0.5)/SUM(BG776:BI776)*1000</f>
        <v>294.445373936082</v>
      </c>
      <c r="BO776" s="93" t="n">
        <v>1.87534285714286</v>
      </c>
      <c r="BP776" s="94" t="s">
        <v>491</v>
      </c>
      <c r="BQ776" s="55" t="n">
        <v>467.161111111111</v>
      </c>
      <c r="BR776" s="56" t="n">
        <v>17.255992202246</v>
      </c>
      <c r="BS776" s="56"/>
      <c r="BT776" s="56" t="n">
        <v>12.1931705480403</v>
      </c>
      <c r="BU776" s="55" t="n">
        <v>12056.2455555556</v>
      </c>
      <c r="BV776" s="55" t="n">
        <v>445.33347135898</v>
      </c>
      <c r="BW776" s="55"/>
      <c r="BX776" s="55" t="n">
        <v>314.674862122625</v>
      </c>
      <c r="BY776" s="96" t="n">
        <v>0.103</v>
      </c>
      <c r="BZ776" s="96" t="n">
        <v>1.0571</v>
      </c>
      <c r="CA776" s="97" t="n">
        <v>2.59</v>
      </c>
      <c r="CB776" s="97"/>
      <c r="CC776" s="97" t="n">
        <v>6.138</v>
      </c>
      <c r="CD776" s="97" t="n">
        <v>6.29</v>
      </c>
      <c r="CE776" s="97" t="n">
        <v>79</v>
      </c>
      <c r="CF776" s="97" t="n">
        <v>37.3131</v>
      </c>
      <c r="CG776" s="97" t="n">
        <v>0.3768</v>
      </c>
      <c r="CH776" s="63" t="n">
        <v>88456.7948704806</v>
      </c>
      <c r="CI776" s="63" t="n">
        <v>3020.8949951202</v>
      </c>
      <c r="CJ776" s="64" t="n">
        <v>533307.599921841</v>
      </c>
      <c r="CK776" s="65" t="n">
        <v>0.566445142646181</v>
      </c>
    </row>
    <row r="777" s="1" customFormat="true" ht="15" hidden="false" customHeight="false" outlineLevel="0" collapsed="false">
      <c r="A777" s="7" t="s">
        <v>488</v>
      </c>
      <c r="B777" s="66" t="n">
        <v>768</v>
      </c>
      <c r="C777" s="8" t="s">
        <v>860</v>
      </c>
      <c r="D777" s="67" t="n">
        <v>42075</v>
      </c>
      <c r="E777" s="4" t="s">
        <v>583</v>
      </c>
      <c r="F777" s="7" t="n">
        <v>1765</v>
      </c>
      <c r="G777" s="68" t="n">
        <v>1</v>
      </c>
      <c r="H777" s="68" t="n">
        <v>151</v>
      </c>
      <c r="I777" s="7" t="n">
        <v>2</v>
      </c>
      <c r="J777" s="8" t="n">
        <v>660</v>
      </c>
      <c r="K777" s="32"/>
      <c r="L777" s="31" t="n">
        <v>934.239</v>
      </c>
      <c r="M777" s="31" t="n">
        <v>164.133428542283</v>
      </c>
      <c r="N777" s="31" t="n">
        <v>331.021115984903</v>
      </c>
      <c r="O777" s="95"/>
      <c r="P777" s="33" t="n">
        <v>41.1098643272468</v>
      </c>
      <c r="Q777" s="33" t="n">
        <v>7.1</v>
      </c>
      <c r="R777" s="31" t="n">
        <v>269.101295521779</v>
      </c>
      <c r="S777" s="34" t="s">
        <v>76</v>
      </c>
      <c r="T777" s="35"/>
      <c r="U777" s="35"/>
      <c r="V777" s="35" t="n">
        <v>15.7576685102294</v>
      </c>
      <c r="W777" s="35" t="n">
        <v>14.7214284713282</v>
      </c>
      <c r="X777" s="35" t="n">
        <v>2.58636015841672</v>
      </c>
      <c r="Y777" s="35" t="n">
        <v>5.21612101557629</v>
      </c>
      <c r="Z777" s="35"/>
      <c r="AA777" s="35" t="n">
        <v>0.647795614569259</v>
      </c>
      <c r="AB777" s="35" t="n">
        <v>0.111879446422629</v>
      </c>
      <c r="AC777" s="71" t="n">
        <v>4.24040901050547</v>
      </c>
      <c r="AD777" s="72"/>
      <c r="AE777" s="72"/>
      <c r="AF777" s="72"/>
      <c r="AG777" s="72"/>
      <c r="AH777" s="72"/>
      <c r="AI777" s="73" t="n">
        <v>26.5810195024299</v>
      </c>
      <c r="AJ777" s="42" t="s">
        <v>16</v>
      </c>
      <c r="AK777" s="43" t="n">
        <v>732.892111254387</v>
      </c>
      <c r="AL777" s="74"/>
      <c r="AM777" s="74"/>
      <c r="AN777" s="74"/>
      <c r="AO777" s="78" t="n">
        <v>22.0571428571429</v>
      </c>
      <c r="AP777" s="76" t="n">
        <v>0.893702860103186</v>
      </c>
      <c r="AQ777" s="76" t="n">
        <v>0.672539219769541</v>
      </c>
      <c r="AR777" s="76" t="n">
        <v>1.1382257392753</v>
      </c>
      <c r="AS777" s="77" t="n">
        <v>22.2284000444049</v>
      </c>
      <c r="AT777" s="78" t="n">
        <v>22.2251927532265</v>
      </c>
      <c r="AU777" s="78" t="n">
        <v>40.5176167145227</v>
      </c>
      <c r="AV777" s="78" t="n">
        <v>30.4907677356657</v>
      </c>
      <c r="AW777" s="78" t="n">
        <v>51.6034985422741</v>
      </c>
      <c r="AX777" s="78" t="n">
        <v>17.4975</v>
      </c>
      <c r="AY777" s="48" t="n">
        <v>1.41043662257514</v>
      </c>
      <c r="AZ777" s="48" t="n">
        <v>20.7096839667638</v>
      </c>
      <c r="BA777" s="48" t="n">
        <v>-4.95201545653441</v>
      </c>
      <c r="BB777" s="49" t="n">
        <f aca="false">AT777/V777</f>
        <v>1.41043662257514</v>
      </c>
      <c r="BC777" s="49" t="n">
        <f aca="false">AS777/V777</f>
        <v>1.41064016100954</v>
      </c>
      <c r="BD777" s="49" t="n">
        <f aca="false">SUM(AP777:AR777)/V777</f>
        <v>0.171628678277651</v>
      </c>
      <c r="BE777" s="53" t="n">
        <v>6.85</v>
      </c>
      <c r="BF777" s="51" t="n">
        <v>72.8147724325959</v>
      </c>
      <c r="BG777" s="51" t="n">
        <v>632.373106541991</v>
      </c>
      <c r="BH777" s="51" t="n">
        <v>178.866825576429</v>
      </c>
      <c r="BI777" s="51" t="n">
        <v>140.174086692162</v>
      </c>
      <c r="BJ777" s="51" t="n">
        <v>7.58846751286311</v>
      </c>
      <c r="BK777" s="51" t="n">
        <v>14.4714643217591</v>
      </c>
      <c r="BL777" s="51" t="n">
        <v>18.9422078513005</v>
      </c>
      <c r="BM777" s="51" t="n">
        <v>7.58384150349503</v>
      </c>
      <c r="BN777" s="52" t="n">
        <f aca="false">(BG777*0.5-BH777*0.25+BI777*0.5)/SUM(BG777:BI777)*1000</f>
        <v>358.999219551094</v>
      </c>
      <c r="BO777" s="93" t="n">
        <v>3.31791428571429</v>
      </c>
      <c r="BP777" s="94" t="s">
        <v>491</v>
      </c>
      <c r="BQ777" s="55" t="n">
        <v>505.55</v>
      </c>
      <c r="BR777" s="56" t="n">
        <v>32.0827919226637</v>
      </c>
      <c r="BS777" s="56"/>
      <c r="BT777" s="56" t="n">
        <v>22.7467093587572</v>
      </c>
      <c r="BU777" s="55" t="n">
        <v>11942.9454545455</v>
      </c>
      <c r="BV777" s="55" t="n">
        <v>757.913231059054</v>
      </c>
      <c r="BW777" s="55"/>
      <c r="BX777" s="55" t="n">
        <v>537.360714354734</v>
      </c>
      <c r="BY777" s="96" t="n">
        <v>0.08755</v>
      </c>
      <c r="BZ777" s="96" t="n">
        <v>0.7997</v>
      </c>
      <c r="CA777" s="97" t="n">
        <v>4.03</v>
      </c>
      <c r="CB777" s="97"/>
      <c r="CC777" s="97" t="n">
        <v>5.1084</v>
      </c>
      <c r="CD777" s="97" t="n">
        <v>4.8</v>
      </c>
      <c r="CE777" s="97" t="n">
        <v>78</v>
      </c>
      <c r="CF777" s="97" t="n">
        <v>32.6007</v>
      </c>
      <c r="CG777" s="97" t="n">
        <v>0.6434</v>
      </c>
      <c r="CH777" s="63" t="n">
        <v>93638.4000849224</v>
      </c>
      <c r="CI777" s="63" t="n">
        <v>4163.15345541675</v>
      </c>
      <c r="CJ777" s="64" t="n">
        <v>472822.67486444</v>
      </c>
      <c r="CK777" s="65" t="n">
        <v>0.880489383596153</v>
      </c>
    </row>
    <row r="778" s="1" customFormat="true" ht="15" hidden="false" customHeight="false" outlineLevel="0" collapsed="false">
      <c r="A778" s="7" t="s">
        <v>488</v>
      </c>
      <c r="B778" s="66" t="n">
        <v>769</v>
      </c>
      <c r="C778" s="8" t="s">
        <v>861</v>
      </c>
      <c r="D778" s="67" t="n">
        <v>42075</v>
      </c>
      <c r="E778" s="4" t="s">
        <v>583</v>
      </c>
      <c r="F778" s="7" t="n">
        <v>1780</v>
      </c>
      <c r="G778" s="68" t="n">
        <v>1</v>
      </c>
      <c r="H778" s="68" t="n">
        <v>144</v>
      </c>
      <c r="I778" s="7" t="n">
        <v>2</v>
      </c>
      <c r="J778" s="8" t="n">
        <v>720</v>
      </c>
      <c r="K778" s="32"/>
      <c r="L778" s="31" t="n">
        <v>934.239</v>
      </c>
      <c r="M778" s="31" t="n">
        <v>164.133428542283</v>
      </c>
      <c r="N778" s="31" t="n">
        <v>331.021115984903</v>
      </c>
      <c r="O778" s="95"/>
      <c r="P778" s="33" t="n">
        <v>41.1098643272468</v>
      </c>
      <c r="Q778" s="33" t="n">
        <v>7.1</v>
      </c>
      <c r="R778" s="31" t="n">
        <v>269.101295521779</v>
      </c>
      <c r="S778" s="34" t="s">
        <v>76</v>
      </c>
      <c r="T778" s="35"/>
      <c r="U778" s="35"/>
      <c r="V778" s="35" t="n">
        <v>30.4808653668276</v>
      </c>
      <c r="W778" s="35" t="n">
        <v>28.4764131794397</v>
      </c>
      <c r="X778" s="35" t="n">
        <v>5.00292893759315</v>
      </c>
      <c r="Y778" s="35" t="n">
        <v>10.0898100699128</v>
      </c>
      <c r="Z778" s="35"/>
      <c r="AA778" s="35" t="n">
        <v>1.25306423980736</v>
      </c>
      <c r="AB778" s="35" t="n">
        <v>0.216414144104476</v>
      </c>
      <c r="AC778" s="71" t="n">
        <v>8.20244035883824</v>
      </c>
      <c r="AD778" s="72"/>
      <c r="AE778" s="72"/>
      <c r="AF778" s="72"/>
      <c r="AG778" s="72"/>
      <c r="AH778" s="72"/>
      <c r="AI778" s="73" t="n">
        <v>27.5209159526929</v>
      </c>
      <c r="AJ778" s="42" t="s">
        <v>16</v>
      </c>
      <c r="AK778" s="43" t="n">
        <v>742.014400530689</v>
      </c>
      <c r="AL778" s="74"/>
      <c r="AM778" s="74"/>
      <c r="AN778" s="74"/>
      <c r="AO778" s="78" t="n">
        <v>29.8714285714286</v>
      </c>
      <c r="AP778" s="76" t="n">
        <v>1.47685632800962</v>
      </c>
      <c r="AQ778" s="76" t="n">
        <v>1.12126718034152</v>
      </c>
      <c r="AR778" s="76" t="n">
        <v>1.4086599333611</v>
      </c>
      <c r="AS778" s="77" t="n">
        <v>34.1014163487157</v>
      </c>
      <c r="AT778" s="78" t="n">
        <v>34.2725595529472</v>
      </c>
      <c r="AU778" s="78" t="n">
        <v>49.4404318319814</v>
      </c>
      <c r="AV778" s="78" t="n">
        <v>37.5364431486881</v>
      </c>
      <c r="AW778" s="78" t="n">
        <v>47.1574344023324</v>
      </c>
      <c r="AX778" s="78" t="n">
        <v>31.0825</v>
      </c>
      <c r="AY778" s="48" t="n">
        <v>1.12439588379424</v>
      </c>
      <c r="AZ778" s="48" t="n">
        <v>25.8915903033472</v>
      </c>
      <c r="BA778" s="48" t="n">
        <v>4.58927506348043</v>
      </c>
      <c r="BB778" s="49" t="n">
        <f aca="false">AT778/V778</f>
        <v>1.12439588379424</v>
      </c>
      <c r="BC778" s="49" t="n">
        <f aca="false">AS778/V778</f>
        <v>1.11878110868297</v>
      </c>
      <c r="BD778" s="49" t="n">
        <f aca="false">SUM(AP778:AR778)/V778</f>
        <v>0.131452417557437</v>
      </c>
      <c r="BE778" s="53" t="n">
        <v>6.86</v>
      </c>
      <c r="BF778" s="51" t="n">
        <v>88.8860829020105</v>
      </c>
      <c r="BG778" s="51" t="n">
        <v>591.083776319398</v>
      </c>
      <c r="BH778" s="51" t="n">
        <v>234.325018313619</v>
      </c>
      <c r="BI778" s="51" t="n">
        <v>133.928348088661</v>
      </c>
      <c r="BJ778" s="51" t="n">
        <v>6.67928729661387</v>
      </c>
      <c r="BK778" s="51" t="n">
        <v>14.1695472480746</v>
      </c>
      <c r="BL778" s="51" t="n">
        <v>12.4664106535961</v>
      </c>
      <c r="BM778" s="51" t="n">
        <v>7.347612080038</v>
      </c>
      <c r="BN778" s="52" t="n">
        <f aca="false">(BG778*0.5-BH778*0.25+BI778*0.5)/SUM(BG778:BI778)*1000</f>
        <v>316.807089073376</v>
      </c>
      <c r="BO778" s="93" t="n">
        <v>3.20250857142857</v>
      </c>
      <c r="BP778" s="94" t="s">
        <v>491</v>
      </c>
      <c r="BQ778" s="55" t="n">
        <v>524.583333333333</v>
      </c>
      <c r="BR778" s="56" t="n">
        <v>17.210250661198</v>
      </c>
      <c r="BS778" s="56"/>
      <c r="BT778" s="56" t="n">
        <v>15.3062199081721</v>
      </c>
      <c r="BU778" s="55" t="n">
        <v>13313.7708333333</v>
      </c>
      <c r="BV778" s="55" t="n">
        <v>436.791103963299</v>
      </c>
      <c r="BW778" s="55"/>
      <c r="BX778" s="55" t="n">
        <v>388.46736301574</v>
      </c>
      <c r="BY778" s="96" t="n">
        <v>0.1133</v>
      </c>
      <c r="BZ778" s="96" t="n">
        <v>0.9548</v>
      </c>
      <c r="CA778" s="97" t="n">
        <v>4.16</v>
      </c>
      <c r="CB778" s="97"/>
      <c r="CC778" s="97" t="n">
        <v>6.0588</v>
      </c>
      <c r="CD778" s="97" t="n">
        <v>6.86</v>
      </c>
      <c r="CE778" s="97" t="n">
        <v>81</v>
      </c>
      <c r="CF778" s="97" t="n">
        <v>40.3722</v>
      </c>
      <c r="CG778" s="97" t="n">
        <v>0.1618</v>
      </c>
      <c r="CH778" s="63" t="n">
        <v>150445.558489389</v>
      </c>
      <c r="CI778" s="63" t="n">
        <v>3441.62434595214</v>
      </c>
      <c r="CJ778" s="64" t="n">
        <v>479308.685999337</v>
      </c>
      <c r="CK778" s="65" t="n">
        <v>0.71803921908415</v>
      </c>
    </row>
    <row r="779" s="1" customFormat="true" ht="15" hidden="false" customHeight="false" outlineLevel="0" collapsed="false">
      <c r="A779" s="7" t="s">
        <v>488</v>
      </c>
      <c r="B779" s="66" t="n">
        <v>770</v>
      </c>
      <c r="C779" s="8" t="s">
        <v>862</v>
      </c>
      <c r="D779" s="67" t="n">
        <v>42075</v>
      </c>
      <c r="E779" s="4" t="s">
        <v>583</v>
      </c>
      <c r="F779" s="7" t="n">
        <v>1783</v>
      </c>
      <c r="G779" s="68" t="n">
        <v>1</v>
      </c>
      <c r="H779" s="68" t="n">
        <v>152</v>
      </c>
      <c r="I779" s="7" t="n">
        <v>2</v>
      </c>
      <c r="J779" s="8" t="n">
        <v>656</v>
      </c>
      <c r="K779" s="32"/>
      <c r="L779" s="31" t="n">
        <v>934.239</v>
      </c>
      <c r="M779" s="31" t="n">
        <v>164.133428542283</v>
      </c>
      <c r="N779" s="31" t="n">
        <v>331.021115984903</v>
      </c>
      <c r="O779" s="95"/>
      <c r="P779" s="33" t="n">
        <v>41.1098643272468</v>
      </c>
      <c r="Q779" s="33" t="n">
        <v>7.1</v>
      </c>
      <c r="R779" s="31" t="n">
        <v>269.101295521779</v>
      </c>
      <c r="S779" s="34" t="s">
        <v>76</v>
      </c>
      <c r="T779" s="35"/>
      <c r="U779" s="35"/>
      <c r="V779" s="35" t="n">
        <v>25.4576131132254</v>
      </c>
      <c r="W779" s="35" t="n">
        <v>23.7834950172866</v>
      </c>
      <c r="X779" s="35" t="n">
        <v>4.17844532277667</v>
      </c>
      <c r="Y779" s="35" t="n">
        <v>8.42700750305176</v>
      </c>
      <c r="Z779" s="35"/>
      <c r="AA779" s="35" t="n">
        <v>1.04655902118023</v>
      </c>
      <c r="AB779" s="35" t="n">
        <v>0.1807490531039</v>
      </c>
      <c r="AC779" s="71" t="n">
        <v>6.85067666966119</v>
      </c>
      <c r="AD779" s="72"/>
      <c r="AE779" s="72"/>
      <c r="AF779" s="72"/>
      <c r="AG779" s="72"/>
      <c r="AH779" s="72"/>
      <c r="AI779" s="73" t="n">
        <v>27.0484356997829</v>
      </c>
      <c r="AJ779" s="42" t="s">
        <v>16</v>
      </c>
      <c r="AK779" s="43" t="n">
        <v>737.507925456222</v>
      </c>
      <c r="AL779" s="74"/>
      <c r="AM779" s="74"/>
      <c r="AN779" s="74"/>
      <c r="AO779" s="78" t="n">
        <v>42.5571428571429</v>
      </c>
      <c r="AP779" s="76" t="n">
        <v>1.65780983907168</v>
      </c>
      <c r="AQ779" s="76" t="n">
        <v>1.47233652644731</v>
      </c>
      <c r="AR779" s="76" t="n">
        <v>2.10924614743857</v>
      </c>
      <c r="AS779" s="77" t="n">
        <v>41.8900047289324</v>
      </c>
      <c r="AT779" s="78" t="n">
        <v>42.9594028382953</v>
      </c>
      <c r="AU779" s="78" t="n">
        <v>38.9549139761725</v>
      </c>
      <c r="AV779" s="78" t="n">
        <v>34.5966958211856</v>
      </c>
      <c r="AW779" s="78" t="n">
        <v>49.5626822157434</v>
      </c>
      <c r="AX779" s="78" t="n">
        <v>29.69</v>
      </c>
      <c r="AY779" s="48" t="n">
        <v>1.68748745796508</v>
      </c>
      <c r="AZ779" s="48" t="n">
        <v>27.9154267889503</v>
      </c>
      <c r="BA779" s="48" t="n">
        <v>-2.45781367572492</v>
      </c>
      <c r="BB779" s="49" t="n">
        <f aca="false">AT779/V779</f>
        <v>1.68748745796508</v>
      </c>
      <c r="BC779" s="49" t="n">
        <f aca="false">AS779/V779</f>
        <v>1.64548045186413</v>
      </c>
      <c r="BD779" s="49" t="n">
        <f aca="false">SUM(AP779:AR779)/V779</f>
        <v>0.205808474253058</v>
      </c>
      <c r="BE779" s="53" t="n">
        <v>6.04</v>
      </c>
      <c r="BF779" s="51" t="n">
        <v>132.509767879756</v>
      </c>
      <c r="BG779" s="51" t="n">
        <v>589.556420771083</v>
      </c>
      <c r="BH779" s="51" t="n">
        <v>255.204451244146</v>
      </c>
      <c r="BI779" s="51" t="n">
        <v>118.929687197815</v>
      </c>
      <c r="BJ779" s="51" t="n">
        <v>5.81043529153782</v>
      </c>
      <c r="BK779" s="51" t="n">
        <v>13.8285205267842</v>
      </c>
      <c r="BL779" s="51" t="n">
        <v>10.303236518602</v>
      </c>
      <c r="BM779" s="51" t="n">
        <v>6.36724845003187</v>
      </c>
      <c r="BN779" s="52" t="n">
        <f aca="false">(BG779*0.5-BH779*0.25+BI779*0.5)/SUM(BG779:BI779)*1000</f>
        <v>301.385064320428</v>
      </c>
      <c r="BO779" s="93" t="n">
        <v>5.30866285714286</v>
      </c>
      <c r="BP779" s="94" t="s">
        <v>491</v>
      </c>
      <c r="BQ779" s="55" t="n">
        <v>631.522435897436</v>
      </c>
      <c r="BR779" s="56" t="n">
        <v>24.8068203836972</v>
      </c>
      <c r="BS779" s="56"/>
      <c r="BT779" s="56" t="n">
        <v>14.7004472635378</v>
      </c>
      <c r="BU779" s="55" t="n">
        <v>15132.6153846154</v>
      </c>
      <c r="BV779" s="55" t="n">
        <v>594.423967294636</v>
      </c>
      <c r="BW779" s="55"/>
      <c r="BX779" s="55" t="n">
        <v>352.253857940635</v>
      </c>
      <c r="BY779" s="96" t="n">
        <v>0.07519</v>
      </c>
      <c r="BZ779" s="96" t="n">
        <v>1.2782</v>
      </c>
      <c r="CA779" s="97" t="n">
        <v>3.41</v>
      </c>
      <c r="CB779" s="97"/>
      <c r="CC779" s="97" t="n">
        <v>6.7617</v>
      </c>
      <c r="CD779" s="97" t="n">
        <v>6.11</v>
      </c>
      <c r="CE779" s="97" t="n">
        <v>84</v>
      </c>
      <c r="CF779" s="97" t="n">
        <v>37.8378</v>
      </c>
      <c r="CG779" s="97" t="n">
        <v>0.1274</v>
      </c>
      <c r="CH779" s="63" t="n">
        <v>90154.832035885</v>
      </c>
      <c r="CI779" s="63" t="n">
        <v>2578.49213808334</v>
      </c>
      <c r="CJ779" s="64" t="n">
        <v>445290.175979569</v>
      </c>
      <c r="CK779" s="65" t="n">
        <v>0.579058842340517</v>
      </c>
    </row>
    <row r="780" s="1" customFormat="true" ht="15" hidden="false" customHeight="false" outlineLevel="0" collapsed="false">
      <c r="A780" s="7" t="s">
        <v>488</v>
      </c>
      <c r="B780" s="66" t="n">
        <v>771</v>
      </c>
      <c r="C780" s="8" t="s">
        <v>863</v>
      </c>
      <c r="D780" s="67" t="n">
        <v>42075</v>
      </c>
      <c r="E780" s="4" t="s">
        <v>583</v>
      </c>
      <c r="F780" s="7" t="n">
        <v>1787</v>
      </c>
      <c r="G780" s="68" t="n">
        <v>1</v>
      </c>
      <c r="H780" s="68" t="n">
        <v>163</v>
      </c>
      <c r="I780" s="7" t="n">
        <v>2</v>
      </c>
      <c r="J780" s="8" t="n">
        <v>790</v>
      </c>
      <c r="K780" s="32"/>
      <c r="L780" s="31" t="n">
        <v>934.239</v>
      </c>
      <c r="M780" s="31" t="n">
        <v>164.133428542283</v>
      </c>
      <c r="N780" s="31" t="n">
        <v>331.021115984903</v>
      </c>
      <c r="O780" s="95"/>
      <c r="P780" s="33" t="n">
        <v>41.1098643272468</v>
      </c>
      <c r="Q780" s="33" t="n">
        <v>7.1</v>
      </c>
      <c r="R780" s="31" t="n">
        <v>269.101295521779</v>
      </c>
      <c r="S780" s="34" t="s">
        <v>76</v>
      </c>
      <c r="T780" s="35"/>
      <c r="U780" s="35"/>
      <c r="V780" s="35" t="n">
        <v>30.0199764296437</v>
      </c>
      <c r="W780" s="35" t="n">
        <v>28.0458327596539</v>
      </c>
      <c r="X780" s="35" t="n">
        <v>4.92728165615594</v>
      </c>
      <c r="Y780" s="35" t="n">
        <v>9.93724609958112</v>
      </c>
      <c r="Z780" s="35"/>
      <c r="AA780" s="35" t="n">
        <v>1.2341171581298</v>
      </c>
      <c r="AB780" s="35" t="n">
        <v>0.21314183265047</v>
      </c>
      <c r="AC780" s="71" t="n">
        <v>8.07841454875038</v>
      </c>
      <c r="AD780" s="72"/>
      <c r="AE780" s="72"/>
      <c r="AF780" s="72"/>
      <c r="AG780" s="72"/>
      <c r="AH780" s="72"/>
      <c r="AI780" s="73" t="n">
        <v>23.6213546648615</v>
      </c>
      <c r="AJ780" s="42" t="s">
        <v>16</v>
      </c>
      <c r="AK780" s="43" t="n">
        <v>699.424520704489</v>
      </c>
      <c r="AL780" s="74"/>
      <c r="AM780" s="74"/>
      <c r="AN780" s="74"/>
      <c r="AO780" s="78" t="n">
        <v>43.0857142857143</v>
      </c>
      <c r="AP780" s="76" t="n">
        <v>1.54684309704644</v>
      </c>
      <c r="AQ780" s="76" t="n">
        <v>1.41630154102457</v>
      </c>
      <c r="AR780" s="76" t="n">
        <v>2.03076495904484</v>
      </c>
      <c r="AS780" s="77" t="n">
        <v>40.4369321699823</v>
      </c>
      <c r="AT780" s="78" t="n">
        <v>40.7641129356653</v>
      </c>
      <c r="AU780" s="78" t="n">
        <v>35.9015307669929</v>
      </c>
      <c r="AV780" s="78" t="n">
        <v>32.8717201166181</v>
      </c>
      <c r="AW780" s="78" t="n">
        <v>47.1331389698737</v>
      </c>
      <c r="AX780" s="78" t="n">
        <v>21.2125</v>
      </c>
      <c r="AY780" s="48" t="n">
        <v>1.35789956501805</v>
      </c>
      <c r="AZ780" s="48" t="n">
        <v>29.3002814681542</v>
      </c>
      <c r="BA780" s="48" t="n">
        <v>0.719694961489445</v>
      </c>
      <c r="BB780" s="49" t="n">
        <f aca="false">AT780/V780</f>
        <v>1.35789956501805</v>
      </c>
      <c r="BC780" s="49" t="n">
        <f aca="false">AS780/V780</f>
        <v>1.34700079677785</v>
      </c>
      <c r="BD780" s="49" t="n">
        <f aca="false">SUM(AP780:AR780)/V780</f>
        <v>0.166352882015741</v>
      </c>
      <c r="BE780" s="53" t="n">
        <v>6.09</v>
      </c>
      <c r="BF780" s="51" t="n">
        <v>129.330683753594</v>
      </c>
      <c r="BG780" s="51" t="n">
        <v>568.540122908308</v>
      </c>
      <c r="BH780" s="51" t="n">
        <v>285.770908736405</v>
      </c>
      <c r="BI780" s="51" t="n">
        <v>106.210772974082</v>
      </c>
      <c r="BJ780" s="51" t="n">
        <v>6.16931490838912</v>
      </c>
      <c r="BK780" s="51" t="n">
        <v>15.4990690518688</v>
      </c>
      <c r="BL780" s="51" t="n">
        <v>10.9257581777335</v>
      </c>
      <c r="BM780" s="51" t="n">
        <v>6.88405324321393</v>
      </c>
      <c r="BN780" s="52" t="n">
        <f aca="false">(BG780*0.5-BH780*0.25+BI780*0.5)/SUM(BG780:BI780)*1000</f>
        <v>276.862763008941</v>
      </c>
      <c r="BO780" s="93" t="n">
        <v>1.21176</v>
      </c>
      <c r="BP780" s="94" t="s">
        <v>491</v>
      </c>
      <c r="BQ780" s="55" t="n">
        <v>525.792606516291</v>
      </c>
      <c r="BR780" s="56" t="n">
        <v>17.5147574731967</v>
      </c>
      <c r="BS780" s="56"/>
      <c r="BT780" s="56" t="n">
        <v>12.8984189437927</v>
      </c>
      <c r="BU780" s="55" t="n">
        <v>13514.6919799499</v>
      </c>
      <c r="BV780" s="55" t="n">
        <v>450.189959729768</v>
      </c>
      <c r="BW780" s="55"/>
      <c r="BX780" s="55" t="n">
        <v>331.534062847854</v>
      </c>
      <c r="BY780" s="96" t="n">
        <v>0.10403</v>
      </c>
      <c r="BZ780" s="96" t="n">
        <v>0.9163</v>
      </c>
      <c r="CA780" s="97" t="n">
        <v>4.21</v>
      </c>
      <c r="CB780" s="97"/>
      <c r="CC780" s="97" t="n">
        <v>5.3955</v>
      </c>
      <c r="CD780" s="97" t="n">
        <v>5.47</v>
      </c>
      <c r="CE780" s="97" t="n">
        <v>79</v>
      </c>
      <c r="CF780" s="97" t="n">
        <v>33.7392</v>
      </c>
      <c r="CG780" s="97" t="n">
        <v>0.1016</v>
      </c>
      <c r="CH780" s="63" t="n">
        <v>82725.1159404086</v>
      </c>
      <c r="CI780" s="63" t="n">
        <v>2327.11922469419</v>
      </c>
      <c r="CJ780" s="64" t="n">
        <v>317766.076956449</v>
      </c>
      <c r="CK780" s="65" t="n">
        <v>0.732337210750515</v>
      </c>
    </row>
    <row r="781" s="1" customFormat="true" ht="15" hidden="false" customHeight="false" outlineLevel="0" collapsed="false">
      <c r="A781" s="7" t="s">
        <v>488</v>
      </c>
      <c r="B781" s="66" t="n">
        <v>772</v>
      </c>
      <c r="C781" s="8" t="s">
        <v>864</v>
      </c>
      <c r="D781" s="67" t="n">
        <v>42075</v>
      </c>
      <c r="E781" s="4" t="s">
        <v>583</v>
      </c>
      <c r="F781" s="7" t="n">
        <v>1791</v>
      </c>
      <c r="G781" s="68" t="n">
        <v>1</v>
      </c>
      <c r="H781" s="68" t="n">
        <v>144</v>
      </c>
      <c r="I781" s="7" t="n">
        <v>2</v>
      </c>
      <c r="J781" s="8" t="n">
        <v>775</v>
      </c>
      <c r="K781" s="32"/>
      <c r="L781" s="31" t="n">
        <v>934.239</v>
      </c>
      <c r="M781" s="31" t="n">
        <v>164.133428542283</v>
      </c>
      <c r="N781" s="31" t="n">
        <v>331.021115984903</v>
      </c>
      <c r="O781" s="95"/>
      <c r="P781" s="33" t="n">
        <v>41.1098643272468</v>
      </c>
      <c r="Q781" s="33" t="n">
        <v>7.1</v>
      </c>
      <c r="R781" s="31" t="n">
        <v>269.101295521779</v>
      </c>
      <c r="S781" s="34" t="s">
        <v>76</v>
      </c>
      <c r="T781" s="35"/>
      <c r="U781" s="35"/>
      <c r="V781" s="35" t="n">
        <v>32.6702040187725</v>
      </c>
      <c r="W781" s="35" t="n">
        <v>30.521778732294</v>
      </c>
      <c r="X781" s="35" t="n">
        <v>5.362272596777</v>
      </c>
      <c r="Y781" s="35" t="n">
        <v>10.8145273937485</v>
      </c>
      <c r="Z781" s="35"/>
      <c r="AA781" s="35" t="n">
        <v>1.34306765475521</v>
      </c>
      <c r="AB781" s="35" t="n">
        <v>0.231958448533285</v>
      </c>
      <c r="AC781" s="71" t="n">
        <v>8.79159422641251</v>
      </c>
      <c r="AD781" s="72"/>
      <c r="AE781" s="72"/>
      <c r="AF781" s="72"/>
      <c r="AG781" s="72"/>
      <c r="AH781" s="72"/>
      <c r="AI781" s="73" t="n">
        <v>23.6114987659992</v>
      </c>
      <c r="AJ781" s="42" t="s">
        <v>16</v>
      </c>
      <c r="AK781" s="43" t="n">
        <v>699.299054652809</v>
      </c>
      <c r="AL781" s="74"/>
      <c r="AM781" s="74"/>
      <c r="AN781" s="74"/>
      <c r="AO781" s="78" t="n">
        <v>51.3142857142857</v>
      </c>
      <c r="AP781" s="76" t="n">
        <v>1.33869539660657</v>
      </c>
      <c r="AQ781" s="76" t="n">
        <v>1.46612244897959</v>
      </c>
      <c r="AR781" s="76" t="n">
        <v>2.54576704151048</v>
      </c>
      <c r="AS781" s="77" t="n">
        <v>40.6061452348129</v>
      </c>
      <c r="AT781" s="78" t="n">
        <v>41.3762387057984</v>
      </c>
      <c r="AU781" s="78" t="n">
        <v>26.0881619605958</v>
      </c>
      <c r="AV781" s="78" t="n">
        <v>28.5714285714286</v>
      </c>
      <c r="AW781" s="78" t="n">
        <v>49.6112730806608</v>
      </c>
      <c r="AX781" s="78" t="n">
        <v>29.5825</v>
      </c>
      <c r="AY781" s="48" t="n">
        <v>1.26648240953816</v>
      </c>
      <c r="AZ781" s="48" t="n">
        <v>29.0447503063026</v>
      </c>
      <c r="BA781" s="48" t="n">
        <v>3.62545371246985</v>
      </c>
      <c r="BB781" s="49" t="n">
        <f aca="false">AT781/V781</f>
        <v>1.26648240953816</v>
      </c>
      <c r="BC781" s="49" t="n">
        <f aca="false">AS781/V781</f>
        <v>1.24291067210601</v>
      </c>
      <c r="BD781" s="49" t="n">
        <f aca="false">SUM(AP781:AR781)/V781</f>
        <v>0.163775680250487</v>
      </c>
      <c r="BE781" s="53" t="n">
        <v>6.34</v>
      </c>
      <c r="BF781" s="51" t="n">
        <v>118.437888404038</v>
      </c>
      <c r="BG781" s="51" t="n">
        <v>581.010452411183</v>
      </c>
      <c r="BH781" s="51" t="n">
        <v>281.417901062699</v>
      </c>
      <c r="BI781" s="51" t="n">
        <v>87.6943440974248</v>
      </c>
      <c r="BJ781" s="51" t="n">
        <v>8.12773482431493</v>
      </c>
      <c r="BK781" s="51" t="n">
        <v>12.6979334802307</v>
      </c>
      <c r="BL781" s="51" t="n">
        <v>26.9644381895428</v>
      </c>
      <c r="BM781" s="51" t="n">
        <v>2.08719593460544</v>
      </c>
      <c r="BN781" s="52" t="n">
        <f aca="false">(BG781*0.5-BH781*0.25+BI781*0.5)/SUM(BG781:BI781)*1000</f>
        <v>277.856663842952</v>
      </c>
      <c r="BO781" s="93" t="n">
        <v>4.44312</v>
      </c>
      <c r="BP781" s="94" t="s">
        <v>491</v>
      </c>
      <c r="BQ781" s="55" t="n">
        <v>463.320512820513</v>
      </c>
      <c r="BR781" s="56" t="n">
        <v>14.1817453161384</v>
      </c>
      <c r="BS781" s="56"/>
      <c r="BT781" s="56" t="n">
        <v>11.1977436159654</v>
      </c>
      <c r="BU781" s="55" t="n">
        <v>12502.2820512821</v>
      </c>
      <c r="BV781" s="55" t="n">
        <v>382.681480779801</v>
      </c>
      <c r="BW781" s="55"/>
      <c r="BX781" s="55" t="n">
        <v>302.160912696252</v>
      </c>
      <c r="BY781" s="96" t="n">
        <v>0.1236</v>
      </c>
      <c r="BZ781" s="96" t="n">
        <v>0.7205</v>
      </c>
      <c r="CA781" s="97" t="n">
        <v>4.35</v>
      </c>
      <c r="CB781" s="97"/>
      <c r="CC781" s="97" t="n">
        <v>5.2371</v>
      </c>
      <c r="CD781" s="97" t="n">
        <v>6.32</v>
      </c>
      <c r="CE781" s="97" t="n">
        <v>90</v>
      </c>
      <c r="CF781" s="97" t="n">
        <v>36.9468</v>
      </c>
      <c r="CG781" s="97" t="n">
        <v>0.136</v>
      </c>
      <c r="CH781" s="63" t="n">
        <v>35943.4255425917</v>
      </c>
      <c r="CI781" s="63" t="n">
        <v>3548.85880478681</v>
      </c>
      <c r="CJ781" s="64" t="n">
        <v>859503.799074701</v>
      </c>
      <c r="CK781" s="65" t="n">
        <v>0.412896232524782</v>
      </c>
    </row>
    <row r="782" s="1" customFormat="true" ht="15" hidden="false" customHeight="false" outlineLevel="0" collapsed="false">
      <c r="A782" s="7" t="s">
        <v>488</v>
      </c>
      <c r="B782" s="66" t="n">
        <v>773</v>
      </c>
      <c r="C782" s="8" t="s">
        <v>865</v>
      </c>
      <c r="D782" s="67" t="n">
        <v>42075</v>
      </c>
      <c r="E782" s="4" t="s">
        <v>583</v>
      </c>
      <c r="F782" s="7" t="n">
        <v>1803</v>
      </c>
      <c r="G782" s="68" t="n">
        <v>1</v>
      </c>
      <c r="H782" s="68" t="n">
        <v>150</v>
      </c>
      <c r="I782" s="7" t="n">
        <v>2</v>
      </c>
      <c r="J782" s="8" t="n">
        <v>760</v>
      </c>
      <c r="K782" s="32"/>
      <c r="L782" s="31" t="n">
        <v>934.239</v>
      </c>
      <c r="M782" s="31" t="n">
        <v>164.133428542283</v>
      </c>
      <c r="N782" s="31" t="n">
        <v>331.021115984903</v>
      </c>
      <c r="O782" s="95"/>
      <c r="P782" s="33" t="n">
        <v>41.1098643272468</v>
      </c>
      <c r="Q782" s="33" t="n">
        <v>7.1</v>
      </c>
      <c r="R782" s="31" t="n">
        <v>269.101295521779</v>
      </c>
      <c r="S782" s="34" t="s">
        <v>76</v>
      </c>
      <c r="T782" s="35"/>
      <c r="U782" s="35"/>
      <c r="V782" s="35" t="n">
        <v>24.1105896487767</v>
      </c>
      <c r="W782" s="35" t="n">
        <v>22.5250531628835</v>
      </c>
      <c r="X782" s="35" t="n">
        <v>3.9573537432298</v>
      </c>
      <c r="Y782" s="35" t="n">
        <v>7.98111429259212</v>
      </c>
      <c r="Z782" s="35"/>
      <c r="AA782" s="35" t="n">
        <v>0.991183069311131</v>
      </c>
      <c r="AB782" s="35" t="n">
        <v>0.171185186506315</v>
      </c>
      <c r="AC782" s="71" t="n">
        <v>6.48819091027981</v>
      </c>
      <c r="AD782" s="72"/>
      <c r="AE782" s="72"/>
      <c r="AF782" s="72"/>
      <c r="AG782" s="72"/>
      <c r="AH782" s="72"/>
      <c r="AI782" s="73" t="n">
        <v>23.8292231328789</v>
      </c>
      <c r="AJ782" s="42" t="s">
        <v>16</v>
      </c>
      <c r="AK782" s="43" t="n">
        <v>702.04651824324</v>
      </c>
      <c r="AL782" s="74"/>
      <c r="AM782" s="74"/>
      <c r="AN782" s="74"/>
      <c r="AO782" s="78" t="n">
        <v>49.7428571428571</v>
      </c>
      <c r="AP782" s="76" t="n">
        <v>1.43699481999753</v>
      </c>
      <c r="AQ782" s="76" t="n">
        <v>1.54691100930168</v>
      </c>
      <c r="AR782" s="76" t="n">
        <v>2.43155074274608</v>
      </c>
      <c r="AS782" s="77" t="n">
        <v>41.4520651571058</v>
      </c>
      <c r="AT782" s="78" t="n">
        <v>42.5858835856316</v>
      </c>
      <c r="AU782" s="78" t="n">
        <v>28.8884656518745</v>
      </c>
      <c r="AV782" s="78" t="n">
        <v>31.0981535471331</v>
      </c>
      <c r="AW782" s="78" t="n">
        <v>48.8824101068999</v>
      </c>
      <c r="AX782" s="78" t="n">
        <v>24.9425</v>
      </c>
      <c r="AY782" s="48" t="n">
        <v>1.76627300310726</v>
      </c>
      <c r="AZ782" s="48" t="n">
        <v>29.1940234969967</v>
      </c>
      <c r="BA782" s="48" t="n">
        <v>-5.08343384821997</v>
      </c>
      <c r="BB782" s="49" t="n">
        <f aca="false">AT782/V782</f>
        <v>1.76627300310726</v>
      </c>
      <c r="BC782" s="49" t="n">
        <f aca="false">AS782/V782</f>
        <v>1.719247258609</v>
      </c>
      <c r="BD782" s="49" t="n">
        <f aca="false">SUM(AP782:AR782)/V782</f>
        <v>0.224609047349452</v>
      </c>
      <c r="BE782" s="53" t="n">
        <v>6.43</v>
      </c>
      <c r="BF782" s="51" t="n">
        <v>107.916757786492</v>
      </c>
      <c r="BG782" s="51" t="n">
        <v>558.030380552576</v>
      </c>
      <c r="BH782" s="51" t="n">
        <v>307.038372167029</v>
      </c>
      <c r="BI782" s="51" t="n">
        <v>94.7156963201758</v>
      </c>
      <c r="BJ782" s="51" t="n">
        <v>7.23864720487306</v>
      </c>
      <c r="BK782" s="51" t="n">
        <v>14.4627786600966</v>
      </c>
      <c r="BL782" s="51" t="n">
        <v>15.4270521848643</v>
      </c>
      <c r="BM782" s="51" t="n">
        <v>3.08707291038509</v>
      </c>
      <c r="BN782" s="52" t="n">
        <f aca="false">(BG782*0.5-BH782*0.25+BI782*0.5)/SUM(BG782:BI782)*1000</f>
        <v>260.072400260647</v>
      </c>
      <c r="BO782" s="93" t="n">
        <v>3.83724</v>
      </c>
      <c r="BP782" s="94" t="s">
        <v>491</v>
      </c>
      <c r="BQ782" s="55" t="n">
        <v>538.992753623188</v>
      </c>
      <c r="BR782" s="56" t="n">
        <v>22.3550216512658</v>
      </c>
      <c r="BS782" s="56"/>
      <c r="BT782" s="56" t="n">
        <v>12.6566060920019</v>
      </c>
      <c r="BU782" s="55" t="n">
        <v>14273.9275362319</v>
      </c>
      <c r="BV782" s="55" t="n">
        <v>592.019015053665</v>
      </c>
      <c r="BW782" s="55"/>
      <c r="BX782" s="55" t="n">
        <v>335.179790446989</v>
      </c>
      <c r="BY782" s="96" t="n">
        <v>0.12463</v>
      </c>
      <c r="BZ782" s="96" t="n">
        <v>0.7084</v>
      </c>
      <c r="CA782" s="97" t="n">
        <v>3.89</v>
      </c>
      <c r="CB782" s="97"/>
      <c r="CC782" s="97" t="n">
        <v>6.435</v>
      </c>
      <c r="CD782" s="97" t="n">
        <v>7.43</v>
      </c>
      <c r="CE782" s="97" t="n">
        <v>81</v>
      </c>
      <c r="CF782" s="97" t="n">
        <v>37.422</v>
      </c>
      <c r="CG782" s="97" t="n">
        <v>0.0672</v>
      </c>
      <c r="CH782" s="63" t="n">
        <v>38578.1840722575</v>
      </c>
      <c r="CI782" s="63" t="n">
        <v>3552.48548563112</v>
      </c>
      <c r="CJ782" s="64" t="n">
        <v>663481.989591695</v>
      </c>
      <c r="CK782" s="65" t="n">
        <v>0.535430583099522</v>
      </c>
    </row>
    <row r="783" s="1" customFormat="true" ht="15" hidden="false" customHeight="false" outlineLevel="0" collapsed="false">
      <c r="A783" s="7" t="s">
        <v>488</v>
      </c>
      <c r="B783" s="66" t="n">
        <v>774</v>
      </c>
      <c r="C783" s="8" t="s">
        <v>866</v>
      </c>
      <c r="D783" s="67" t="n">
        <v>42075</v>
      </c>
      <c r="E783" s="4" t="s">
        <v>583</v>
      </c>
      <c r="F783" s="7" t="n">
        <v>1812</v>
      </c>
      <c r="G783" s="68" t="n">
        <v>1</v>
      </c>
      <c r="H783" s="68" t="n">
        <v>157</v>
      </c>
      <c r="I783" s="7" t="n">
        <v>2</v>
      </c>
      <c r="J783" s="8" t="n">
        <v>720</v>
      </c>
      <c r="K783" s="32"/>
      <c r="L783" s="31" t="n">
        <v>934.239</v>
      </c>
      <c r="M783" s="31" t="n">
        <v>164.133428542283</v>
      </c>
      <c r="N783" s="31" t="n">
        <v>331.021115984903</v>
      </c>
      <c r="O783" s="95"/>
      <c r="P783" s="33" t="n">
        <v>41.1098643272468</v>
      </c>
      <c r="Q783" s="33" t="n">
        <v>7.1</v>
      </c>
      <c r="R783" s="31" t="n">
        <v>269.101295521779</v>
      </c>
      <c r="S783" s="34" t="s">
        <v>76</v>
      </c>
      <c r="T783" s="35"/>
      <c r="U783" s="35"/>
      <c r="V783" s="35" t="n">
        <v>22.3105044460262</v>
      </c>
      <c r="W783" s="35" t="n">
        <v>20.8433433631511</v>
      </c>
      <c r="X783" s="35" t="n">
        <v>3.66189958723413</v>
      </c>
      <c r="Y783" s="35" t="n">
        <v>7.38524807990973</v>
      </c>
      <c r="Z783" s="35"/>
      <c r="AA783" s="35" t="n">
        <v>0.917181810848574</v>
      </c>
      <c r="AB783" s="35" t="n">
        <v>0.158404581566786</v>
      </c>
      <c r="AC783" s="71" t="n">
        <v>6.00378565017007</v>
      </c>
      <c r="AD783" s="72"/>
      <c r="AE783" s="72"/>
      <c r="AF783" s="72"/>
      <c r="AG783" s="72"/>
      <c r="AH783" s="72"/>
      <c r="AI783" s="73" t="n">
        <v>24.9195446035616</v>
      </c>
      <c r="AJ783" s="42" t="s">
        <v>16</v>
      </c>
      <c r="AK783" s="43" t="n">
        <v>715.083075836577</v>
      </c>
      <c r="AL783" s="74"/>
      <c r="AM783" s="74"/>
      <c r="AN783" s="74"/>
      <c r="AO783" s="78" t="n">
        <v>37.1142857142857</v>
      </c>
      <c r="AP783" s="76" t="n">
        <v>1.42109596407733</v>
      </c>
      <c r="AQ783" s="76" t="n">
        <v>1.34354435651812</v>
      </c>
      <c r="AR783" s="76" t="n">
        <v>1.84669720949604</v>
      </c>
      <c r="AS783" s="77" t="n">
        <v>36.1621537468742</v>
      </c>
      <c r="AT783" s="78" t="n">
        <v>37.6606326150479</v>
      </c>
      <c r="AU783" s="78" t="n">
        <v>38.2897295940774</v>
      </c>
      <c r="AV783" s="78" t="n">
        <v>36.2001943634597</v>
      </c>
      <c r="AW783" s="78" t="n">
        <v>49.757045675413</v>
      </c>
      <c r="AX783" s="78" t="n">
        <v>21.09</v>
      </c>
      <c r="AY783" s="48" t="n">
        <v>1.68802246072727</v>
      </c>
      <c r="AZ783" s="48" t="n">
        <v>26.727715018118</v>
      </c>
      <c r="BA783" s="48" t="n">
        <v>-4.41721057209175</v>
      </c>
      <c r="BB783" s="49" t="n">
        <f aca="false">AT783/V783</f>
        <v>1.68802246072727</v>
      </c>
      <c r="BC783" s="49" t="n">
        <f aca="false">AS783/V783</f>
        <v>1.62085773696234</v>
      </c>
      <c r="BD783" s="49" t="n">
        <f aca="false">SUM(AP783:AR783)/V783</f>
        <v>0.206689075150554</v>
      </c>
      <c r="BE783" s="53" t="n">
        <v>6.1</v>
      </c>
      <c r="BF783" s="51" t="n">
        <v>126.933232538138</v>
      </c>
      <c r="BG783" s="51" t="n">
        <v>519.633714084764</v>
      </c>
      <c r="BH783" s="51" t="n">
        <v>315.17690890383</v>
      </c>
      <c r="BI783" s="51" t="n">
        <v>115.13935912412</v>
      </c>
      <c r="BJ783" s="51" t="n">
        <v>4.84686640620478</v>
      </c>
      <c r="BK783" s="51" t="n">
        <v>28.7827276406342</v>
      </c>
      <c r="BL783" s="51" t="n">
        <v>12.6325542200903</v>
      </c>
      <c r="BM783" s="51" t="n">
        <v>3.78786962035657</v>
      </c>
      <c r="BN783" s="52" t="n">
        <f aca="false">(BG783*0.5-BH783*0.25+BI783*0.5)/SUM(BG783:BI783)*1000</f>
        <v>251.163023181335</v>
      </c>
      <c r="BO783" s="93" t="n">
        <v>4.76048571428571</v>
      </c>
      <c r="BP783" s="94" t="s">
        <v>491</v>
      </c>
      <c r="BQ783" s="55" t="n">
        <v>490.297101449275</v>
      </c>
      <c r="BR783" s="56" t="n">
        <v>21.9760652492375</v>
      </c>
      <c r="BS783" s="56"/>
      <c r="BT783" s="56" t="n">
        <v>13.0188227707404</v>
      </c>
      <c r="BU783" s="55" t="n">
        <v>14281.8623188406</v>
      </c>
      <c r="BV783" s="55" t="n">
        <v>640.140717274744</v>
      </c>
      <c r="BW783" s="55"/>
      <c r="BX783" s="55" t="n">
        <v>379.225236729933</v>
      </c>
      <c r="BY783" s="96" t="n">
        <v>0.11536</v>
      </c>
      <c r="BZ783" s="96" t="n">
        <v>0.7667</v>
      </c>
      <c r="CA783" s="97" t="n">
        <v>3.8</v>
      </c>
      <c r="CB783" s="97"/>
      <c r="CC783" s="97" t="n">
        <v>5.148</v>
      </c>
      <c r="CD783" s="97" t="n">
        <v>8.05</v>
      </c>
      <c r="CE783" s="97" t="n">
        <v>84</v>
      </c>
      <c r="CF783" s="97" t="n">
        <v>35.937</v>
      </c>
      <c r="CG783" s="97" t="n">
        <v>0.0758</v>
      </c>
      <c r="CH783" s="63" t="n">
        <v>25612.1176026577</v>
      </c>
      <c r="CI783" s="63" t="n">
        <v>3189.79347818666</v>
      </c>
      <c r="CJ783" s="64" t="n">
        <v>947231.485505091</v>
      </c>
      <c r="CK783" s="65" t="n">
        <v>0.336749097448526</v>
      </c>
    </row>
    <row r="784" s="1" customFormat="true" ht="15" hidden="false" customHeight="false" outlineLevel="0" collapsed="false">
      <c r="A784" s="7" t="s">
        <v>488</v>
      </c>
      <c r="B784" s="66" t="n">
        <v>775</v>
      </c>
      <c r="C784" s="8" t="s">
        <v>867</v>
      </c>
      <c r="D784" s="67" t="n">
        <v>42075</v>
      </c>
      <c r="E784" s="4" t="s">
        <v>583</v>
      </c>
      <c r="F784" s="7" t="n">
        <v>1820</v>
      </c>
      <c r="G784" s="68" t="n">
        <v>1</v>
      </c>
      <c r="H784" s="68" t="n">
        <v>146</v>
      </c>
      <c r="I784" s="7" t="n">
        <v>2</v>
      </c>
      <c r="J784" s="8" t="n">
        <v>890</v>
      </c>
      <c r="K784" s="32"/>
      <c r="L784" s="31" t="n">
        <v>934.239</v>
      </c>
      <c r="M784" s="31" t="n">
        <v>164.133428542283</v>
      </c>
      <c r="N784" s="31" t="n">
        <v>331.021115984903</v>
      </c>
      <c r="O784" s="95"/>
      <c r="P784" s="33" t="n">
        <v>41.1098643272468</v>
      </c>
      <c r="Q784" s="33" t="n">
        <v>7.1</v>
      </c>
      <c r="R784" s="31" t="n">
        <v>269.101295521779</v>
      </c>
      <c r="S784" s="34" t="s">
        <v>76</v>
      </c>
      <c r="T784" s="35"/>
      <c r="U784" s="35"/>
      <c r="V784" s="35" t="n">
        <v>35.8940601266306</v>
      </c>
      <c r="W784" s="35" t="n">
        <v>33.5336308386433</v>
      </c>
      <c r="X784" s="35" t="n">
        <v>5.89141515288673</v>
      </c>
      <c r="Y784" s="35" t="n">
        <v>11.8816918403465</v>
      </c>
      <c r="Z784" s="35"/>
      <c r="AA784" s="35" t="n">
        <v>1.47559994195982</v>
      </c>
      <c r="AB784" s="35" t="n">
        <v>0.254847826899077</v>
      </c>
      <c r="AC784" s="71" t="n">
        <v>9.65913808161293</v>
      </c>
      <c r="AD784" s="72"/>
      <c r="AE784" s="72"/>
      <c r="AF784" s="72"/>
      <c r="AG784" s="72"/>
      <c r="AH784" s="72"/>
      <c r="AI784" s="73" t="n">
        <v>23.625462123573</v>
      </c>
      <c r="AJ784" s="42" t="s">
        <v>16</v>
      </c>
      <c r="AK784" s="43" t="n">
        <v>699.476777941382</v>
      </c>
      <c r="AL784" s="74"/>
      <c r="AM784" s="74"/>
      <c r="AN784" s="74"/>
      <c r="AO784" s="78" t="n">
        <v>45.9714285714286</v>
      </c>
      <c r="AP784" s="76" t="n">
        <v>1.94104286059848</v>
      </c>
      <c r="AQ784" s="76" t="n">
        <v>1.64518742190754</v>
      </c>
      <c r="AR784" s="76" t="n">
        <v>2.24160974593919</v>
      </c>
      <c r="AS784" s="77" t="n">
        <v>47.5042143375486</v>
      </c>
      <c r="AT784" s="78" t="n">
        <v>48.4660225924672</v>
      </c>
      <c r="AU784" s="78" t="n">
        <v>42.2228092734286</v>
      </c>
      <c r="AV784" s="78" t="n">
        <v>35.7871720116618</v>
      </c>
      <c r="AW784" s="78" t="n">
        <v>48.7609329446064</v>
      </c>
      <c r="AX784" s="78" t="n">
        <v>25.2625</v>
      </c>
      <c r="AY784" s="48" t="n">
        <v>1.35025189185854</v>
      </c>
      <c r="AZ784" s="48" t="n">
        <v>33.1432973521288</v>
      </c>
      <c r="BA784" s="48" t="n">
        <v>2.75076277450182</v>
      </c>
      <c r="BB784" s="49" t="n">
        <f aca="false">AT784/V784</f>
        <v>1.35025189185854</v>
      </c>
      <c r="BC784" s="49" t="n">
        <f aca="false">AS784/V784</f>
        <v>1.32345614204575</v>
      </c>
      <c r="BD784" s="49" t="n">
        <f aca="false">SUM(AP784:AR784)/V784</f>
        <v>0.162362240657233</v>
      </c>
      <c r="BE784" s="53" t="n">
        <v>6.68</v>
      </c>
      <c r="BF784" s="51" t="n">
        <v>102.571090649648</v>
      </c>
      <c r="BG784" s="51" t="n">
        <v>607.946870021411</v>
      </c>
      <c r="BH784" s="51" t="n">
        <v>221.001920494447</v>
      </c>
      <c r="BI784" s="51" t="n">
        <v>127.701570704501</v>
      </c>
      <c r="BJ784" s="51" t="n">
        <v>7.45250744227369</v>
      </c>
      <c r="BK784" s="51" t="n">
        <v>14.480470155924</v>
      </c>
      <c r="BL784" s="51" t="n">
        <v>14.9903523669546</v>
      </c>
      <c r="BM784" s="51" t="n">
        <v>6.42630881448863</v>
      </c>
      <c r="BN784" s="52" t="n">
        <f aca="false">(BG784*0.5-BH784*0.25+BI784*0.5)/SUM(BG784:BI784)*1000</f>
        <v>326.737701578461</v>
      </c>
      <c r="BO784" s="93" t="n">
        <v>3.49102285714286</v>
      </c>
      <c r="BP784" s="94" t="s">
        <v>491</v>
      </c>
      <c r="BQ784" s="55" t="n">
        <v>721.261904761905</v>
      </c>
      <c r="BR784" s="56" t="n">
        <v>20.094185562106</v>
      </c>
      <c r="BS784" s="56"/>
      <c r="BT784" s="56" t="n">
        <v>14.8818051529982</v>
      </c>
      <c r="BU784" s="55" t="n">
        <v>15440.380952381</v>
      </c>
      <c r="BV784" s="55" t="n">
        <v>430.165350420344</v>
      </c>
      <c r="BW784" s="55"/>
      <c r="BX784" s="55" t="n">
        <v>318.581557273915</v>
      </c>
      <c r="BY784" s="96" t="n">
        <v>0.11124</v>
      </c>
      <c r="BZ784" s="96" t="n">
        <v>0.6446</v>
      </c>
      <c r="CA784" s="97" t="n">
        <v>4.29</v>
      </c>
      <c r="CB784" s="97"/>
      <c r="CC784" s="97" t="n">
        <v>5.6529</v>
      </c>
      <c r="CD784" s="97" t="n">
        <v>6.46</v>
      </c>
      <c r="CE784" s="97" t="n">
        <v>88</v>
      </c>
      <c r="CF784" s="97" t="n">
        <v>38.9763</v>
      </c>
      <c r="CG784" s="97" t="n">
        <v>0.093</v>
      </c>
      <c r="CH784" s="63" t="n">
        <v>73817.6711899431</v>
      </c>
      <c r="CI784" s="63" t="n">
        <v>4531.67696259353</v>
      </c>
      <c r="CJ784" s="64" t="n">
        <v>474808.867590206</v>
      </c>
      <c r="CK784" s="65" t="n">
        <v>0.95442129916257</v>
      </c>
    </row>
    <row r="785" s="1" customFormat="true" ht="15" hidden="false" customHeight="false" outlineLevel="0" collapsed="false">
      <c r="A785" s="7" t="s">
        <v>488</v>
      </c>
      <c r="B785" s="66" t="n">
        <v>776</v>
      </c>
      <c r="C785" s="8" t="s">
        <v>868</v>
      </c>
      <c r="D785" s="67" t="n">
        <v>42075</v>
      </c>
      <c r="E785" s="4" t="s">
        <v>583</v>
      </c>
      <c r="F785" s="7" t="n">
        <v>1984</v>
      </c>
      <c r="G785" s="68" t="n">
        <v>1</v>
      </c>
      <c r="H785" s="68" t="n">
        <v>160</v>
      </c>
      <c r="I785" s="7" t="n">
        <v>1</v>
      </c>
      <c r="J785" s="8" t="n">
        <v>760</v>
      </c>
      <c r="K785" s="32"/>
      <c r="L785" s="31" t="n">
        <v>934.239</v>
      </c>
      <c r="M785" s="31" t="n">
        <v>164.133428542283</v>
      </c>
      <c r="N785" s="31" t="n">
        <v>331.021115984903</v>
      </c>
      <c r="O785" s="95"/>
      <c r="P785" s="33" t="n">
        <v>41.1098643272468</v>
      </c>
      <c r="Q785" s="33" t="n">
        <v>7.1</v>
      </c>
      <c r="R785" s="31" t="n">
        <v>269.101295521779</v>
      </c>
      <c r="S785" s="34" t="s">
        <v>76</v>
      </c>
      <c r="T785" s="35"/>
      <c r="U785" s="35"/>
      <c r="V785" s="35" t="n">
        <v>32.1241229986604</v>
      </c>
      <c r="W785" s="35" t="n">
        <v>30.0116085461455</v>
      </c>
      <c r="X785" s="35" t="n">
        <v>5.27264244668414</v>
      </c>
      <c r="Y785" s="35" t="n">
        <v>10.6337630450529</v>
      </c>
      <c r="Z785" s="35"/>
      <c r="AA785" s="35" t="n">
        <v>1.32061833810672</v>
      </c>
      <c r="AB785" s="35" t="n">
        <v>0.228081273290489</v>
      </c>
      <c r="AC785" s="71" t="n">
        <v>8.6446431164405</v>
      </c>
      <c r="AD785" s="72"/>
      <c r="AE785" s="72"/>
      <c r="AF785" s="72"/>
      <c r="AG785" s="72"/>
      <c r="AH785" s="72"/>
      <c r="AI785" s="73" t="n">
        <v>23.0066312824568</v>
      </c>
      <c r="AJ785" s="42" t="s">
        <v>16</v>
      </c>
      <c r="AK785" s="43" t="n">
        <v>691.393324262386</v>
      </c>
      <c r="AL785" s="74"/>
      <c r="AM785" s="74"/>
      <c r="AN785" s="74"/>
      <c r="AO785" s="78" t="n">
        <v>31.9428571428571</v>
      </c>
      <c r="AP785" s="76" t="n">
        <v>1.20324192723397</v>
      </c>
      <c r="AQ785" s="76" t="n">
        <v>1.09735665694849</v>
      </c>
      <c r="AR785" s="76" t="n">
        <v>1.64603498542274</v>
      </c>
      <c r="AS785" s="77" t="n">
        <v>30.8257717656523</v>
      </c>
      <c r="AT785" s="78" t="n">
        <v>32.01491487674</v>
      </c>
      <c r="AU785" s="78" t="n">
        <v>37.6685755395249</v>
      </c>
      <c r="AV785" s="78" t="n">
        <v>34.3537414965986</v>
      </c>
      <c r="AW785" s="78" t="n">
        <v>51.530612244898</v>
      </c>
      <c r="AX785" s="78" t="n">
        <v>26.4975</v>
      </c>
      <c r="AY785" s="48" t="n">
        <v>0.996600432580683</v>
      </c>
      <c r="AZ785" s="48" t="n">
        <v>25.3223214061382</v>
      </c>
      <c r="BA785" s="48" t="n">
        <v>6.80180159252219</v>
      </c>
      <c r="BB785" s="49" t="n">
        <f aca="false">AT785/V785</f>
        <v>0.996600432580683</v>
      </c>
      <c r="BC785" s="49" t="n">
        <f aca="false">AS785/V785</f>
        <v>0.95958329405406</v>
      </c>
      <c r="BD785" s="49" t="n">
        <f aca="false">SUM(AP785:AR785)/V785</f>
        <v>0.122855760755547</v>
      </c>
      <c r="BE785" s="53" t="n">
        <v>6.57</v>
      </c>
      <c r="BF785" s="51" t="n">
        <v>111.382238072687</v>
      </c>
      <c r="BG785" s="51" t="n">
        <v>576.232339357547</v>
      </c>
      <c r="BH785" s="51" t="n">
        <v>242.135127554754</v>
      </c>
      <c r="BI785" s="51" t="n">
        <v>135.934920774726</v>
      </c>
      <c r="BJ785" s="51" t="n">
        <v>7.35098764592974</v>
      </c>
      <c r="BK785" s="51" t="n">
        <v>15.089437881713</v>
      </c>
      <c r="BL785" s="51" t="n">
        <v>15.9825762446628</v>
      </c>
      <c r="BM785" s="51" t="n">
        <v>7.27461054066728</v>
      </c>
      <c r="BN785" s="52" t="n">
        <f aca="false">(BG785*0.5-BH785*0.25+BI785*0.5)/SUM(BG785:BI785)*1000</f>
        <v>309.702513575159</v>
      </c>
      <c r="BO785" s="93" t="n">
        <v>4.52967428571429</v>
      </c>
      <c r="BP785" s="94" t="s">
        <v>491</v>
      </c>
      <c r="BQ785" s="55" t="n">
        <v>512.714743589744</v>
      </c>
      <c r="BR785" s="56" t="n">
        <v>15.9604277324901</v>
      </c>
      <c r="BS785" s="56"/>
      <c r="BT785" s="56" t="n">
        <v>16.0148713674153</v>
      </c>
      <c r="BU785" s="55" t="n">
        <v>12669.3269230769</v>
      </c>
      <c r="BV785" s="55" t="n">
        <v>394.386701968649</v>
      </c>
      <c r="BW785" s="55"/>
      <c r="BX785" s="55" t="n">
        <v>395.73201964943</v>
      </c>
      <c r="BY785" s="96" t="n">
        <v>0.09888</v>
      </c>
      <c r="BZ785" s="96" t="n">
        <v>0.9416</v>
      </c>
      <c r="CA785" s="97" t="n">
        <v>3.91</v>
      </c>
      <c r="CB785" s="97"/>
      <c r="CC785" s="97" t="n">
        <v>6.6132</v>
      </c>
      <c r="CD785" s="97" t="n">
        <v>5.05</v>
      </c>
      <c r="CE785" s="97" t="n">
        <v>87</v>
      </c>
      <c r="CF785" s="97" t="n">
        <v>38.6694</v>
      </c>
      <c r="CG785" s="97" t="n">
        <v>0.093</v>
      </c>
      <c r="CH785" s="63" t="n">
        <v>88876.1625582064</v>
      </c>
      <c r="CI785" s="63" t="n">
        <v>4097.67339375343</v>
      </c>
      <c r="CJ785" s="64" t="n">
        <v>706574.510339292</v>
      </c>
      <c r="CK785" s="65" t="n">
        <v>0.579935071785388</v>
      </c>
    </row>
    <row r="786" s="1" customFormat="true" ht="15" hidden="false" customHeight="false" outlineLevel="0" collapsed="false">
      <c r="A786" s="7" t="s">
        <v>488</v>
      </c>
      <c r="B786" s="66" t="n">
        <v>777</v>
      </c>
      <c r="C786" s="8" t="s">
        <v>869</v>
      </c>
      <c r="D786" s="67" t="n">
        <v>42075</v>
      </c>
      <c r="E786" s="4" t="s">
        <v>583</v>
      </c>
      <c r="F786" s="7" t="n">
        <v>2011</v>
      </c>
      <c r="G786" s="68" t="n">
        <v>1</v>
      </c>
      <c r="H786" s="68" t="n">
        <v>167</v>
      </c>
      <c r="I786" s="7" t="n">
        <v>1</v>
      </c>
      <c r="J786" s="8" t="n">
        <v>625</v>
      </c>
      <c r="K786" s="32"/>
      <c r="L786" s="31" t="n">
        <v>934.239</v>
      </c>
      <c r="M786" s="31" t="n">
        <v>164.133428542283</v>
      </c>
      <c r="N786" s="31" t="n">
        <v>331.021115984903</v>
      </c>
      <c r="O786" s="95"/>
      <c r="P786" s="33" t="n">
        <v>41.1098643272468</v>
      </c>
      <c r="Q786" s="33" t="n">
        <v>7.1</v>
      </c>
      <c r="R786" s="31" t="n">
        <v>269.101295521779</v>
      </c>
      <c r="S786" s="34" t="s">
        <v>76</v>
      </c>
      <c r="T786" s="35"/>
      <c r="U786" s="35"/>
      <c r="V786" s="35" t="n">
        <v>16.5543118597497</v>
      </c>
      <c r="W786" s="35" t="n">
        <v>15.4656837575407</v>
      </c>
      <c r="X786" s="35" t="n">
        <v>2.71711596269889</v>
      </c>
      <c r="Y786" s="35" t="n">
        <v>5.47982678617644</v>
      </c>
      <c r="Z786" s="35"/>
      <c r="AA786" s="35" t="n">
        <v>0.68054551458524</v>
      </c>
      <c r="AB786" s="35" t="n">
        <v>0.117535614204223</v>
      </c>
      <c r="AC786" s="71" t="n">
        <v>4.45478676793018</v>
      </c>
      <c r="AD786" s="72"/>
      <c r="AE786" s="72"/>
      <c r="AF786" s="72"/>
      <c r="AG786" s="72"/>
      <c r="AH786" s="72"/>
      <c r="AI786" s="73" t="n">
        <v>33.8789695830379</v>
      </c>
      <c r="AJ786" s="42" t="s">
        <v>16</v>
      </c>
      <c r="AK786" s="43" t="n">
        <v>790.43046210134</v>
      </c>
      <c r="AL786" s="74"/>
      <c r="AM786" s="74"/>
      <c r="AN786" s="74"/>
      <c r="AO786" s="78" t="n">
        <v>21.4714285714286</v>
      </c>
      <c r="AP786" s="76" t="n">
        <v>0.971538013440346</v>
      </c>
      <c r="AQ786" s="76" t="n">
        <v>0.759533527696793</v>
      </c>
      <c r="AR786" s="76" t="n">
        <v>1.05009683465223</v>
      </c>
      <c r="AS786" s="77" t="n">
        <v>23.1616416301766</v>
      </c>
      <c r="AT786" s="78" t="n">
        <v>23.3769673571987</v>
      </c>
      <c r="AU786" s="78" t="n">
        <v>45.2479447377407</v>
      </c>
      <c r="AV786" s="78" t="n">
        <v>35.3741496598639</v>
      </c>
      <c r="AW786" s="78" t="n">
        <v>48.9067055393586</v>
      </c>
      <c r="AX786" s="78" t="n">
        <v>17.6125</v>
      </c>
      <c r="AY786" s="48" t="n">
        <v>1.41213766873861</v>
      </c>
      <c r="AZ786" s="48" t="n">
        <v>20.6111835765868</v>
      </c>
      <c r="BA786" s="48" t="n">
        <v>-4.05687171683712</v>
      </c>
      <c r="BB786" s="49" t="n">
        <f aca="false">AT786/V786</f>
        <v>1.41213766873861</v>
      </c>
      <c r="BC786" s="49" t="n">
        <f aca="false">AS786/V786</f>
        <v>1.39913043963441</v>
      </c>
      <c r="BD786" s="49" t="n">
        <f aca="false">SUM(AP786:AR786)/V786</f>
        <v>0.168002656912096</v>
      </c>
      <c r="BE786" s="53" t="n">
        <v>6.47</v>
      </c>
      <c r="BF786" s="51" t="n">
        <v>119.664761411351</v>
      </c>
      <c r="BG786" s="51" t="n">
        <v>625.882011663698</v>
      </c>
      <c r="BH786" s="51" t="n">
        <v>202.252024108957</v>
      </c>
      <c r="BI786" s="51" t="n">
        <v>125.446835870592</v>
      </c>
      <c r="BJ786" s="51" t="n">
        <v>7.35293837116303</v>
      </c>
      <c r="BK786" s="51" t="n">
        <v>14.1405783197825</v>
      </c>
      <c r="BL786" s="51" t="n">
        <v>17.3516999030567</v>
      </c>
      <c r="BM786" s="51" t="n">
        <v>7.57391176275087</v>
      </c>
      <c r="BN786" s="52" t="n">
        <f aca="false">(BG786*0.5-BH786*0.25+BI786*0.5)/SUM(BG786:BI786)*1000</f>
        <v>340.926949572383</v>
      </c>
      <c r="BO786" s="93" t="n">
        <v>5.33751428571429</v>
      </c>
      <c r="BP786" s="94" t="s">
        <v>491</v>
      </c>
      <c r="BQ786" s="55" t="n">
        <v>539.136904761905</v>
      </c>
      <c r="BR786" s="56" t="n">
        <v>32.5677629689198</v>
      </c>
      <c r="BS786" s="56"/>
      <c r="BT786" s="56" t="n">
        <v>23.0627393418455</v>
      </c>
      <c r="BU786" s="55" t="n">
        <v>11724.8051190476</v>
      </c>
      <c r="BV786" s="55" t="n">
        <v>708.262911704318</v>
      </c>
      <c r="BW786" s="55"/>
      <c r="BX786" s="55" t="n">
        <v>501.55372764539</v>
      </c>
      <c r="BY786" s="96" t="n">
        <v>0.06489</v>
      </c>
      <c r="BZ786" s="96" t="n">
        <v>0.7183</v>
      </c>
      <c r="CA786" s="97" t="n">
        <v>4.08</v>
      </c>
      <c r="CB786" s="97"/>
      <c r="CC786" s="97" t="n">
        <v>5.6133</v>
      </c>
      <c r="CD786" s="97" t="n">
        <v>4.87</v>
      </c>
      <c r="CE786" s="97" t="n">
        <v>86</v>
      </c>
      <c r="CF786" s="97" t="n">
        <v>34.9173</v>
      </c>
      <c r="CG786" s="97" t="n">
        <v>0.222</v>
      </c>
      <c r="CH786" s="63" t="n">
        <v>135145.103168304</v>
      </c>
      <c r="CI786" s="63" t="n">
        <v>3765.62309263345</v>
      </c>
      <c r="CJ786" s="64" t="n">
        <v>387159.241179838</v>
      </c>
      <c r="CK786" s="65" t="n">
        <v>0.972629009489222</v>
      </c>
    </row>
    <row r="787" s="1" customFormat="true" ht="15" hidden="false" customHeight="false" outlineLevel="0" collapsed="false">
      <c r="A787" s="7" t="s">
        <v>488</v>
      </c>
      <c r="B787" s="66" t="n">
        <v>778</v>
      </c>
      <c r="C787" s="8" t="s">
        <v>870</v>
      </c>
      <c r="D787" s="67" t="n">
        <v>42075</v>
      </c>
      <c r="E787" s="4" t="s">
        <v>583</v>
      </c>
      <c r="F787" s="7" t="n">
        <v>2059</v>
      </c>
      <c r="G787" s="68" t="n">
        <v>1</v>
      </c>
      <c r="H787" s="68" t="n">
        <v>164</v>
      </c>
      <c r="I787" s="7" t="n">
        <v>1</v>
      </c>
      <c r="J787" s="8" t="n">
        <v>720</v>
      </c>
      <c r="K787" s="32"/>
      <c r="L787" s="31" t="n">
        <v>934.239</v>
      </c>
      <c r="M787" s="31" t="n">
        <v>164.133428542283</v>
      </c>
      <c r="N787" s="31" t="n">
        <v>331.021115984903</v>
      </c>
      <c r="O787" s="95"/>
      <c r="P787" s="33" t="n">
        <v>41.1098643272468</v>
      </c>
      <c r="Q787" s="33" t="n">
        <v>7.1</v>
      </c>
      <c r="R787" s="31" t="n">
        <v>269.101295521779</v>
      </c>
      <c r="S787" s="34" t="s">
        <v>76</v>
      </c>
      <c r="T787" s="35"/>
      <c r="U787" s="35"/>
      <c r="V787" s="35" t="n">
        <v>17.4419820533552</v>
      </c>
      <c r="W787" s="35" t="n">
        <v>16.2949798715445</v>
      </c>
      <c r="X787" s="35" t="n">
        <v>2.86281231499015</v>
      </c>
      <c r="Y787" s="35" t="n">
        <v>5.77366436429027</v>
      </c>
      <c r="Z787" s="35"/>
      <c r="AA787" s="35" t="n">
        <v>0.717037515811703</v>
      </c>
      <c r="AB787" s="35" t="n">
        <v>0.123838072578822</v>
      </c>
      <c r="AC787" s="71" t="n">
        <v>4.69365996702549</v>
      </c>
      <c r="AD787" s="72"/>
      <c r="AE787" s="72"/>
      <c r="AF787" s="72"/>
      <c r="AG787" s="72"/>
      <c r="AH787" s="72"/>
      <c r="AI787" s="73" t="n">
        <v>25.0233215305649</v>
      </c>
      <c r="AJ787" s="42" t="s">
        <v>16</v>
      </c>
      <c r="AK787" s="43" t="n">
        <v>716.264685672218</v>
      </c>
      <c r="AL787" s="74"/>
      <c r="AM787" s="74"/>
      <c r="AN787" s="74"/>
      <c r="AO787" s="78" t="n">
        <v>31.2285714285714</v>
      </c>
      <c r="AP787" s="76" t="n">
        <v>1.31828773301132</v>
      </c>
      <c r="AQ787" s="76" t="n">
        <v>0.955217964736915</v>
      </c>
      <c r="AR787" s="76" t="n">
        <v>1.64109329446064</v>
      </c>
      <c r="AS787" s="77" t="n">
        <v>32.2657445665983</v>
      </c>
      <c r="AT787" s="78" t="n">
        <v>32.291977528636</v>
      </c>
      <c r="AU787" s="78" t="n">
        <v>42.2141543050284</v>
      </c>
      <c r="AV787" s="78" t="n">
        <v>30.5879494655005</v>
      </c>
      <c r="AW787" s="78" t="n">
        <v>52.5510204081633</v>
      </c>
      <c r="AX787" s="78" t="n">
        <v>19.9825</v>
      </c>
      <c r="AY787" s="48" t="n">
        <v>1.8513938054663</v>
      </c>
      <c r="AZ787" s="48" t="n">
        <v>25.317550910598</v>
      </c>
      <c r="BA787" s="48" t="n">
        <v>-7.87556885724284</v>
      </c>
      <c r="BB787" s="49" t="n">
        <f aca="false">AT787/V787</f>
        <v>1.8513938054663</v>
      </c>
      <c r="BC787" s="49" t="n">
        <f aca="false">AS787/V787</f>
        <v>1.84988979279403</v>
      </c>
      <c r="BD787" s="49" t="n">
        <f aca="false">SUM(AP787:AR787)/V787</f>
        <v>0.224435444333911</v>
      </c>
      <c r="BE787" s="53" t="n">
        <v>6.51</v>
      </c>
      <c r="BF787" s="51" t="n">
        <v>109.029825766573</v>
      </c>
      <c r="BG787" s="51" t="n">
        <v>645.527638194335</v>
      </c>
      <c r="BH787" s="51" t="n">
        <v>176.552986570173</v>
      </c>
      <c r="BI787" s="51" t="n">
        <v>122.17934472519</v>
      </c>
      <c r="BJ787" s="51" t="n">
        <v>9.21973196113906</v>
      </c>
      <c r="BK787" s="51" t="n">
        <v>14.6931797144564</v>
      </c>
      <c r="BL787" s="51" t="n">
        <v>21.1385592660749</v>
      </c>
      <c r="BM787" s="51" t="n">
        <v>10.6885595686308</v>
      </c>
      <c r="BN787" s="52" t="n">
        <f aca="false">(BG787*0.5-BH787*0.25+BI787*0.5)/SUM(BG787:BI787)*1000</f>
        <v>359.768766858569</v>
      </c>
      <c r="BO787" s="93" t="n">
        <v>4.99129714285714</v>
      </c>
      <c r="BP787" s="94" t="s">
        <v>491</v>
      </c>
      <c r="BQ787" s="55" t="n">
        <v>471.352272727273</v>
      </c>
      <c r="BR787" s="56" t="n">
        <v>27.0240085837379</v>
      </c>
      <c r="BS787" s="56"/>
      <c r="BT787" s="56" t="n">
        <v>14.5965750257718</v>
      </c>
      <c r="BU787" s="55" t="n">
        <v>11747.1325757576</v>
      </c>
      <c r="BV787" s="55" t="n">
        <v>673.497572685433</v>
      </c>
      <c r="BW787" s="55"/>
      <c r="BX787" s="55" t="n">
        <v>363.77866810233</v>
      </c>
      <c r="BY787" s="96" t="n">
        <v>0.08446</v>
      </c>
      <c r="BZ787" s="96" t="n">
        <v>1.4883</v>
      </c>
      <c r="CA787" s="97" t="n">
        <v>3.49</v>
      </c>
      <c r="CB787" s="97"/>
      <c r="CC787" s="97" t="n">
        <v>5.3064</v>
      </c>
      <c r="CD787" s="97" t="n">
        <v>5.06</v>
      </c>
      <c r="CE787" s="97" t="n">
        <v>83</v>
      </c>
      <c r="CF787" s="97" t="n">
        <v>33.5016</v>
      </c>
      <c r="CG787" s="97" t="n">
        <v>0.8756</v>
      </c>
      <c r="CH787" s="63" t="n">
        <v>121309.094034948</v>
      </c>
      <c r="CI787" s="63" t="n">
        <v>5257.91320350616</v>
      </c>
      <c r="CJ787" s="64" t="n">
        <v>355479.723257145</v>
      </c>
      <c r="CK787" s="65" t="n">
        <v>1.47910354923471</v>
      </c>
    </row>
    <row r="788" s="1" customFormat="true" ht="15" hidden="false" customHeight="false" outlineLevel="0" collapsed="false">
      <c r="A788" s="7" t="s">
        <v>488</v>
      </c>
      <c r="B788" s="66" t="n">
        <v>779</v>
      </c>
      <c r="C788" s="8" t="s">
        <v>871</v>
      </c>
      <c r="D788" s="67" t="n">
        <v>42075</v>
      </c>
      <c r="E788" s="4" t="s">
        <v>583</v>
      </c>
      <c r="F788" s="7" t="n">
        <v>2078</v>
      </c>
      <c r="G788" s="68" t="n">
        <v>1</v>
      </c>
      <c r="H788" s="68" t="n">
        <v>163</v>
      </c>
      <c r="I788" s="7" t="n">
        <v>1</v>
      </c>
      <c r="J788" s="8" t="n">
        <v>755</v>
      </c>
      <c r="K788" s="32"/>
      <c r="L788" s="31" t="n">
        <v>934.239</v>
      </c>
      <c r="M788" s="31" t="n">
        <v>164.133428542283</v>
      </c>
      <c r="N788" s="31" t="n">
        <v>331.021115984903</v>
      </c>
      <c r="O788" s="95"/>
      <c r="P788" s="33" t="n">
        <v>41.1098643272468</v>
      </c>
      <c r="Q788" s="33" t="n">
        <v>7.1</v>
      </c>
      <c r="R788" s="31" t="n">
        <v>269.101295521779</v>
      </c>
      <c r="S788" s="34" t="s">
        <v>76</v>
      </c>
      <c r="T788" s="35"/>
      <c r="U788" s="35"/>
      <c r="V788" s="35" t="n">
        <v>21.7677787605906</v>
      </c>
      <c r="W788" s="35" t="n">
        <v>20.3363078615154</v>
      </c>
      <c r="X788" s="35" t="n">
        <v>3.57282015972563</v>
      </c>
      <c r="Y788" s="35" t="n">
        <v>7.20559441784317</v>
      </c>
      <c r="Z788" s="35"/>
      <c r="AA788" s="35" t="n">
        <v>0.894870431553405</v>
      </c>
      <c r="AB788" s="35" t="n">
        <v>0.154551229200193</v>
      </c>
      <c r="AC788" s="71" t="n">
        <v>5.85773746510641</v>
      </c>
      <c r="AD788" s="72"/>
      <c r="AE788" s="72"/>
      <c r="AF788" s="72"/>
      <c r="AG788" s="72"/>
      <c r="AH788" s="72"/>
      <c r="AI788" s="73" t="n">
        <v>23.9718846964908</v>
      </c>
      <c r="AJ788" s="42" t="s">
        <v>16</v>
      </c>
      <c r="AK788" s="43" t="n">
        <v>703.819700040549</v>
      </c>
      <c r="AL788" s="74"/>
      <c r="AM788" s="74"/>
      <c r="AN788" s="74"/>
      <c r="AO788" s="78" t="n">
        <v>28.7142857142857</v>
      </c>
      <c r="AP788" s="76" t="n">
        <v>1.33771515119291</v>
      </c>
      <c r="AQ788" s="76" t="n">
        <v>1.00039566847147</v>
      </c>
      <c r="AR788" s="76" t="n">
        <v>1.40222823823407</v>
      </c>
      <c r="AS788" s="77" t="n">
        <v>31.551441553608</v>
      </c>
      <c r="AT788" s="78" t="n">
        <v>31.602326828782</v>
      </c>
      <c r="AU788" s="78" t="n">
        <v>46.5870948176636</v>
      </c>
      <c r="AV788" s="78" t="n">
        <v>34.8396501457726</v>
      </c>
      <c r="AW788" s="78" t="n">
        <v>48.8338192419825</v>
      </c>
      <c r="AX788" s="78" t="n">
        <v>29.1775</v>
      </c>
      <c r="AY788" s="48" t="n">
        <v>1.45179382684632</v>
      </c>
      <c r="AZ788" s="48" t="n">
        <v>25.5342966244279</v>
      </c>
      <c r="BA788" s="48" t="n">
        <v>-3.76651786383724</v>
      </c>
      <c r="BB788" s="49" t="n">
        <f aca="false">AT788/V788</f>
        <v>1.45179382684632</v>
      </c>
      <c r="BC788" s="49" t="n">
        <f aca="false">AS788/V788</f>
        <v>1.44945618478676</v>
      </c>
      <c r="BD788" s="49" t="n">
        <f aca="false">SUM(AP788:AR788)/V788</f>
        <v>0.171829156251355</v>
      </c>
      <c r="BE788" s="53" t="n">
        <v>6.21</v>
      </c>
      <c r="BF788" s="51" t="n">
        <v>122.037850106304</v>
      </c>
      <c r="BG788" s="51" t="n">
        <v>643.805184702754</v>
      </c>
      <c r="BH788" s="51" t="n">
        <v>185.675802955307</v>
      </c>
      <c r="BI788" s="51" t="n">
        <v>128.15292941597</v>
      </c>
      <c r="BJ788" s="51" t="n">
        <v>7.99902493841938</v>
      </c>
      <c r="BK788" s="51" t="n">
        <v>12.7870424944907</v>
      </c>
      <c r="BL788" s="51" t="n">
        <v>13.945866919324</v>
      </c>
      <c r="BM788" s="51" t="n">
        <v>7.63414857373457</v>
      </c>
      <c r="BN788" s="52" t="n">
        <f aca="false">(BG788*0.5-BH788*0.25+BI788*0.5)/SUM(BG788:BI788)*1000</f>
        <v>354.582372518752</v>
      </c>
      <c r="BO788" s="93" t="n">
        <v>6.92434285714286</v>
      </c>
      <c r="BP788" s="94" t="s">
        <v>491</v>
      </c>
      <c r="BQ788" s="55" t="n">
        <v>489.357142857143</v>
      </c>
      <c r="BR788" s="56" t="n">
        <v>22.4808028526593</v>
      </c>
      <c r="BS788" s="56"/>
      <c r="BT788" s="56" t="n">
        <v>15.4848453251062</v>
      </c>
      <c r="BU788" s="55" t="n">
        <v>13021.1190476191</v>
      </c>
      <c r="BV788" s="55" t="n">
        <v>598.183176649749</v>
      </c>
      <c r="BW788" s="55"/>
      <c r="BX788" s="55" t="n">
        <v>412.03038998255</v>
      </c>
      <c r="BY788" s="96" t="n">
        <v>0.06592</v>
      </c>
      <c r="BZ788" s="96" t="n">
        <v>1.2364</v>
      </c>
      <c r="CA788" s="97" t="n">
        <v>3.86</v>
      </c>
      <c r="CB788" s="97"/>
      <c r="CC788" s="97" t="n">
        <v>4.6629</v>
      </c>
      <c r="CD788" s="97" t="n">
        <v>4.33</v>
      </c>
      <c r="CE788" s="97" t="n">
        <v>86</v>
      </c>
      <c r="CF788" s="97" t="n">
        <v>35.8083</v>
      </c>
      <c r="CG788" s="97" t="n">
        <v>0.0844</v>
      </c>
      <c r="CH788" s="63" t="n">
        <v>117199.920282658</v>
      </c>
      <c r="CI788" s="63" t="n">
        <v>2521.82666120077</v>
      </c>
      <c r="CJ788" s="64" t="n">
        <v>327473.590488803</v>
      </c>
      <c r="CK788" s="65" t="n">
        <v>0.770085507486747</v>
      </c>
    </row>
    <row r="789" s="1" customFormat="true" ht="15" hidden="false" customHeight="false" outlineLevel="0" collapsed="false">
      <c r="A789" s="7" t="s">
        <v>488</v>
      </c>
      <c r="B789" s="66" t="n">
        <v>780</v>
      </c>
      <c r="C789" s="8" t="s">
        <v>872</v>
      </c>
      <c r="D789" s="67" t="n">
        <v>42075</v>
      </c>
      <c r="E789" s="4" t="s">
        <v>583</v>
      </c>
      <c r="F789" s="7" t="n">
        <v>2087</v>
      </c>
      <c r="G789" s="68" t="n">
        <v>1</v>
      </c>
      <c r="H789" s="68" t="n">
        <v>150</v>
      </c>
      <c r="I789" s="7" t="n">
        <v>1</v>
      </c>
      <c r="J789" s="8" t="n">
        <v>750</v>
      </c>
      <c r="K789" s="32"/>
      <c r="L789" s="31" t="n">
        <v>934.239</v>
      </c>
      <c r="M789" s="31" t="n">
        <v>164.133428542283</v>
      </c>
      <c r="N789" s="31" t="n">
        <v>331.021115984903</v>
      </c>
      <c r="O789" s="95"/>
      <c r="P789" s="33" t="n">
        <v>41.1098643272468</v>
      </c>
      <c r="Q789" s="33" t="n">
        <v>7.1</v>
      </c>
      <c r="R789" s="31" t="n">
        <v>269.101295521779</v>
      </c>
      <c r="S789" s="34" t="s">
        <v>76</v>
      </c>
      <c r="T789" s="35"/>
      <c r="U789" s="35"/>
      <c r="V789" s="35" t="n">
        <v>23.9178382332011</v>
      </c>
      <c r="W789" s="35" t="n">
        <v>22.3449772731475</v>
      </c>
      <c r="X789" s="35" t="n">
        <v>3.92571679253499</v>
      </c>
      <c r="Y789" s="35" t="n">
        <v>7.91730950390059</v>
      </c>
      <c r="Z789" s="35"/>
      <c r="AA789" s="35" t="n">
        <v>0.983259084767932</v>
      </c>
      <c r="AB789" s="35" t="n">
        <v>0.169816651455728</v>
      </c>
      <c r="AC789" s="71" t="n">
        <v>6.43632125463475</v>
      </c>
      <c r="AD789" s="72"/>
      <c r="AE789" s="72"/>
      <c r="AF789" s="72"/>
      <c r="AG789" s="72"/>
      <c r="AH789" s="72"/>
      <c r="AI789" s="73" t="n">
        <v>23.8633982468605</v>
      </c>
      <c r="AJ789" s="42" t="s">
        <v>16</v>
      </c>
      <c r="AK789" s="43" t="n">
        <v>702.473221686518</v>
      </c>
      <c r="AL789" s="74"/>
      <c r="AM789" s="74"/>
      <c r="AN789" s="74"/>
      <c r="AO789" s="78" t="n">
        <v>34.5714285714286</v>
      </c>
      <c r="AP789" s="76" t="n">
        <v>1.57928759783538</v>
      </c>
      <c r="AQ789" s="76" t="n">
        <v>1.16749965292239</v>
      </c>
      <c r="AR789" s="76" t="n">
        <v>1.79072608635291</v>
      </c>
      <c r="AS789" s="77" t="n">
        <v>37.5178853961022</v>
      </c>
      <c r="AT789" s="78" t="n">
        <v>37.921797655262</v>
      </c>
      <c r="AU789" s="78" t="n">
        <v>45.6818726646599</v>
      </c>
      <c r="AV789" s="78" t="n">
        <v>33.7706511175899</v>
      </c>
      <c r="AW789" s="78" t="n">
        <v>51.7978620019436</v>
      </c>
      <c r="AX789" s="78" t="n">
        <v>24.62</v>
      </c>
      <c r="AY789" s="48" t="n">
        <v>1.58550272334486</v>
      </c>
      <c r="AZ789" s="48" t="n">
        <v>27.6049452810135</v>
      </c>
      <c r="BA789" s="48" t="n">
        <v>-3.68710704781238</v>
      </c>
      <c r="BB789" s="49" t="n">
        <f aca="false">AT789/V789</f>
        <v>1.58550272334486</v>
      </c>
      <c r="BC789" s="49" t="n">
        <f aca="false">AS789/V789</f>
        <v>1.56861523312849</v>
      </c>
      <c r="BD789" s="49" t="n">
        <f aca="false">SUM(AP789:AR789)/V789</f>
        <v>0.189712518868533</v>
      </c>
      <c r="BE789" s="53" t="n">
        <v>6.48</v>
      </c>
      <c r="BF789" s="51" t="n">
        <v>96.2283292451686</v>
      </c>
      <c r="BG789" s="51" t="n">
        <v>564.219049729525</v>
      </c>
      <c r="BH789" s="51" t="n">
        <v>272.013239705768</v>
      </c>
      <c r="BI789" s="51" t="n">
        <v>118.582053822223</v>
      </c>
      <c r="BJ789" s="51" t="n">
        <v>7.17266522900421</v>
      </c>
      <c r="BK789" s="51" t="n">
        <v>17.3048865452213</v>
      </c>
      <c r="BL789" s="51" t="n">
        <v>14.7485702565527</v>
      </c>
      <c r="BM789" s="51" t="n">
        <v>5.95953471170616</v>
      </c>
      <c r="BN789" s="52" t="n">
        <f aca="false">(BG789*0.5-BH789*0.25+BI789*0.5)/SUM(BG789:BI789)*1000</f>
        <v>286.335499440331</v>
      </c>
      <c r="BO789" s="93" t="n">
        <v>4.44312</v>
      </c>
      <c r="BP789" s="94" t="s">
        <v>491</v>
      </c>
      <c r="BQ789" s="55" t="n">
        <v>555.59375</v>
      </c>
      <c r="BR789" s="56" t="n">
        <v>23.2292628030556</v>
      </c>
      <c r="BS789" s="56"/>
      <c r="BT789" s="56" t="n">
        <v>14.6510393587026</v>
      </c>
      <c r="BU789" s="55" t="n">
        <v>13773.0868055556</v>
      </c>
      <c r="BV789" s="55" t="n">
        <v>575.849985741467</v>
      </c>
      <c r="BW789" s="55"/>
      <c r="BX789" s="55" t="n">
        <v>363.197096581849</v>
      </c>
      <c r="BY789" s="96" t="n">
        <v>0.08549</v>
      </c>
      <c r="BZ789" s="96" t="n">
        <v>0.6622</v>
      </c>
      <c r="CA789" s="97" t="n">
        <v>3.93</v>
      </c>
      <c r="CB789" s="97"/>
      <c r="CC789" s="97" t="n">
        <v>5.8707</v>
      </c>
      <c r="CD789" s="97" t="n">
        <v>5.11</v>
      </c>
      <c r="CE789" s="97" t="n">
        <v>80</v>
      </c>
      <c r="CF789" s="97" t="n">
        <v>37.8675</v>
      </c>
      <c r="CG789" s="97" t="n">
        <v>0.1274</v>
      </c>
      <c r="CH789" s="63" t="n">
        <v>62714.1750844207</v>
      </c>
      <c r="CI789" s="63" t="n">
        <v>6176.29219752152</v>
      </c>
      <c r="CJ789" s="64" t="n">
        <v>854354.056533139</v>
      </c>
      <c r="CK789" s="65" t="n">
        <v>0.722919514490765</v>
      </c>
    </row>
    <row r="790" s="1" customFormat="true" ht="15" hidden="false" customHeight="false" outlineLevel="0" collapsed="false">
      <c r="A790" s="7" t="s">
        <v>488</v>
      </c>
      <c r="B790" s="66" t="n">
        <v>781</v>
      </c>
      <c r="C790" s="8" t="s">
        <v>873</v>
      </c>
      <c r="D790" s="67" t="n">
        <v>42075</v>
      </c>
      <c r="E790" s="4" t="s">
        <v>583</v>
      </c>
      <c r="F790" s="7" t="n">
        <v>2088</v>
      </c>
      <c r="G790" s="68" t="n">
        <v>1</v>
      </c>
      <c r="H790" s="68" t="n">
        <v>155</v>
      </c>
      <c r="I790" s="7" t="n">
        <v>1</v>
      </c>
      <c r="J790" s="8" t="n">
        <v>760</v>
      </c>
      <c r="K790" s="32"/>
      <c r="L790" s="31" t="n">
        <v>934.239</v>
      </c>
      <c r="M790" s="31" t="n">
        <v>164.133428542283</v>
      </c>
      <c r="N790" s="31" t="n">
        <v>331.021115984903</v>
      </c>
      <c r="O790" s="95"/>
      <c r="P790" s="33" t="n">
        <v>41.1098643272468</v>
      </c>
      <c r="Q790" s="33" t="n">
        <v>7.1</v>
      </c>
      <c r="R790" s="31" t="n">
        <v>269.101295521779</v>
      </c>
      <c r="S790" s="34" t="s">
        <v>76</v>
      </c>
      <c r="T790" s="35"/>
      <c r="U790" s="35"/>
      <c r="V790" s="35" t="n">
        <v>26.9532337075654</v>
      </c>
      <c r="W790" s="35" t="n">
        <v>25.1807621057222</v>
      </c>
      <c r="X790" s="35" t="n">
        <v>4.42392665872413</v>
      </c>
      <c r="Y790" s="35" t="n">
        <v>8.92208950128019</v>
      </c>
      <c r="Z790" s="35"/>
      <c r="AA790" s="35" t="n">
        <v>1.10804378089859</v>
      </c>
      <c r="AB790" s="35" t="n">
        <v>0.191367959323714</v>
      </c>
      <c r="AC790" s="71" t="n">
        <v>7.25315010920713</v>
      </c>
      <c r="AD790" s="72"/>
      <c r="AE790" s="72"/>
      <c r="AF790" s="72"/>
      <c r="AG790" s="72"/>
      <c r="AH790" s="72"/>
      <c r="AI790" s="73" t="n">
        <v>23.4472007552373</v>
      </c>
      <c r="AJ790" s="42" t="s">
        <v>16</v>
      </c>
      <c r="AK790" s="43" t="n">
        <v>697.191998562383</v>
      </c>
      <c r="AL790" s="74"/>
      <c r="AM790" s="74"/>
      <c r="AN790" s="74"/>
      <c r="AO790" s="78" t="n">
        <v>26.1</v>
      </c>
      <c r="AP790" s="76" t="n">
        <v>1.09080480801556</v>
      </c>
      <c r="AQ790" s="76" t="n">
        <v>0.971457725947522</v>
      </c>
      <c r="AR790" s="76" t="n">
        <v>1.35446064139942</v>
      </c>
      <c r="AS790" s="77" t="n">
        <v>26.8020721202335</v>
      </c>
      <c r="AT790" s="78" t="n">
        <v>28.0987739247364</v>
      </c>
      <c r="AU790" s="78" t="n">
        <v>41.7932876634316</v>
      </c>
      <c r="AV790" s="78" t="n">
        <v>37.220602526725</v>
      </c>
      <c r="AW790" s="78" t="n">
        <v>51.8950437317784</v>
      </c>
      <c r="AX790" s="78" t="n">
        <v>20.8775</v>
      </c>
      <c r="AY790" s="48" t="n">
        <v>1.04250103084475</v>
      </c>
      <c r="AZ790" s="48" t="n">
        <v>23.8130546829248</v>
      </c>
      <c r="BA790" s="48" t="n">
        <v>3.1401790246406</v>
      </c>
      <c r="BB790" s="49" t="n">
        <f aca="false">AT790/V790</f>
        <v>1.04250103084475</v>
      </c>
      <c r="BC790" s="49" t="n">
        <f aca="false">AS790/V790</f>
        <v>0.994391708654628</v>
      </c>
      <c r="BD790" s="49" t="n">
        <f aca="false">SUM(AP790:AR790)/V790</f>
        <v>0.126764870309549</v>
      </c>
      <c r="BE790" s="53" t="n">
        <v>6.33</v>
      </c>
      <c r="BF790" s="51" t="n">
        <v>117.76405995979</v>
      </c>
      <c r="BG790" s="51" t="n">
        <v>599.227210132967</v>
      </c>
      <c r="BH790" s="51" t="n">
        <v>216.607987620516</v>
      </c>
      <c r="BI790" s="51" t="n">
        <v>133.268702683416</v>
      </c>
      <c r="BJ790" s="51" t="n">
        <v>7.75222498335329</v>
      </c>
      <c r="BK790" s="51" t="n">
        <v>16.642235411452</v>
      </c>
      <c r="BL790" s="51" t="n">
        <v>16.0518547581888</v>
      </c>
      <c r="BM790" s="51" t="n">
        <v>10.4497844101066</v>
      </c>
      <c r="BN790" s="52" t="n">
        <f aca="false">(BG790*0.5-BH790*0.25+BI790*0.5)/SUM(BG790:BI790)*1000</f>
        <v>328.832237818637</v>
      </c>
      <c r="BO790" s="93" t="n">
        <v>1.18290857142857</v>
      </c>
      <c r="BP790" s="94" t="s">
        <v>491</v>
      </c>
      <c r="BQ790" s="55" t="n">
        <v>500</v>
      </c>
      <c r="BR790" s="56" t="n">
        <v>18.5506498190478</v>
      </c>
      <c r="BS790" s="56"/>
      <c r="BT790" s="56" t="n">
        <v>17.7943707202054</v>
      </c>
      <c r="BU790" s="55" t="n">
        <v>11765.4444444444</v>
      </c>
      <c r="BV790" s="55" t="n">
        <v>436.5132797087</v>
      </c>
      <c r="BW790" s="55"/>
      <c r="BX790" s="55" t="n">
        <v>418.71736026485</v>
      </c>
      <c r="BY790" s="96" t="n">
        <v>0.05665</v>
      </c>
      <c r="BZ790" s="96" t="n">
        <v>0.8866</v>
      </c>
      <c r="CA790" s="97" t="n">
        <v>3.86</v>
      </c>
      <c r="CB790" s="97"/>
      <c r="CC790" s="97" t="n">
        <v>6.5241</v>
      </c>
      <c r="CD790" s="97" t="n">
        <v>4.78</v>
      </c>
      <c r="CE790" s="97" t="n">
        <v>85</v>
      </c>
      <c r="CF790" s="97" t="n">
        <v>32.4225</v>
      </c>
      <c r="CG790" s="97" t="n">
        <v>0.0844</v>
      </c>
      <c r="CH790" s="63" t="n">
        <v>81368.4715587049</v>
      </c>
      <c r="CI790" s="63" t="n">
        <v>6522.21442641319</v>
      </c>
      <c r="CJ790" s="64" t="n">
        <v>711309.102741146</v>
      </c>
      <c r="CK790" s="65" t="n">
        <v>0.916931106501908</v>
      </c>
    </row>
    <row r="791" s="1" customFormat="true" ht="15" hidden="false" customHeight="false" outlineLevel="0" collapsed="false">
      <c r="A791" s="7" t="s">
        <v>488</v>
      </c>
      <c r="B791" s="66" t="n">
        <v>782</v>
      </c>
      <c r="C791" s="8" t="s">
        <v>874</v>
      </c>
      <c r="D791" s="67" t="n">
        <v>42075</v>
      </c>
      <c r="E791" s="4" t="s">
        <v>583</v>
      </c>
      <c r="F791" s="7" t="n">
        <v>2100</v>
      </c>
      <c r="G791" s="68" t="n">
        <v>1</v>
      </c>
      <c r="H791" s="68" t="n">
        <v>161</v>
      </c>
      <c r="I791" s="7" t="n">
        <v>1</v>
      </c>
      <c r="J791" s="8" t="n">
        <v>660</v>
      </c>
      <c r="K791" s="32"/>
      <c r="L791" s="31" t="n">
        <v>934.239</v>
      </c>
      <c r="M791" s="31" t="n">
        <v>164.133428542283</v>
      </c>
      <c r="N791" s="31" t="n">
        <v>331.021115984903</v>
      </c>
      <c r="O791" s="95"/>
      <c r="P791" s="33" t="n">
        <v>41.1098643272468</v>
      </c>
      <c r="Q791" s="33" t="n">
        <v>7.1</v>
      </c>
      <c r="R791" s="31" t="n">
        <v>269.101295521779</v>
      </c>
      <c r="S791" s="34" t="s">
        <v>76</v>
      </c>
      <c r="T791" s="35"/>
      <c r="U791" s="35"/>
      <c r="V791" s="35" t="n">
        <v>14.9225514976718</v>
      </c>
      <c r="W791" s="35" t="n">
        <v>13.9412295886334</v>
      </c>
      <c r="X791" s="35" t="n">
        <v>2.44928953991166</v>
      </c>
      <c r="Y791" s="35" t="n">
        <v>4.93967965010151</v>
      </c>
      <c r="Z791" s="35"/>
      <c r="AA791" s="35" t="n">
        <v>0.613464067485642</v>
      </c>
      <c r="AB791" s="35" t="n">
        <v>0.10595011563347</v>
      </c>
      <c r="AC791" s="71" t="n">
        <v>4.01567794051396</v>
      </c>
      <c r="AD791" s="72"/>
      <c r="AE791" s="72"/>
      <c r="AF791" s="72"/>
      <c r="AG791" s="72"/>
      <c r="AH791" s="72"/>
      <c r="AI791" s="73" t="n">
        <v>26.9228994810639</v>
      </c>
      <c r="AJ791" s="42" t="s">
        <v>16</v>
      </c>
      <c r="AK791" s="43" t="n">
        <v>736.283976211635</v>
      </c>
      <c r="AL791" s="74"/>
      <c r="AM791" s="74"/>
      <c r="AN791" s="74"/>
      <c r="AO791" s="78" t="n">
        <v>19.7571428571429</v>
      </c>
      <c r="AP791" s="76" t="n">
        <v>0.775846138406186</v>
      </c>
      <c r="AQ791" s="76" t="n">
        <v>0.646571220324865</v>
      </c>
      <c r="AR791" s="76" t="n">
        <v>0.982577051228655</v>
      </c>
      <c r="AS791" s="77" t="n">
        <v>19.5405492189499</v>
      </c>
      <c r="AT791" s="78" t="n">
        <v>19.752461120154</v>
      </c>
      <c r="AU791" s="78" t="n">
        <v>39.2691465570738</v>
      </c>
      <c r="AV791" s="78" t="n">
        <v>32.7259475218659</v>
      </c>
      <c r="AW791" s="78" t="n">
        <v>49.7327502429543</v>
      </c>
      <c r="AX791" s="78" t="n">
        <v>27.2275</v>
      </c>
      <c r="AY791" s="48" t="n">
        <v>1.32366513348844</v>
      </c>
      <c r="AZ791" s="48" t="n">
        <v>19.7551170504561</v>
      </c>
      <c r="BA791" s="48" t="n">
        <v>-4.83256555278424</v>
      </c>
      <c r="BB791" s="49" t="n">
        <f aca="false">AT791/V791</f>
        <v>1.32366513348844</v>
      </c>
      <c r="BC791" s="49" t="n">
        <f aca="false">AS791/V791</f>
        <v>1.30946435145482</v>
      </c>
      <c r="BD791" s="49" t="n">
        <f aca="false">SUM(AP791:AR791)/V791</f>
        <v>0.161165093672816</v>
      </c>
      <c r="BE791" s="53" t="n">
        <v>6.31</v>
      </c>
      <c r="BF791" s="51" t="n">
        <v>131.47406904953</v>
      </c>
      <c r="BG791" s="51" t="n">
        <v>596.673766055462</v>
      </c>
      <c r="BH791" s="51" t="n">
        <v>213.369905721308</v>
      </c>
      <c r="BI791" s="51" t="n">
        <v>140.298580252683</v>
      </c>
      <c r="BJ791" s="51" t="n">
        <v>7.84550811309288</v>
      </c>
      <c r="BK791" s="51" t="n">
        <v>17.7722741327365</v>
      </c>
      <c r="BL791" s="51" t="n">
        <v>14.4755480932301</v>
      </c>
      <c r="BM791" s="51" t="n">
        <v>9.5644176314865</v>
      </c>
      <c r="BN791" s="52" t="n">
        <f aca="false">(BG791*0.5-BH791*0.25+BI791*0.5)/SUM(BG791:BI791)*1000</f>
        <v>331.610739237109</v>
      </c>
      <c r="BO791" s="93" t="n">
        <v>8.16495428571428</v>
      </c>
      <c r="BP791" s="94" t="s">
        <v>491</v>
      </c>
      <c r="BQ791" s="55" t="n">
        <v>458.492283950617</v>
      </c>
      <c r="BR791" s="56" t="n">
        <v>30.7247915359615</v>
      </c>
      <c r="BS791" s="56"/>
      <c r="BT791" s="56" t="n">
        <v>23.2119066662941</v>
      </c>
      <c r="BU791" s="55" t="n">
        <v>11330.3672839506</v>
      </c>
      <c r="BV791" s="55" t="n">
        <v>759.278149297614</v>
      </c>
      <c r="BW791" s="55"/>
      <c r="BX791" s="55" t="n">
        <v>573.618002082279</v>
      </c>
      <c r="BY791" s="96" t="n">
        <v>0.05562</v>
      </c>
      <c r="BZ791" s="96" t="n">
        <v>0.7832</v>
      </c>
      <c r="CA791" s="97" t="n">
        <v>4.15</v>
      </c>
      <c r="CB791" s="97"/>
      <c r="CC791" s="97" t="n">
        <v>6.4053</v>
      </c>
      <c r="CD791" s="97" t="n">
        <v>3.63</v>
      </c>
      <c r="CE791" s="97" t="n">
        <v>95</v>
      </c>
      <c r="CF791" s="97" t="n">
        <v>29.4921</v>
      </c>
      <c r="CG791" s="97" t="n">
        <v>0.9186</v>
      </c>
      <c r="CH791" s="63" t="n">
        <v>79382.1358105734</v>
      </c>
      <c r="CI791" s="63" t="n">
        <v>2781.96017053867</v>
      </c>
      <c r="CJ791" s="64" t="n">
        <v>317836.941076351</v>
      </c>
      <c r="CK791" s="65" t="n">
        <v>0.875279053818474</v>
      </c>
    </row>
    <row r="792" s="1" customFormat="true" ht="15" hidden="false" customHeight="false" outlineLevel="0" collapsed="false">
      <c r="A792" s="7" t="s">
        <v>488</v>
      </c>
      <c r="B792" s="66" t="n">
        <v>783</v>
      </c>
      <c r="C792" s="8" t="s">
        <v>875</v>
      </c>
      <c r="D792" s="67" t="n">
        <v>42075</v>
      </c>
      <c r="E792" s="4" t="s">
        <v>583</v>
      </c>
      <c r="F792" s="7" t="n">
        <v>2105</v>
      </c>
      <c r="G792" s="68" t="n">
        <v>1</v>
      </c>
      <c r="H792" s="68" t="n">
        <v>173</v>
      </c>
      <c r="I792" s="7" t="n">
        <v>1</v>
      </c>
      <c r="J792" s="8" t="n">
        <v>646</v>
      </c>
      <c r="K792" s="32"/>
      <c r="L792" s="31" t="n">
        <v>934.239</v>
      </c>
      <c r="M792" s="31" t="n">
        <v>164.133428542283</v>
      </c>
      <c r="N792" s="31" t="n">
        <v>331.021115984903</v>
      </c>
      <c r="O792" s="95"/>
      <c r="P792" s="33" t="n">
        <v>41.1098643272468</v>
      </c>
      <c r="Q792" s="33" t="n">
        <v>7.1</v>
      </c>
      <c r="R792" s="31" t="n">
        <v>269.101295521779</v>
      </c>
      <c r="S792" s="34" t="s">
        <v>76</v>
      </c>
      <c r="T792" s="35"/>
      <c r="U792" s="35"/>
      <c r="V792" s="35" t="n">
        <v>15.2451012684109</v>
      </c>
      <c r="W792" s="35" t="n">
        <v>14.2425681638989</v>
      </c>
      <c r="X792" s="35" t="n">
        <v>2.50223073965859</v>
      </c>
      <c r="Y792" s="35" t="n">
        <v>5.04645043517223</v>
      </c>
      <c r="Z792" s="35"/>
      <c r="AA792" s="35" t="n">
        <v>0.62672404479951</v>
      </c>
      <c r="AB792" s="35" t="n">
        <v>0.108240219005717</v>
      </c>
      <c r="AC792" s="71" t="n">
        <v>4.10247650169009</v>
      </c>
      <c r="AD792" s="72"/>
      <c r="AE792" s="72"/>
      <c r="AF792" s="72"/>
      <c r="AG792" s="72"/>
      <c r="AH792" s="72"/>
      <c r="AI792" s="73" t="n">
        <v>26.914691595353</v>
      </c>
      <c r="AJ792" s="42" t="s">
        <v>16</v>
      </c>
      <c r="AK792" s="43" t="n">
        <v>736.20355355564</v>
      </c>
      <c r="AL792" s="74"/>
      <c r="AM792" s="74"/>
      <c r="AN792" s="74"/>
      <c r="AO792" s="78" t="n">
        <v>31.0714285714286</v>
      </c>
      <c r="AP792" s="76" t="n">
        <v>0.796347471150523</v>
      </c>
      <c r="AQ792" s="76" t="n">
        <v>0.982116826322366</v>
      </c>
      <c r="AR792" s="76" t="n">
        <v>1.60112973760933</v>
      </c>
      <c r="AS792" s="77" t="n">
        <v>24.3737834958293</v>
      </c>
      <c r="AT792" s="78" t="n">
        <v>25.9214012017685</v>
      </c>
      <c r="AU792" s="78" t="n">
        <v>25.6295737841548</v>
      </c>
      <c r="AV792" s="78" t="n">
        <v>31.6083576287658</v>
      </c>
      <c r="AW792" s="78" t="n">
        <v>51.530612244898</v>
      </c>
      <c r="AX792" s="78" t="n">
        <v>23.1725</v>
      </c>
      <c r="AY792" s="48" t="n">
        <v>1.70031020098763</v>
      </c>
      <c r="AZ792" s="48" t="n">
        <v>21.3784396736576</v>
      </c>
      <c r="BA792" s="48" t="n">
        <v>-6.13333840524671</v>
      </c>
      <c r="BB792" s="49" t="n">
        <f aca="false">AT792/V792</f>
        <v>1.70031020098763</v>
      </c>
      <c r="BC792" s="49" t="n">
        <f aca="false">AS792/V792</f>
        <v>1.59879446300129</v>
      </c>
      <c r="BD792" s="49" t="n">
        <f aca="false">SUM(AP792:AR792)/V792</f>
        <v>0.221683934765656</v>
      </c>
      <c r="BE792" s="53" t="n">
        <v>6.84</v>
      </c>
      <c r="BF792" s="51" t="n">
        <v>85.0756336067949</v>
      </c>
      <c r="BG792" s="51" t="n">
        <v>534.801064600058</v>
      </c>
      <c r="BH792" s="51" t="n">
        <v>291.839488509048</v>
      </c>
      <c r="BI792" s="51" t="n">
        <v>104.376447982549</v>
      </c>
      <c r="BJ792" s="51" t="n">
        <v>9.07855708227143</v>
      </c>
      <c r="BK792" s="51" t="n">
        <v>31.3910194169933</v>
      </c>
      <c r="BL792" s="51" t="n">
        <v>19.8661675166654</v>
      </c>
      <c r="BM792" s="51" t="n">
        <v>8.64725489241476</v>
      </c>
      <c r="BN792" s="52" t="n">
        <f aca="false">(BG792*0.5-BH792*0.25+BI792*0.5)/SUM(BG792:BI792)*1000</f>
        <v>264.902664371176</v>
      </c>
      <c r="BO792" s="93" t="n">
        <v>4.27001142857143</v>
      </c>
      <c r="BP792" s="94" t="s">
        <v>491</v>
      </c>
      <c r="BQ792" s="55" t="n">
        <v>389.590020576132</v>
      </c>
      <c r="BR792" s="56" t="n">
        <v>25.5550956151006</v>
      </c>
      <c r="BS792" s="56"/>
      <c r="BT792" s="56" t="n">
        <v>15.0296667044971</v>
      </c>
      <c r="BU792" s="55" t="n">
        <v>11441.5701646091</v>
      </c>
      <c r="BV792" s="55" t="n">
        <v>750.507980443326</v>
      </c>
      <c r="BW792" s="55"/>
      <c r="BX792" s="55" t="n">
        <v>441.394740799291</v>
      </c>
      <c r="BY792" s="96" t="n">
        <v>0.09579</v>
      </c>
      <c r="BZ792" s="96" t="n">
        <v>0.5764</v>
      </c>
      <c r="CA792" s="97" t="n">
        <v>4.32</v>
      </c>
      <c r="CB792" s="97"/>
      <c r="CC792" s="97" t="n">
        <v>5.1183</v>
      </c>
      <c r="CD792" s="97" t="n">
        <v>6.21</v>
      </c>
      <c r="CE792" s="97" t="n">
        <v>88</v>
      </c>
      <c r="CF792" s="97" t="n">
        <v>35.0163</v>
      </c>
      <c r="CG792" s="97" t="n">
        <v>0.1274</v>
      </c>
      <c r="CH792" s="63" t="n">
        <v>24665.4403248189</v>
      </c>
      <c r="CI792" s="63" t="n">
        <v>4612.31903248397</v>
      </c>
      <c r="CJ792" s="64" t="n">
        <v>868462.203196065</v>
      </c>
      <c r="CK792" s="65" t="n">
        <v>0.531090358971292</v>
      </c>
    </row>
    <row r="793" s="1" customFormat="true" ht="15" hidden="false" customHeight="false" outlineLevel="0" collapsed="false">
      <c r="A793" s="7" t="s">
        <v>488</v>
      </c>
      <c r="B793" s="66" t="n">
        <v>784</v>
      </c>
      <c r="C793" s="8" t="s">
        <v>876</v>
      </c>
      <c r="D793" s="67" t="n">
        <v>42075</v>
      </c>
      <c r="E793" s="4" t="s">
        <v>583</v>
      </c>
      <c r="F793" s="7" t="n">
        <v>2110</v>
      </c>
      <c r="G793" s="68" t="n">
        <v>1</v>
      </c>
      <c r="H793" s="68" t="n">
        <v>153</v>
      </c>
      <c r="I793" s="7" t="n">
        <v>1</v>
      </c>
      <c r="J793" s="8" t="n">
        <v>680</v>
      </c>
      <c r="K793" s="32"/>
      <c r="L793" s="31" t="n">
        <v>934.239</v>
      </c>
      <c r="M793" s="31" t="n">
        <v>164.133428542283</v>
      </c>
      <c r="N793" s="31" t="n">
        <v>331.021115984903</v>
      </c>
      <c r="O793" s="95"/>
      <c r="P793" s="33" t="n">
        <v>41.1098643272468</v>
      </c>
      <c r="Q793" s="33" t="n">
        <v>7.1</v>
      </c>
      <c r="R793" s="31" t="n">
        <v>269.101295521779</v>
      </c>
      <c r="S793" s="34" t="s">
        <v>76</v>
      </c>
      <c r="T793" s="35"/>
      <c r="U793" s="35"/>
      <c r="V793" s="35" t="n">
        <v>18.0850017135852</v>
      </c>
      <c r="W793" s="35" t="n">
        <v>16.8957139158982</v>
      </c>
      <c r="X793" s="35" t="n">
        <v>2.96835333644381</v>
      </c>
      <c r="Y793" s="35" t="n">
        <v>5.98651744981986</v>
      </c>
      <c r="Z793" s="35"/>
      <c r="AA793" s="35" t="n">
        <v>0.743471966803514</v>
      </c>
      <c r="AB793" s="35" t="n">
        <v>0.128403512166455</v>
      </c>
      <c r="AC793" s="71" t="n">
        <v>4.86669739063938</v>
      </c>
      <c r="AD793" s="72"/>
      <c r="AE793" s="72"/>
      <c r="AF793" s="72"/>
      <c r="AG793" s="72"/>
      <c r="AH793" s="72"/>
      <c r="AI793" s="73" t="n">
        <v>25.3624447675259</v>
      </c>
      <c r="AJ793" s="42" t="s">
        <v>16</v>
      </c>
      <c r="AK793" s="43" t="n">
        <v>720.058532800006</v>
      </c>
      <c r="AL793" s="74"/>
      <c r="AM793" s="74"/>
      <c r="AN793" s="74"/>
      <c r="AO793" s="78" t="n">
        <v>34.7285714285714</v>
      </c>
      <c r="AP793" s="76" t="n">
        <v>1.33257876442908</v>
      </c>
      <c r="AQ793" s="76" t="n">
        <v>1.08843190337359</v>
      </c>
      <c r="AR793" s="76" t="n">
        <v>1.74486602804387</v>
      </c>
      <c r="AS793" s="77" t="n">
        <v>33.8801100378647</v>
      </c>
      <c r="AT793" s="78" t="n">
        <v>34.0626701502203</v>
      </c>
      <c r="AU793" s="78" t="n">
        <v>38.3712519580565</v>
      </c>
      <c r="AV793" s="78" t="n">
        <v>31.3411078717201</v>
      </c>
      <c r="AW793" s="78" t="n">
        <v>50.242954324587</v>
      </c>
      <c r="AX793" s="78" t="n">
        <v>24.1675</v>
      </c>
      <c r="AY793" s="48" t="n">
        <v>1.88347619146936</v>
      </c>
      <c r="AZ793" s="48" t="n">
        <v>25.3039135492168</v>
      </c>
      <c r="BA793" s="48" t="n">
        <v>-7.21891183563154</v>
      </c>
      <c r="BB793" s="49" t="n">
        <f aca="false">AT793/V793</f>
        <v>1.88347619146936</v>
      </c>
      <c r="BC793" s="49" t="n">
        <f aca="false">AS793/V793</f>
        <v>1.87338163271582</v>
      </c>
      <c r="BD793" s="49" t="n">
        <f aca="false">SUM(AP793:AR793)/V793</f>
        <v>0.230349809296241</v>
      </c>
      <c r="BE793" s="53" t="n">
        <v>6.5</v>
      </c>
      <c r="BF793" s="51" t="n">
        <v>110.124887556454</v>
      </c>
      <c r="BG793" s="51" t="n">
        <v>545.257762278432</v>
      </c>
      <c r="BH793" s="51" t="n">
        <v>295.715247747904</v>
      </c>
      <c r="BI793" s="51" t="n">
        <v>118.718735940746</v>
      </c>
      <c r="BJ793" s="51" t="n">
        <v>6.57318000228943</v>
      </c>
      <c r="BK793" s="51" t="n">
        <v>16.0035648325799</v>
      </c>
      <c r="BL793" s="51" t="n">
        <v>13.2549984287776</v>
      </c>
      <c r="BM793" s="51" t="n">
        <v>4.47651076927121</v>
      </c>
      <c r="BN793" s="52" t="n">
        <f aca="false">(BG793*0.5-BH793*0.25+BI793*0.5)/SUM(BG793:BI793)*1000</f>
        <v>268.898256400618</v>
      </c>
      <c r="BO793" s="93" t="n">
        <v>4.01034857142857</v>
      </c>
      <c r="BP793" s="94" t="s">
        <v>491</v>
      </c>
      <c r="BQ793" s="55" t="n">
        <v>480.304385964912</v>
      </c>
      <c r="BR793" s="56" t="n">
        <v>26.5581609320011</v>
      </c>
      <c r="BS793" s="56"/>
      <c r="BT793" s="56" t="n">
        <v>14.1006087851221</v>
      </c>
      <c r="BU793" s="55" t="n">
        <v>12235.3368421053</v>
      </c>
      <c r="BV793" s="55" t="n">
        <v>676.546070377988</v>
      </c>
      <c r="BW793" s="55"/>
      <c r="BX793" s="55" t="n">
        <v>359.200755200518</v>
      </c>
      <c r="BY793" s="96" t="n">
        <v>0.09064</v>
      </c>
      <c r="BZ793" s="96" t="n">
        <v>0.5192</v>
      </c>
      <c r="CA793" s="97" t="n">
        <v>4.34</v>
      </c>
      <c r="CB793" s="97"/>
      <c r="CC793" s="97" t="n">
        <v>4.6827</v>
      </c>
      <c r="CD793" s="97" t="n">
        <v>6.79</v>
      </c>
      <c r="CE793" s="97" t="n">
        <v>79</v>
      </c>
      <c r="CF793" s="97" t="n">
        <v>35.9271</v>
      </c>
      <c r="CG793" s="97" t="n">
        <v>0.1188</v>
      </c>
      <c r="CH793" s="63" t="n">
        <v>110283.861032815</v>
      </c>
      <c r="CI793" s="63" t="n">
        <v>3245.61578839716</v>
      </c>
      <c r="CJ793" s="64" t="n">
        <v>363207.054517815</v>
      </c>
      <c r="CK793" s="65" t="n">
        <v>0.893599325240518</v>
      </c>
    </row>
    <row r="794" s="1" customFormat="true" ht="15" hidden="false" customHeight="false" outlineLevel="0" collapsed="false">
      <c r="A794" s="7" t="s">
        <v>488</v>
      </c>
      <c r="B794" s="66" t="n">
        <v>785</v>
      </c>
      <c r="C794" s="8" t="s">
        <v>877</v>
      </c>
      <c r="D794" s="67" t="n">
        <v>42075</v>
      </c>
      <c r="E794" s="4" t="s">
        <v>583</v>
      </c>
      <c r="F794" s="7" t="n">
        <v>2116</v>
      </c>
      <c r="G794" s="68" t="n">
        <v>1</v>
      </c>
      <c r="H794" s="68" t="n">
        <v>173</v>
      </c>
      <c r="I794" s="7" t="n">
        <v>1</v>
      </c>
      <c r="J794" s="8" t="n">
        <v>625</v>
      </c>
      <c r="K794" s="32"/>
      <c r="L794" s="31" t="n">
        <v>934.239</v>
      </c>
      <c r="M794" s="31" t="n">
        <v>164.133428542283</v>
      </c>
      <c r="N794" s="31" t="n">
        <v>331.021115984903</v>
      </c>
      <c r="O794" s="95"/>
      <c r="P794" s="33" t="n">
        <v>41.1098643272468</v>
      </c>
      <c r="Q794" s="33" t="n">
        <v>7.1</v>
      </c>
      <c r="R794" s="31" t="n">
        <v>269.101295521779</v>
      </c>
      <c r="S794" s="34" t="s">
        <v>76</v>
      </c>
      <c r="T794" s="35"/>
      <c r="U794" s="35"/>
      <c r="V794" s="35" t="n">
        <v>19.0186786684307</v>
      </c>
      <c r="W794" s="35" t="n">
        <v>17.767991340516</v>
      </c>
      <c r="X794" s="35" t="n">
        <v>3.12160093619351</v>
      </c>
      <c r="Y794" s="35" t="n">
        <v>6.29558423738219</v>
      </c>
      <c r="Z794" s="35"/>
      <c r="AA794" s="35" t="n">
        <v>0.781855299742688</v>
      </c>
      <c r="AB794" s="35" t="n">
        <v>0.135032618545858</v>
      </c>
      <c r="AC794" s="71" t="n">
        <v>5.11795106878712</v>
      </c>
      <c r="AD794" s="72"/>
      <c r="AE794" s="72"/>
      <c r="AF794" s="72"/>
      <c r="AG794" s="72"/>
      <c r="AH794" s="72"/>
      <c r="AI794" s="73" t="n">
        <v>23.3181931296597</v>
      </c>
      <c r="AJ794" s="42" t="s">
        <v>16</v>
      </c>
      <c r="AK794" s="43" t="n">
        <v>695.516716903373</v>
      </c>
      <c r="AL794" s="74"/>
      <c r="AM794" s="74"/>
      <c r="AN794" s="74"/>
      <c r="AO794" s="78" t="n">
        <v>34.1857142857143</v>
      </c>
      <c r="AP794" s="76" t="n">
        <v>1.21189805819067</v>
      </c>
      <c r="AQ794" s="76" t="n">
        <v>1.12512749317414</v>
      </c>
      <c r="AR794" s="76" t="n">
        <v>1.74195427830996</v>
      </c>
      <c r="AS794" s="77" t="n">
        <v>31.8527565871458</v>
      </c>
      <c r="AT794" s="78" t="n">
        <v>32.8545697491968</v>
      </c>
      <c r="AU794" s="78" t="n">
        <v>35.450423766547</v>
      </c>
      <c r="AV794" s="78" t="n">
        <v>32.9122125040492</v>
      </c>
      <c r="AW794" s="78" t="n">
        <v>50.9556203433754</v>
      </c>
      <c r="AX794" s="78" t="n">
        <v>17.2166666666667</v>
      </c>
      <c r="AY794" s="48" t="n">
        <v>1.72748960755788</v>
      </c>
      <c r="AZ794" s="48" t="n">
        <v>23.8463099358329</v>
      </c>
      <c r="BA794" s="48" t="n">
        <v>-4.82763126740225</v>
      </c>
      <c r="BB794" s="49" t="n">
        <f aca="false">AT794/V794</f>
        <v>1.72748960755788</v>
      </c>
      <c r="BC794" s="49" t="n">
        <f aca="false">AS794/V794</f>
        <v>1.67481438339975</v>
      </c>
      <c r="BD794" s="49" t="n">
        <f aca="false">SUM(AP794:AR794)/V794</f>
        <v>0.214472303822322</v>
      </c>
      <c r="BE794" s="53" t="n">
        <v>6.49</v>
      </c>
      <c r="BF794" s="51" t="n">
        <v>106.339850910347</v>
      </c>
      <c r="BG794" s="51" t="n">
        <v>580.601238245222</v>
      </c>
      <c r="BH794" s="51" t="n">
        <v>253.437149238272</v>
      </c>
      <c r="BI794" s="51" t="n">
        <v>121.37665186365</v>
      </c>
      <c r="BJ794" s="51" t="n">
        <v>7.92394525859168</v>
      </c>
      <c r="BK794" s="51" t="n">
        <v>14.0287891146049</v>
      </c>
      <c r="BL794" s="51" t="n">
        <v>17.7843985119962</v>
      </c>
      <c r="BM794" s="51" t="n">
        <v>4.84782776766331</v>
      </c>
      <c r="BN794" s="52" t="n">
        <f aca="false">(BG794*0.5-BH794*0.25+BI794*0.5)/SUM(BG794:BI794)*1000</f>
        <v>301.052051620845</v>
      </c>
      <c r="BO794" s="93" t="n">
        <v>2.94284571428571</v>
      </c>
      <c r="BP794" s="94" t="s">
        <v>491</v>
      </c>
      <c r="BQ794" s="55" t="n">
        <v>515.972222222222</v>
      </c>
      <c r="BR794" s="56" t="n">
        <v>27.1297618103559</v>
      </c>
      <c r="BS794" s="56"/>
      <c r="BT794" s="56" t="n">
        <v>15.7047322841547</v>
      </c>
      <c r="BU794" s="55" t="n">
        <v>13107.5925925926</v>
      </c>
      <c r="BV794" s="55" t="n">
        <v>689.195754400648</v>
      </c>
      <c r="BW794" s="55"/>
      <c r="BX794" s="55" t="n">
        <v>398.957974268192</v>
      </c>
      <c r="BY794" s="96" t="n">
        <v>0.07107</v>
      </c>
      <c r="BZ794" s="96" t="n">
        <v>0.9229</v>
      </c>
      <c r="CA794" s="97" t="n">
        <v>4.52</v>
      </c>
      <c r="CB794" s="97"/>
      <c r="CC794" s="97" t="n">
        <v>4.8807</v>
      </c>
      <c r="CD794" s="97" t="n">
        <v>5.46</v>
      </c>
      <c r="CE794" s="97" t="n">
        <v>79</v>
      </c>
      <c r="CF794" s="97" t="n">
        <v>34.1253</v>
      </c>
      <c r="CG794" s="97" t="n">
        <v>0.1102</v>
      </c>
      <c r="CH794" s="63" t="n">
        <v>135425.162644831</v>
      </c>
      <c r="CI794" s="63" t="n">
        <v>4425.34709207688</v>
      </c>
      <c r="CJ794" s="64" t="n">
        <v>809472.885137092</v>
      </c>
      <c r="CK794" s="65" t="n">
        <v>0.546694913854638</v>
      </c>
    </row>
    <row r="795" s="1" customFormat="true" ht="15" hidden="false" customHeight="false" outlineLevel="0" collapsed="false">
      <c r="A795" s="7" t="s">
        <v>488</v>
      </c>
      <c r="B795" s="66" t="n">
        <v>786</v>
      </c>
      <c r="C795" s="8" t="s">
        <v>878</v>
      </c>
      <c r="D795" s="67" t="n">
        <v>42075</v>
      </c>
      <c r="E795" s="4" t="s">
        <v>583</v>
      </c>
      <c r="F795" s="7" t="n">
        <v>2131</v>
      </c>
      <c r="G795" s="68" t="n">
        <v>1</v>
      </c>
      <c r="H795" s="68" t="n">
        <v>170</v>
      </c>
      <c r="I795" s="7" t="n">
        <v>1</v>
      </c>
      <c r="J795" s="8" t="n">
        <v>729</v>
      </c>
      <c r="K795" s="32"/>
      <c r="L795" s="31" t="n">
        <v>934.239</v>
      </c>
      <c r="M795" s="31" t="n">
        <v>164.133428542283</v>
      </c>
      <c r="N795" s="31" t="n">
        <v>331.021115984903</v>
      </c>
      <c r="O795" s="95"/>
      <c r="P795" s="33" t="n">
        <v>41.1098643272468</v>
      </c>
      <c r="Q795" s="33" t="n">
        <v>7.1</v>
      </c>
      <c r="R795" s="31" t="n">
        <v>269.101295521779</v>
      </c>
      <c r="S795" s="34" t="s">
        <v>76</v>
      </c>
      <c r="T795" s="35"/>
      <c r="U795" s="35"/>
      <c r="V795" s="35" t="n">
        <v>23.894226181082</v>
      </c>
      <c r="W795" s="35" t="n">
        <v>22.3229179731879</v>
      </c>
      <c r="X795" s="35" t="n">
        <v>3.92184126546577</v>
      </c>
      <c r="Y795" s="35" t="n">
        <v>7.90949341605744</v>
      </c>
      <c r="Z795" s="35"/>
      <c r="AA795" s="35" t="n">
        <v>0.982288396508828</v>
      </c>
      <c r="AB795" s="35" t="n">
        <v>0.169649005885682</v>
      </c>
      <c r="AC795" s="71" t="n">
        <v>6.42996722081957</v>
      </c>
      <c r="AD795" s="72"/>
      <c r="AE795" s="72"/>
      <c r="AF795" s="72"/>
      <c r="AG795" s="72"/>
      <c r="AH795" s="72"/>
      <c r="AI795" s="73" t="n">
        <v>22.6271723304723</v>
      </c>
      <c r="AJ795" s="42" t="s">
        <v>16</v>
      </c>
      <c r="AK795" s="43" t="n">
        <v>686.217972961723</v>
      </c>
      <c r="AL795" s="74"/>
      <c r="AM795" s="74"/>
      <c r="AN795" s="74"/>
      <c r="AO795" s="78" t="n">
        <v>45.3571428571429</v>
      </c>
      <c r="AP795" s="76" t="n">
        <v>1.32478799195149</v>
      </c>
      <c r="AQ795" s="76" t="n">
        <v>1.47333576287658</v>
      </c>
      <c r="AR795" s="76" t="n">
        <v>2.28879459947244</v>
      </c>
      <c r="AS795" s="77" t="n">
        <v>38.0146770221294</v>
      </c>
      <c r="AT795" s="78" t="n">
        <v>39.8693188171249</v>
      </c>
      <c r="AU795" s="78" t="n">
        <v>29.2079242320013</v>
      </c>
      <c r="AV795" s="78" t="n">
        <v>32.4829931972789</v>
      </c>
      <c r="AW795" s="78" t="n">
        <v>50.4616132167153</v>
      </c>
      <c r="AX795" s="78" t="n">
        <v>23.335</v>
      </c>
      <c r="AY795" s="48" t="n">
        <v>1.66857543387159</v>
      </c>
      <c r="AZ795" s="48" t="n">
        <v>27.5927780906392</v>
      </c>
      <c r="BA795" s="48" t="n">
        <v>-3.69855190955725</v>
      </c>
      <c r="BB795" s="49" t="n">
        <f aca="false">AT795/V795</f>
        <v>1.66857543387159</v>
      </c>
      <c r="BC795" s="49" t="n">
        <f aca="false">AS795/V795</f>
        <v>1.59095660742624</v>
      </c>
      <c r="BD795" s="49" t="n">
        <f aca="false">SUM(AP795:AR795)/V795</f>
        <v>0.212893203393547</v>
      </c>
      <c r="BE795" s="53" t="n">
        <v>6.72</v>
      </c>
      <c r="BF795" s="51" t="n">
        <v>97.8236648411159</v>
      </c>
      <c r="BG795" s="51" t="n">
        <v>555.509976753928</v>
      </c>
      <c r="BH795" s="51" t="n">
        <v>291.20314614252</v>
      </c>
      <c r="BI795" s="51" t="n">
        <v>116.069490395056</v>
      </c>
      <c r="BJ795" s="51" t="n">
        <v>5.67042507470384</v>
      </c>
      <c r="BK795" s="51" t="n">
        <v>14.4421539780229</v>
      </c>
      <c r="BL795" s="51" t="n">
        <v>12.1588017749388</v>
      </c>
      <c r="BM795" s="51" t="n">
        <v>4.9460058808304</v>
      </c>
      <c r="BN795" s="52" t="n">
        <f aca="false">(BG795*0.5-BH795*0.25+BI795*0.5)/SUM(BG795:BI795)*1000</f>
        <v>273.155064713696</v>
      </c>
      <c r="BO795" s="93" t="n">
        <v>2.74088571428571</v>
      </c>
      <c r="BP795" s="94" t="s">
        <v>491</v>
      </c>
      <c r="BQ795" s="55" t="n">
        <v>562.162</v>
      </c>
      <c r="BR795" s="56" t="n">
        <v>23.5271063285191</v>
      </c>
      <c r="BS795" s="56"/>
      <c r="BT795" s="56" t="n">
        <v>14.1001154942867</v>
      </c>
      <c r="BU795" s="55" t="n">
        <v>15234.2013333333</v>
      </c>
      <c r="BV795" s="55" t="n">
        <v>637.568306999406</v>
      </c>
      <c r="BW795" s="55"/>
      <c r="BX795" s="55" t="n">
        <v>382.103376363427</v>
      </c>
      <c r="BY795" s="96" t="n">
        <v>0.07725</v>
      </c>
      <c r="BZ795" s="96" t="n">
        <v>0.7667</v>
      </c>
      <c r="CA795" s="97" t="n">
        <v>4.17</v>
      </c>
      <c r="CB795" s="97"/>
      <c r="CC795" s="97" t="n">
        <v>6.1479</v>
      </c>
      <c r="CD795" s="97" t="n">
        <v>6.33</v>
      </c>
      <c r="CE795" s="97" t="n">
        <v>85</v>
      </c>
      <c r="CF795" s="97" t="n">
        <v>35.3727</v>
      </c>
      <c r="CG795" s="97" t="n">
        <v>0.136</v>
      </c>
      <c r="CH795" s="63" t="n">
        <v>56086.5608111201</v>
      </c>
      <c r="CI795" s="63" t="n">
        <v>5633.48022090359</v>
      </c>
      <c r="CJ795" s="64" t="n">
        <v>915980.738651768</v>
      </c>
      <c r="CK795" s="65" t="n">
        <v>0.615021690215397</v>
      </c>
    </row>
    <row r="796" s="1" customFormat="true" ht="15" hidden="false" customHeight="false" outlineLevel="0" collapsed="false">
      <c r="A796" s="7" t="s">
        <v>488</v>
      </c>
      <c r="B796" s="66" t="n">
        <v>787</v>
      </c>
      <c r="C796" s="8" t="s">
        <v>879</v>
      </c>
      <c r="D796" s="67" t="n">
        <v>42075</v>
      </c>
      <c r="E796" s="4" t="s">
        <v>583</v>
      </c>
      <c r="F796" s="7" t="n">
        <v>2132</v>
      </c>
      <c r="G796" s="68" t="n">
        <v>1</v>
      </c>
      <c r="H796" s="68" t="n">
        <v>155</v>
      </c>
      <c r="I796" s="7" t="n">
        <v>1</v>
      </c>
      <c r="J796" s="8" t="n">
        <v>800</v>
      </c>
      <c r="K796" s="32"/>
      <c r="L796" s="31" t="n">
        <v>934.239</v>
      </c>
      <c r="M796" s="31" t="n">
        <v>164.133428542283</v>
      </c>
      <c r="N796" s="31" t="n">
        <v>331.021115984903</v>
      </c>
      <c r="O796" s="95"/>
      <c r="P796" s="33" t="n">
        <v>41.1098643272468</v>
      </c>
      <c r="Q796" s="33" t="n">
        <v>7.1</v>
      </c>
      <c r="R796" s="31" t="n">
        <v>269.101295521779</v>
      </c>
      <c r="S796" s="34" t="s">
        <v>76</v>
      </c>
      <c r="T796" s="35"/>
      <c r="U796" s="35"/>
      <c r="V796" s="35" t="n">
        <v>23.4924439242065</v>
      </c>
      <c r="W796" s="35" t="n">
        <v>21.9475573193067</v>
      </c>
      <c r="X796" s="35" t="n">
        <v>3.85589536611734</v>
      </c>
      <c r="Y796" s="35" t="n">
        <v>7.77649500500358</v>
      </c>
      <c r="Z796" s="35"/>
      <c r="AA796" s="35" t="n">
        <v>0.965771182439581</v>
      </c>
      <c r="AB796" s="35" t="n">
        <v>0.166796351861866</v>
      </c>
      <c r="AC796" s="71" t="n">
        <v>6.32184709497671</v>
      </c>
      <c r="AD796" s="72"/>
      <c r="AE796" s="72"/>
      <c r="AF796" s="72"/>
      <c r="AG796" s="72"/>
      <c r="AH796" s="72"/>
      <c r="AI796" s="73" t="n">
        <v>23.721946484764</v>
      </c>
      <c r="AJ796" s="42" t="s">
        <v>16</v>
      </c>
      <c r="AK796" s="43" t="n">
        <v>700.699097160507</v>
      </c>
      <c r="AL796" s="74"/>
      <c r="AM796" s="74"/>
      <c r="AN796" s="74"/>
      <c r="AO796" s="78" t="n">
        <v>26.4857142857143</v>
      </c>
      <c r="AP796" s="76" t="n">
        <v>1.10669723913968</v>
      </c>
      <c r="AQ796" s="76" t="n">
        <v>0.931118284048313</v>
      </c>
      <c r="AR796" s="76" t="n">
        <v>1.3030508121616</v>
      </c>
      <c r="AS796" s="77" t="n">
        <v>27.1947443013809</v>
      </c>
      <c r="AT796" s="78" t="n">
        <v>27.713465430537</v>
      </c>
      <c r="AU796" s="78" t="n">
        <v>41.7846854044109</v>
      </c>
      <c r="AV796" s="78" t="n">
        <v>35.1554907677357</v>
      </c>
      <c r="AW796" s="78" t="n">
        <v>49.198250728863</v>
      </c>
      <c r="AX796" s="78" t="n">
        <v>21.4875</v>
      </c>
      <c r="AY796" s="48" t="n">
        <v>1.17967570849371</v>
      </c>
      <c r="AZ796" s="48" t="n">
        <v>24.5037568113421</v>
      </c>
      <c r="BA796" s="48" t="n">
        <v>-1.01131288713558</v>
      </c>
      <c r="BB796" s="49" t="n">
        <f aca="false">AT796/V796</f>
        <v>1.17967570849371</v>
      </c>
      <c r="BC796" s="49" t="n">
        <f aca="false">AS796/V796</f>
        <v>1.15759536935021</v>
      </c>
      <c r="BD796" s="49" t="n">
        <f aca="false">SUM(AP796:AR796)/V796</f>
        <v>0.142210250501319</v>
      </c>
      <c r="BE796" s="53" t="n">
        <v>6.04</v>
      </c>
      <c r="BF796" s="51" t="n">
        <v>117.717369528405</v>
      </c>
      <c r="BG796" s="51" t="n">
        <v>539.863630555943</v>
      </c>
      <c r="BH796" s="51" t="n">
        <v>292.920306412904</v>
      </c>
      <c r="BI796" s="51" t="n">
        <v>126.466001190672</v>
      </c>
      <c r="BJ796" s="51" t="n">
        <v>5.50068655826764</v>
      </c>
      <c r="BK796" s="51" t="n">
        <v>16.1005030409887</v>
      </c>
      <c r="BL796" s="51" t="n">
        <v>14.3084895439023</v>
      </c>
      <c r="BM796" s="51" t="n">
        <v>4.84038269732284</v>
      </c>
      <c r="BN796" s="52" t="n">
        <f aca="false">(BG796*0.5-BH796*0.25+BI796*0.5)/SUM(BG796:BI796)*1000</f>
        <v>270.977071699175</v>
      </c>
      <c r="BO796" s="93" t="n">
        <v>6.08765142857143</v>
      </c>
      <c r="BP796" s="94" t="s">
        <v>491</v>
      </c>
      <c r="BQ796" s="55" t="n">
        <v>427.066666666667</v>
      </c>
      <c r="BR796" s="56" t="n">
        <v>18.178894798877</v>
      </c>
      <c r="BS796" s="56"/>
      <c r="BT796" s="56" t="n">
        <v>15.4100780985726</v>
      </c>
      <c r="BU796" s="55" t="n">
        <v>11932.5</v>
      </c>
      <c r="BV796" s="55" t="n">
        <v>507.929274557289</v>
      </c>
      <c r="BW796" s="55"/>
      <c r="BX796" s="55" t="n">
        <v>430.566867572317</v>
      </c>
      <c r="BY796" s="96" t="n">
        <v>0.07416</v>
      </c>
      <c r="BZ796" s="96" t="n">
        <v>1.1209</v>
      </c>
      <c r="CA796" s="97" t="n">
        <v>3.88</v>
      </c>
      <c r="CB796" s="97"/>
      <c r="CC796" s="97" t="n">
        <v>4.7322</v>
      </c>
      <c r="CD796" s="97" t="n">
        <v>5.29</v>
      </c>
      <c r="CE796" s="97" t="n">
        <v>84</v>
      </c>
      <c r="CF796" s="97" t="n">
        <v>35.2836</v>
      </c>
      <c r="CG796" s="97" t="n">
        <v>0.1704</v>
      </c>
      <c r="CH796" s="63" t="n">
        <v>30296.8898035429</v>
      </c>
      <c r="CI796" s="63" t="n">
        <v>5497.32193386552</v>
      </c>
      <c r="CJ796" s="64" t="n">
        <v>772742.979140951</v>
      </c>
      <c r="CK796" s="65" t="n">
        <v>0.711403672664463</v>
      </c>
    </row>
    <row r="797" s="1" customFormat="true" ht="15" hidden="false" customHeight="false" outlineLevel="0" collapsed="false">
      <c r="A797" s="7" t="s">
        <v>488</v>
      </c>
      <c r="B797" s="66" t="n">
        <v>788</v>
      </c>
      <c r="C797" s="8" t="s">
        <v>880</v>
      </c>
      <c r="D797" s="67" t="n">
        <v>42075</v>
      </c>
      <c r="E797" s="4" t="s">
        <v>583</v>
      </c>
      <c r="F797" s="7" t="n">
        <v>2136</v>
      </c>
      <c r="G797" s="68" t="n">
        <v>1</v>
      </c>
      <c r="H797" s="68" t="n">
        <v>175</v>
      </c>
      <c r="I797" s="7" t="n">
        <v>1</v>
      </c>
      <c r="J797" s="8" t="n">
        <v>700</v>
      </c>
      <c r="K797" s="32"/>
      <c r="L797" s="31" t="n">
        <v>934.239</v>
      </c>
      <c r="M797" s="31" t="n">
        <v>164.133428542283</v>
      </c>
      <c r="N797" s="31" t="n">
        <v>331.021115984903</v>
      </c>
      <c r="O797" s="95"/>
      <c r="P797" s="33" t="n">
        <v>41.1098643272468</v>
      </c>
      <c r="Q797" s="33" t="n">
        <v>7.1</v>
      </c>
      <c r="R797" s="31" t="n">
        <v>269.101295521779</v>
      </c>
      <c r="S797" s="34" t="s">
        <v>76</v>
      </c>
      <c r="T797" s="35"/>
      <c r="U797" s="35"/>
      <c r="V797" s="35" t="n">
        <v>16.2292415334734</v>
      </c>
      <c r="W797" s="35" t="n">
        <v>15.1619903809906</v>
      </c>
      <c r="X797" s="35" t="n">
        <v>2.66376105552981</v>
      </c>
      <c r="Y797" s="35" t="n">
        <v>5.37222164399889</v>
      </c>
      <c r="Z797" s="35"/>
      <c r="AA797" s="35" t="n">
        <v>0.667181917575209</v>
      </c>
      <c r="AB797" s="35" t="n">
        <v>0.115227614887661</v>
      </c>
      <c r="AC797" s="71" t="n">
        <v>4.36730992199355</v>
      </c>
      <c r="AD797" s="72"/>
      <c r="AE797" s="72"/>
      <c r="AF797" s="72"/>
      <c r="AG797" s="72"/>
      <c r="AH797" s="72"/>
      <c r="AI797" s="73" t="n">
        <v>34.0494368653276</v>
      </c>
      <c r="AJ797" s="42" t="s">
        <v>16</v>
      </c>
      <c r="AK797" s="43" t="n">
        <v>791.479664463118</v>
      </c>
      <c r="AL797" s="74"/>
      <c r="AM797" s="74"/>
      <c r="AN797" s="74"/>
      <c r="AO797" s="78" t="n">
        <v>20.1714285714286</v>
      </c>
      <c r="AP797" s="76" t="n">
        <v>1.08404275996113</v>
      </c>
      <c r="AQ797" s="76" t="n">
        <v>0.708646397334444</v>
      </c>
      <c r="AR797" s="76" t="n">
        <v>0.990928779675135</v>
      </c>
      <c r="AS797" s="77" t="n">
        <v>24.3292128279883</v>
      </c>
      <c r="AT797" s="78" t="n">
        <v>24.0368124551784</v>
      </c>
      <c r="AU797" s="78" t="n">
        <v>53.7414965986395</v>
      </c>
      <c r="AV797" s="78" t="n">
        <v>35.131195335277</v>
      </c>
      <c r="AW797" s="78" t="n">
        <v>49.1253644314869</v>
      </c>
      <c r="AX797" s="78" t="n">
        <v>15.425</v>
      </c>
      <c r="AY797" s="48" t="n">
        <v>1.48108045626172</v>
      </c>
      <c r="AZ797" s="48" t="n">
        <v>22.1334942126666</v>
      </c>
      <c r="BA797" s="48" t="n">
        <v>-5.90425267919326</v>
      </c>
      <c r="BB797" s="49" t="n">
        <f aca="false">AT797/V797</f>
        <v>1.48108045626172</v>
      </c>
      <c r="BC797" s="49" t="n">
        <f aca="false">AS797/V797</f>
        <v>1.49909734092061</v>
      </c>
      <c r="BD797" s="49" t="n">
        <f aca="false">SUM(AP797:AR797)/V797</f>
        <v>0.171518670865142</v>
      </c>
      <c r="BE797" s="53" t="n">
        <v>6.04</v>
      </c>
      <c r="BF797" s="51" t="n">
        <v>124.428920612453</v>
      </c>
      <c r="BG797" s="51" t="n">
        <v>594.324350289519</v>
      </c>
      <c r="BH797" s="51" t="n">
        <v>209.717790472835</v>
      </c>
      <c r="BI797" s="51" t="n">
        <v>139.487846193976</v>
      </c>
      <c r="BJ797" s="51" t="n">
        <v>8.67095523700356</v>
      </c>
      <c r="BK797" s="51" t="n">
        <v>14.7223159234253</v>
      </c>
      <c r="BL797" s="51" t="n">
        <v>26.6414751203118</v>
      </c>
      <c r="BM797" s="51" t="n">
        <v>6.43526676292976</v>
      </c>
      <c r="BN797" s="52" t="n">
        <f aca="false">(BG797*0.5-BH797*0.25+BI797*0.5)/SUM(BG797:BI797)*1000</f>
        <v>333.297992613873</v>
      </c>
      <c r="BO797" s="93" t="n">
        <v>1.52912571428571</v>
      </c>
      <c r="BP797" s="94" t="s">
        <v>491</v>
      </c>
      <c r="BQ797" s="55" t="n">
        <v>438.769607843137</v>
      </c>
      <c r="BR797" s="56" t="n">
        <v>27.0357432870883</v>
      </c>
      <c r="BS797" s="56"/>
      <c r="BT797" s="56" t="n">
        <v>18.254067949372</v>
      </c>
      <c r="BU797" s="55" t="n">
        <v>11022.6225490196</v>
      </c>
      <c r="BV797" s="55" t="n">
        <v>679.182851908702</v>
      </c>
      <c r="BW797" s="55"/>
      <c r="BX797" s="55" t="n">
        <v>458.572556971669</v>
      </c>
      <c r="BY797" s="96" t="n">
        <v>0.08549</v>
      </c>
      <c r="BZ797" s="96" t="n">
        <v>1.0098</v>
      </c>
      <c r="CA797" s="97" t="n">
        <v>4.33</v>
      </c>
      <c r="CB797" s="97"/>
      <c r="CC797" s="97" t="n">
        <v>3.7125</v>
      </c>
      <c r="CD797" s="97" t="n">
        <v>5.69</v>
      </c>
      <c r="CE797" s="97" t="n">
        <v>89</v>
      </c>
      <c r="CF797" s="97" t="n">
        <v>30.6306</v>
      </c>
      <c r="CG797" s="97" t="n">
        <v>1.1164</v>
      </c>
      <c r="CH797" s="63" t="n">
        <v>77967.0663529965</v>
      </c>
      <c r="CI797" s="63" t="n">
        <v>3114.76855411754</v>
      </c>
      <c r="CJ797" s="64" t="n">
        <v>445210.746935839</v>
      </c>
      <c r="CK797" s="65" t="n">
        <v>0.699616659201272</v>
      </c>
    </row>
    <row r="798" s="1" customFormat="true" ht="15" hidden="false" customHeight="false" outlineLevel="0" collapsed="false">
      <c r="A798" s="7" t="s">
        <v>488</v>
      </c>
      <c r="B798" s="66" t="n">
        <v>789</v>
      </c>
      <c r="C798" s="8" t="s">
        <v>881</v>
      </c>
      <c r="D798" s="67" t="n">
        <v>42075</v>
      </c>
      <c r="E798" s="4" t="s">
        <v>583</v>
      </c>
      <c r="F798" s="7" t="n">
        <v>2150</v>
      </c>
      <c r="G798" s="68" t="n">
        <v>1</v>
      </c>
      <c r="H798" s="68" t="n">
        <v>170</v>
      </c>
      <c r="I798" s="7" t="n">
        <v>1</v>
      </c>
      <c r="J798" s="8" t="n">
        <v>781</v>
      </c>
      <c r="K798" s="32"/>
      <c r="L798" s="31" t="n">
        <v>934.239</v>
      </c>
      <c r="M798" s="31" t="n">
        <v>164.133428542283</v>
      </c>
      <c r="N798" s="31" t="n">
        <v>331.021115984903</v>
      </c>
      <c r="O798" s="95"/>
      <c r="P798" s="33" t="n">
        <v>41.1098643272468</v>
      </c>
      <c r="Q798" s="33" t="n">
        <v>7.1</v>
      </c>
      <c r="R798" s="31" t="n">
        <v>269.101295521779</v>
      </c>
      <c r="S798" s="34" t="s">
        <v>76</v>
      </c>
      <c r="T798" s="35"/>
      <c r="U798" s="35"/>
      <c r="V798" s="35" t="n">
        <v>20.6564867893433</v>
      </c>
      <c r="W798" s="35" t="n">
        <v>19.2980955615893</v>
      </c>
      <c r="X798" s="35" t="n">
        <v>3.39041999837329</v>
      </c>
      <c r="Y798" s="35" t="n">
        <v>6.83773330933581</v>
      </c>
      <c r="Z798" s="35"/>
      <c r="AA798" s="35" t="n">
        <v>0.849185369387467</v>
      </c>
      <c r="AB798" s="35" t="n">
        <v>0.146661056204337</v>
      </c>
      <c r="AC798" s="71" t="n">
        <v>5.55868735594079</v>
      </c>
      <c r="AD798" s="72"/>
      <c r="AE798" s="72"/>
      <c r="AF798" s="72"/>
      <c r="AG798" s="72"/>
      <c r="AH798" s="72"/>
      <c r="AI798" s="73" t="n">
        <v>24.5728757254587</v>
      </c>
      <c r="AJ798" s="42" t="s">
        <v>16</v>
      </c>
      <c r="AK798" s="43" t="n">
        <v>711.063528773555</v>
      </c>
      <c r="AL798" s="74"/>
      <c r="AM798" s="74"/>
      <c r="AN798" s="74"/>
      <c r="AO798" s="78" t="n">
        <v>41.6428571428571</v>
      </c>
      <c r="AP798" s="76" t="n">
        <v>1.02428605586757</v>
      </c>
      <c r="AQ798" s="76" t="n">
        <v>1.2940042343468</v>
      </c>
      <c r="AR798" s="76" t="n">
        <v>2.10035401915868</v>
      </c>
      <c r="AS798" s="77" t="n">
        <v>32.0214336951565</v>
      </c>
      <c r="AT798" s="78" t="n">
        <v>33.8047519205931</v>
      </c>
      <c r="AU798" s="78" t="n">
        <v>24.5969207240927</v>
      </c>
      <c r="AV798" s="78" t="n">
        <v>31.0738581146744</v>
      </c>
      <c r="AW798" s="78" t="n">
        <v>50.4373177842566</v>
      </c>
      <c r="AX798" s="78" t="n">
        <v>25.105</v>
      </c>
      <c r="AY798" s="48" t="n">
        <v>1.63651991092856</v>
      </c>
      <c r="AZ798" s="48" t="n">
        <v>26.0905780700931</v>
      </c>
      <c r="BA798" s="48" t="n">
        <v>-5.43409128074983</v>
      </c>
      <c r="BB798" s="49" t="n">
        <f aca="false">AT798/V798</f>
        <v>1.63651991092856</v>
      </c>
      <c r="BC798" s="49" t="n">
        <f aca="false">AS798/V798</f>
        <v>1.55018779435796</v>
      </c>
      <c r="BD798" s="49" t="n">
        <f aca="false">SUM(AP798:AR798)/V798</f>
        <v>0.21391073682736</v>
      </c>
      <c r="BE798" s="53" t="n">
        <v>6.28</v>
      </c>
      <c r="BF798" s="51" t="n">
        <v>127.834754668907</v>
      </c>
      <c r="BG798" s="51" t="n">
        <v>533.398314849362</v>
      </c>
      <c r="BH798" s="51" t="n">
        <v>286.660501626094</v>
      </c>
      <c r="BI798" s="51" t="n">
        <v>124.104691423729</v>
      </c>
      <c r="BJ798" s="51" t="n">
        <v>6.66864634956083</v>
      </c>
      <c r="BK798" s="51" t="n">
        <v>26.9654600912779</v>
      </c>
      <c r="BL798" s="51" t="n">
        <v>16.2322224754478</v>
      </c>
      <c r="BM798" s="51" t="n">
        <v>5.97016318452835</v>
      </c>
      <c r="BN798" s="52" t="n">
        <f aca="false">(BG798*0.5-BH798*0.25+BI798*0.5)/SUM(BG798:BI798)*1000</f>
        <v>272.290101851165</v>
      </c>
      <c r="BO798" s="93" t="n">
        <v>7.21285714285714</v>
      </c>
      <c r="BP798" s="94" t="s">
        <v>491</v>
      </c>
      <c r="BQ798" s="55" t="n">
        <v>399.086363636364</v>
      </c>
      <c r="BR798" s="56" t="n">
        <v>19.3201471143802</v>
      </c>
      <c r="BS798" s="56"/>
      <c r="BT798" s="56" t="n">
        <v>11.8056291190603</v>
      </c>
      <c r="BU798" s="55" t="n">
        <v>11251.6166666667</v>
      </c>
      <c r="BV798" s="55" t="n">
        <v>544.701370635368</v>
      </c>
      <c r="BW798" s="55"/>
      <c r="BX798" s="55" t="n">
        <v>332.841273117358</v>
      </c>
      <c r="BY798" s="96" t="n">
        <v>0.08549</v>
      </c>
      <c r="BZ798" s="96" t="n">
        <v>1.1715</v>
      </c>
      <c r="CA798" s="97" t="n">
        <v>4.16</v>
      </c>
      <c r="CB798" s="97"/>
      <c r="CC798" s="97" t="n">
        <v>6.0984</v>
      </c>
      <c r="CD798" s="97" t="n">
        <v>7.11</v>
      </c>
      <c r="CE798" s="97" t="n">
        <v>89</v>
      </c>
      <c r="CF798" s="97" t="n">
        <v>40.2237</v>
      </c>
      <c r="CG798" s="97" t="n">
        <v>0.265</v>
      </c>
      <c r="CH798" s="63" t="n">
        <v>36606.3267816732</v>
      </c>
      <c r="CI798" s="63" t="n">
        <v>3233.39843079588</v>
      </c>
      <c r="CJ798" s="64" t="n">
        <v>973071.751805313</v>
      </c>
      <c r="CK798" s="65" t="n">
        <v>0.332287770639425</v>
      </c>
    </row>
    <row r="799" s="1" customFormat="true" ht="15" hidden="false" customHeight="false" outlineLevel="0" collapsed="false">
      <c r="A799" s="7" t="s">
        <v>488</v>
      </c>
      <c r="B799" s="66" t="n">
        <v>790</v>
      </c>
      <c r="C799" s="8" t="s">
        <v>882</v>
      </c>
      <c r="D799" s="67" t="n">
        <v>42122</v>
      </c>
      <c r="E799" s="4" t="s">
        <v>583</v>
      </c>
      <c r="F799" s="7" t="n">
        <v>326</v>
      </c>
      <c r="G799" s="68" t="n">
        <v>1</v>
      </c>
      <c r="H799" s="68" t="n">
        <v>151</v>
      </c>
      <c r="I799" s="7" t="n">
        <v>1</v>
      </c>
      <c r="J799" s="8" t="n">
        <v>690</v>
      </c>
      <c r="K799" s="32"/>
      <c r="L799" s="31" t="n">
        <v>929.382</v>
      </c>
      <c r="M799" s="31" t="n">
        <v>156.38069978578</v>
      </c>
      <c r="N799" s="31" t="n">
        <v>352.035091298582</v>
      </c>
      <c r="O799" s="95"/>
      <c r="P799" s="33" t="n">
        <v>40.3957972049373</v>
      </c>
      <c r="Q799" s="33" t="n">
        <v>7.5</v>
      </c>
      <c r="R799" s="31" t="n">
        <v>260.94052840967</v>
      </c>
      <c r="S799" s="34" t="s">
        <v>76</v>
      </c>
      <c r="T799" s="35"/>
      <c r="U799" s="35"/>
      <c r="V799" s="35" t="n">
        <v>15.9779342521186</v>
      </c>
      <c r="W799" s="35" t="n">
        <v>14.8496044911025</v>
      </c>
      <c r="X799" s="35" t="n">
        <v>2.49864053947749</v>
      </c>
      <c r="Y799" s="35" t="n">
        <v>5.62479354320731</v>
      </c>
      <c r="Z799" s="35"/>
      <c r="AA799" s="35" t="n">
        <v>0.645441391802404</v>
      </c>
      <c r="AB799" s="35" t="n">
        <v>0.119834506890889</v>
      </c>
      <c r="AC799" s="71" t="n">
        <v>4.1692906066428</v>
      </c>
      <c r="AD799" s="72"/>
      <c r="AE799" s="72"/>
      <c r="AF799" s="72"/>
      <c r="AG799" s="72"/>
      <c r="AH799" s="72"/>
      <c r="AI799" s="73" t="n">
        <v>21.9420986369605</v>
      </c>
      <c r="AJ799" s="42" t="s">
        <v>16</v>
      </c>
      <c r="AK799" s="43" t="n">
        <v>658.191309587563</v>
      </c>
      <c r="AL799" s="74"/>
      <c r="AM799" s="74"/>
      <c r="AN799" s="74"/>
      <c r="AO799" s="78" t="n">
        <v>28.7285714285714</v>
      </c>
      <c r="AP799" s="76" t="n">
        <v>0.8321873724931</v>
      </c>
      <c r="AQ799" s="76" t="n">
        <v>1.00228932389282</v>
      </c>
      <c r="AR799" s="76" t="n">
        <v>1.46015965569901</v>
      </c>
      <c r="AS799" s="77" t="n">
        <v>23.9742391588251</v>
      </c>
      <c r="AT799" s="78" t="n">
        <v>25.7560191523965</v>
      </c>
      <c r="AU799" s="78" t="n">
        <v>28.9672382270099</v>
      </c>
      <c r="AV799" s="78" t="n">
        <v>34.88824101069</v>
      </c>
      <c r="AW799" s="78" t="n">
        <v>50.8260447035957</v>
      </c>
      <c r="AX799" s="78" t="n">
        <v>25.06</v>
      </c>
      <c r="AY799" s="48" t="n">
        <v>1.61197428566095</v>
      </c>
      <c r="AZ799" s="48" t="n">
        <v>21.7779860764589</v>
      </c>
      <c r="BA799" s="48" t="n">
        <v>-5.80005182434029</v>
      </c>
      <c r="BB799" s="49" t="n">
        <f aca="false">AT799/V799</f>
        <v>1.61197428566095</v>
      </c>
      <c r="BC799" s="49" t="n">
        <f aca="false">AS799/V799</f>
        <v>1.50045924463897</v>
      </c>
      <c r="BD799" s="49" t="n">
        <f aca="false">SUM(AP799:AR799)/V799</f>
        <v>0.20619914314944</v>
      </c>
      <c r="BE799" s="53" t="n">
        <v>6.28</v>
      </c>
      <c r="BF799" s="51" t="n">
        <v>130.475464294907</v>
      </c>
      <c r="BG799" s="51" t="n">
        <v>564.134532569161</v>
      </c>
      <c r="BH799" s="51" t="n">
        <v>271.934579792259</v>
      </c>
      <c r="BI799" s="51" t="n">
        <v>119.070228980312</v>
      </c>
      <c r="BJ799" s="51" t="n">
        <v>9.31979072943485</v>
      </c>
      <c r="BK799" s="51" t="n">
        <v>16.2612753849176</v>
      </c>
      <c r="BL799" s="51" t="n">
        <v>16.3566743517041</v>
      </c>
      <c r="BM799" s="51" t="n">
        <v>2.92291819221238</v>
      </c>
      <c r="BN799" s="52" t="n">
        <f aca="false">(BG799*0.5-BH799*0.25+BI799*0.5)/SUM(BG799:BI799)*1000</f>
        <v>286.469967243005</v>
      </c>
      <c r="BO799" s="93" t="n">
        <v>6.92434285714286</v>
      </c>
      <c r="BP799" s="94" t="s">
        <v>491</v>
      </c>
      <c r="BQ799" s="55" t="n">
        <v>408.433597883598</v>
      </c>
      <c r="BR799" s="56" t="n">
        <v>25.5623531452097</v>
      </c>
      <c r="BS799" s="56"/>
      <c r="BT799" s="56" t="n">
        <v>15.8577921326632</v>
      </c>
      <c r="BU799" s="55" t="n">
        <v>11047.2466049383</v>
      </c>
      <c r="BV799" s="55" t="n">
        <v>691.406437817421</v>
      </c>
      <c r="BW799" s="55"/>
      <c r="BX799" s="55" t="n">
        <v>428.919024309327</v>
      </c>
      <c r="BY799" s="96" t="n">
        <v>0.10403</v>
      </c>
      <c r="BZ799" s="96" t="n">
        <v>0.5522</v>
      </c>
      <c r="CA799" s="97" t="n">
        <v>4.03</v>
      </c>
      <c r="CB799" s="97"/>
      <c r="CC799" s="97" t="n">
        <v>6.0786</v>
      </c>
      <c r="CD799" s="97" t="n">
        <v>4.94</v>
      </c>
      <c r="CE799" s="97" t="n">
        <v>89</v>
      </c>
      <c r="CF799" s="97" t="n">
        <v>33.2541</v>
      </c>
      <c r="CG799" s="97" t="n">
        <v>0.1446</v>
      </c>
      <c r="CH799" s="63" t="n">
        <v>123410.907601881</v>
      </c>
      <c r="CI799" s="63" t="n">
        <v>5301.42855367569</v>
      </c>
      <c r="CJ799" s="64" t="n">
        <v>863932.07074878</v>
      </c>
      <c r="CK799" s="65" t="n">
        <v>0.613639513240998</v>
      </c>
    </row>
    <row r="800" s="1" customFormat="true" ht="15" hidden="false" customHeight="false" outlineLevel="0" collapsed="false">
      <c r="A800" s="7" t="s">
        <v>488</v>
      </c>
      <c r="B800" s="66" t="n">
        <v>791</v>
      </c>
      <c r="C800" s="8" t="s">
        <v>883</v>
      </c>
      <c r="D800" s="67" t="n">
        <v>42122</v>
      </c>
      <c r="E800" s="4" t="s">
        <v>583</v>
      </c>
      <c r="F800" s="7" t="n">
        <v>755</v>
      </c>
      <c r="G800" s="68" t="n">
        <v>1</v>
      </c>
      <c r="H800" s="68" t="n">
        <v>153</v>
      </c>
      <c r="I800" s="7" t="n">
        <v>4</v>
      </c>
      <c r="J800" s="8" t="n">
        <v>763</v>
      </c>
      <c r="K800" s="32"/>
      <c r="L800" s="31" t="n">
        <v>929.382</v>
      </c>
      <c r="M800" s="31" t="n">
        <v>156.38069978578</v>
      </c>
      <c r="N800" s="31" t="n">
        <v>352.035091298582</v>
      </c>
      <c r="O800" s="95"/>
      <c r="P800" s="33" t="n">
        <v>40.3957972049373</v>
      </c>
      <c r="Q800" s="33" t="n">
        <v>7.5</v>
      </c>
      <c r="R800" s="31" t="n">
        <v>260.94052840967</v>
      </c>
      <c r="S800" s="34" t="s">
        <v>76</v>
      </c>
      <c r="T800" s="35"/>
      <c r="U800" s="35"/>
      <c r="V800" s="35" t="n">
        <v>24.7075509970627</v>
      </c>
      <c r="W800" s="35" t="n">
        <v>22.9627531607521</v>
      </c>
      <c r="X800" s="35" t="n">
        <v>3.86378411491351</v>
      </c>
      <c r="Y800" s="35" t="n">
        <v>8.69792497101534</v>
      </c>
      <c r="Z800" s="35"/>
      <c r="AA800" s="35" t="n">
        <v>0.99808121950799</v>
      </c>
      <c r="AB800" s="35" t="n">
        <v>0.18530663247797</v>
      </c>
      <c r="AC800" s="71" t="n">
        <v>6.44720141288242</v>
      </c>
      <c r="AD800" s="72"/>
      <c r="AE800" s="72"/>
      <c r="AF800" s="72"/>
      <c r="AG800" s="72"/>
      <c r="AH800" s="72"/>
      <c r="AI800" s="73" t="n">
        <v>35.7880041577212</v>
      </c>
      <c r="AJ800" s="42" t="s">
        <v>16</v>
      </c>
      <c r="AK800" s="43" t="n">
        <v>790.432571569323</v>
      </c>
      <c r="AL800" s="74"/>
      <c r="AM800" s="74"/>
      <c r="AN800" s="74"/>
      <c r="AO800" s="78" t="n">
        <v>48.1142857142857</v>
      </c>
      <c r="AP800" s="76" t="n">
        <v>1.45198510209015</v>
      </c>
      <c r="AQ800" s="76" t="n">
        <v>1.38638345133972</v>
      </c>
      <c r="AR800" s="76" t="n">
        <v>2.36947660696932</v>
      </c>
      <c r="AS800" s="77" t="n">
        <v>41.0254908170665</v>
      </c>
      <c r="AT800" s="78" t="n">
        <v>41.1938273012841</v>
      </c>
      <c r="AU800" s="78" t="n">
        <v>30.1778376325149</v>
      </c>
      <c r="AV800" s="78" t="n">
        <v>28.8143828960156</v>
      </c>
      <c r="AW800" s="78" t="n">
        <v>49.2468415937804</v>
      </c>
      <c r="AX800" s="78" t="n">
        <v>30.905</v>
      </c>
      <c r="AY800" s="48" t="n">
        <v>1.66725659318406</v>
      </c>
      <c r="AZ800" s="48" t="n">
        <v>29.0964449710437</v>
      </c>
      <c r="BA800" s="48" t="n">
        <v>-4.38889397398099</v>
      </c>
      <c r="BB800" s="49" t="n">
        <f aca="false">AT800/V800</f>
        <v>1.66725659318406</v>
      </c>
      <c r="BC800" s="49" t="n">
        <f aca="false">AS800/V800</f>
        <v>1.660443433748</v>
      </c>
      <c r="BD800" s="49" t="n">
        <f aca="false">SUM(AP800:AR800)/V800</f>
        <v>0.210779496560315</v>
      </c>
      <c r="BE800" s="53" t="n">
        <v>6.65</v>
      </c>
      <c r="BF800" s="51" t="n">
        <v>100.598030723505</v>
      </c>
      <c r="BG800" s="51" t="n">
        <v>652.739950684469</v>
      </c>
      <c r="BH800" s="51" t="n">
        <v>184.090119915787</v>
      </c>
      <c r="BI800" s="51" t="n">
        <v>119.364006893454</v>
      </c>
      <c r="BJ800" s="51" t="n">
        <v>9.45665854249413</v>
      </c>
      <c r="BK800" s="51" t="n">
        <v>14.2328913158409</v>
      </c>
      <c r="BL800" s="51" t="n">
        <v>12.5871513570823</v>
      </c>
      <c r="BM800" s="51" t="n">
        <v>7.52922129087309</v>
      </c>
      <c r="BN800" s="52" t="n">
        <f aca="false">(BG800*0.5-BH800*0.25+BI800*0.5)/SUM(BG800:BI800)*1000</f>
        <v>355.607147976977</v>
      </c>
      <c r="BO800" s="93" t="n">
        <v>1.09635428571429</v>
      </c>
      <c r="BP800" s="94" t="s">
        <v>491</v>
      </c>
      <c r="BQ800" s="55" t="n">
        <v>607.834975369458</v>
      </c>
      <c r="BR800" s="56" t="n">
        <v>24.6011826684773</v>
      </c>
      <c r="BS800" s="56"/>
      <c r="BT800" s="56" t="n">
        <v>14.7554868093189</v>
      </c>
      <c r="BU800" s="55" t="n">
        <v>13657.7079091407</v>
      </c>
      <c r="BV800" s="55" t="n">
        <v>552.774652201035</v>
      </c>
      <c r="BW800" s="55"/>
      <c r="BX800" s="55" t="n">
        <v>331.5474381453</v>
      </c>
      <c r="BY800" s="96" t="n">
        <v>0.11433</v>
      </c>
      <c r="BZ800" s="96" t="n">
        <v>1.1242</v>
      </c>
      <c r="CA800" s="97" t="n">
        <v>3.81</v>
      </c>
      <c r="CB800" s="97"/>
      <c r="CC800" s="97" t="n">
        <v>8.217</v>
      </c>
      <c r="CD800" s="97" t="n">
        <v>6.64</v>
      </c>
      <c r="CE800" s="97" t="n">
        <v>81</v>
      </c>
      <c r="CF800" s="97" t="n">
        <v>34.7292</v>
      </c>
      <c r="CG800" s="97" t="n">
        <v>0.1876</v>
      </c>
      <c r="CH800" s="63" t="n">
        <v>147872.950597186</v>
      </c>
      <c r="CI800" s="63" t="n">
        <v>1603.48325786756</v>
      </c>
      <c r="CJ800" s="64" t="n">
        <v>198540.725468476</v>
      </c>
      <c r="CK800" s="65" t="n">
        <v>0.807634430711377</v>
      </c>
    </row>
    <row r="801" s="1" customFormat="true" ht="15" hidden="false" customHeight="false" outlineLevel="0" collapsed="false">
      <c r="A801" s="7" t="s">
        <v>488</v>
      </c>
      <c r="B801" s="66" t="n">
        <v>792</v>
      </c>
      <c r="C801" s="8" t="s">
        <v>884</v>
      </c>
      <c r="D801" s="67" t="n">
        <v>42122</v>
      </c>
      <c r="E801" s="4" t="s">
        <v>583</v>
      </c>
      <c r="F801" s="7" t="n">
        <v>987</v>
      </c>
      <c r="G801" s="68" t="n">
        <v>1</v>
      </c>
      <c r="H801" s="68" t="n">
        <v>173</v>
      </c>
      <c r="I801" s="7" t="n">
        <v>4</v>
      </c>
      <c r="J801" s="8" t="n">
        <v>900</v>
      </c>
      <c r="K801" s="32"/>
      <c r="L801" s="31" t="n">
        <v>929.382</v>
      </c>
      <c r="M801" s="31" t="n">
        <v>156.38069978578</v>
      </c>
      <c r="N801" s="31" t="n">
        <v>352.035091298582</v>
      </c>
      <c r="O801" s="95"/>
      <c r="P801" s="33" t="n">
        <v>40.3957972049373</v>
      </c>
      <c r="Q801" s="33" t="n">
        <v>7.5</v>
      </c>
      <c r="R801" s="31" t="n">
        <v>260.94052840967</v>
      </c>
      <c r="S801" s="34" t="s">
        <v>76</v>
      </c>
      <c r="T801" s="35"/>
      <c r="U801" s="35"/>
      <c r="V801" s="35" t="n">
        <v>24.0176340454677</v>
      </c>
      <c r="W801" s="35" t="n">
        <v>22.3215567644449</v>
      </c>
      <c r="X801" s="35" t="n">
        <v>3.75589441922901</v>
      </c>
      <c r="Y801" s="35" t="n">
        <v>8.45504999397215</v>
      </c>
      <c r="Z801" s="35"/>
      <c r="AA801" s="35" t="n">
        <v>0.97021147424311</v>
      </c>
      <c r="AB801" s="35" t="n">
        <v>0.180132255341008</v>
      </c>
      <c r="AC801" s="71" t="n">
        <v>6.26717411897443</v>
      </c>
      <c r="AD801" s="72"/>
      <c r="AE801" s="72"/>
      <c r="AF801" s="72"/>
      <c r="AG801" s="72"/>
      <c r="AH801" s="72"/>
      <c r="AI801" s="73" t="n">
        <v>26.0974143134185</v>
      </c>
      <c r="AJ801" s="42" t="s">
        <v>16</v>
      </c>
      <c r="AK801" s="43" t="n">
        <v>712.615207394561</v>
      </c>
      <c r="AL801" s="74"/>
      <c r="AM801" s="74"/>
      <c r="AN801" s="74"/>
      <c r="AO801" s="78" t="n">
        <v>35.9571428571429</v>
      </c>
      <c r="AP801" s="76" t="n">
        <v>1.38176046952268</v>
      </c>
      <c r="AQ801" s="76" t="n">
        <v>1.08413057059559</v>
      </c>
      <c r="AR801" s="76" t="n">
        <v>1.83454810495627</v>
      </c>
      <c r="AS801" s="77" t="n">
        <v>35.1092641856973</v>
      </c>
      <c r="AT801" s="78" t="n">
        <v>35.1099121988061</v>
      </c>
      <c r="AU801" s="78" t="n">
        <v>38.4279828631654</v>
      </c>
      <c r="AV801" s="78" t="n">
        <v>30.1506316812439</v>
      </c>
      <c r="AW801" s="78" t="n">
        <v>51.0204081632653</v>
      </c>
      <c r="AX801" s="78" t="n">
        <v>26.01</v>
      </c>
      <c r="AY801" s="48" t="n">
        <v>1.46183891936815</v>
      </c>
      <c r="AZ801" s="48" t="n">
        <v>28.8420333709123</v>
      </c>
      <c r="BA801" s="48" t="n">
        <v>-4.82439932544462</v>
      </c>
      <c r="BB801" s="49" t="n">
        <f aca="false">AT801/V801</f>
        <v>1.46183891936815</v>
      </c>
      <c r="BC801" s="49" t="n">
        <f aca="false">AS801/V801</f>
        <v>1.46181193864608</v>
      </c>
      <c r="BD801" s="49" t="n">
        <f aca="false">SUM(AP801:AR801)/V801</f>
        <v>0.179053404549898</v>
      </c>
      <c r="BE801" s="53" t="n">
        <v>6.1</v>
      </c>
      <c r="BF801" s="51" t="n">
        <v>120.734218912767</v>
      </c>
      <c r="BG801" s="51" t="n">
        <v>635.511935721293</v>
      </c>
      <c r="BH801" s="51" t="n">
        <v>201.245519867824</v>
      </c>
      <c r="BI801" s="51" t="n">
        <v>126.375684801733</v>
      </c>
      <c r="BJ801" s="51" t="n">
        <v>7.80387518661711</v>
      </c>
      <c r="BK801" s="51" t="n">
        <v>11.3017517974292</v>
      </c>
      <c r="BL801" s="51" t="n">
        <v>12.6321342058018</v>
      </c>
      <c r="BM801" s="51" t="n">
        <v>5.12909841930147</v>
      </c>
      <c r="BN801" s="52" t="n">
        <f aca="false">(BG801*0.5-BH801*0.25+BI801*0.5)/SUM(BG801:BI801)*1000</f>
        <v>343.288395372194</v>
      </c>
      <c r="BO801" s="93" t="n">
        <v>3.05825142857143</v>
      </c>
      <c r="BP801" s="94" t="s">
        <v>491</v>
      </c>
      <c r="BQ801" s="55" t="n">
        <v>725.489215686275</v>
      </c>
      <c r="BR801" s="56" t="n">
        <v>30.2065230202464</v>
      </c>
      <c r="BS801" s="56"/>
      <c r="BT801" s="56" t="n">
        <v>20.6633731117945</v>
      </c>
      <c r="BU801" s="55" t="n">
        <v>14189.987254902</v>
      </c>
      <c r="BV801" s="55" t="n">
        <v>590.815366244608</v>
      </c>
      <c r="BW801" s="55"/>
      <c r="BX801" s="55" t="n">
        <v>404.15900713601</v>
      </c>
      <c r="BY801" s="96" t="n">
        <v>0.15347</v>
      </c>
      <c r="BZ801" s="96" t="n">
        <v>0.9075</v>
      </c>
      <c r="CA801" s="97" t="n">
        <v>4.36</v>
      </c>
      <c r="CB801" s="97"/>
      <c r="CC801" s="97" t="n">
        <v>5.9004</v>
      </c>
      <c r="CD801" s="97" t="n">
        <v>7.55</v>
      </c>
      <c r="CE801" s="97" t="n">
        <v>89</v>
      </c>
      <c r="CF801" s="97" t="n">
        <v>35.7786</v>
      </c>
      <c r="CG801" s="97" t="n">
        <v>0.1876</v>
      </c>
      <c r="CH801" s="63" t="n">
        <v>85213.0932295088</v>
      </c>
      <c r="CI801" s="63" t="n">
        <v>4167.20906073887</v>
      </c>
      <c r="CJ801" s="64" t="n">
        <v>558311.3415901</v>
      </c>
      <c r="CK801" s="65" t="n">
        <v>0.746395201084478</v>
      </c>
    </row>
    <row r="802" s="1" customFormat="true" ht="15" hidden="false" customHeight="false" outlineLevel="0" collapsed="false">
      <c r="A802" s="7" t="s">
        <v>488</v>
      </c>
      <c r="B802" s="66" t="n">
        <v>793</v>
      </c>
      <c r="C802" s="8" t="s">
        <v>885</v>
      </c>
      <c r="D802" s="67" t="n">
        <v>42122</v>
      </c>
      <c r="E802" s="4" t="s">
        <v>583</v>
      </c>
      <c r="F802" s="7" t="n">
        <v>1132</v>
      </c>
      <c r="G802" s="68" t="n">
        <v>1</v>
      </c>
      <c r="H802" s="68" t="n">
        <v>169</v>
      </c>
      <c r="I802" s="7" t="n">
        <v>4</v>
      </c>
      <c r="J802" s="8" t="n">
        <v>780</v>
      </c>
      <c r="K802" s="32"/>
      <c r="L802" s="31" t="n">
        <v>929.382</v>
      </c>
      <c r="M802" s="31" t="n">
        <v>156.38069978578</v>
      </c>
      <c r="N802" s="31" t="n">
        <v>352.035091298582</v>
      </c>
      <c r="O802" s="95"/>
      <c r="P802" s="33" t="n">
        <v>40.3957972049373</v>
      </c>
      <c r="Q802" s="33" t="n">
        <v>7.5</v>
      </c>
      <c r="R802" s="31" t="n">
        <v>260.94052840967</v>
      </c>
      <c r="S802" s="34" t="s">
        <v>76</v>
      </c>
      <c r="T802" s="35"/>
      <c r="U802" s="35"/>
      <c r="V802" s="35" t="n">
        <v>30.5079599470424</v>
      </c>
      <c r="W802" s="35" t="n">
        <v>28.3535488315021</v>
      </c>
      <c r="X802" s="35" t="n">
        <v>4.77085612555503</v>
      </c>
      <c r="Y802" s="35" t="n">
        <v>10.7398724652906</v>
      </c>
      <c r="Z802" s="35"/>
      <c r="AA802" s="35" t="n">
        <v>1.23239336315707</v>
      </c>
      <c r="AB802" s="35" t="n">
        <v>0.228809699602818</v>
      </c>
      <c r="AC802" s="71" t="n">
        <v>7.9607631892823</v>
      </c>
      <c r="AD802" s="72"/>
      <c r="AE802" s="72"/>
      <c r="AF802" s="72"/>
      <c r="AG802" s="72"/>
      <c r="AH802" s="72"/>
      <c r="AI802" s="73" t="n">
        <v>23.0241501924131</v>
      </c>
      <c r="AJ802" s="42" t="s">
        <v>16</v>
      </c>
      <c r="AK802" s="43" t="n">
        <v>674.255078371084</v>
      </c>
      <c r="AL802" s="74"/>
      <c r="AM802" s="74"/>
      <c r="AN802" s="74"/>
      <c r="AO802" s="78" t="n">
        <v>45.6285714285714</v>
      </c>
      <c r="AP802" s="76" t="n">
        <v>1.43897621893505</v>
      </c>
      <c r="AQ802" s="76" t="n">
        <v>1.36575315840622</v>
      </c>
      <c r="AR802" s="76" t="n">
        <v>2.21491461890879</v>
      </c>
      <c r="AS802" s="77" t="n">
        <v>39.8360718554543</v>
      </c>
      <c r="AT802" s="78" t="n">
        <v>40.045609822919</v>
      </c>
      <c r="AU802" s="78" t="n">
        <v>31.536736169522</v>
      </c>
      <c r="AV802" s="78" t="n">
        <v>29.9319727891157</v>
      </c>
      <c r="AW802" s="78" t="n">
        <v>48.5422740524781</v>
      </c>
      <c r="AX802" s="78" t="n">
        <v>24.73</v>
      </c>
      <c r="AY802" s="48" t="n">
        <v>1.31262824169275</v>
      </c>
      <c r="AZ802" s="48" t="n">
        <v>28.9666119590698</v>
      </c>
      <c r="BA802" s="48" t="n">
        <v>1.54134798797256</v>
      </c>
      <c r="BB802" s="49" t="n">
        <f aca="false">AT802/V802</f>
        <v>1.31262824169275</v>
      </c>
      <c r="BC802" s="49" t="n">
        <f aca="false">AS802/V802</f>
        <v>1.30575993690185</v>
      </c>
      <c r="BD802" s="49" t="n">
        <f aca="false">SUM(AP802:AR802)/V802</f>
        <v>0.164535550884539</v>
      </c>
      <c r="BE802" s="53" t="n">
        <v>6.42</v>
      </c>
      <c r="BF802" s="51" t="n">
        <v>108.733913361262</v>
      </c>
      <c r="BG802" s="51" t="n">
        <v>608.604197291412</v>
      </c>
      <c r="BH802" s="51" t="n">
        <v>226.512775641015</v>
      </c>
      <c r="BI802" s="51" t="n">
        <v>126.640440091586</v>
      </c>
      <c r="BJ802" s="51" t="n">
        <v>6.73689208626629</v>
      </c>
      <c r="BK802" s="51" t="n">
        <v>14.284599650236</v>
      </c>
      <c r="BL802" s="51" t="n">
        <v>10.2509270552643</v>
      </c>
      <c r="BM802" s="51" t="n">
        <v>6.97016818421966</v>
      </c>
      <c r="BN802" s="52" t="n">
        <f aca="false">(BG802*0.5-BH802*0.25+BI802*0.5)/SUM(BG802:BI802)*1000</f>
        <v>323.360257555384</v>
      </c>
      <c r="BO802" s="93" t="n">
        <v>2.33696571428571</v>
      </c>
      <c r="BP802" s="94" t="s">
        <v>491</v>
      </c>
      <c r="BQ802" s="55" t="n">
        <v>600.58974132863</v>
      </c>
      <c r="BR802" s="56" t="n">
        <v>19.6863291538068</v>
      </c>
      <c r="BS802" s="56"/>
      <c r="BT802" s="56" t="n">
        <v>14.9976425377071</v>
      </c>
      <c r="BU802" s="55" t="n">
        <v>15293.8698412698</v>
      </c>
      <c r="BV802" s="55" t="n">
        <v>501.307523276479</v>
      </c>
      <c r="BW802" s="55"/>
      <c r="BX802" s="55" t="n">
        <v>381.91127339299</v>
      </c>
      <c r="BY802" s="96" t="n">
        <v>0.06901</v>
      </c>
      <c r="BZ802" s="96" t="n">
        <v>1.0769</v>
      </c>
      <c r="CA802" s="97" t="n">
        <v>3.78</v>
      </c>
      <c r="CB802" s="97"/>
      <c r="CC802" s="97" t="n">
        <v>5.3658</v>
      </c>
      <c r="CD802" s="97" t="n">
        <v>6.39</v>
      </c>
      <c r="CE802" s="97" t="n">
        <v>83</v>
      </c>
      <c r="CF802" s="97" t="n">
        <v>36.1251</v>
      </c>
      <c r="CG802" s="97" t="n">
        <v>0.136</v>
      </c>
      <c r="CH802" s="63" t="n">
        <v>86249.1500729032</v>
      </c>
      <c r="CI802" s="63" t="n">
        <v>6219.95138932703</v>
      </c>
      <c r="CJ802" s="64" t="n">
        <v>784041.66936659</v>
      </c>
      <c r="CK802" s="65" t="n">
        <v>0.79331898193013</v>
      </c>
    </row>
    <row r="803" s="1" customFormat="true" ht="15" hidden="false" customHeight="false" outlineLevel="0" collapsed="false">
      <c r="A803" s="7" t="s">
        <v>488</v>
      </c>
      <c r="B803" s="66" t="n">
        <v>794</v>
      </c>
      <c r="C803" s="8" t="s">
        <v>886</v>
      </c>
      <c r="D803" s="67" t="n">
        <v>42122</v>
      </c>
      <c r="E803" s="4" t="s">
        <v>583</v>
      </c>
      <c r="F803" s="7" t="n">
        <v>1195</v>
      </c>
      <c r="G803" s="68" t="n">
        <v>1</v>
      </c>
      <c r="H803" s="68" t="n">
        <v>127</v>
      </c>
      <c r="I803" s="7" t="n">
        <v>4</v>
      </c>
      <c r="J803" s="8" t="n">
        <v>810</v>
      </c>
      <c r="K803" s="32"/>
      <c r="L803" s="31" t="n">
        <v>929.382</v>
      </c>
      <c r="M803" s="31" t="n">
        <v>156.38069978578</v>
      </c>
      <c r="N803" s="31" t="n">
        <v>352.035091298582</v>
      </c>
      <c r="O803" s="95"/>
      <c r="P803" s="33" t="n">
        <v>40.3957972049373</v>
      </c>
      <c r="Q803" s="33" t="n">
        <v>7.5</v>
      </c>
      <c r="R803" s="31" t="n">
        <v>260.94052840967</v>
      </c>
      <c r="S803" s="34" t="s">
        <v>76</v>
      </c>
      <c r="T803" s="35"/>
      <c r="U803" s="35"/>
      <c r="V803" s="35" t="n">
        <v>29.3591809242509</v>
      </c>
      <c r="W803" s="35" t="n">
        <v>27.2858942857422</v>
      </c>
      <c r="X803" s="35" t="n">
        <v>4.59120925807168</v>
      </c>
      <c r="Y803" s="35" t="n">
        <v>10.3354619371203</v>
      </c>
      <c r="Z803" s="35"/>
      <c r="AA803" s="35" t="n">
        <v>1.1859875187191</v>
      </c>
      <c r="AB803" s="35" t="n">
        <v>0.220193856931882</v>
      </c>
      <c r="AC803" s="71" t="n">
        <v>7.66100018404916</v>
      </c>
      <c r="AD803" s="72"/>
      <c r="AE803" s="72"/>
      <c r="AF803" s="72"/>
      <c r="AG803" s="72"/>
      <c r="AH803" s="72"/>
      <c r="AI803" s="73" t="n">
        <v>21.9</v>
      </c>
      <c r="AJ803" s="42" t="s">
        <v>16</v>
      </c>
      <c r="AK803" s="43" t="n">
        <v>657.534246575342</v>
      </c>
      <c r="AL803" s="74"/>
      <c r="AM803" s="74"/>
      <c r="AN803" s="74"/>
      <c r="AO803" s="78" t="n">
        <v>51.0857142857143</v>
      </c>
      <c r="AP803" s="76" t="n">
        <v>1.58190375070079</v>
      </c>
      <c r="AQ803" s="76" t="n">
        <v>1.56633069554352</v>
      </c>
      <c r="AR803" s="76" t="n">
        <v>2.45871720116618</v>
      </c>
      <c r="AS803" s="77" t="n">
        <v>44.1628419747976</v>
      </c>
      <c r="AT803" s="78" t="n">
        <v>44.6550233366231</v>
      </c>
      <c r="AU803" s="78" t="n">
        <v>30.9656774466038</v>
      </c>
      <c r="AV803" s="78" t="n">
        <v>30.6608357628766</v>
      </c>
      <c r="AW803" s="78" t="n">
        <v>48.1292517006803</v>
      </c>
      <c r="AX803" s="78" t="n">
        <v>28.75</v>
      </c>
      <c r="AY803" s="48" t="n">
        <v>1.520990093417</v>
      </c>
      <c r="AZ803" s="48" t="n">
        <v>30.653576448874</v>
      </c>
      <c r="BA803" s="48" t="n">
        <v>-1.2943955246231</v>
      </c>
      <c r="BB803" s="49" t="n">
        <f aca="false">AT803/V803</f>
        <v>1.520990093417</v>
      </c>
      <c r="BC803" s="49" t="n">
        <f aca="false">AS803/V803</f>
        <v>1.50422595537462</v>
      </c>
      <c r="BD803" s="49" t="n">
        <f aca="false">SUM(AP803:AR803)/V803</f>
        <v>0.190977795391393</v>
      </c>
      <c r="BE803" s="53" t="n">
        <v>6.16</v>
      </c>
      <c r="BF803" s="51" t="n">
        <v>111.64345695637</v>
      </c>
      <c r="BG803" s="51" t="n">
        <v>610.563795598802</v>
      </c>
      <c r="BH803" s="51" t="n">
        <v>234.553632716169</v>
      </c>
      <c r="BI803" s="51" t="n">
        <v>114.072859596292</v>
      </c>
      <c r="BJ803" s="51" t="n">
        <v>7.88169765568749</v>
      </c>
      <c r="BK803" s="51" t="n">
        <v>13.4387222179685</v>
      </c>
      <c r="BL803" s="51" t="n">
        <v>13.329728383121</v>
      </c>
      <c r="BM803" s="51" t="n">
        <v>6.15956383195967</v>
      </c>
      <c r="BN803" s="52" t="n">
        <f aca="false">(BG803*0.5-BH803*0.25+BI803*0.5)/SUM(BG803:BI803)*1000</f>
        <v>316.600285934712</v>
      </c>
      <c r="BO803" s="93" t="n">
        <v>3.51987428571429</v>
      </c>
      <c r="BP803" s="94" t="s">
        <v>491</v>
      </c>
      <c r="BQ803" s="55" t="n">
        <v>580.230769230769</v>
      </c>
      <c r="BR803" s="56" t="n">
        <v>19.763179726567</v>
      </c>
      <c r="BS803" s="56"/>
      <c r="BT803" s="56" t="n">
        <v>12.9936281716127</v>
      </c>
      <c r="BU803" s="55" t="n">
        <v>13700.0064102564</v>
      </c>
      <c r="BV803" s="55" t="n">
        <v>466.634489756494</v>
      </c>
      <c r="BW803" s="55"/>
      <c r="BX803" s="55" t="n">
        <v>306.796534557414</v>
      </c>
      <c r="BY803" s="96" t="n">
        <v>0.09888</v>
      </c>
      <c r="BZ803" s="96" t="n">
        <v>1.3783</v>
      </c>
      <c r="CA803" s="97" t="n">
        <v>3.33</v>
      </c>
      <c r="CB803" s="97"/>
      <c r="CC803" s="97" t="n">
        <v>7.3557</v>
      </c>
      <c r="CD803" s="97" t="n">
        <v>6.37</v>
      </c>
      <c r="CE803" s="97" t="n">
        <v>87</v>
      </c>
      <c r="CF803" s="97" t="n">
        <v>36.9567</v>
      </c>
      <c r="CG803" s="97" t="n">
        <v>0.1704</v>
      </c>
      <c r="CH803" s="63" t="n">
        <v>51344.380274792</v>
      </c>
      <c r="CI803" s="63" t="n">
        <v>4816.40930317013</v>
      </c>
      <c r="CJ803" s="64" t="n">
        <v>749677.253344024</v>
      </c>
      <c r="CK803" s="65" t="n">
        <v>0.642464378062155</v>
      </c>
    </row>
    <row r="804" s="1" customFormat="true" ht="15" hidden="false" customHeight="false" outlineLevel="0" collapsed="false">
      <c r="A804" s="7" t="s">
        <v>488</v>
      </c>
      <c r="B804" s="66" t="n">
        <v>795</v>
      </c>
      <c r="C804" s="8" t="s">
        <v>887</v>
      </c>
      <c r="D804" s="67" t="n">
        <v>42122</v>
      </c>
      <c r="E804" s="4" t="s">
        <v>583</v>
      </c>
      <c r="F804" s="7" t="n">
        <v>1291</v>
      </c>
      <c r="G804" s="68" t="n">
        <v>1</v>
      </c>
      <c r="H804" s="68" t="n">
        <v>157</v>
      </c>
      <c r="I804" s="7" t="n">
        <v>3</v>
      </c>
      <c r="J804" s="8" t="n">
        <v>772</v>
      </c>
      <c r="K804" s="32"/>
      <c r="L804" s="31" t="n">
        <v>929.382</v>
      </c>
      <c r="M804" s="31" t="n">
        <v>156.38069978578</v>
      </c>
      <c r="N804" s="31" t="n">
        <v>352.035091298582</v>
      </c>
      <c r="O804" s="95"/>
      <c r="P804" s="33" t="n">
        <v>40.3957972049373</v>
      </c>
      <c r="Q804" s="33" t="n">
        <v>7.5</v>
      </c>
      <c r="R804" s="31" t="n">
        <v>260.94052840967</v>
      </c>
      <c r="S804" s="34" t="s">
        <v>76</v>
      </c>
      <c r="T804" s="35"/>
      <c r="U804" s="35"/>
      <c r="V804" s="35" t="n">
        <v>31.129157073726</v>
      </c>
      <c r="W804" s="35" t="n">
        <v>28.9308782594936</v>
      </c>
      <c r="X804" s="35" t="n">
        <v>4.86799936693073</v>
      </c>
      <c r="Y804" s="35" t="n">
        <v>10.958555652497</v>
      </c>
      <c r="Z804" s="35"/>
      <c r="AA804" s="35" t="n">
        <v>1.25748711631087</v>
      </c>
      <c r="AB804" s="35" t="n">
        <v>0.233468678052945</v>
      </c>
      <c r="AC804" s="71" t="n">
        <v>8.12285869576569</v>
      </c>
      <c r="AD804" s="72"/>
      <c r="AE804" s="72"/>
      <c r="AF804" s="72"/>
      <c r="AG804" s="72"/>
      <c r="AH804" s="72"/>
      <c r="AI804" s="73" t="n">
        <v>22.7123121602027</v>
      </c>
      <c r="AJ804" s="42" t="s">
        <v>16</v>
      </c>
      <c r="AK804" s="43" t="n">
        <v>669.782629478748</v>
      </c>
      <c r="AL804" s="74"/>
      <c r="AM804" s="74"/>
      <c r="AN804" s="74"/>
      <c r="AO804" s="78" t="n">
        <v>43.3142857142857</v>
      </c>
      <c r="AP804" s="76" t="n">
        <v>1.65315881397514</v>
      </c>
      <c r="AQ804" s="76" t="n">
        <v>1.32279050395668</v>
      </c>
      <c r="AR804" s="76" t="n">
        <v>2.12151603498542</v>
      </c>
      <c r="AS804" s="77" t="n">
        <v>42.1230964953414</v>
      </c>
      <c r="AT804" s="78" t="n">
        <v>41.8197432178166</v>
      </c>
      <c r="AU804" s="78" t="n">
        <v>38.1665953094525</v>
      </c>
      <c r="AV804" s="78" t="n">
        <v>30.5393586005831</v>
      </c>
      <c r="AW804" s="78" t="n">
        <v>48.9795918367347</v>
      </c>
      <c r="AX804" s="78" t="n">
        <v>29.64</v>
      </c>
      <c r="AY804" s="48" t="n">
        <v>1.34342677891249</v>
      </c>
      <c r="AZ804" s="48" t="n">
        <v>29.6480005474963</v>
      </c>
      <c r="BA804" s="48" t="n">
        <v>1.48115652622972</v>
      </c>
      <c r="BB804" s="49" t="n">
        <f aca="false">AT804/V804</f>
        <v>1.34342677891249</v>
      </c>
      <c r="BC804" s="49" t="n">
        <f aca="false">AS804/V804</f>
        <v>1.35317176740692</v>
      </c>
      <c r="BD804" s="49" t="n">
        <f aca="false">SUM(AP804:AR804)/V804</f>
        <v>0.163752116411134</v>
      </c>
      <c r="BE804" s="53" t="n">
        <v>6.62</v>
      </c>
      <c r="BF804" s="51" t="n">
        <v>113.415794114334</v>
      </c>
      <c r="BG804" s="51" t="n">
        <v>624.304435946311</v>
      </c>
      <c r="BH804" s="51" t="n">
        <v>220.158956002009</v>
      </c>
      <c r="BI804" s="51" t="n">
        <v>115.344031254456</v>
      </c>
      <c r="BJ804" s="51" t="n">
        <v>8.92564789608945</v>
      </c>
      <c r="BK804" s="51" t="n">
        <v>13.465031006459</v>
      </c>
      <c r="BL804" s="51" t="n">
        <v>12.9634829895887</v>
      </c>
      <c r="BM804" s="51" t="n">
        <v>4.83841490508742</v>
      </c>
      <c r="BN804" s="52" t="n">
        <f aca="false">(BG804*0.5-BH804*0.25+BI804*0.5)/SUM(BG804:BI804)*1000</f>
        <v>327.966305521454</v>
      </c>
      <c r="BO804" s="93" t="n">
        <v>6.63582857142857</v>
      </c>
      <c r="BP804" s="94" t="s">
        <v>491</v>
      </c>
      <c r="BQ804" s="55" t="n">
        <v>618.578333333333</v>
      </c>
      <c r="BR804" s="56" t="n">
        <v>19.8713486480954</v>
      </c>
      <c r="BS804" s="56"/>
      <c r="BT804" s="56" t="n">
        <v>14.7915382959549</v>
      </c>
      <c r="BU804" s="55" t="n">
        <v>14045.3075</v>
      </c>
      <c r="BV804" s="55" t="n">
        <v>451.194597615838</v>
      </c>
      <c r="BW804" s="55"/>
      <c r="BX804" s="55" t="n">
        <v>335.853508876071</v>
      </c>
      <c r="BY804" s="96" t="n">
        <v>0.08034</v>
      </c>
      <c r="BZ804" s="96" t="n">
        <v>0.7018</v>
      </c>
      <c r="CA804" s="97" t="n">
        <v>3.99</v>
      </c>
      <c r="CB804" s="97"/>
      <c r="CC804" s="97" t="n">
        <v>7.8309</v>
      </c>
      <c r="CD804" s="97" t="n">
        <v>7.46</v>
      </c>
      <c r="CE804" s="97" t="n">
        <v>90</v>
      </c>
      <c r="CF804" s="97" t="n">
        <v>34.6896</v>
      </c>
      <c r="CG804" s="97" t="n">
        <v>0.1446</v>
      </c>
      <c r="CH804" s="63" t="n">
        <v>66517.8601547609</v>
      </c>
      <c r="CI804" s="63" t="n">
        <v>2873.28146385631</v>
      </c>
      <c r="CJ804" s="64" t="n">
        <v>472780.501013801</v>
      </c>
      <c r="CK804" s="65" t="n">
        <v>0.607741109816294</v>
      </c>
    </row>
    <row r="805" s="1" customFormat="true" ht="15" hidden="false" customHeight="false" outlineLevel="0" collapsed="false">
      <c r="A805" s="7" t="s">
        <v>488</v>
      </c>
      <c r="B805" s="66" t="n">
        <v>796</v>
      </c>
      <c r="C805" s="8" t="s">
        <v>888</v>
      </c>
      <c r="D805" s="67" t="n">
        <v>42122</v>
      </c>
      <c r="E805" s="4" t="s">
        <v>583</v>
      </c>
      <c r="F805" s="7" t="n">
        <v>1310</v>
      </c>
      <c r="G805" s="68" t="n">
        <v>1</v>
      </c>
      <c r="H805" s="68" t="n">
        <v>125</v>
      </c>
      <c r="I805" s="7" t="n">
        <v>3</v>
      </c>
      <c r="J805" s="8" t="n">
        <v>825</v>
      </c>
      <c r="K805" s="32"/>
      <c r="L805" s="31" t="n">
        <v>929.382</v>
      </c>
      <c r="M805" s="31" t="n">
        <v>156.38069978578</v>
      </c>
      <c r="N805" s="31" t="n">
        <v>352.035091298582</v>
      </c>
      <c r="O805" s="95"/>
      <c r="P805" s="33" t="n">
        <v>40.3957972049373</v>
      </c>
      <c r="Q805" s="33" t="n">
        <v>7.5</v>
      </c>
      <c r="R805" s="31" t="n">
        <v>260.94052840967</v>
      </c>
      <c r="S805" s="34" t="s">
        <v>76</v>
      </c>
      <c r="T805" s="35"/>
      <c r="U805" s="35"/>
      <c r="V805" s="35" t="n">
        <v>20.9319714234931</v>
      </c>
      <c r="W805" s="35" t="n">
        <v>19.4537974655089</v>
      </c>
      <c r="X805" s="35" t="n">
        <v>3.2733563391018</v>
      </c>
      <c r="Y805" s="35" t="n">
        <v>7.3687884711287</v>
      </c>
      <c r="Z805" s="35"/>
      <c r="AA805" s="35" t="n">
        <v>0.845563672722969</v>
      </c>
      <c r="AB805" s="35" t="n">
        <v>0.156989785676198</v>
      </c>
      <c r="AC805" s="71" t="n">
        <v>5.46199968390241</v>
      </c>
      <c r="AD805" s="72"/>
      <c r="AE805" s="72"/>
      <c r="AF805" s="72"/>
      <c r="AG805" s="72"/>
      <c r="AH805" s="72"/>
      <c r="AI805" s="73" t="n">
        <v>29.0532735087476</v>
      </c>
      <c r="AJ805" s="42" t="s">
        <v>16</v>
      </c>
      <c r="AK805" s="43" t="n">
        <v>741.853529938998</v>
      </c>
      <c r="AL805" s="74"/>
      <c r="AM805" s="74"/>
      <c r="AN805" s="74"/>
      <c r="AO805" s="78" t="n">
        <v>39.7285714285714</v>
      </c>
      <c r="AP805" s="76" t="n">
        <v>1.39331189023326</v>
      </c>
      <c r="AQ805" s="76" t="n">
        <v>1.15955435235319</v>
      </c>
      <c r="AR805" s="76" t="n">
        <v>2.02954185755935</v>
      </c>
      <c r="AS805" s="77" t="n">
        <v>36.7911069249275</v>
      </c>
      <c r="AT805" s="78" t="n">
        <v>36.8840969667147</v>
      </c>
      <c r="AU805" s="78" t="n">
        <v>35.0707775319411</v>
      </c>
      <c r="AV805" s="78" t="n">
        <v>29.1869128603823</v>
      </c>
      <c r="AW805" s="78" t="n">
        <v>51.0851959831552</v>
      </c>
      <c r="AX805" s="78" t="n">
        <v>16.0866666666667</v>
      </c>
      <c r="AY805" s="48" t="n">
        <v>1.76209379520352</v>
      </c>
      <c r="AZ805" s="48" t="n">
        <v>28.1290136033283</v>
      </c>
      <c r="BA805" s="48" t="n">
        <v>-7.19704217983524</v>
      </c>
      <c r="BB805" s="49" t="n">
        <f aca="false">AT805/V805</f>
        <v>1.76209379520352</v>
      </c>
      <c r="BC805" s="49" t="n">
        <f aca="false">AS805/V805</f>
        <v>1.75765130672951</v>
      </c>
      <c r="BD805" s="49" t="n">
        <f aca="false">SUM(AP805:AR805)/V805</f>
        <v>0.218919088290113</v>
      </c>
      <c r="BE805" s="53" t="n">
        <v>6.75</v>
      </c>
      <c r="BF805" s="51" t="n">
        <v>108.468802700786</v>
      </c>
      <c r="BG805" s="51" t="n">
        <v>598.72551304352</v>
      </c>
      <c r="BH805" s="51" t="n">
        <v>216.354711760642</v>
      </c>
      <c r="BI805" s="51" t="n">
        <v>135.733239429436</v>
      </c>
      <c r="BJ805" s="51" t="n">
        <v>8.77337589424172</v>
      </c>
      <c r="BK805" s="51" t="n">
        <v>13.8396389861446</v>
      </c>
      <c r="BL805" s="51" t="n">
        <v>20.137697640758</v>
      </c>
      <c r="BM805" s="51" t="n">
        <v>6.43582324525778</v>
      </c>
      <c r="BN805" s="52" t="n">
        <f aca="false">(BG805*0.5-BH805*0.25+BI805*0.5)/SUM(BG805:BI805)*1000</f>
        <v>329.339781224832</v>
      </c>
      <c r="BO805" s="93" t="n">
        <v>7.87644</v>
      </c>
      <c r="BP805" s="94" t="s">
        <v>491</v>
      </c>
      <c r="BQ805" s="55" t="n">
        <v>574.583116883117</v>
      </c>
      <c r="BR805" s="56" t="n">
        <v>27.4500239494036</v>
      </c>
      <c r="BS805" s="56"/>
      <c r="BT805" s="56" t="n">
        <v>15.57807196423</v>
      </c>
      <c r="BU805" s="55" t="n">
        <v>15496.2352813853</v>
      </c>
      <c r="BV805" s="55" t="n">
        <v>740.314181013692</v>
      </c>
      <c r="BW805" s="55"/>
      <c r="BX805" s="55" t="n">
        <v>420.133243206945</v>
      </c>
      <c r="BY805" s="96" t="n">
        <v>0.29149</v>
      </c>
      <c r="BZ805" s="96" t="n">
        <v>0.7865</v>
      </c>
      <c r="CA805" s="97" t="n">
        <v>4.29</v>
      </c>
      <c r="CB805" s="97"/>
      <c r="CC805" s="97" t="n">
        <v>4.9203</v>
      </c>
      <c r="CD805" s="97" t="n">
        <v>7.23</v>
      </c>
      <c r="CE805" s="97" t="n">
        <v>84</v>
      </c>
      <c r="CF805" s="97" t="n">
        <v>38.6397</v>
      </c>
      <c r="CG805" s="97" t="n">
        <v>0.1016</v>
      </c>
      <c r="CH805" s="63" t="n">
        <v>33554.3091065142</v>
      </c>
      <c r="CI805" s="63" t="n">
        <v>4751.34595203355</v>
      </c>
      <c r="CJ805" s="64" t="n">
        <v>664867.20530302</v>
      </c>
      <c r="CK805" s="65" t="n">
        <v>0.714630818626115</v>
      </c>
    </row>
    <row r="806" s="1" customFormat="true" ht="15" hidden="false" customHeight="false" outlineLevel="0" collapsed="false">
      <c r="A806" s="7" t="s">
        <v>488</v>
      </c>
      <c r="B806" s="66" t="n">
        <v>797</v>
      </c>
      <c r="C806" s="8" t="s">
        <v>889</v>
      </c>
      <c r="D806" s="67" t="n">
        <v>42122</v>
      </c>
      <c r="E806" s="4" t="s">
        <v>583</v>
      </c>
      <c r="F806" s="7" t="n">
        <v>1348</v>
      </c>
      <c r="G806" s="68" t="n">
        <v>1</v>
      </c>
      <c r="H806" s="68" t="n">
        <v>153</v>
      </c>
      <c r="I806" s="7" t="n">
        <v>3</v>
      </c>
      <c r="J806" s="8" t="n">
        <v>830</v>
      </c>
      <c r="K806" s="32"/>
      <c r="L806" s="31" t="n">
        <v>929.382</v>
      </c>
      <c r="M806" s="31" t="n">
        <v>156.38069978578</v>
      </c>
      <c r="N806" s="31" t="n">
        <v>352.035091298582</v>
      </c>
      <c r="O806" s="95"/>
      <c r="P806" s="33" t="n">
        <v>40.3957972049373</v>
      </c>
      <c r="Q806" s="33" t="n">
        <v>7.5</v>
      </c>
      <c r="R806" s="31" t="n">
        <v>260.94052840967</v>
      </c>
      <c r="S806" s="34" t="s">
        <v>76</v>
      </c>
      <c r="T806" s="35"/>
      <c r="U806" s="35"/>
      <c r="V806" s="35" t="n">
        <v>22.1680498033116</v>
      </c>
      <c r="W806" s="35" t="n">
        <v>20.6025864623013</v>
      </c>
      <c r="X806" s="35" t="n">
        <v>3.46665514112788</v>
      </c>
      <c r="Y806" s="35" t="n">
        <v>7.8039314364203</v>
      </c>
      <c r="Z806" s="35"/>
      <c r="AA806" s="35" t="n">
        <v>0.895496044283524</v>
      </c>
      <c r="AB806" s="35" t="n">
        <v>0.166260373524837</v>
      </c>
      <c r="AC806" s="71" t="n">
        <v>5.78454262948801</v>
      </c>
      <c r="AD806" s="72"/>
      <c r="AE806" s="72"/>
      <c r="AF806" s="72"/>
      <c r="AG806" s="72"/>
      <c r="AH806" s="72"/>
      <c r="AI806" s="73" t="n">
        <v>25.7363621151059</v>
      </c>
      <c r="AJ806" s="42" t="s">
        <v>16</v>
      </c>
      <c r="AK806" s="43" t="n">
        <v>708.58352215996</v>
      </c>
      <c r="AL806" s="74"/>
      <c r="AM806" s="74"/>
      <c r="AN806" s="74"/>
      <c r="AO806" s="78" t="n">
        <v>49.2285714285714</v>
      </c>
      <c r="AP806" s="76" t="n">
        <v>1.4559472821175</v>
      </c>
      <c r="AQ806" s="76" t="n">
        <v>1.47709634874358</v>
      </c>
      <c r="AR806" s="76" t="n">
        <v>2.45784048313203</v>
      </c>
      <c r="AS806" s="77" t="n">
        <v>41.5306378031911</v>
      </c>
      <c r="AT806" s="78" t="n">
        <v>42.4140845746083</v>
      </c>
      <c r="AU806" s="78" t="n">
        <v>29.5752494916498</v>
      </c>
      <c r="AV806" s="78" t="n">
        <v>30.0048590864917</v>
      </c>
      <c r="AW806" s="78" t="n">
        <v>49.9271137026239</v>
      </c>
      <c r="AX806" s="78" t="n">
        <v>24.84</v>
      </c>
      <c r="AY806" s="48" t="n">
        <v>1.91329796490588</v>
      </c>
      <c r="AZ806" s="48" t="n">
        <v>30.1918552108164</v>
      </c>
      <c r="BA806" s="48" t="n">
        <v>-8.02380540750483</v>
      </c>
      <c r="BB806" s="49" t="n">
        <f aca="false">AT806/V806</f>
        <v>1.91329796490588</v>
      </c>
      <c r="BC806" s="49" t="n">
        <f aca="false">AS806/V806</f>
        <v>1.87344571000499</v>
      </c>
      <c r="BD806" s="49" t="n">
        <f aca="false">SUM(AP806:AR806)/V806</f>
        <v>0.243182605679088</v>
      </c>
      <c r="BE806" s="53" t="n">
        <v>6.89</v>
      </c>
      <c r="BF806" s="51" t="n">
        <v>98.3426398337971</v>
      </c>
      <c r="BG806" s="51" t="n">
        <v>587.71701155857</v>
      </c>
      <c r="BH806" s="51" t="n">
        <v>257.56738934478</v>
      </c>
      <c r="BI806" s="51" t="n">
        <v>110.464141368429</v>
      </c>
      <c r="BJ806" s="51" t="n">
        <v>7.3661232140778</v>
      </c>
      <c r="BK806" s="51" t="n">
        <v>16.3435755721174</v>
      </c>
      <c r="BL806" s="51" t="n">
        <v>14.0118712166557</v>
      </c>
      <c r="BM806" s="51" t="n">
        <v>6.52988772536993</v>
      </c>
      <c r="BN806" s="52" t="n">
        <f aca="false">(BG806*0.5-BH806*0.25+BI806*0.5)/SUM(BG806:BI806)*1000</f>
        <v>297.880369715852</v>
      </c>
      <c r="BO806" s="93" t="n">
        <v>4.01034857142857</v>
      </c>
      <c r="BP806" s="94" t="s">
        <v>491</v>
      </c>
      <c r="BQ806" s="55" t="n">
        <v>545.773368606702</v>
      </c>
      <c r="BR806" s="56" t="n">
        <v>24.6198187684138</v>
      </c>
      <c r="BS806" s="56"/>
      <c r="BT806" s="56" t="n">
        <v>12.8677389617277</v>
      </c>
      <c r="BU806" s="55" t="n">
        <v>15339.3797178131</v>
      </c>
      <c r="BV806" s="55" t="n">
        <v>691.958916274249</v>
      </c>
      <c r="BW806" s="55"/>
      <c r="BX806" s="55" t="n">
        <v>361.657686866502</v>
      </c>
      <c r="BY806" s="96" t="n">
        <v>0.08549</v>
      </c>
      <c r="BZ806" s="96" t="n">
        <v>0.8525</v>
      </c>
      <c r="CA806" s="97" t="n">
        <v>4.06</v>
      </c>
      <c r="CB806" s="97"/>
      <c r="CC806" s="97" t="n">
        <v>5.1282</v>
      </c>
      <c r="CD806" s="97" t="n">
        <v>6.83</v>
      </c>
      <c r="CE806" s="97" t="n">
        <v>85</v>
      </c>
      <c r="CF806" s="97" t="n">
        <v>37.2042</v>
      </c>
      <c r="CG806" s="97" t="n">
        <v>0.523</v>
      </c>
      <c r="CH806" s="63" t="n">
        <v>16591.8642061529</v>
      </c>
      <c r="CI806" s="63" t="n">
        <v>4692.27350785181</v>
      </c>
      <c r="CJ806" s="64" t="n">
        <v>772915.260281864</v>
      </c>
      <c r="CK806" s="65" t="n">
        <v>0.607087704044122</v>
      </c>
    </row>
    <row r="807" s="1" customFormat="true" ht="15" hidden="false" customHeight="false" outlineLevel="0" collapsed="false">
      <c r="A807" s="7" t="s">
        <v>488</v>
      </c>
      <c r="B807" s="66" t="n">
        <v>798</v>
      </c>
      <c r="C807" s="8" t="s">
        <v>890</v>
      </c>
      <c r="D807" s="67" t="n">
        <v>42122</v>
      </c>
      <c r="E807" s="4" t="s">
        <v>583</v>
      </c>
      <c r="F807" s="7" t="n">
        <v>1743</v>
      </c>
      <c r="G807" s="68" t="n">
        <v>1</v>
      </c>
      <c r="H807" s="68" t="n">
        <v>144</v>
      </c>
      <c r="I807" s="7" t="n">
        <v>2</v>
      </c>
      <c r="J807" s="8" t="n">
        <v>825</v>
      </c>
      <c r="K807" s="32"/>
      <c r="L807" s="31" t="n">
        <v>929.382</v>
      </c>
      <c r="M807" s="31" t="n">
        <v>156.38069978578</v>
      </c>
      <c r="N807" s="31" t="n">
        <v>352.035091298582</v>
      </c>
      <c r="O807" s="95"/>
      <c r="P807" s="33" t="n">
        <v>40.3957972049373</v>
      </c>
      <c r="Q807" s="33" t="n">
        <v>7.5</v>
      </c>
      <c r="R807" s="31" t="n">
        <v>260.94052840967</v>
      </c>
      <c r="S807" s="34" t="s">
        <v>76</v>
      </c>
      <c r="T807" s="35"/>
      <c r="U807" s="35"/>
      <c r="V807" s="35" t="n">
        <v>18.3985594406068</v>
      </c>
      <c r="W807" s="35" t="n">
        <v>17.09928997003</v>
      </c>
      <c r="X807" s="35" t="n">
        <v>2.87717960037235</v>
      </c>
      <c r="Y807" s="35" t="n">
        <v>6.47693855243639</v>
      </c>
      <c r="Z807" s="35"/>
      <c r="AA807" s="35" t="n">
        <v>0.743224476025734</v>
      </c>
      <c r="AB807" s="35" t="n">
        <v>0.137989195804551</v>
      </c>
      <c r="AC807" s="71" t="n">
        <v>4.80092982240866</v>
      </c>
      <c r="AD807" s="72"/>
      <c r="AE807" s="72"/>
      <c r="AF807" s="72"/>
      <c r="AG807" s="72"/>
      <c r="AH807" s="72"/>
      <c r="AI807" s="73" t="n">
        <v>24.4839826321017</v>
      </c>
      <c r="AJ807" s="42" t="s">
        <v>16</v>
      </c>
      <c r="AK807" s="43" t="n">
        <v>693.677286383689</v>
      </c>
      <c r="AL807" s="74"/>
      <c r="AM807" s="74"/>
      <c r="AN807" s="74"/>
      <c r="AO807" s="78" t="n">
        <v>44.5142857142857</v>
      </c>
      <c r="AP807" s="76" t="n">
        <v>1.13363496946868</v>
      </c>
      <c r="AQ807" s="76" t="n">
        <v>1.31834096904068</v>
      </c>
      <c r="AR807" s="76" t="n">
        <v>2.17380258225739</v>
      </c>
      <c r="AS807" s="77" t="n">
        <v>34.8102388277444</v>
      </c>
      <c r="AT807" s="78" t="n">
        <v>35.7319143968973</v>
      </c>
      <c r="AU807" s="78" t="n">
        <v>25.4667676068059</v>
      </c>
      <c r="AV807" s="78" t="n">
        <v>29.6161321671526</v>
      </c>
      <c r="AW807" s="78" t="n">
        <v>48.8338192419825</v>
      </c>
      <c r="AX807" s="78" t="n">
        <v>24.38</v>
      </c>
      <c r="AY807" s="48" t="n">
        <v>1.94210391918156</v>
      </c>
      <c r="AZ807" s="48" t="n">
        <v>27.5852850524208</v>
      </c>
      <c r="BA807" s="48" t="n">
        <v>-9.1867256118141</v>
      </c>
      <c r="BB807" s="49" t="n">
        <f aca="false">AT807/V807</f>
        <v>1.94210391918156</v>
      </c>
      <c r="BC807" s="49" t="n">
        <f aca="false">AS807/V807</f>
        <v>1.89200893364054</v>
      </c>
      <c r="BD807" s="49" t="n">
        <f aca="false">SUM(AP807:AR807)/V807</f>
        <v>0.251420690608927</v>
      </c>
      <c r="BE807" s="53" t="n">
        <v>6.62</v>
      </c>
      <c r="BF807" s="51" t="n">
        <v>108.212996313805</v>
      </c>
      <c r="BG807" s="51" t="n">
        <v>550.387146947832</v>
      </c>
      <c r="BH807" s="51" t="n">
        <v>300.466750991872</v>
      </c>
      <c r="BI807" s="51" t="n">
        <v>105.017271743561</v>
      </c>
      <c r="BJ807" s="51" t="n">
        <v>7.14195653395642</v>
      </c>
      <c r="BK807" s="51" t="n">
        <v>21.538685162419</v>
      </c>
      <c r="BL807" s="51" t="n">
        <v>12.0156535679176</v>
      </c>
      <c r="BM807" s="51" t="n">
        <v>3.43253505244259</v>
      </c>
      <c r="BN807" s="52" t="n">
        <f aca="false">(BG807*0.5-BH807*0.25+BI807*0.5)/SUM(BG807:BI807)*1000</f>
        <v>264.246406428833</v>
      </c>
      <c r="BO807" s="93" t="n">
        <v>4.76048571428571</v>
      </c>
      <c r="BP807" s="94" t="s">
        <v>491</v>
      </c>
      <c r="BQ807" s="55" t="n">
        <v>510.346169772257</v>
      </c>
      <c r="BR807" s="56" t="n">
        <v>27.738376551693</v>
      </c>
      <c r="BS807" s="56"/>
      <c r="BT807" s="56" t="n">
        <v>14.2826427966751</v>
      </c>
      <c r="BU807" s="55" t="n">
        <v>14362.616252588</v>
      </c>
      <c r="BV807" s="55" t="n">
        <v>780.638087397691</v>
      </c>
      <c r="BW807" s="55"/>
      <c r="BX807" s="55" t="n">
        <v>401.954848907707</v>
      </c>
      <c r="BY807" s="96" t="n">
        <v>0.08034</v>
      </c>
      <c r="BZ807" s="96" t="n">
        <v>0.7689</v>
      </c>
      <c r="CA807" s="97" t="n">
        <v>3.94</v>
      </c>
      <c r="CB807" s="97"/>
      <c r="CC807" s="97" t="n">
        <v>6.0192</v>
      </c>
      <c r="CD807" s="97" t="n">
        <v>7.14</v>
      </c>
      <c r="CE807" s="97" t="n">
        <v>86</v>
      </c>
      <c r="CF807" s="97" t="n">
        <v>37.7982</v>
      </c>
      <c r="CG807" s="97" t="n">
        <v>0.1446</v>
      </c>
      <c r="CH807" s="63" t="n">
        <v>12113.4233092608</v>
      </c>
      <c r="CI807" s="63" t="n">
        <v>5485.10489187898</v>
      </c>
      <c r="CJ807" s="64" t="n">
        <v>1051857.13186461</v>
      </c>
      <c r="CK807" s="65" t="n">
        <v>0.521468622088974</v>
      </c>
    </row>
    <row r="808" s="1" customFormat="true" ht="15" hidden="false" customHeight="false" outlineLevel="0" collapsed="false">
      <c r="A808" s="7" t="s">
        <v>488</v>
      </c>
      <c r="B808" s="66" t="n">
        <v>799</v>
      </c>
      <c r="C808" s="8" t="s">
        <v>891</v>
      </c>
      <c r="D808" s="67" t="n">
        <v>42122</v>
      </c>
      <c r="E808" s="4" t="s">
        <v>583</v>
      </c>
      <c r="F808" s="7" t="n">
        <v>1745</v>
      </c>
      <c r="G808" s="68" t="n">
        <v>1</v>
      </c>
      <c r="H808" s="68" t="n">
        <v>127</v>
      </c>
      <c r="I808" s="7" t="n">
        <v>2</v>
      </c>
      <c r="J808" s="8" t="n">
        <v>740</v>
      </c>
      <c r="K808" s="32"/>
      <c r="L808" s="31" t="n">
        <v>929.382</v>
      </c>
      <c r="M808" s="31" t="n">
        <v>156.38069978578</v>
      </c>
      <c r="N808" s="31" t="n">
        <v>352.035091298582</v>
      </c>
      <c r="O808" s="95"/>
      <c r="P808" s="33" t="n">
        <v>40.3957972049373</v>
      </c>
      <c r="Q808" s="33" t="n">
        <v>7.5</v>
      </c>
      <c r="R808" s="31" t="n">
        <v>260.94052840967</v>
      </c>
      <c r="S808" s="34" t="s">
        <v>76</v>
      </c>
      <c r="T808" s="35"/>
      <c r="U808" s="35"/>
      <c r="V808" s="35" t="n">
        <v>31.2503247721158</v>
      </c>
      <c r="W808" s="35" t="n">
        <v>29.0434893373585</v>
      </c>
      <c r="X808" s="35" t="n">
        <v>4.88694765639635</v>
      </c>
      <c r="Y808" s="35" t="n">
        <v>11.0012109342621</v>
      </c>
      <c r="Z808" s="35"/>
      <c r="AA808" s="35" t="n">
        <v>1.26238178208282</v>
      </c>
      <c r="AB808" s="35" t="n">
        <v>0.234377435790868</v>
      </c>
      <c r="AC808" s="71" t="n">
        <v>8.1544762590097</v>
      </c>
      <c r="AD808" s="72"/>
      <c r="AE808" s="72"/>
      <c r="AF808" s="72"/>
      <c r="AG808" s="72"/>
      <c r="AH808" s="72"/>
      <c r="AI808" s="73" t="n">
        <v>25.0985736005435</v>
      </c>
      <c r="AJ808" s="42" t="s">
        <v>16</v>
      </c>
      <c r="AK808" s="43" t="n">
        <v>701.178237482085</v>
      </c>
      <c r="AL808" s="74"/>
      <c r="AM808" s="74"/>
      <c r="AN808" s="74"/>
      <c r="AO808" s="78" t="n">
        <v>42.1</v>
      </c>
      <c r="AP808" s="76" t="n">
        <v>1.59768410753307</v>
      </c>
      <c r="AQ808" s="76" t="n">
        <v>1.36753401360544</v>
      </c>
      <c r="AR808" s="76" t="n">
        <v>2.04260689990282</v>
      </c>
      <c r="AS808" s="77" t="n">
        <v>40.8052616129961</v>
      </c>
      <c r="AT808" s="78" t="n">
        <v>41.0642715197965</v>
      </c>
      <c r="AU808" s="78" t="n">
        <v>37.9497412715694</v>
      </c>
      <c r="AV808" s="78" t="n">
        <v>32.4829931972789</v>
      </c>
      <c r="AW808" s="78" t="n">
        <v>48.5179786200194</v>
      </c>
      <c r="AX808" s="78" t="n">
        <v>31.25</v>
      </c>
      <c r="AY808" s="48" t="n">
        <v>1.31404303216834</v>
      </c>
      <c r="AZ808" s="48" t="n">
        <v>28.474843218762</v>
      </c>
      <c r="BA808" s="48" t="n">
        <v>2.77548155335373</v>
      </c>
      <c r="BB808" s="49" t="n">
        <f aca="false">AT808/V808</f>
        <v>1.31404303216834</v>
      </c>
      <c r="BC808" s="49" t="n">
        <f aca="false">AS808/V808</f>
        <v>1.30575480128789</v>
      </c>
      <c r="BD808" s="49" t="n">
        <f aca="false">SUM(AP808:AR808)/V808</f>
        <v>0.160248735255057</v>
      </c>
      <c r="BE808" s="53" t="n">
        <v>6.38</v>
      </c>
      <c r="BF808" s="51" t="n">
        <v>124.462224393879</v>
      </c>
      <c r="BG808" s="51" t="n">
        <v>593.564893424822</v>
      </c>
      <c r="BH808" s="51" t="n">
        <v>237.469250555389</v>
      </c>
      <c r="BI808" s="51" t="n">
        <v>128.521847288904</v>
      </c>
      <c r="BJ808" s="51" t="n">
        <v>6.42385650688998</v>
      </c>
      <c r="BK808" s="51" t="n">
        <v>16.1423240013389</v>
      </c>
      <c r="BL808" s="51" t="n">
        <v>9.75344732708023</v>
      </c>
      <c r="BM808" s="51" t="n">
        <v>8.12438089557581</v>
      </c>
      <c r="BN808" s="52" t="n">
        <f aca="false">(BG808*0.5-BH808*0.25+BI808*0.5)/SUM(BG808:BI808)*1000</f>
        <v>314.391302292863</v>
      </c>
      <c r="BO808" s="93" t="n">
        <v>4.73163428571429</v>
      </c>
      <c r="BP808" s="94" t="s">
        <v>491</v>
      </c>
      <c r="BQ808" s="55" t="n">
        <v>630.312724014337</v>
      </c>
      <c r="BR808" s="56" t="n">
        <v>20.1697975496484</v>
      </c>
      <c r="BS808" s="56"/>
      <c r="BT808" s="56" t="n">
        <v>15.3494193537677</v>
      </c>
      <c r="BU808" s="55" t="n">
        <v>14938.1885304659</v>
      </c>
      <c r="BV808" s="55" t="n">
        <v>478.017065083275</v>
      </c>
      <c r="BW808" s="55"/>
      <c r="BX808" s="55" t="n">
        <v>363.775807474497</v>
      </c>
      <c r="BY808" s="96" t="n">
        <v>0.0618</v>
      </c>
      <c r="BZ808" s="96" t="n">
        <v>0.8657</v>
      </c>
      <c r="CA808" s="97" t="n">
        <v>3.91</v>
      </c>
      <c r="CB808" s="97"/>
      <c r="CC808" s="97" t="n">
        <v>5.8608</v>
      </c>
      <c r="CD808" s="97" t="n">
        <v>5.95</v>
      </c>
      <c r="CE808" s="97" t="n">
        <v>87</v>
      </c>
      <c r="CF808" s="97" t="n">
        <v>35.2737</v>
      </c>
      <c r="CG808" s="97" t="n">
        <v>0.91</v>
      </c>
      <c r="CH808" s="63" t="n">
        <v>76714.6832386389</v>
      </c>
      <c r="CI808" s="63" t="n">
        <v>4514.82802295724</v>
      </c>
      <c r="CJ808" s="64" t="n">
        <v>734806.742939633</v>
      </c>
      <c r="CK808" s="65" t="n">
        <v>0.614423869451093</v>
      </c>
    </row>
    <row r="809" s="1" customFormat="true" ht="15" hidden="false" customHeight="false" outlineLevel="0" collapsed="false">
      <c r="A809" s="7" t="s">
        <v>488</v>
      </c>
      <c r="B809" s="66" t="n">
        <v>1007</v>
      </c>
      <c r="C809" s="8" t="s">
        <v>892</v>
      </c>
      <c r="D809" s="67" t="n">
        <v>42122</v>
      </c>
      <c r="E809" s="4" t="s">
        <v>583</v>
      </c>
      <c r="F809" s="7" t="n">
        <v>1747</v>
      </c>
      <c r="G809" s="68" t="n">
        <v>1</v>
      </c>
      <c r="H809" s="68" t="n">
        <v>140</v>
      </c>
      <c r="I809" s="7" t="n">
        <v>2</v>
      </c>
      <c r="J809" s="8" t="n">
        <v>820</v>
      </c>
      <c r="K809" s="32"/>
      <c r="L809" s="31" t="n">
        <v>929.382</v>
      </c>
      <c r="M809" s="31" t="n">
        <v>156.38069978578</v>
      </c>
      <c r="N809" s="31" t="n">
        <v>352.035091298582</v>
      </c>
      <c r="O809" s="95"/>
      <c r="P809" s="33" t="n">
        <v>40.3957972049373</v>
      </c>
      <c r="Q809" s="33" t="n">
        <v>7.5</v>
      </c>
      <c r="R809" s="31" t="n">
        <v>260.94052840967</v>
      </c>
      <c r="S809" s="34" t="s">
        <v>76</v>
      </c>
      <c r="T809" s="35"/>
      <c r="U809" s="35"/>
      <c r="V809" s="35" t="n">
        <v>20.3492390234805</v>
      </c>
      <c r="W809" s="35" t="n">
        <v>18.9122164621204</v>
      </c>
      <c r="X809" s="35" t="n">
        <v>3.18222823859998</v>
      </c>
      <c r="Y809" s="35" t="n">
        <v>7.16364621748763</v>
      </c>
      <c r="Z809" s="35"/>
      <c r="AA809" s="35" t="n">
        <v>0.822023732867314</v>
      </c>
      <c r="AB809" s="35" t="n">
        <v>0.152619292676104</v>
      </c>
      <c r="AC809" s="71" t="n">
        <v>5.30994118352169</v>
      </c>
      <c r="AD809" s="72"/>
      <c r="AE809" s="72"/>
      <c r="AF809" s="72"/>
      <c r="AG809" s="72"/>
      <c r="AH809" s="72"/>
      <c r="AI809" s="73" t="n">
        <v>24.5734954945469</v>
      </c>
      <c r="AJ809" s="42" t="s">
        <v>16</v>
      </c>
      <c r="AK809" s="43" t="n">
        <v>694.793115547428</v>
      </c>
      <c r="AL809" s="74"/>
      <c r="AM809" s="74"/>
      <c r="AN809" s="74"/>
      <c r="AO809" s="78" t="n">
        <v>39.8142857142857</v>
      </c>
      <c r="AP809" s="76" t="n">
        <v>1.38318881436217</v>
      </c>
      <c r="AQ809" s="76" t="n">
        <v>1.18107975843399</v>
      </c>
      <c r="AR809" s="76" t="n">
        <v>1.94912015826739</v>
      </c>
      <c r="AS809" s="77" t="n">
        <v>36.6735465011469</v>
      </c>
      <c r="AT809" s="78" t="n">
        <v>36.5034601516567</v>
      </c>
      <c r="AU809" s="78" t="n">
        <v>34.7410179423582</v>
      </c>
      <c r="AV809" s="78" t="n">
        <v>29.66472303207</v>
      </c>
      <c r="AW809" s="78" t="n">
        <v>48.955296404276</v>
      </c>
      <c r="AX809" s="78" t="n">
        <v>32.495</v>
      </c>
      <c r="AY809" s="48" t="n">
        <v>1.79384890558002</v>
      </c>
      <c r="AZ809" s="48" t="n">
        <v>28.1732631406587</v>
      </c>
      <c r="BA809" s="48" t="n">
        <v>-7.82402411717822</v>
      </c>
      <c r="BB809" s="49" t="n">
        <f aca="false">AT809/V809</f>
        <v>1.79384890558002</v>
      </c>
      <c r="BC809" s="49" t="n">
        <f aca="false">AS809/V809</f>
        <v>1.80220726970823</v>
      </c>
      <c r="BD809" s="49" t="n">
        <f aca="false">SUM(AP809:AR809)/V809</f>
        <v>0.221796437982553</v>
      </c>
      <c r="BE809" s="53" t="n">
        <v>6.48</v>
      </c>
      <c r="BF809" s="51" t="n">
        <v>123.72624368098</v>
      </c>
      <c r="BG809" s="51" t="n">
        <v>609.880533629994</v>
      </c>
      <c r="BH809" s="51" t="n">
        <v>201.296448292205</v>
      </c>
      <c r="BI809" s="51" t="n">
        <v>146.117986083959</v>
      </c>
      <c r="BJ809" s="51" t="n">
        <v>6.98258509167574</v>
      </c>
      <c r="BK809" s="51" t="n">
        <v>14.3250847485623</v>
      </c>
      <c r="BL809" s="51" t="n">
        <v>12.4477885901196</v>
      </c>
      <c r="BM809" s="51" t="n">
        <v>8.94957356348437</v>
      </c>
      <c r="BN809" s="52" t="n">
        <f aca="false">(BG809*0.5-BH809*0.25+BI809*0.5)/SUM(BG809:BI809)*1000</f>
        <v>342.292771543971</v>
      </c>
      <c r="BO809" s="93" t="n">
        <v>4.44312</v>
      </c>
      <c r="BP809" s="94" t="s">
        <v>491</v>
      </c>
      <c r="BQ809" s="55" t="n">
        <v>541.439751552795</v>
      </c>
      <c r="BR809" s="56" t="n">
        <v>26.6073709649801</v>
      </c>
      <c r="BS809" s="56"/>
      <c r="BT809" s="56" t="n">
        <v>14.8325596889538</v>
      </c>
      <c r="BU809" s="55" t="n">
        <v>13512.7579710145</v>
      </c>
      <c r="BV809" s="55" t="n">
        <v>664.042422196842</v>
      </c>
      <c r="BW809" s="55"/>
      <c r="BX809" s="55" t="n">
        <v>370.177454818656</v>
      </c>
      <c r="BY809" s="96" t="n">
        <v>0.09373</v>
      </c>
      <c r="BZ809" s="96" t="n">
        <v>1.4817</v>
      </c>
      <c r="CA809" s="97" t="n">
        <v>3.49</v>
      </c>
      <c r="CB809" s="97"/>
      <c r="CC809" s="97" t="n">
        <v>6.7023</v>
      </c>
      <c r="CD809" s="97" t="n">
        <v>5.75</v>
      </c>
      <c r="CE809" s="97" t="n">
        <v>86</v>
      </c>
      <c r="CF809" s="97" t="n">
        <v>35.1351</v>
      </c>
      <c r="CG809" s="97" t="n">
        <v>0.5574</v>
      </c>
      <c r="CH809" s="63" t="n">
        <v>99889.9645491636</v>
      </c>
      <c r="CI809" s="63" t="n">
        <v>2861.6033151874</v>
      </c>
      <c r="CJ809" s="64" t="n">
        <v>249034.703452012</v>
      </c>
      <c r="CK809" s="65" t="n">
        <v>1.14907813068664</v>
      </c>
    </row>
    <row r="810" s="1" customFormat="true" ht="15" hidden="false" customHeight="false" outlineLevel="0" collapsed="false">
      <c r="A810" s="7" t="s">
        <v>488</v>
      </c>
      <c r="B810" s="66" t="n">
        <v>1008</v>
      </c>
      <c r="C810" s="8" t="s">
        <v>893</v>
      </c>
      <c r="D810" s="67" t="n">
        <v>42122</v>
      </c>
      <c r="E810" s="4" t="s">
        <v>583</v>
      </c>
      <c r="F810" s="7" t="n">
        <v>1749</v>
      </c>
      <c r="G810" s="68" t="n">
        <v>1</v>
      </c>
      <c r="H810" s="68" t="n">
        <v>191</v>
      </c>
      <c r="I810" s="7" t="n">
        <v>2</v>
      </c>
      <c r="J810" s="8" t="n">
        <v>780</v>
      </c>
      <c r="K810" s="32"/>
      <c r="L810" s="31" t="n">
        <v>929.382</v>
      </c>
      <c r="M810" s="31" t="n">
        <v>156.38069978578</v>
      </c>
      <c r="N810" s="31" t="n">
        <v>352.035091298582</v>
      </c>
      <c r="O810" s="95"/>
      <c r="P810" s="33" t="n">
        <v>40.3957972049373</v>
      </c>
      <c r="Q810" s="33" t="n">
        <v>7.5</v>
      </c>
      <c r="R810" s="31" t="n">
        <v>260.94052840967</v>
      </c>
      <c r="S810" s="34" t="s">
        <v>76</v>
      </c>
      <c r="T810" s="35"/>
      <c r="U810" s="35"/>
      <c r="V810" s="35" t="n">
        <v>30.8215440248851</v>
      </c>
      <c r="W810" s="35" t="n">
        <v>28.6449882289358</v>
      </c>
      <c r="X810" s="35" t="n">
        <v>4.81989462308975</v>
      </c>
      <c r="Y810" s="35" t="n">
        <v>10.8502650647637</v>
      </c>
      <c r="Z810" s="35"/>
      <c r="AA810" s="35" t="n">
        <v>1.2450608419723</v>
      </c>
      <c r="AB810" s="35" t="n">
        <v>0.231161580186638</v>
      </c>
      <c r="AC810" s="71" t="n">
        <v>8.04258998425544</v>
      </c>
      <c r="AD810" s="72"/>
      <c r="AE810" s="72"/>
      <c r="AF810" s="72"/>
      <c r="AG810" s="72"/>
      <c r="AH810" s="72"/>
      <c r="AI810" s="73" t="n">
        <v>23.4865427020311</v>
      </c>
      <c r="AJ810" s="42" t="s">
        <v>16</v>
      </c>
      <c r="AK810" s="43" t="n">
        <v>680.668198161349</v>
      </c>
      <c r="AL810" s="74"/>
      <c r="AM810" s="74"/>
      <c r="AN810" s="74"/>
      <c r="AO810" s="78" t="n">
        <v>36.5571428571429</v>
      </c>
      <c r="AP810" s="76" t="n">
        <v>1.29699793544804</v>
      </c>
      <c r="AQ810" s="76" t="n">
        <v>1.19370262390671</v>
      </c>
      <c r="AR810" s="76" t="n">
        <v>1.76302061640983</v>
      </c>
      <c r="AS810" s="77" t="n">
        <v>34.0778261745778</v>
      </c>
      <c r="AT810" s="78" t="n">
        <v>34.547680980498</v>
      </c>
      <c r="AU810" s="78" t="n">
        <v>35.4786461435573</v>
      </c>
      <c r="AV810" s="78" t="n">
        <v>32.6530612244898</v>
      </c>
      <c r="AW810" s="78" t="n">
        <v>48.2264334305151</v>
      </c>
      <c r="AX810" s="78" t="n">
        <v>20.7575</v>
      </c>
      <c r="AY810" s="48" t="n">
        <v>1.1208939095525</v>
      </c>
      <c r="AZ810" s="48" t="n">
        <v>26.8934019123718</v>
      </c>
      <c r="BA810" s="48" t="n">
        <v>3.92814211251326</v>
      </c>
      <c r="BB810" s="49" t="n">
        <f aca="false">AT810/V810</f>
        <v>1.1208939095525</v>
      </c>
      <c r="BC810" s="49" t="n">
        <f aca="false">AS810/V810</f>
        <v>1.10564954653354</v>
      </c>
      <c r="BD810" s="49" t="n">
        <f aca="false">SUM(AP810:AR810)/V810</f>
        <v>0.138011294058797</v>
      </c>
      <c r="BE810" s="53" t="n">
        <v>6.68</v>
      </c>
      <c r="BF810" s="51" t="n">
        <v>109.132958139217</v>
      </c>
      <c r="BG810" s="51" t="n">
        <v>629.997490730314</v>
      </c>
      <c r="BH810" s="51" t="n">
        <v>190.587979859172</v>
      </c>
      <c r="BI810" s="51" t="n">
        <v>136.445359423241</v>
      </c>
      <c r="BJ810" s="51" t="n">
        <v>9.56730325093663</v>
      </c>
      <c r="BK810" s="51" t="n">
        <v>13.8770481526929</v>
      </c>
      <c r="BL810" s="51" t="n">
        <v>13.7618253256383</v>
      </c>
      <c r="BM810" s="51" t="n">
        <v>5.76299325800615</v>
      </c>
      <c r="BN810" s="52" t="n">
        <f aca="false">(BG810*0.5-BH810*0.25+BI810*0.5)/SUM(BG810:BI810)*1000</f>
        <v>350.641191054965</v>
      </c>
      <c r="BO810" s="93" t="n">
        <v>2.19270857142857</v>
      </c>
      <c r="BP810" s="94" t="s">
        <v>491</v>
      </c>
      <c r="BQ810" s="55" t="n">
        <v>712.719298245614</v>
      </c>
      <c r="BR810" s="56" t="n">
        <v>23.1240621063685</v>
      </c>
      <c r="BS810" s="56"/>
      <c r="BT810" s="56" t="n">
        <v>20.6300185140629</v>
      </c>
      <c r="BU810" s="55" t="n">
        <v>14887.7456140351</v>
      </c>
      <c r="BV810" s="55" t="n">
        <v>483.030493281415</v>
      </c>
      <c r="BW810" s="55"/>
      <c r="BX810" s="55" t="n">
        <v>430.933283841516</v>
      </c>
      <c r="BY810" s="96" t="n">
        <v>0.07313</v>
      </c>
      <c r="BZ810" s="96" t="n">
        <v>1.1407</v>
      </c>
      <c r="CA810" s="97" t="n">
        <v>3.95</v>
      </c>
      <c r="CB810" s="97"/>
      <c r="CC810" s="97" t="n">
        <v>6.6429</v>
      </c>
      <c r="CD810" s="97" t="n">
        <v>5.85</v>
      </c>
      <c r="CE810" s="97" t="n">
        <v>86</v>
      </c>
      <c r="CF810" s="97" t="n">
        <v>33.2838</v>
      </c>
      <c r="CG810" s="97" t="n">
        <v>0.179</v>
      </c>
      <c r="CH810" s="63" t="n">
        <v>110489.977414016</v>
      </c>
      <c r="CI810" s="63" t="n">
        <v>13738.324364996</v>
      </c>
      <c r="CJ810" s="64" t="n">
        <v>1435484.43152863</v>
      </c>
      <c r="CK810" s="65" t="n">
        <v>0.957051435964807</v>
      </c>
    </row>
    <row r="811" s="1" customFormat="true" ht="15" hidden="false" customHeight="false" outlineLevel="0" collapsed="false">
      <c r="A811" s="7" t="s">
        <v>488</v>
      </c>
      <c r="B811" s="66" t="n">
        <v>1009</v>
      </c>
      <c r="C811" s="8" t="s">
        <v>894</v>
      </c>
      <c r="D811" s="67" t="n">
        <v>42122</v>
      </c>
      <c r="E811" s="4" t="s">
        <v>583</v>
      </c>
      <c r="F811" s="7" t="n">
        <v>1795</v>
      </c>
      <c r="G811" s="68" t="n">
        <v>1</v>
      </c>
      <c r="H811" s="68" t="n">
        <v>162</v>
      </c>
      <c r="I811" s="7" t="n">
        <v>2</v>
      </c>
      <c r="J811" s="8" t="n">
        <v>800</v>
      </c>
      <c r="K811" s="32"/>
      <c r="L811" s="31" t="n">
        <v>929.382</v>
      </c>
      <c r="M811" s="31" t="n">
        <v>156.38069978578</v>
      </c>
      <c r="N811" s="31" t="n">
        <v>352.035091298582</v>
      </c>
      <c r="O811" s="95"/>
      <c r="P811" s="33" t="n">
        <v>40.3957972049373</v>
      </c>
      <c r="Q811" s="33" t="n">
        <v>7.5</v>
      </c>
      <c r="R811" s="31" t="n">
        <v>260.94052840967</v>
      </c>
      <c r="S811" s="34" t="s">
        <v>76</v>
      </c>
      <c r="T811" s="35"/>
      <c r="U811" s="35"/>
      <c r="V811" s="35" t="n">
        <v>21.4743677032218</v>
      </c>
      <c r="W811" s="35" t="n">
        <v>19.9578908047557</v>
      </c>
      <c r="X811" s="35" t="n">
        <v>3.35817664888697</v>
      </c>
      <c r="Y811" s="35" t="n">
        <v>7.559730994983</v>
      </c>
      <c r="Z811" s="35"/>
      <c r="AA811" s="35" t="n">
        <v>0.867474202843601</v>
      </c>
      <c r="AB811" s="35" t="n">
        <v>0.161057757774163</v>
      </c>
      <c r="AC811" s="71" t="n">
        <v>5.60353285574225</v>
      </c>
      <c r="AD811" s="72"/>
      <c r="AE811" s="72"/>
      <c r="AF811" s="72"/>
      <c r="AG811" s="72"/>
      <c r="AH811" s="72"/>
      <c r="AI811" s="73" t="n">
        <v>25.1174193235287</v>
      </c>
      <c r="AJ811" s="42" t="s">
        <v>16</v>
      </c>
      <c r="AK811" s="43" t="n">
        <v>701.402444917007</v>
      </c>
      <c r="AL811" s="74"/>
      <c r="AM811" s="74"/>
      <c r="AN811" s="74"/>
      <c r="AO811" s="78" t="n">
        <v>36.5</v>
      </c>
      <c r="AP811" s="76" t="n">
        <v>1.52434578779636</v>
      </c>
      <c r="AQ811" s="76" t="n">
        <v>1.19361030126336</v>
      </c>
      <c r="AR811" s="76" t="n">
        <v>1.8604713313897</v>
      </c>
      <c r="AS811" s="77" t="n">
        <v>37.4651868169454</v>
      </c>
      <c r="AT811" s="78" t="n">
        <v>37.8329805045731</v>
      </c>
      <c r="AU811" s="78" t="n">
        <v>41.7628982957908</v>
      </c>
      <c r="AV811" s="78" t="n">
        <v>32.7016520894072</v>
      </c>
      <c r="AW811" s="78" t="n">
        <v>50.9718172983479</v>
      </c>
      <c r="AX811" s="78" t="n">
        <v>23.7825</v>
      </c>
      <c r="AY811" s="48" t="n">
        <v>1.7617738984183</v>
      </c>
      <c r="AZ811" s="48" t="n">
        <v>28.3325131097803</v>
      </c>
      <c r="BA811" s="48" t="n">
        <v>-6.85814540655855</v>
      </c>
      <c r="BB811" s="49" t="n">
        <f aca="false">AT811/V811</f>
        <v>1.7617738984183</v>
      </c>
      <c r="BC811" s="49" t="n">
        <f aca="false">AS811/V811</f>
        <v>1.7446467963443</v>
      </c>
      <c r="BD811" s="49" t="n">
        <f aca="false">SUM(AP811:AR811)/V811</f>
        <v>0.213204294707244</v>
      </c>
      <c r="BE811" s="53" t="n">
        <v>6.03</v>
      </c>
      <c r="BF811" s="51" t="n">
        <v>137.895225973914</v>
      </c>
      <c r="BG811" s="51" t="n">
        <v>603.473711757801</v>
      </c>
      <c r="BH811" s="51" t="n">
        <v>205.037681496875</v>
      </c>
      <c r="BI811" s="51" t="n">
        <v>151.331232895086</v>
      </c>
      <c r="BJ811" s="51" t="n">
        <v>6.2825688164067</v>
      </c>
      <c r="BK811" s="51" t="n">
        <v>14.38751490285</v>
      </c>
      <c r="BL811" s="51" t="n">
        <v>11.2142448530165</v>
      </c>
      <c r="BM811" s="51" t="n">
        <v>8.27304527796577</v>
      </c>
      <c r="BN811" s="52" t="n">
        <f aca="false">(BG811*0.5-BH811*0.25+BI811*0.5)/SUM(BG811:BI811)*1000</f>
        <v>339.788047609939</v>
      </c>
      <c r="BO811" s="93" t="n">
        <v>4.12575428571429</v>
      </c>
      <c r="BP811" s="94" t="s">
        <v>491</v>
      </c>
      <c r="BQ811" s="55" t="n">
        <v>582.061333333333</v>
      </c>
      <c r="BR811" s="56" t="n">
        <v>27.1049346540717</v>
      </c>
      <c r="BS811" s="56"/>
      <c r="BT811" s="56" t="n">
        <v>15.3850245360123</v>
      </c>
      <c r="BU811" s="55" t="n">
        <v>13574.2493333333</v>
      </c>
      <c r="BV811" s="55" t="n">
        <v>632.114040372737</v>
      </c>
      <c r="BW811" s="55"/>
      <c r="BX811" s="55" t="n">
        <v>358.794077344567</v>
      </c>
      <c r="BY811" s="96" t="n">
        <v>0.07416</v>
      </c>
      <c r="BZ811" s="96" t="n">
        <v>1.5774</v>
      </c>
      <c r="CA811" s="97" t="n">
        <v>3.56</v>
      </c>
      <c r="CB811" s="97"/>
      <c r="CC811" s="97" t="n">
        <v>6.0291</v>
      </c>
      <c r="CD811" s="97" t="n">
        <v>5.11</v>
      </c>
      <c r="CE811" s="97" t="n">
        <v>83</v>
      </c>
      <c r="CF811" s="97" t="n">
        <v>36.729</v>
      </c>
      <c r="CG811" s="97" t="n">
        <v>0.1704</v>
      </c>
      <c r="CH811" s="63" t="n">
        <v>117611.502167769</v>
      </c>
      <c r="CI811" s="63" t="n">
        <v>3189.64546831723</v>
      </c>
      <c r="CJ811" s="64" t="n">
        <v>547896.324757947</v>
      </c>
      <c r="CK811" s="65" t="n">
        <v>0.582162231098443</v>
      </c>
    </row>
    <row r="812" s="1" customFormat="true" ht="15" hidden="false" customHeight="false" outlineLevel="0" collapsed="false">
      <c r="A812" s="7" t="s">
        <v>488</v>
      </c>
      <c r="B812" s="66" t="n">
        <v>1010</v>
      </c>
      <c r="C812" s="8" t="s">
        <v>895</v>
      </c>
      <c r="D812" s="67" t="n">
        <v>42122</v>
      </c>
      <c r="E812" s="4" t="s">
        <v>583</v>
      </c>
      <c r="F812" s="7" t="n">
        <v>1804</v>
      </c>
      <c r="G812" s="68" t="n">
        <v>1</v>
      </c>
      <c r="H812" s="68" t="n">
        <v>182</v>
      </c>
      <c r="I812" s="7" t="n">
        <v>2</v>
      </c>
      <c r="J812" s="8" t="n">
        <v>730</v>
      </c>
      <c r="K812" s="32"/>
      <c r="L812" s="31" t="n">
        <v>929.382</v>
      </c>
      <c r="M812" s="31" t="n">
        <v>156.38069978578</v>
      </c>
      <c r="N812" s="31" t="n">
        <v>352.035091298582</v>
      </c>
      <c r="O812" s="95"/>
      <c r="P812" s="33" t="n">
        <v>40.3957972049373</v>
      </c>
      <c r="Q812" s="33" t="n">
        <v>7.5</v>
      </c>
      <c r="R812" s="31" t="n">
        <v>260.94052840967</v>
      </c>
      <c r="S812" s="34" t="s">
        <v>76</v>
      </c>
      <c r="T812" s="35"/>
      <c r="U812" s="35"/>
      <c r="V812" s="35" t="n">
        <v>24.2603596641422</v>
      </c>
      <c r="W812" s="35" t="n">
        <v>22.5471415853798</v>
      </c>
      <c r="X812" s="35" t="n">
        <v>3.79385202133326</v>
      </c>
      <c r="Y812" s="35" t="n">
        <v>8.54049792930273</v>
      </c>
      <c r="Z812" s="35"/>
      <c r="AA812" s="35" t="n">
        <v>0.980016569111527</v>
      </c>
      <c r="AB812" s="35" t="n">
        <v>0.181952697481066</v>
      </c>
      <c r="AC812" s="71" t="n">
        <v>6.33051107016992</v>
      </c>
      <c r="AD812" s="72"/>
      <c r="AE812" s="72"/>
      <c r="AF812" s="72"/>
      <c r="AG812" s="72"/>
      <c r="AH812" s="72"/>
      <c r="AI812" s="73" t="n">
        <v>25.6760752648447</v>
      </c>
      <c r="AJ812" s="42" t="s">
        <v>16</v>
      </c>
      <c r="AK812" s="43" t="n">
        <v>707.899282789964</v>
      </c>
      <c r="AL812" s="74"/>
      <c r="AM812" s="74"/>
      <c r="AN812" s="74"/>
      <c r="AO812" s="78" t="n">
        <v>45.1142857142857</v>
      </c>
      <c r="AP812" s="76" t="n">
        <v>1.31774011494242</v>
      </c>
      <c r="AQ812" s="76" t="n">
        <v>1.32405386644454</v>
      </c>
      <c r="AR812" s="76" t="n">
        <v>2.18885394974316</v>
      </c>
      <c r="AS812" s="77" t="n">
        <v>37.8118160098507</v>
      </c>
      <c r="AT812" s="78" t="n">
        <v>38.1047961825765</v>
      </c>
      <c r="AU812" s="78" t="n">
        <v>29.2089322501487</v>
      </c>
      <c r="AV812" s="78" t="n">
        <v>29.3488824101069</v>
      </c>
      <c r="AW812" s="78" t="n">
        <v>48.5179786200194</v>
      </c>
      <c r="AX812" s="78" t="n">
        <v>29.1975</v>
      </c>
      <c r="AY812" s="48" t="n">
        <v>1.57066081089049</v>
      </c>
      <c r="AZ812" s="48" t="n">
        <v>27.5677660045167</v>
      </c>
      <c r="BA812" s="48" t="n">
        <v>-3.30740634037451</v>
      </c>
      <c r="BB812" s="49" t="n">
        <f aca="false">AT812/V812</f>
        <v>1.57066081089049</v>
      </c>
      <c r="BC812" s="49" t="n">
        <f aca="false">AS812/V812</f>
        <v>1.55858431339491</v>
      </c>
      <c r="BD812" s="49" t="n">
        <f aca="false">SUM(AP812:AR812)/V812</f>
        <v>0.199116913269428</v>
      </c>
      <c r="BE812" s="53" t="n">
        <v>5.8</v>
      </c>
      <c r="BF812" s="51" t="n">
        <v>138.797404319082</v>
      </c>
      <c r="BG812" s="51" t="n">
        <v>594.897223948983</v>
      </c>
      <c r="BH812" s="51" t="n">
        <v>214.261578733204</v>
      </c>
      <c r="BI812" s="51" t="n">
        <v>154.515688523231</v>
      </c>
      <c r="BJ812" s="51" t="n">
        <v>5.71775584851724</v>
      </c>
      <c r="BK812" s="51" t="n">
        <v>13.6190059409913</v>
      </c>
      <c r="BL812" s="51" t="n">
        <v>10.202912007473</v>
      </c>
      <c r="BM812" s="51" t="n">
        <v>6.78583499760035</v>
      </c>
      <c r="BN812" s="52" t="n">
        <f aca="false">(BG812*0.5-BH812*0.25+BI812*0.5)/SUM(BG812:BI812)*1000</f>
        <v>333.246406835056</v>
      </c>
      <c r="BO812" s="93" t="n">
        <v>4.76048571428571</v>
      </c>
      <c r="BP812" s="94" t="s">
        <v>491</v>
      </c>
      <c r="BQ812" s="55" t="n">
        <v>545.326086956522</v>
      </c>
      <c r="BR812" s="56" t="n">
        <v>22.4780709975432</v>
      </c>
      <c r="BS812" s="56"/>
      <c r="BT812" s="56" t="n">
        <v>14.311219100704</v>
      </c>
      <c r="BU812" s="55" t="n">
        <v>13468.3804347826</v>
      </c>
      <c r="BV812" s="55" t="n">
        <v>555.15996552555</v>
      </c>
      <c r="BW812" s="55"/>
      <c r="BX812" s="55" t="n">
        <v>353.45630429959</v>
      </c>
      <c r="BY812" s="96" t="n">
        <v>0.10918</v>
      </c>
      <c r="BZ812" s="96" t="n">
        <v>2.0955</v>
      </c>
      <c r="CA812" s="97" t="n">
        <v>2.87</v>
      </c>
      <c r="CB812" s="97"/>
      <c r="CC812" s="97" t="n">
        <v>5.5539</v>
      </c>
      <c r="CD812" s="97" t="n">
        <v>7.03</v>
      </c>
      <c r="CE812" s="97" t="n">
        <v>87</v>
      </c>
      <c r="CF812" s="97" t="n">
        <v>37.0458</v>
      </c>
      <c r="CG812" s="97" t="n">
        <v>0.1102</v>
      </c>
      <c r="CH812" s="63" t="n">
        <v>82992.3582935478</v>
      </c>
      <c r="CI812" s="63" t="n">
        <v>2990.86113566843</v>
      </c>
      <c r="CJ812" s="64" t="n">
        <v>539439.396910647</v>
      </c>
      <c r="CK812" s="65" t="n">
        <v>0.554438766022097</v>
      </c>
    </row>
    <row r="813" s="1" customFormat="true" ht="15" hidden="false" customHeight="false" outlineLevel="0" collapsed="false">
      <c r="A813" s="7" t="s">
        <v>488</v>
      </c>
      <c r="B813" s="66" t="n">
        <v>1011</v>
      </c>
      <c r="C813" s="8" t="s">
        <v>896</v>
      </c>
      <c r="D813" s="67" t="n">
        <v>42122</v>
      </c>
      <c r="E813" s="4" t="s">
        <v>583</v>
      </c>
      <c r="F813" s="7" t="n">
        <v>1806</v>
      </c>
      <c r="G813" s="68" t="n">
        <v>1</v>
      </c>
      <c r="H813" s="68" t="n">
        <v>161</v>
      </c>
      <c r="I813" s="7" t="n">
        <v>2</v>
      </c>
      <c r="J813" s="8" t="n">
        <v>735</v>
      </c>
      <c r="K813" s="32"/>
      <c r="L813" s="31" t="n">
        <v>929.382</v>
      </c>
      <c r="M813" s="31" t="n">
        <v>156.38069978578</v>
      </c>
      <c r="N813" s="31" t="n">
        <v>352.035091298582</v>
      </c>
      <c r="O813" s="95"/>
      <c r="P813" s="33" t="n">
        <v>40.3957972049373</v>
      </c>
      <c r="Q813" s="33" t="n">
        <v>7.5</v>
      </c>
      <c r="R813" s="31" t="n">
        <v>260.94052840967</v>
      </c>
      <c r="S813" s="34" t="s">
        <v>76</v>
      </c>
      <c r="T813" s="35"/>
      <c r="U813" s="35"/>
      <c r="V813" s="35" t="n">
        <v>27.8295242221173</v>
      </c>
      <c r="W813" s="35" t="n">
        <v>25.8642588805999</v>
      </c>
      <c r="X813" s="35" t="n">
        <v>4.35200047256002</v>
      </c>
      <c r="Y813" s="35" t="n">
        <v>9.79696910032918</v>
      </c>
      <c r="Z813" s="35"/>
      <c r="AA813" s="35" t="n">
        <v>1.12419581678654</v>
      </c>
      <c r="AB813" s="35" t="n">
        <v>0.20872143166588</v>
      </c>
      <c r="AC813" s="71" t="n">
        <v>7.26185075590902</v>
      </c>
      <c r="AD813" s="72"/>
      <c r="AE813" s="72"/>
      <c r="AF813" s="72"/>
      <c r="AG813" s="72"/>
      <c r="AH813" s="72"/>
      <c r="AI813" s="73" t="n">
        <v>24.2755790994652</v>
      </c>
      <c r="AJ813" s="42" t="s">
        <v>16</v>
      </c>
      <c r="AK813" s="43" t="n">
        <v>691.047535085775</v>
      </c>
      <c r="AL813" s="74"/>
      <c r="AM813" s="74"/>
      <c r="AN813" s="74"/>
      <c r="AO813" s="78" t="n">
        <v>36.0285714285714</v>
      </c>
      <c r="AP813" s="76" t="n">
        <v>1.25812523290734</v>
      </c>
      <c r="AQ813" s="76" t="n">
        <v>1.20883034846592</v>
      </c>
      <c r="AR813" s="76" t="n">
        <v>1.84344439816743</v>
      </c>
      <c r="AS813" s="77" t="n">
        <v>33.2833070650387</v>
      </c>
      <c r="AT813" s="78" t="n">
        <v>34.6102715374163</v>
      </c>
      <c r="AU813" s="78" t="n">
        <v>34.9202086849778</v>
      </c>
      <c r="AV813" s="78" t="n">
        <v>33.5519922254616</v>
      </c>
      <c r="AW813" s="78" t="n">
        <v>51.1661807580175</v>
      </c>
      <c r="AX813" s="78" t="n">
        <v>29.27</v>
      </c>
      <c r="AY813" s="48" t="n">
        <v>1.24365300898353</v>
      </c>
      <c r="AZ813" s="48" t="n">
        <v>25.8902487976643</v>
      </c>
      <c r="BA813" s="48" t="n">
        <v>1.939275424453</v>
      </c>
      <c r="BB813" s="49" t="n">
        <f aca="false">AT813/V813</f>
        <v>1.24365300898353</v>
      </c>
      <c r="BC813" s="49" t="n">
        <f aca="false">AS813/V813</f>
        <v>1.19597111324623</v>
      </c>
      <c r="BD813" s="49" t="n">
        <f aca="false">SUM(AP813:AR813)/V813</f>
        <v>0.154885866719742</v>
      </c>
      <c r="BE813" s="53" t="n">
        <v>6.82</v>
      </c>
      <c r="BF813" s="51" t="n">
        <v>88.3034325290346</v>
      </c>
      <c r="BG813" s="51" t="n">
        <v>591.988337529818</v>
      </c>
      <c r="BH813" s="51" t="n">
        <v>227.512945299536</v>
      </c>
      <c r="BI813" s="51" t="n">
        <v>134.923462503751</v>
      </c>
      <c r="BJ813" s="51" t="n">
        <v>7.83681337460832</v>
      </c>
      <c r="BK813" s="51" t="n">
        <v>15.7694733164516</v>
      </c>
      <c r="BL813" s="51" t="n">
        <v>13.6069348808395</v>
      </c>
      <c r="BM813" s="51" t="n">
        <v>8.36203309499577</v>
      </c>
      <c r="BN813" s="52" t="n">
        <f aca="false">(BG813*0.5-BH813*0.25+BI813*0.5)/SUM(BG813:BI813)*1000</f>
        <v>321.217220310965</v>
      </c>
      <c r="BO813" s="93" t="n">
        <v>1.58682857142857</v>
      </c>
      <c r="BP813" s="94" t="s">
        <v>491</v>
      </c>
      <c r="BQ813" s="55" t="n">
        <v>582.260317460317</v>
      </c>
      <c r="BR813" s="56" t="n">
        <v>20.9223956835586</v>
      </c>
      <c r="BS813" s="56"/>
      <c r="BT813" s="56" t="n">
        <v>16.823338610067</v>
      </c>
      <c r="BU813" s="55" t="n">
        <v>13939.5444444444</v>
      </c>
      <c r="BV813" s="55" t="n">
        <v>500.890505104866</v>
      </c>
      <c r="BW813" s="55"/>
      <c r="BX813" s="55" t="n">
        <v>402.757442378768</v>
      </c>
      <c r="BY813" s="96" t="n">
        <v>0.07519</v>
      </c>
      <c r="BZ813" s="96" t="n">
        <v>0.8855</v>
      </c>
      <c r="CA813" s="97" t="n">
        <v>3.96</v>
      </c>
      <c r="CB813" s="97"/>
      <c r="CC813" s="97" t="n">
        <v>5.7123</v>
      </c>
      <c r="CD813" s="97" t="n">
        <v>8.03</v>
      </c>
      <c r="CE813" s="97" t="n">
        <v>82</v>
      </c>
      <c r="CF813" s="97" t="n">
        <v>34.1649</v>
      </c>
      <c r="CG813" s="97" t="n">
        <v>0.1016</v>
      </c>
      <c r="CH813" s="63" t="n">
        <v>35678.5449260447</v>
      </c>
      <c r="CI813" s="63" t="n">
        <v>9916.41291507081</v>
      </c>
      <c r="CJ813" s="64" t="n">
        <v>894683.796369258</v>
      </c>
      <c r="CK813" s="65" t="n">
        <v>1.10837068418059</v>
      </c>
    </row>
    <row r="814" s="1" customFormat="true" ht="15" hidden="false" customHeight="false" outlineLevel="0" collapsed="false">
      <c r="A814" s="7" t="s">
        <v>488</v>
      </c>
      <c r="B814" s="66" t="n">
        <v>1012</v>
      </c>
      <c r="C814" s="8" t="s">
        <v>897</v>
      </c>
      <c r="D814" s="67" t="n">
        <v>42122</v>
      </c>
      <c r="E814" s="4" t="s">
        <v>583</v>
      </c>
      <c r="F814" s="7" t="n">
        <v>1809</v>
      </c>
      <c r="G814" s="68" t="n">
        <v>1</v>
      </c>
      <c r="H814" s="68" t="n">
        <v>166</v>
      </c>
      <c r="I814" s="7" t="n">
        <v>2</v>
      </c>
      <c r="J814" s="8" t="n">
        <v>770</v>
      </c>
      <c r="K814" s="32"/>
      <c r="L814" s="31" t="n">
        <v>929.382</v>
      </c>
      <c r="M814" s="31" t="n">
        <v>156.38069978578</v>
      </c>
      <c r="N814" s="31" t="n">
        <v>352.035091298582</v>
      </c>
      <c r="O814" s="95"/>
      <c r="P814" s="33" t="n">
        <v>40.3957972049373</v>
      </c>
      <c r="Q814" s="33" t="n">
        <v>7.5</v>
      </c>
      <c r="R814" s="31" t="n">
        <v>260.94052840967</v>
      </c>
      <c r="S814" s="34" t="s">
        <v>76</v>
      </c>
      <c r="T814" s="35"/>
      <c r="U814" s="35"/>
      <c r="V814" s="35" t="n">
        <v>24.0777701008746</v>
      </c>
      <c r="W814" s="35" t="n">
        <v>22.377446131891</v>
      </c>
      <c r="X814" s="35" t="n">
        <v>3.7652985376559</v>
      </c>
      <c r="Y814" s="35" t="n">
        <v>8.47621999572766</v>
      </c>
      <c r="Z814" s="35"/>
      <c r="AA814" s="35" t="n">
        <v>0.972640718142032</v>
      </c>
      <c r="AB814" s="35" t="n">
        <v>0.18058327575656</v>
      </c>
      <c r="AC814" s="71" t="n">
        <v>6.28286605304879</v>
      </c>
      <c r="AD814" s="72"/>
      <c r="AE814" s="72"/>
      <c r="AF814" s="72"/>
      <c r="AG814" s="72"/>
      <c r="AH814" s="72"/>
      <c r="AI814" s="73" t="n">
        <v>21.4936881830678</v>
      </c>
      <c r="AJ814" s="42" t="s">
        <v>16</v>
      </c>
      <c r="AK814" s="43" t="n">
        <v>651.060351479913</v>
      </c>
      <c r="AL814" s="74"/>
      <c r="AM814" s="74"/>
      <c r="AN814" s="74"/>
      <c r="AO814" s="78" t="n">
        <v>44.3428571428571</v>
      </c>
      <c r="AP814" s="76" t="n">
        <v>1.59875607385811</v>
      </c>
      <c r="AQ814" s="76" t="n">
        <v>1.33301494747559</v>
      </c>
      <c r="AR814" s="76" t="n">
        <v>2.06847147022074</v>
      </c>
      <c r="AS814" s="77" t="n">
        <v>41.7184839650146</v>
      </c>
      <c r="AT814" s="78" t="n">
        <v>40.9623358655998</v>
      </c>
      <c r="AU814" s="78" t="n">
        <v>36.0544217687075</v>
      </c>
      <c r="AV814" s="78" t="n">
        <v>30.0615484288954</v>
      </c>
      <c r="AW814" s="78" t="n">
        <v>46.6472303206997</v>
      </c>
      <c r="AX814" s="78" t="n">
        <v>24.8033333333333</v>
      </c>
      <c r="AY814" s="48" t="n">
        <v>1.70125122442762</v>
      </c>
      <c r="AZ814" s="48" t="n">
        <v>29.5143703713758</v>
      </c>
      <c r="BA814" s="48" t="n">
        <v>-5.43660027050115</v>
      </c>
      <c r="BB814" s="49" t="n">
        <f aca="false">AT814/V814</f>
        <v>1.70125122442762</v>
      </c>
      <c r="BC814" s="49" t="n">
        <f aca="false">AS814/V814</f>
        <v>1.73265563173972</v>
      </c>
      <c r="BD814" s="49" t="n">
        <f aca="false">SUM(AP814:AR814)/V814</f>
        <v>0.207670497334502</v>
      </c>
      <c r="BE814" s="53" t="n">
        <v>6.36</v>
      </c>
      <c r="BF814" s="51" t="n">
        <v>123.895814878096</v>
      </c>
      <c r="BG814" s="51" t="n">
        <v>626.506391195464</v>
      </c>
      <c r="BH814" s="51" t="n">
        <v>204.348744562439</v>
      </c>
      <c r="BI814" s="51" t="n">
        <v>132.57535316241</v>
      </c>
      <c r="BJ814" s="51" t="n">
        <v>7.06256475226095</v>
      </c>
      <c r="BK814" s="51" t="n">
        <v>12.4601799444693</v>
      </c>
      <c r="BL814" s="51" t="n">
        <v>12.1512189397513</v>
      </c>
      <c r="BM814" s="51" t="n">
        <v>4.8955474432061</v>
      </c>
      <c r="BN814" s="52" t="n">
        <f aca="false">(BG814*0.5-BH814*0.25+BI814*0.5)/SUM(BG814:BI814)*1000</f>
        <v>340.921000337466</v>
      </c>
      <c r="BO814" s="93" t="n">
        <v>5.51062285714286</v>
      </c>
      <c r="BP814" s="94" t="s">
        <v>491</v>
      </c>
      <c r="BQ814" s="55" t="n">
        <v>683.234550942884</v>
      </c>
      <c r="BR814" s="56" t="n">
        <v>28.3761556024686</v>
      </c>
      <c r="BS814" s="56"/>
      <c r="BT814" s="56" t="n">
        <v>16.679579826322</v>
      </c>
      <c r="BU814" s="55" t="n">
        <v>15202.278409759</v>
      </c>
      <c r="BV814" s="55" t="n">
        <v>631.382322618271</v>
      </c>
      <c r="BW814" s="55"/>
      <c r="BX814" s="55" t="n">
        <v>371.128210550265</v>
      </c>
      <c r="BY814" s="96" t="n">
        <v>0.07931</v>
      </c>
      <c r="BZ814" s="96" t="n">
        <v>1.1825</v>
      </c>
      <c r="CA814" s="97" t="n">
        <v>3.96</v>
      </c>
      <c r="CB814" s="97"/>
      <c r="CC814" s="97" t="n">
        <v>5.4747</v>
      </c>
      <c r="CD814" s="97" t="n">
        <v>6</v>
      </c>
      <c r="CE814" s="97" t="n">
        <v>75</v>
      </c>
      <c r="CF814" s="97" t="n">
        <v>35.2638</v>
      </c>
      <c r="CG814" s="97" t="n">
        <v>0.2134</v>
      </c>
      <c r="CH814" s="63" t="n">
        <v>79978.9499125741</v>
      </c>
      <c r="CI814" s="63" t="n">
        <v>4578.67020884088</v>
      </c>
      <c r="CJ814" s="64" t="n">
        <v>419379.593316765</v>
      </c>
      <c r="CK814" s="65" t="n">
        <v>1.09177229455286</v>
      </c>
    </row>
    <row r="815" s="1" customFormat="true" ht="15" hidden="false" customHeight="false" outlineLevel="0" collapsed="false">
      <c r="A815" s="7" t="s">
        <v>488</v>
      </c>
      <c r="B815" s="66" t="n">
        <v>1013</v>
      </c>
      <c r="C815" s="8" t="s">
        <v>898</v>
      </c>
      <c r="D815" s="67" t="n">
        <v>42122</v>
      </c>
      <c r="E815" s="4" t="s">
        <v>583</v>
      </c>
      <c r="F815" s="7" t="n">
        <v>1815</v>
      </c>
      <c r="G815" s="68" t="n">
        <v>1</v>
      </c>
      <c r="H815" s="68" t="n">
        <v>185</v>
      </c>
      <c r="I815" s="7" t="n">
        <v>2</v>
      </c>
      <c r="J815" s="8" t="n">
        <v>835</v>
      </c>
      <c r="K815" s="32"/>
      <c r="L815" s="31" t="n">
        <v>929.382</v>
      </c>
      <c r="M815" s="31" t="n">
        <v>156.38069978578</v>
      </c>
      <c r="N815" s="31" t="n">
        <v>352.035091298582</v>
      </c>
      <c r="O815" s="95"/>
      <c r="P815" s="33" t="n">
        <v>40.3957972049373</v>
      </c>
      <c r="Q815" s="33" t="n">
        <v>7.5</v>
      </c>
      <c r="R815" s="31" t="n">
        <v>260.94052840967</v>
      </c>
      <c r="S815" s="34" t="s">
        <v>76</v>
      </c>
      <c r="T815" s="35"/>
      <c r="U815" s="35"/>
      <c r="V815" s="35" t="n">
        <v>23.9642649481736</v>
      </c>
      <c r="W815" s="35" t="n">
        <v>22.2719564860635</v>
      </c>
      <c r="X815" s="35" t="n">
        <v>3.74754852244722</v>
      </c>
      <c r="Y815" s="35" t="n">
        <v>8.43626219893371</v>
      </c>
      <c r="Z815" s="35"/>
      <c r="AA815" s="35" t="n">
        <v>0.968055587011808</v>
      </c>
      <c r="AB815" s="35" t="n">
        <v>0.179731987111302</v>
      </c>
      <c r="AC815" s="71" t="n">
        <v>6.25324795852577</v>
      </c>
      <c r="AD815" s="72"/>
      <c r="AE815" s="72"/>
      <c r="AF815" s="72"/>
      <c r="AG815" s="72"/>
      <c r="AH815" s="72"/>
      <c r="AI815" s="73" t="n">
        <v>26.742199749611</v>
      </c>
      <c r="AJ815" s="42" t="s">
        <v>16</v>
      </c>
      <c r="AK815" s="43" t="n">
        <v>719.544387887945</v>
      </c>
      <c r="AL815" s="74"/>
      <c r="AM815" s="74"/>
      <c r="AN815" s="74"/>
      <c r="AO815" s="78" t="n">
        <v>41.5142857142857</v>
      </c>
      <c r="AP815" s="76" t="n">
        <v>1.48507133204689</v>
      </c>
      <c r="AQ815" s="76" t="n">
        <v>1.36363737331667</v>
      </c>
      <c r="AR815" s="76" t="n">
        <v>2.01620644176038</v>
      </c>
      <c r="AS815" s="77" t="n">
        <v>38.8817842664176</v>
      </c>
      <c r="AT815" s="78" t="n">
        <v>39.5177250677266</v>
      </c>
      <c r="AU815" s="78" t="n">
        <v>35.7725372482044</v>
      </c>
      <c r="AV815" s="78" t="n">
        <v>32.8474246841594</v>
      </c>
      <c r="AW815" s="78" t="n">
        <v>48.5665694849368</v>
      </c>
      <c r="AX815" s="78" t="n">
        <v>29.6525</v>
      </c>
      <c r="AY815" s="48" t="n">
        <v>1.64902721419538</v>
      </c>
      <c r="AZ815" s="48" t="n">
        <v>29.4090811909876</v>
      </c>
      <c r="BA815" s="48" t="n">
        <v>-5.44481624281401</v>
      </c>
      <c r="BB815" s="49" t="n">
        <f aca="false">AT815/V815</f>
        <v>1.64902721419538</v>
      </c>
      <c r="BC815" s="49" t="n">
        <f aca="false">AS815/V815</f>
        <v>1.62249016819441</v>
      </c>
      <c r="BD815" s="49" t="n">
        <f aca="false">SUM(AP815:AR815)/V815</f>
        <v>0.203007067299792</v>
      </c>
      <c r="BE815" s="53" t="n">
        <v>6.34</v>
      </c>
      <c r="BF815" s="51" t="n">
        <v>121.952234708292</v>
      </c>
      <c r="BG815" s="51" t="n">
        <v>632.04845345475</v>
      </c>
      <c r="BH815" s="51" t="n">
        <v>198.777094916905</v>
      </c>
      <c r="BI815" s="51" t="n">
        <v>125.302441609232</v>
      </c>
      <c r="BJ815" s="51" t="n">
        <v>7.91134471482175</v>
      </c>
      <c r="BK815" s="51" t="n">
        <v>13.8235015472613</v>
      </c>
      <c r="BL815" s="51" t="n">
        <v>15.4193979457687</v>
      </c>
      <c r="BM815" s="51" t="n">
        <v>6.71776581126086</v>
      </c>
      <c r="BN815" s="52" t="n">
        <f aca="false">(BG815*0.5-BH815*0.25+BI815*0.5)/SUM(BG815:BI815)*1000</f>
        <v>344.076501525011</v>
      </c>
      <c r="BO815" s="93" t="n">
        <v>4.90474285714286</v>
      </c>
      <c r="BP815" s="94" t="s">
        <v>491</v>
      </c>
      <c r="BQ815" s="55" t="n">
        <v>658.535087719298</v>
      </c>
      <c r="BR815" s="56" t="n">
        <v>27.4798784416497</v>
      </c>
      <c r="BS815" s="56"/>
      <c r="BT815" s="56" t="n">
        <v>16.664296504687</v>
      </c>
      <c r="BU815" s="55" t="n">
        <v>14463.1315789474</v>
      </c>
      <c r="BV815" s="55" t="n">
        <v>603.52911346232</v>
      </c>
      <c r="BW815" s="55"/>
      <c r="BX815" s="55" t="n">
        <v>365.990996550536</v>
      </c>
      <c r="BY815" s="96" t="n">
        <v>0.10094</v>
      </c>
      <c r="BZ815" s="96" t="n">
        <v>1.3112</v>
      </c>
      <c r="CA815" s="97" t="n">
        <v>3.64</v>
      </c>
      <c r="CB815" s="97"/>
      <c r="CC815" s="97" t="n">
        <v>6.0885</v>
      </c>
      <c r="CD815" s="97" t="n">
        <v>7.13</v>
      </c>
      <c r="CE815" s="97" t="n">
        <v>85</v>
      </c>
      <c r="CF815" s="97" t="n">
        <v>35.8182</v>
      </c>
      <c r="CG815" s="97" t="n">
        <v>0.1446</v>
      </c>
      <c r="CH815" s="63" t="n">
        <v>103630.572121137</v>
      </c>
      <c r="CI815" s="63" t="n">
        <v>4398.97472457214</v>
      </c>
      <c r="CJ815" s="64" t="n">
        <v>432203.89177901</v>
      </c>
      <c r="CK815" s="65" t="n">
        <v>1.01780081305269</v>
      </c>
    </row>
    <row r="816" s="1" customFormat="true" ht="15" hidden="false" customHeight="false" outlineLevel="0" collapsed="false">
      <c r="A816" s="7" t="s">
        <v>488</v>
      </c>
      <c r="B816" s="66" t="n">
        <v>1014</v>
      </c>
      <c r="C816" s="8" t="s">
        <v>899</v>
      </c>
      <c r="D816" s="67" t="n">
        <v>42122</v>
      </c>
      <c r="E816" s="4" t="s">
        <v>583</v>
      </c>
      <c r="F816" s="7" t="n">
        <v>1825</v>
      </c>
      <c r="G816" s="68" t="n">
        <v>1</v>
      </c>
      <c r="H816" s="68" t="n">
        <v>175</v>
      </c>
      <c r="I816" s="7" t="n">
        <v>2</v>
      </c>
      <c r="J816" s="8" t="n">
        <v>805</v>
      </c>
      <c r="K816" s="32"/>
      <c r="L816" s="31" t="n">
        <v>929.382</v>
      </c>
      <c r="M816" s="31" t="n">
        <v>156.38069978578</v>
      </c>
      <c r="N816" s="31" t="n">
        <v>352.035091298582</v>
      </c>
      <c r="O816" s="95"/>
      <c r="P816" s="33" t="n">
        <v>40.3957972049373</v>
      </c>
      <c r="Q816" s="33" t="n">
        <v>7.5</v>
      </c>
      <c r="R816" s="31" t="n">
        <v>260.94052840967</v>
      </c>
      <c r="S816" s="34" t="s">
        <v>76</v>
      </c>
      <c r="T816" s="35"/>
      <c r="U816" s="35"/>
      <c r="V816" s="35" t="n">
        <v>22.430485547891</v>
      </c>
      <c r="W816" s="35" t="n">
        <v>20.8464895194701</v>
      </c>
      <c r="X816" s="35" t="n">
        <v>3.50769502651402</v>
      </c>
      <c r="Y816" s="35" t="n">
        <v>7.89631802772335</v>
      </c>
      <c r="Z816" s="35"/>
      <c r="AA816" s="35" t="n">
        <v>0.906097345400883</v>
      </c>
      <c r="AB816" s="35" t="n">
        <v>0.168228641609183</v>
      </c>
      <c r="AC816" s="71" t="n">
        <v>5.85302275135217</v>
      </c>
      <c r="AD816" s="72"/>
      <c r="AE816" s="72"/>
      <c r="AF816" s="72"/>
      <c r="AG816" s="72"/>
      <c r="AH816" s="72"/>
      <c r="AI816" s="73" t="n">
        <v>25.3854318672961</v>
      </c>
      <c r="AJ816" s="42" t="s">
        <v>16</v>
      </c>
      <c r="AK816" s="43" t="n">
        <v>704.554957378441</v>
      </c>
      <c r="AL816" s="74"/>
      <c r="AM816" s="74"/>
      <c r="AN816" s="74"/>
      <c r="AO816" s="78" t="n">
        <v>32.4571428571429</v>
      </c>
      <c r="AP816" s="76" t="n">
        <v>1.2524691826167</v>
      </c>
      <c r="AQ816" s="76" t="n">
        <v>1.16943495765653</v>
      </c>
      <c r="AR816" s="76" t="n">
        <v>1.61024017770374</v>
      </c>
      <c r="AS816" s="77" t="n">
        <v>31.7698948821076</v>
      </c>
      <c r="AT816" s="78" t="n">
        <v>32.9857105305319</v>
      </c>
      <c r="AU816" s="78" t="n">
        <v>38.5883991123102</v>
      </c>
      <c r="AV816" s="78" t="n">
        <v>36.0301263362488</v>
      </c>
      <c r="AW816" s="78" t="n">
        <v>49.6112730806608</v>
      </c>
      <c r="AX816" s="78" t="n">
        <v>26.9425</v>
      </c>
      <c r="AY816" s="48" t="n">
        <v>1.47057496638245</v>
      </c>
      <c r="AZ816" s="48" t="n">
        <v>26.3400726554202</v>
      </c>
      <c r="BA816" s="48" t="n">
        <v>-3.90958710752915</v>
      </c>
      <c r="BB816" s="49" t="n">
        <f aca="false">AT816/V816</f>
        <v>1.47057496638245</v>
      </c>
      <c r="BC816" s="49" t="n">
        <f aca="false">AS816/V816</f>
        <v>1.41637125127212</v>
      </c>
      <c r="BD816" s="49" t="n">
        <f aca="false">SUM(AP816:AR816)/V816</f>
        <v>0.179761793803704</v>
      </c>
      <c r="BE816" s="53" t="n">
        <v>6.56</v>
      </c>
      <c r="BF816" s="51" t="n">
        <v>113.954587242508</v>
      </c>
      <c r="BG816" s="51" t="n">
        <v>624.90003650791</v>
      </c>
      <c r="BH816" s="51" t="n">
        <v>187.448496818373</v>
      </c>
      <c r="BI816" s="51" t="n">
        <v>145.531960259095</v>
      </c>
      <c r="BJ816" s="51" t="n">
        <v>7.72103148804129</v>
      </c>
      <c r="BK816" s="51" t="n">
        <v>12.6716148099603</v>
      </c>
      <c r="BL816" s="51" t="n">
        <v>14.7302501209718</v>
      </c>
      <c r="BM816" s="51" t="n">
        <v>6.99660999564818</v>
      </c>
      <c r="BN816" s="52" t="n">
        <f aca="false">(BG816*0.5-BH816*0.25+BI816*0.5)/SUM(BG816:BI816)*1000</f>
        <v>353.23182426697</v>
      </c>
      <c r="BO816" s="93" t="n">
        <v>2.48122285714286</v>
      </c>
      <c r="BP816" s="94" t="s">
        <v>491</v>
      </c>
      <c r="BQ816" s="55" t="n">
        <v>524.038612836439</v>
      </c>
      <c r="BR816" s="56" t="n">
        <v>23.3627850684539</v>
      </c>
      <c r="BS816" s="56"/>
      <c r="BT816" s="56" t="n">
        <v>15.8868371912554</v>
      </c>
      <c r="BU816" s="55" t="n">
        <v>12663.7972049689</v>
      </c>
      <c r="BV816" s="55" t="n">
        <v>564.579717988299</v>
      </c>
      <c r="BW816" s="55"/>
      <c r="BX816" s="55" t="n">
        <v>383.917672267427</v>
      </c>
      <c r="BY816" s="96" t="n">
        <v>0.07828</v>
      </c>
      <c r="BZ816" s="96" t="n">
        <v>1.2969</v>
      </c>
      <c r="CA816" s="97" t="n">
        <v>4.05</v>
      </c>
      <c r="CB816" s="97"/>
      <c r="CC816" s="97" t="n">
        <v>6.633</v>
      </c>
      <c r="CD816" s="97" t="n">
        <v>6.51</v>
      </c>
      <c r="CE816" s="97" t="n">
        <v>85</v>
      </c>
      <c r="CF816" s="97" t="n">
        <v>34.848</v>
      </c>
      <c r="CG816" s="97" t="n">
        <v>0.1618</v>
      </c>
      <c r="CH816" s="63" t="n">
        <v>78597.5492479432</v>
      </c>
      <c r="CI816" s="63" t="n">
        <v>4423.49965266666</v>
      </c>
      <c r="CJ816" s="64" t="n">
        <v>439450.63463767</v>
      </c>
      <c r="CK816" s="65" t="n">
        <v>1.00659762530867</v>
      </c>
    </row>
    <row r="817" s="1" customFormat="true" ht="15" hidden="false" customHeight="false" outlineLevel="0" collapsed="false">
      <c r="A817" s="7" t="s">
        <v>488</v>
      </c>
      <c r="B817" s="66" t="n">
        <v>1015</v>
      </c>
      <c r="C817" s="8" t="s">
        <v>900</v>
      </c>
      <c r="D817" s="67" t="n">
        <v>42122</v>
      </c>
      <c r="E817" s="4" t="s">
        <v>583</v>
      </c>
      <c r="F817" s="7" t="n">
        <v>1839</v>
      </c>
      <c r="G817" s="68" t="n">
        <v>1</v>
      </c>
      <c r="H817" s="68" t="n">
        <v>139</v>
      </c>
      <c r="I817" s="7" t="n">
        <v>2</v>
      </c>
      <c r="J817" s="8" t="n">
        <v>780</v>
      </c>
      <c r="K817" s="32"/>
      <c r="L817" s="31" t="n">
        <v>929.382</v>
      </c>
      <c r="M817" s="31" t="n">
        <v>156.38069978578</v>
      </c>
      <c r="N817" s="31" t="n">
        <v>352.035091298582</v>
      </c>
      <c r="O817" s="95"/>
      <c r="P817" s="33" t="n">
        <v>40.3957972049373</v>
      </c>
      <c r="Q817" s="33" t="n">
        <v>7.5</v>
      </c>
      <c r="R817" s="31" t="n">
        <v>260.94052840967</v>
      </c>
      <c r="S817" s="34" t="s">
        <v>76</v>
      </c>
      <c r="T817" s="35"/>
      <c r="U817" s="35"/>
      <c r="V817" s="35" t="n">
        <v>19.5243178167366</v>
      </c>
      <c r="W817" s="35" t="n">
        <v>18.1455495411543</v>
      </c>
      <c r="X817" s="35" t="n">
        <v>3.05322648302123</v>
      </c>
      <c r="Y817" s="35" t="n">
        <v>6.87324500515739</v>
      </c>
      <c r="Z817" s="35"/>
      <c r="AA817" s="35" t="n">
        <v>0.788700383089634</v>
      </c>
      <c r="AB817" s="35" t="n">
        <v>0.146432383625524</v>
      </c>
      <c r="AC817" s="71" t="n">
        <v>5.09468580793758</v>
      </c>
      <c r="AD817" s="72"/>
      <c r="AE817" s="72"/>
      <c r="AF817" s="72"/>
      <c r="AG817" s="72"/>
      <c r="AH817" s="72"/>
      <c r="AI817" s="73" t="n">
        <v>24.1446667394945</v>
      </c>
      <c r="AJ817" s="42" t="s">
        <v>16</v>
      </c>
      <c r="AK817" s="43" t="n">
        <v>689.372395116478</v>
      </c>
      <c r="AL817" s="74"/>
      <c r="AM817" s="74"/>
      <c r="AN817" s="74"/>
      <c r="AO817" s="78" t="n">
        <v>38.6428571428571</v>
      </c>
      <c r="AP817" s="76" t="n">
        <v>1.38765745116979</v>
      </c>
      <c r="AQ817" s="76" t="n">
        <v>1.26837949465501</v>
      </c>
      <c r="AR817" s="76" t="n">
        <v>1.90679404414827</v>
      </c>
      <c r="AS817" s="77" t="n">
        <v>36.2720046246897</v>
      </c>
      <c r="AT817" s="78" t="n">
        <v>37.0001098036699</v>
      </c>
      <c r="AU817" s="78" t="n">
        <v>35.9098046513438</v>
      </c>
      <c r="AV817" s="78" t="n">
        <v>32.8231292517007</v>
      </c>
      <c r="AW817" s="78" t="n">
        <v>49.3440233236152</v>
      </c>
      <c r="AX817" s="78" t="n">
        <v>25.33</v>
      </c>
      <c r="AY817" s="48" t="n">
        <v>1.89507823786564</v>
      </c>
      <c r="AZ817" s="48" t="n">
        <v>27.4770132024749</v>
      </c>
      <c r="BA817" s="48" t="n">
        <v>-7.95269538573832</v>
      </c>
      <c r="BB817" s="49" t="n">
        <f aca="false">AT817/V817</f>
        <v>1.89507823786564</v>
      </c>
      <c r="BC817" s="49" t="n">
        <f aca="false">AS817/V817</f>
        <v>1.85778601665645</v>
      </c>
      <c r="BD817" s="49" t="n">
        <f aca="false">SUM(AP817:AR817)/V817</f>
        <v>0.233699893271648</v>
      </c>
      <c r="BE817" s="53" t="n">
        <v>5.95</v>
      </c>
      <c r="BF817" s="51" t="n">
        <v>143.119953594663</v>
      </c>
      <c r="BG817" s="51" t="n">
        <v>568.561663979079</v>
      </c>
      <c r="BH817" s="51" t="n">
        <v>267.308677456478</v>
      </c>
      <c r="BI817" s="51" t="n">
        <v>127.763757825405</v>
      </c>
      <c r="BJ817" s="51" t="n">
        <v>6.136236876368</v>
      </c>
      <c r="BK817" s="51" t="n">
        <v>13.8403049963141</v>
      </c>
      <c r="BL817" s="51" t="n">
        <v>12.5926397105369</v>
      </c>
      <c r="BM817" s="51" t="n">
        <v>3.79671915581856</v>
      </c>
      <c r="BN817" s="52" t="n">
        <f aca="false">(BG817*0.5-BH817*0.25+BI817*0.5)/SUM(BG817:BI817)*1000</f>
        <v>291.952663105101</v>
      </c>
      <c r="BO817" s="93" t="n">
        <v>4.32771428571429</v>
      </c>
      <c r="BP817" s="94" t="s">
        <v>491</v>
      </c>
      <c r="BQ817" s="55" t="n">
        <v>510.036547619048</v>
      </c>
      <c r="BR817" s="56" t="n">
        <v>26.1231430673514</v>
      </c>
      <c r="BS817" s="56"/>
      <c r="BT817" s="56" t="n">
        <v>13.7847306487847</v>
      </c>
      <c r="BU817" s="55" t="n">
        <v>13602.326031746</v>
      </c>
      <c r="BV817" s="55" t="n">
        <v>696.68636617285</v>
      </c>
      <c r="BW817" s="55"/>
      <c r="BX817" s="55" t="n">
        <v>367.629342289056</v>
      </c>
      <c r="BY817" s="96" t="n">
        <v>0.05768</v>
      </c>
      <c r="BZ817" s="96" t="n">
        <v>1.4366</v>
      </c>
      <c r="CA817" s="97" t="n">
        <v>3.13</v>
      </c>
      <c r="CB817" s="97"/>
      <c r="CC817" s="97" t="n">
        <v>6.0885</v>
      </c>
      <c r="CD817" s="97" t="n">
        <v>6.01</v>
      </c>
      <c r="CE817" s="97" t="n">
        <v>80</v>
      </c>
      <c r="CF817" s="97" t="n">
        <v>36.3132</v>
      </c>
      <c r="CG817" s="97" t="n">
        <v>0.136</v>
      </c>
      <c r="CH817" s="63" t="n">
        <v>49771.6901203638</v>
      </c>
      <c r="CI817" s="63" t="n">
        <v>5540.82837928462</v>
      </c>
      <c r="CJ817" s="64" t="n">
        <v>754969.93212482</v>
      </c>
      <c r="CK817" s="65" t="n">
        <v>0.733913781664162</v>
      </c>
    </row>
    <row r="818" s="1" customFormat="true" ht="15" hidden="false" customHeight="false" outlineLevel="0" collapsed="false">
      <c r="A818" s="7" t="s">
        <v>488</v>
      </c>
      <c r="B818" s="66" t="n">
        <v>1016</v>
      </c>
      <c r="C818" s="8" t="s">
        <v>901</v>
      </c>
      <c r="D818" s="67" t="n">
        <v>42122</v>
      </c>
      <c r="E818" s="4" t="s">
        <v>583</v>
      </c>
      <c r="F818" s="7" t="n">
        <v>1846</v>
      </c>
      <c r="G818" s="68" t="n">
        <v>1</v>
      </c>
      <c r="H818" s="68" t="n">
        <v>140</v>
      </c>
      <c r="I818" s="7" t="n">
        <v>2</v>
      </c>
      <c r="J818" s="8" t="n">
        <v>770</v>
      </c>
      <c r="K818" s="32"/>
      <c r="L818" s="31" t="n">
        <v>929.382</v>
      </c>
      <c r="M818" s="31" t="n">
        <v>156.38069978578</v>
      </c>
      <c r="N818" s="31" t="n">
        <v>352.035091298582</v>
      </c>
      <c r="O818" s="95"/>
      <c r="P818" s="33" t="n">
        <v>40.3957972049373</v>
      </c>
      <c r="Q818" s="33" t="n">
        <v>7.5</v>
      </c>
      <c r="R818" s="31" t="n">
        <v>260.94052840967</v>
      </c>
      <c r="S818" s="34" t="s">
        <v>76</v>
      </c>
      <c r="T818" s="35"/>
      <c r="U818" s="35"/>
      <c r="V818" s="35" t="n">
        <v>23.5394500130519</v>
      </c>
      <c r="W818" s="35" t="n">
        <v>21.8771411320302</v>
      </c>
      <c r="X818" s="35" t="n">
        <v>3.68111566561343</v>
      </c>
      <c r="Y818" s="35" t="n">
        <v>8.28671243446312</v>
      </c>
      <c r="Z818" s="35"/>
      <c r="AA818" s="35" t="n">
        <v>0.950894849043</v>
      </c>
      <c r="AB818" s="35" t="n">
        <v>0.176545875097889</v>
      </c>
      <c r="AC818" s="71" t="n">
        <v>6.14239652487878</v>
      </c>
      <c r="AD818" s="72"/>
      <c r="AE818" s="72"/>
      <c r="AF818" s="72"/>
      <c r="AG818" s="72"/>
      <c r="AH818" s="72"/>
      <c r="AI818" s="73" t="n">
        <v>24.9244491654683</v>
      </c>
      <c r="AJ818" s="42" t="s">
        <v>16</v>
      </c>
      <c r="AK818" s="43" t="n">
        <v>699.090641875011</v>
      </c>
      <c r="AL818" s="74"/>
      <c r="AM818" s="74"/>
      <c r="AN818" s="74"/>
      <c r="AO818" s="78" t="n">
        <v>44.6571428571429</v>
      </c>
      <c r="AP818" s="76" t="n">
        <v>1.58952457848023</v>
      </c>
      <c r="AQ818" s="76" t="n">
        <v>1.52220533111204</v>
      </c>
      <c r="AR818" s="76" t="n">
        <v>2.18728862973761</v>
      </c>
      <c r="AS818" s="77" t="n">
        <v>41.7057258200606</v>
      </c>
      <c r="AT818" s="78" t="n">
        <v>42.935769796722</v>
      </c>
      <c r="AU818" s="78" t="n">
        <v>35.5939604906002</v>
      </c>
      <c r="AV818" s="78" t="n">
        <v>34.086491739553</v>
      </c>
      <c r="AW818" s="78" t="n">
        <v>48.9795918367347</v>
      </c>
      <c r="AX818" s="78" t="n">
        <v>22.7425</v>
      </c>
      <c r="AY818" s="48" t="n">
        <v>1.82399205473856</v>
      </c>
      <c r="AZ818" s="48" t="n">
        <v>29.3489538362301</v>
      </c>
      <c r="BA818" s="48" t="n">
        <v>-5.80950382317827</v>
      </c>
      <c r="BB818" s="49" t="n">
        <f aca="false">AT818/V818</f>
        <v>1.82399205473856</v>
      </c>
      <c r="BC818" s="49" t="n">
        <f aca="false">AS818/V818</f>
        <v>1.77173747886787</v>
      </c>
      <c r="BD818" s="49" t="n">
        <f aca="false">SUM(AP818:AR818)/V818</f>
        <v>0.225112249283299</v>
      </c>
      <c r="BE818" s="53" t="n">
        <v>5.83</v>
      </c>
      <c r="BF818" s="51" t="n">
        <v>157.52470803651</v>
      </c>
      <c r="BG818" s="51" t="n">
        <v>533.612311468002</v>
      </c>
      <c r="BH818" s="51" t="n">
        <v>326.5810452481</v>
      </c>
      <c r="BI818" s="51" t="n">
        <v>106.347643477227</v>
      </c>
      <c r="BJ818" s="51" t="n">
        <v>5.28492735215526</v>
      </c>
      <c r="BK818" s="51" t="n">
        <v>15.9408597521641</v>
      </c>
      <c r="BL818" s="51" t="n">
        <v>8.13799968356651</v>
      </c>
      <c r="BM818" s="51" t="n">
        <v>4.09521301878544</v>
      </c>
      <c r="BN818" s="52" t="n">
        <f aca="false">(BG818*0.5-BH818*0.25+BI818*0.5)/SUM(BG818:BI818)*1000</f>
        <v>246.585210676957</v>
      </c>
      <c r="BO818" s="93" t="n">
        <v>5.53947428571428</v>
      </c>
      <c r="BP818" s="94" t="s">
        <v>491</v>
      </c>
      <c r="BQ818" s="55" t="n">
        <v>541.559523809524</v>
      </c>
      <c r="BR818" s="56" t="n">
        <v>23.0064646161761</v>
      </c>
      <c r="BS818" s="56"/>
      <c r="BT818" s="56" t="n">
        <v>12.6132482630105</v>
      </c>
      <c r="BU818" s="55" t="n">
        <v>14715.8791666667</v>
      </c>
      <c r="BV818" s="55" t="n">
        <v>625.158156138193</v>
      </c>
      <c r="BW818" s="55"/>
      <c r="BX818" s="55" t="n">
        <v>342.741710148403</v>
      </c>
      <c r="BY818" s="96" t="n">
        <v>0.05459</v>
      </c>
      <c r="BZ818" s="96" t="n">
        <v>0.8789</v>
      </c>
      <c r="CA818" s="97" t="n">
        <v>3.68</v>
      </c>
      <c r="CB818" s="97"/>
      <c r="CC818" s="97" t="n">
        <v>5.1282</v>
      </c>
      <c r="CD818" s="97" t="n">
        <v>5.02</v>
      </c>
      <c r="CE818" s="97" t="n">
        <v>84</v>
      </c>
      <c r="CF818" s="97" t="n">
        <v>34.3827</v>
      </c>
      <c r="CG818" s="97" t="n">
        <v>0.1446</v>
      </c>
      <c r="CH818" s="63" t="n">
        <v>40761.163092178</v>
      </c>
      <c r="CI818" s="63" t="n">
        <v>3670.64017252507</v>
      </c>
      <c r="CJ818" s="64" t="n">
        <v>651969.586697533</v>
      </c>
      <c r="CK818" s="65" t="n">
        <v>0.563007883714058</v>
      </c>
    </row>
    <row r="819" s="1" customFormat="true" ht="15" hidden="false" customHeight="false" outlineLevel="0" collapsed="false">
      <c r="A819" s="7"/>
      <c r="B819" s="66"/>
      <c r="C819" s="8"/>
      <c r="D819" s="7"/>
      <c r="E819" s="4"/>
      <c r="F819" s="7"/>
      <c r="G819" s="68"/>
      <c r="H819" s="68"/>
      <c r="I819" s="7"/>
      <c r="J819" s="8"/>
      <c r="K819" s="32"/>
      <c r="L819" s="32"/>
      <c r="M819" s="32"/>
      <c r="N819" s="32"/>
      <c r="O819" s="95"/>
      <c r="P819" s="33"/>
      <c r="Q819" s="33"/>
      <c r="R819" s="32"/>
      <c r="S819" s="34"/>
      <c r="T819" s="35"/>
      <c r="U819" s="35"/>
      <c r="V819" s="35"/>
      <c r="W819" s="35"/>
      <c r="X819" s="35"/>
      <c r="Y819" s="35"/>
      <c r="Z819" s="35"/>
      <c r="AA819" s="35"/>
      <c r="AB819" s="35"/>
      <c r="AC819" s="71"/>
      <c r="AD819" s="72"/>
      <c r="AE819" s="72"/>
      <c r="AF819" s="72"/>
      <c r="AG819" s="72"/>
      <c r="AH819" s="72"/>
      <c r="AI819" s="72"/>
      <c r="AJ819" s="91"/>
      <c r="AK819" s="74"/>
      <c r="AL819" s="74"/>
      <c r="AM819" s="74"/>
      <c r="AN819" s="74"/>
      <c r="AO819" s="75"/>
      <c r="AP819" s="76"/>
      <c r="AQ819" s="76"/>
      <c r="AR819" s="76"/>
      <c r="AS819" s="77"/>
      <c r="AT819" s="78"/>
      <c r="AU819" s="78"/>
      <c r="AV819" s="78"/>
      <c r="AW819" s="78"/>
      <c r="AX819" s="78"/>
      <c r="AY819" s="48"/>
      <c r="AZ819" s="48"/>
      <c r="BA819" s="48"/>
      <c r="BB819" s="49"/>
      <c r="BC819" s="49"/>
      <c r="BD819" s="49"/>
      <c r="BE819" s="53"/>
      <c r="BF819" s="51"/>
      <c r="BG819" s="51"/>
      <c r="BH819" s="51"/>
      <c r="BI819" s="51"/>
      <c r="BJ819" s="51"/>
      <c r="BK819" s="51"/>
      <c r="BL819" s="51"/>
      <c r="BM819" s="51"/>
      <c r="BN819" s="52"/>
      <c r="BO819" s="93"/>
      <c r="BP819" s="94"/>
      <c r="BQ819" s="55"/>
      <c r="BR819" s="56"/>
      <c r="BS819" s="56"/>
      <c r="BT819" s="56"/>
      <c r="BU819" s="55"/>
      <c r="BV819" s="55"/>
      <c r="BW819" s="55"/>
      <c r="BX819" s="55"/>
      <c r="BY819" s="81"/>
      <c r="BZ819" s="81"/>
      <c r="CA819" s="81"/>
      <c r="CB819" s="81"/>
      <c r="CC819" s="81"/>
      <c r="CD819" s="81"/>
      <c r="CE819" s="81"/>
      <c r="CF819" s="81"/>
      <c r="CG819" s="81"/>
    </row>
    <row r="820" customFormat="false" ht="15" hidden="false" customHeight="false" outlineLevel="0" collapsed="false">
      <c r="A820" s="7" t="s">
        <v>902</v>
      </c>
      <c r="B820" s="66" t="n">
        <v>800</v>
      </c>
      <c r="C820" s="8" t="s">
        <v>903</v>
      </c>
      <c r="D820" s="100" t="n">
        <v>41316</v>
      </c>
      <c r="E820" s="4" t="s">
        <v>904</v>
      </c>
      <c r="F820" s="7" t="n">
        <v>203</v>
      </c>
      <c r="G820" s="68" t="n">
        <v>2</v>
      </c>
      <c r="H820" s="68" t="n">
        <v>145</v>
      </c>
      <c r="I820" s="7" t="n">
        <v>8</v>
      </c>
      <c r="J820" s="8" t="n">
        <v>659</v>
      </c>
      <c r="K820" s="31" t="n">
        <v>374.744499134227</v>
      </c>
      <c r="L820" s="31" t="n">
        <v>930.939788634384</v>
      </c>
      <c r="M820" s="31" t="n">
        <v>159.180586507145</v>
      </c>
      <c r="N820" s="31" t="n">
        <v>409.96664282776</v>
      </c>
      <c r="O820" s="31" t="n">
        <v>66.5002251739859</v>
      </c>
      <c r="P820" s="31" t="n">
        <v>35.5569276642841</v>
      </c>
      <c r="Q820" s="31"/>
      <c r="R820" s="31" t="n">
        <v>161.858164143714</v>
      </c>
      <c r="S820" s="34" t="s">
        <v>905</v>
      </c>
      <c r="T820" s="35" t="n">
        <v>10.8911463502225</v>
      </c>
      <c r="U820" s="35" t="n">
        <v>8.17340625336399</v>
      </c>
      <c r="V820" s="35" t="n">
        <v>19.0645526035865</v>
      </c>
      <c r="W820" s="35" t="n">
        <v>17.7479505711919</v>
      </c>
      <c r="X820" s="35" t="n">
        <v>3.03470666493522</v>
      </c>
      <c r="Y820" s="35" t="n">
        <v>7.81583062790558</v>
      </c>
      <c r="Z820" s="35" t="n">
        <v>1.2677970409798</v>
      </c>
      <c r="AA820" s="53" t="n">
        <v>0.677876917877663</v>
      </c>
      <c r="AB820" s="101"/>
      <c r="AC820" s="71" t="n">
        <v>3.08575348463777</v>
      </c>
      <c r="AD820" s="38" t="n">
        <v>5.29994562379704</v>
      </c>
      <c r="AE820" s="38" t="n">
        <v>4.60326777154892</v>
      </c>
      <c r="AF820" s="38" t="n">
        <v>0.975189994778655</v>
      </c>
      <c r="AG820" s="38" t="n">
        <v>3.10046818992127</v>
      </c>
      <c r="AH820" s="38" t="n">
        <v>1.26816448582887</v>
      </c>
      <c r="AI820" s="38"/>
      <c r="AJ820" s="102" t="s">
        <v>906</v>
      </c>
      <c r="AK820" s="103" t="n">
        <v>722</v>
      </c>
      <c r="AL820" s="103" t="n">
        <v>741</v>
      </c>
      <c r="AM820" s="103" t="n">
        <v>679</v>
      </c>
      <c r="AN820" s="103" t="n">
        <v>603</v>
      </c>
      <c r="AO820" s="104" t="n">
        <v>25.37</v>
      </c>
      <c r="AP820" s="105" t="n">
        <v>1.176</v>
      </c>
      <c r="AQ820" s="105" t="n">
        <v>0.926</v>
      </c>
      <c r="AR820" s="105" t="n">
        <v>1.139</v>
      </c>
      <c r="AS820" s="77" t="n">
        <v>27.788</v>
      </c>
      <c r="AT820" s="78" t="n">
        <v>27.65</v>
      </c>
      <c r="AU820" s="78" t="n">
        <v>46.35</v>
      </c>
      <c r="AV820" s="78" t="n">
        <v>36.51</v>
      </c>
      <c r="AW820" s="78" t="n">
        <v>44.89</v>
      </c>
      <c r="AX820" s="78" t="n">
        <v>17.7234042553191</v>
      </c>
      <c r="AY820" s="48" t="n">
        <v>1.45033563466884</v>
      </c>
      <c r="AZ820" s="48" t="n">
        <v>22.7151668798138</v>
      </c>
      <c r="BA820" s="48" t="n">
        <v>-3.65061427622729</v>
      </c>
      <c r="BB820" s="49" t="n">
        <f aca="false">AT820/V820</f>
        <v>1.45033563466884</v>
      </c>
      <c r="BC820" s="49" t="n">
        <f aca="false">AS820/V820</f>
        <v>1.4575741995001</v>
      </c>
      <c r="BD820" s="49" t="n">
        <f aca="false">SUM(AP820:AR820)/V820</f>
        <v>0.170001366797891</v>
      </c>
      <c r="BE820" s="53" t="n">
        <v>6.22</v>
      </c>
      <c r="BF820" s="51" t="n">
        <v>92.94</v>
      </c>
      <c r="BG820" s="51" t="n">
        <v>568.646438562513</v>
      </c>
      <c r="BH820" s="51" t="n">
        <v>201.420271142673</v>
      </c>
      <c r="BI820" s="51" t="n">
        <v>166.881859264041</v>
      </c>
      <c r="BJ820" s="51" t="n">
        <v>17.860985582096</v>
      </c>
      <c r="BK820" s="51" t="n">
        <v>27.3294598665806</v>
      </c>
      <c r="BL820" s="51" t="n">
        <v>5.27221863567893</v>
      </c>
      <c r="BM820" s="51" t="n">
        <v>12.588766946417</v>
      </c>
      <c r="BN820" s="52" t="n">
        <f aca="false">(BG820*0.5-BH820*0.25+BI820*0.5)/SUM(BG820:BI820)*1000</f>
        <v>338.768948093707</v>
      </c>
      <c r="BO820" s="93" t="n">
        <v>10.1566326530612</v>
      </c>
      <c r="BP820" s="94" t="s">
        <v>491</v>
      </c>
      <c r="BQ820" s="55" t="n">
        <v>539</v>
      </c>
      <c r="BR820" s="56" t="n">
        <v>28.2723655365824</v>
      </c>
      <c r="BS820" s="56" t="n">
        <v>40.9847553207992</v>
      </c>
      <c r="BT820" s="56" t="n">
        <v>19.493670886076</v>
      </c>
      <c r="BU820" s="55" t="n">
        <v>14326</v>
      </c>
      <c r="BV820" s="55" t="n">
        <v>751.446954873988</v>
      </c>
      <c r="BW820" s="55" t="n">
        <v>1089.32765255245</v>
      </c>
      <c r="BX820" s="55" t="n">
        <v>518</v>
      </c>
      <c r="BY820" s="106" t="n">
        <v>0.1326</v>
      </c>
      <c r="BZ820" s="106" t="n">
        <v>1.71</v>
      </c>
      <c r="CA820" s="106" t="n">
        <v>3.59</v>
      </c>
      <c r="CB820" s="81"/>
      <c r="CC820" s="106" t="n">
        <v>4.06</v>
      </c>
      <c r="CD820" s="106" t="n">
        <v>4.95</v>
      </c>
      <c r="CE820" s="106" t="n">
        <v>99.9</v>
      </c>
      <c r="CF820" s="106" t="n">
        <v>40.5</v>
      </c>
      <c r="CG820" s="106" t="n">
        <v>0.1348</v>
      </c>
      <c r="CH820" s="63"/>
      <c r="CI820" s="63"/>
      <c r="CJ820" s="64"/>
      <c r="CK820" s="65"/>
    </row>
    <row r="821" customFormat="false" ht="15" hidden="false" customHeight="false" outlineLevel="0" collapsed="false">
      <c r="A821" s="7" t="s">
        <v>902</v>
      </c>
      <c r="B821" s="66" t="n">
        <v>801</v>
      </c>
      <c r="C821" s="8" t="s">
        <v>907</v>
      </c>
      <c r="D821" s="100" t="n">
        <v>41317</v>
      </c>
      <c r="E821" s="4" t="s">
        <v>904</v>
      </c>
      <c r="F821" s="7" t="n">
        <v>1330</v>
      </c>
      <c r="G821" s="68" t="n">
        <v>2</v>
      </c>
      <c r="H821" s="68" t="n">
        <v>153</v>
      </c>
      <c r="I821" s="7" t="n">
        <v>4</v>
      </c>
      <c r="J821" s="8" t="n">
        <v>757</v>
      </c>
      <c r="K821" s="31" t="n">
        <v>380.333703262578</v>
      </c>
      <c r="L821" s="31" t="n">
        <v>930.394656638746</v>
      </c>
      <c r="M821" s="31" t="n">
        <v>156.210865671426</v>
      </c>
      <c r="N821" s="31" t="n">
        <v>416.827757886938</v>
      </c>
      <c r="O821" s="31" t="n">
        <v>71.9415144573977</v>
      </c>
      <c r="P821" s="31" t="n">
        <v>34.5763873862866</v>
      </c>
      <c r="Q821" s="31"/>
      <c r="R821" s="31" t="n">
        <v>161.942410268163</v>
      </c>
      <c r="S821" s="34" t="s">
        <v>905</v>
      </c>
      <c r="T821" s="35" t="n">
        <v>13.4959095520446</v>
      </c>
      <c r="U821" s="35" t="n">
        <v>10.0149429578462</v>
      </c>
      <c r="V821" s="35" t="n">
        <v>23.5108525098909</v>
      </c>
      <c r="W821" s="35" t="n">
        <v>21.8743715482241</v>
      </c>
      <c r="X821" s="35" t="n">
        <v>3.67265062324328</v>
      </c>
      <c r="Y821" s="35" t="n">
        <v>9.7999759377083</v>
      </c>
      <c r="Z821" s="35" t="n">
        <v>1.69140633574606</v>
      </c>
      <c r="AA821" s="53" t="n">
        <v>0.812920344163836</v>
      </c>
      <c r="AB821" s="101"/>
      <c r="AC821" s="71" t="n">
        <v>3.80740412291103</v>
      </c>
      <c r="AD821" s="38" t="n">
        <v>6.51250614523977</v>
      </c>
      <c r="AE821" s="38" t="n">
        <v>5.67695160680551</v>
      </c>
      <c r="AF821" s="38" t="n">
        <v>1.12666356312648</v>
      </c>
      <c r="AG821" s="38" t="n">
        <v>3.93355371172482</v>
      </c>
      <c r="AH821" s="38" t="n">
        <v>1.69228251731041</v>
      </c>
      <c r="AI821" s="38"/>
      <c r="AJ821" s="102" t="s">
        <v>906</v>
      </c>
      <c r="AK821" s="103" t="n">
        <v>723</v>
      </c>
      <c r="AL821" s="103" t="n">
        <v>741</v>
      </c>
      <c r="AM821" s="103" t="n">
        <v>693</v>
      </c>
      <c r="AN821" s="103" t="n">
        <v>599</v>
      </c>
      <c r="AO821" s="104" t="n">
        <v>26.77</v>
      </c>
      <c r="AP821" s="105" t="n">
        <v>1.362</v>
      </c>
      <c r="AQ821" s="105" t="n">
        <v>1.045</v>
      </c>
      <c r="AR821" s="105" t="n">
        <v>1.253</v>
      </c>
      <c r="AS821" s="77" t="n">
        <v>31.138</v>
      </c>
      <c r="AT821" s="78" t="n">
        <v>31.44</v>
      </c>
      <c r="AU821" s="78" t="n">
        <v>50.87</v>
      </c>
      <c r="AV821" s="78" t="n">
        <v>39.04</v>
      </c>
      <c r="AW821" s="78" t="n">
        <v>46.8</v>
      </c>
      <c r="AX821" s="78" t="n">
        <v>15.9148936170213</v>
      </c>
      <c r="AY821" s="48" t="n">
        <v>1.33725478422245</v>
      </c>
      <c r="AZ821" s="48" t="n">
        <v>25.3633088220508</v>
      </c>
      <c r="BA821" s="48" t="n">
        <v>-1.85245631215997</v>
      </c>
      <c r="BB821" s="49" t="n">
        <f aca="false">AT821/V821</f>
        <v>1.33725478422245</v>
      </c>
      <c r="BC821" s="49" t="n">
        <f aca="false">AS821/V821</f>
        <v>1.32440965238927</v>
      </c>
      <c r="BD821" s="49" t="n">
        <f aca="false">SUM(AP821:AR821)/V821</f>
        <v>0.155672789766354</v>
      </c>
      <c r="BE821" s="53" t="n">
        <v>6.77</v>
      </c>
      <c r="BF821" s="51" t="n">
        <v>95</v>
      </c>
      <c r="BG821" s="51" t="n">
        <v>598.421052631579</v>
      </c>
      <c r="BH821" s="51" t="n">
        <v>176.315789473684</v>
      </c>
      <c r="BI821" s="51" t="n">
        <v>170.631578947368</v>
      </c>
      <c r="BJ821" s="51" t="n">
        <v>19.3684210526316</v>
      </c>
      <c r="BK821" s="51" t="n">
        <v>20.5263157894737</v>
      </c>
      <c r="BL821" s="51" t="n">
        <v>4.52631578947368</v>
      </c>
      <c r="BM821" s="51" t="n">
        <v>10.2105263157895</v>
      </c>
      <c r="BN821" s="52" t="n">
        <f aca="false">(BG821*0.5-BH821*0.25+BI821*0.5)/SUM(BG821:BI821)*1000</f>
        <v>360.121367331032</v>
      </c>
      <c r="BO821" s="93" t="n">
        <v>3.4</v>
      </c>
      <c r="BP821" s="94" t="s">
        <v>491</v>
      </c>
      <c r="BQ821" s="55" t="n">
        <v>526</v>
      </c>
      <c r="BR821" s="56" t="n">
        <v>22.3726468352738</v>
      </c>
      <c r="BS821" s="56" t="n">
        <v>32.4512889612339</v>
      </c>
      <c r="BT821" s="56" t="n">
        <v>16.7302798982188</v>
      </c>
      <c r="BU821" s="55" t="n">
        <v>15046</v>
      </c>
      <c r="BV821" s="55" t="n">
        <v>639.959780006711</v>
      </c>
      <c r="BW821" s="55" t="n">
        <v>928.254931008985</v>
      </c>
      <c r="BX821" s="55" t="n">
        <v>479</v>
      </c>
      <c r="BY821" s="106" t="n">
        <v>0.1938</v>
      </c>
      <c r="BZ821" s="106" t="n">
        <v>1.37</v>
      </c>
      <c r="CA821" s="106" t="n">
        <v>4.08</v>
      </c>
      <c r="CB821" s="81"/>
      <c r="CC821" s="106" t="n">
        <v>3.04</v>
      </c>
      <c r="CD821" s="106" t="n">
        <v>5.15</v>
      </c>
      <c r="CE821" s="106" t="n">
        <v>97.9</v>
      </c>
      <c r="CF821" s="106" t="n">
        <v>39.7</v>
      </c>
      <c r="CG821" s="106" t="n">
        <v>0.307</v>
      </c>
      <c r="CH821" s="63" t="n">
        <v>32177.5624985408</v>
      </c>
      <c r="CI821" s="63" t="n">
        <v>15170.2839608365</v>
      </c>
      <c r="CJ821" s="64" t="n">
        <v>953373.150320344</v>
      </c>
      <c r="CK821" s="65" t="n">
        <v>1.59122206826772</v>
      </c>
    </row>
    <row r="822" customFormat="false" ht="15" hidden="false" customHeight="false" outlineLevel="0" collapsed="false">
      <c r="A822" s="7" t="s">
        <v>902</v>
      </c>
      <c r="B822" s="66" t="n">
        <v>802</v>
      </c>
      <c r="C822" s="8" t="s">
        <v>908</v>
      </c>
      <c r="D822" s="100" t="n">
        <v>41316</v>
      </c>
      <c r="E822" s="4" t="s">
        <v>904</v>
      </c>
      <c r="F822" s="7" t="n">
        <v>1354</v>
      </c>
      <c r="G822" s="68" t="n">
        <v>2</v>
      </c>
      <c r="H822" s="68" t="n">
        <v>129</v>
      </c>
      <c r="I822" s="7" t="n">
        <v>6</v>
      </c>
      <c r="J822" s="8" t="n">
        <v>731</v>
      </c>
      <c r="K822" s="31" t="n">
        <v>391.283710599502</v>
      </c>
      <c r="L822" s="31" t="n">
        <v>932.640496547177</v>
      </c>
      <c r="M822" s="31" t="n">
        <v>157.345304090128</v>
      </c>
      <c r="N822" s="31" t="n">
        <v>409.891003600601</v>
      </c>
      <c r="O822" s="31" t="n">
        <v>72.752856871786</v>
      </c>
      <c r="P822" s="31" t="n">
        <v>35.4278811705791</v>
      </c>
      <c r="Q822" s="31"/>
      <c r="R822" s="31" t="n">
        <v>164.057270130965</v>
      </c>
      <c r="S822" s="34" t="s">
        <v>905</v>
      </c>
      <c r="T822" s="35" t="n">
        <v>10.7826527074838</v>
      </c>
      <c r="U822" s="35" t="n">
        <v>8.43629683140001</v>
      </c>
      <c r="V822" s="35" t="n">
        <v>19.2189495388838</v>
      </c>
      <c r="W822" s="35" t="n">
        <v>17.9243706410597</v>
      </c>
      <c r="X822" s="35" t="n">
        <v>3.02401145948849</v>
      </c>
      <c r="Y822" s="35" t="n">
        <v>7.87767451464238</v>
      </c>
      <c r="Z822" s="35" t="n">
        <v>1.39823348502849</v>
      </c>
      <c r="AA822" s="53" t="n">
        <v>0.680886660486931</v>
      </c>
      <c r="AB822" s="101"/>
      <c r="AC822" s="71" t="n">
        <v>3.15300839613404</v>
      </c>
      <c r="AD822" s="38" t="n">
        <v>5.66959011397071</v>
      </c>
      <c r="AE822" s="38" t="n">
        <v>4.98952277979992</v>
      </c>
      <c r="AF822" s="38" t="n">
        <v>1.01485663040076</v>
      </c>
      <c r="AG822" s="38" t="n">
        <v>3.44144119918022</v>
      </c>
      <c r="AH822" s="38" t="n">
        <v>1.39846943180948</v>
      </c>
      <c r="AI822" s="38"/>
      <c r="AJ822" s="102" t="s">
        <v>906</v>
      </c>
      <c r="AK822" s="103" t="n">
        <v>705</v>
      </c>
      <c r="AL822" s="103" t="n">
        <v>722</v>
      </c>
      <c r="AM822" s="103" t="n">
        <v>664</v>
      </c>
      <c r="AN822" s="103" t="n">
        <v>563</v>
      </c>
      <c r="AO822" s="104" t="n">
        <v>27.62</v>
      </c>
      <c r="AP822" s="105" t="n">
        <v>1.2</v>
      </c>
      <c r="AQ822" s="105" t="n">
        <v>1.007</v>
      </c>
      <c r="AR822" s="105" t="n">
        <v>1.309</v>
      </c>
      <c r="AS822" s="77" t="n">
        <v>29.048</v>
      </c>
      <c r="AT822" s="78" t="n">
        <v>29.48</v>
      </c>
      <c r="AU822" s="78" t="n">
        <v>43.46</v>
      </c>
      <c r="AV822" s="78" t="n">
        <v>36.45</v>
      </c>
      <c r="AW822" s="78" t="n">
        <v>47.4</v>
      </c>
      <c r="AX822" s="78" t="n">
        <v>19.4893617021277</v>
      </c>
      <c r="AY822" s="48" t="n">
        <v>1.53390277342454</v>
      </c>
      <c r="AZ822" s="48" t="n">
        <v>24.063728288746</v>
      </c>
      <c r="BA822" s="48" t="n">
        <v>-4.84477874986228</v>
      </c>
      <c r="BB822" s="49" t="n">
        <f aca="false">AT822/V822</f>
        <v>1.53390277342454</v>
      </c>
      <c r="BC822" s="49" t="n">
        <f aca="false">AS822/V822</f>
        <v>1.51142495802021</v>
      </c>
      <c r="BD822" s="49" t="n">
        <f aca="false">SUM(AP822:AR822)/V822</f>
        <v>0.182944442040728</v>
      </c>
      <c r="BE822" s="53" t="n">
        <v>6.4</v>
      </c>
      <c r="BF822" s="51" t="n">
        <v>112.45</v>
      </c>
      <c r="BG822" s="51" t="n">
        <v>610.760337927968</v>
      </c>
      <c r="BH822" s="51" t="n">
        <v>187.638950644731</v>
      </c>
      <c r="BI822" s="51" t="n">
        <v>149.844375277901</v>
      </c>
      <c r="BJ822" s="51" t="n">
        <v>10.4046242774566</v>
      </c>
      <c r="BK822" s="51" t="n">
        <v>23.7438861716318</v>
      </c>
      <c r="BL822" s="51" t="n">
        <v>7.46998666073811</v>
      </c>
      <c r="BM822" s="51" t="n">
        <v>10.1378390395731</v>
      </c>
      <c r="BN822" s="52" t="n">
        <f aca="false">(BG822*0.5-BH822*0.25+BI822*0.5)/SUM(BG822:BI822)*1000</f>
        <v>351.589608928069</v>
      </c>
      <c r="BO822" s="93" t="n">
        <v>2.16836734693878</v>
      </c>
      <c r="BP822" s="94" t="s">
        <v>491</v>
      </c>
      <c r="BQ822" s="55" t="n">
        <v>433</v>
      </c>
      <c r="BR822" s="56" t="n">
        <v>22.5298473844241</v>
      </c>
      <c r="BS822" s="56" t="n">
        <v>33.4585243576672</v>
      </c>
      <c r="BT822" s="56" t="n">
        <v>14.6879240162822</v>
      </c>
      <c r="BU822" s="55" t="n">
        <v>12427</v>
      </c>
      <c r="BV822" s="55" t="n">
        <v>646.601416734963</v>
      </c>
      <c r="BW822" s="55" t="n">
        <v>960.251921923165</v>
      </c>
      <c r="BX822" s="55" t="n">
        <v>422</v>
      </c>
      <c r="BY822" s="106" t="n">
        <v>0.2142</v>
      </c>
      <c r="BZ822" s="106" t="n">
        <v>1.27</v>
      </c>
      <c r="CA822" s="106" t="n">
        <v>4.2</v>
      </c>
      <c r="CB822" s="81"/>
      <c r="CC822" s="106" t="n">
        <v>3.78</v>
      </c>
      <c r="CD822" s="106" t="n">
        <v>8.44</v>
      </c>
      <c r="CE822" s="106" t="n">
        <v>103</v>
      </c>
      <c r="CF822" s="106" t="n">
        <v>40.2</v>
      </c>
      <c r="CG822" s="106" t="n">
        <v>0.1985</v>
      </c>
      <c r="CH822" s="63" t="n">
        <v>82150.0157178052</v>
      </c>
      <c r="CI822" s="63" t="n">
        <v>4425.52498226699</v>
      </c>
      <c r="CJ822" s="64" t="n">
        <v>497399.638341332</v>
      </c>
      <c r="CK822" s="65" t="n">
        <v>0.889732247700199</v>
      </c>
    </row>
    <row r="823" customFormat="false" ht="15" hidden="false" customHeight="false" outlineLevel="0" collapsed="false">
      <c r="A823" s="7" t="s">
        <v>902</v>
      </c>
      <c r="B823" s="66" t="n">
        <v>803</v>
      </c>
      <c r="C823" s="8" t="s">
        <v>909</v>
      </c>
      <c r="D823" s="100" t="n">
        <v>41316</v>
      </c>
      <c r="E823" s="4" t="s">
        <v>904</v>
      </c>
      <c r="F823" s="7" t="n">
        <v>1424</v>
      </c>
      <c r="G823" s="68" t="n">
        <v>2</v>
      </c>
      <c r="H823" s="68" t="n">
        <v>173</v>
      </c>
      <c r="I823" s="7" t="n">
        <v>4</v>
      </c>
      <c r="J823" s="8" t="n">
        <v>654</v>
      </c>
      <c r="K823" s="31" t="n">
        <v>394.346359635798</v>
      </c>
      <c r="L823" s="31" t="n">
        <v>932.093102481794</v>
      </c>
      <c r="M823" s="31" t="n">
        <v>157.447704365741</v>
      </c>
      <c r="N823" s="31" t="n">
        <v>418.065696444557</v>
      </c>
      <c r="O823" s="31" t="n">
        <v>77.135985439492</v>
      </c>
      <c r="P823" s="31" t="n">
        <v>35.2805339869175</v>
      </c>
      <c r="Q823" s="31"/>
      <c r="R823" s="31" t="n">
        <v>157.033962995348</v>
      </c>
      <c r="S823" s="34" t="s">
        <v>905</v>
      </c>
      <c r="T823" s="35" t="n">
        <v>11.4467216493933</v>
      </c>
      <c r="U823" s="35" t="n">
        <v>8.64600209753569</v>
      </c>
      <c r="V823" s="35" t="n">
        <v>20.092723746929</v>
      </c>
      <c r="W823" s="35" t="n">
        <v>18.7282892145847</v>
      </c>
      <c r="X823" s="35" t="n">
        <v>3.16355322840898</v>
      </c>
      <c r="Y823" s="35" t="n">
        <v>8.40007854672798</v>
      </c>
      <c r="Z823" s="35" t="n">
        <v>1.54987204638285</v>
      </c>
      <c r="AA823" s="53" t="n">
        <v>0.708882023043275</v>
      </c>
      <c r="AB823" s="101"/>
      <c r="AC823" s="71" t="n">
        <v>3.155240037351</v>
      </c>
      <c r="AD823" s="38" t="n">
        <v>6.00772440033178</v>
      </c>
      <c r="AE823" s="38" t="n">
        <v>5.26396811957071</v>
      </c>
      <c r="AF823" s="38" t="n">
        <v>1.11142901406138</v>
      </c>
      <c r="AG823" s="38" t="n">
        <v>3.50250332539343</v>
      </c>
      <c r="AH823" s="38" t="n">
        <v>1.54830814312429</v>
      </c>
      <c r="AI823" s="38"/>
      <c r="AJ823" s="102" t="s">
        <v>906</v>
      </c>
      <c r="AK823" s="103" t="n">
        <v>701</v>
      </c>
      <c r="AL823" s="103" t="n">
        <v>719</v>
      </c>
      <c r="AM823" s="103" t="n">
        <v>648</v>
      </c>
      <c r="AN823" s="103" t="n">
        <v>583</v>
      </c>
      <c r="AO823" s="104" t="n">
        <v>24.34</v>
      </c>
      <c r="AP823" s="105" t="n">
        <v>1.194</v>
      </c>
      <c r="AQ823" s="105" t="n">
        <v>0.871</v>
      </c>
      <c r="AR823" s="105" t="n">
        <v>1.151</v>
      </c>
      <c r="AS823" s="77" t="n">
        <v>27.646</v>
      </c>
      <c r="AT823" s="78" t="n">
        <v>27.5</v>
      </c>
      <c r="AU823" s="78" t="n">
        <v>49.07</v>
      </c>
      <c r="AV823" s="78" t="n">
        <v>35.78</v>
      </c>
      <c r="AW823" s="78" t="n">
        <v>47.29</v>
      </c>
      <c r="AX823" s="78" t="n">
        <v>21.9574468085106</v>
      </c>
      <c r="AY823" s="48" t="n">
        <v>1.36865466058095</v>
      </c>
      <c r="AZ823" s="48" t="n">
        <v>22.705005863597</v>
      </c>
      <c r="BA823" s="48" t="n">
        <v>-2.61228211666796</v>
      </c>
      <c r="BB823" s="49" t="n">
        <f aca="false">AT823/V823</f>
        <v>1.36865466058095</v>
      </c>
      <c r="BC823" s="49" t="n">
        <f aca="false">AS823/V823</f>
        <v>1.37592097259713</v>
      </c>
      <c r="BD823" s="49" t="n">
        <f aca="false">SUM(AP823:AR823)/V823</f>
        <v>0.160057941397394</v>
      </c>
      <c r="BE823" s="53" t="n">
        <v>6.65</v>
      </c>
      <c r="BF823" s="51" t="n">
        <v>104.7</v>
      </c>
      <c r="BG823" s="51" t="n">
        <v>631.041069723018</v>
      </c>
      <c r="BH823" s="51" t="n">
        <v>167.621776504298</v>
      </c>
      <c r="BI823" s="51" t="n">
        <v>145.940783190067</v>
      </c>
      <c r="BJ823" s="51" t="n">
        <v>12.7984718242598</v>
      </c>
      <c r="BK823" s="51" t="n">
        <v>21.3944603629417</v>
      </c>
      <c r="BL823" s="51" t="n">
        <v>10.2196752626552</v>
      </c>
      <c r="BM823" s="51" t="n">
        <v>10.9837631327603</v>
      </c>
      <c r="BN823" s="52" t="n">
        <f aca="false">(BG823*0.5-BH823*0.25+BI823*0.5)/SUM(BG823:BI823)*1000</f>
        <v>366.911021233569</v>
      </c>
      <c r="BO823" s="93" t="n">
        <v>3.5734693877551</v>
      </c>
      <c r="BP823" s="94" t="s">
        <v>491</v>
      </c>
      <c r="BQ823" s="55" t="n">
        <v>437</v>
      </c>
      <c r="BR823" s="56" t="n">
        <v>21.749166788141</v>
      </c>
      <c r="BS823" s="56" t="n">
        <v>32.4529693186227</v>
      </c>
      <c r="BT823" s="56" t="n">
        <v>15.8909090909091</v>
      </c>
      <c r="BU823" s="55" t="n">
        <v>12537</v>
      </c>
      <c r="BV823" s="55" t="n">
        <v>623.95721744376</v>
      </c>
      <c r="BW823" s="55" t="n">
        <v>931.036330314813</v>
      </c>
      <c r="BX823" s="55" t="n">
        <v>494</v>
      </c>
      <c r="BY823" s="106" t="n">
        <v>0.1734</v>
      </c>
      <c r="BZ823" s="106" t="n">
        <v>1.54</v>
      </c>
      <c r="CA823" s="106" t="n">
        <v>4.21</v>
      </c>
      <c r="CB823" s="81"/>
      <c r="CC823" s="106" t="n">
        <v>3.65</v>
      </c>
      <c r="CD823" s="106" t="n">
        <v>5.26</v>
      </c>
      <c r="CE823" s="106" t="n">
        <v>98.9</v>
      </c>
      <c r="CF823" s="106" t="n">
        <v>35.9</v>
      </c>
      <c r="CG823" s="106" t="n">
        <v>0.5106</v>
      </c>
      <c r="CH823" s="63"/>
      <c r="CI823" s="63"/>
      <c r="CJ823" s="64"/>
      <c r="CK823" s="65"/>
    </row>
    <row r="824" customFormat="false" ht="15" hidden="false" customHeight="false" outlineLevel="0" collapsed="false">
      <c r="A824" s="7" t="s">
        <v>902</v>
      </c>
      <c r="B824" s="66" t="n">
        <v>804</v>
      </c>
      <c r="C824" s="8" t="s">
        <v>910</v>
      </c>
      <c r="D824" s="100" t="n">
        <v>41319</v>
      </c>
      <c r="E824" s="4" t="s">
        <v>904</v>
      </c>
      <c r="F824" s="7" t="n">
        <v>1433</v>
      </c>
      <c r="G824" s="68" t="n">
        <v>2</v>
      </c>
      <c r="H824" s="68" t="n">
        <v>110</v>
      </c>
      <c r="I824" s="7" t="n">
        <v>4</v>
      </c>
      <c r="J824" s="8" t="n">
        <v>760</v>
      </c>
      <c r="K824" s="31" t="n">
        <v>390.65263229846</v>
      </c>
      <c r="L824" s="31" t="n">
        <v>932.860630141852</v>
      </c>
      <c r="M824" s="31" t="n">
        <v>157.299752399591</v>
      </c>
      <c r="N824" s="31" t="n">
        <v>407.313919232062</v>
      </c>
      <c r="O824" s="31" t="n">
        <v>71.4976555550442</v>
      </c>
      <c r="P824" s="31" t="n">
        <v>35.4961617557864</v>
      </c>
      <c r="Q824" s="31"/>
      <c r="R824" s="31" t="n">
        <v>166.136658412534</v>
      </c>
      <c r="S824" s="34" t="s">
        <v>905</v>
      </c>
      <c r="T824" s="35" t="n">
        <v>10.3221005640828</v>
      </c>
      <c r="U824" s="35" t="n">
        <v>8.16939803420744</v>
      </c>
      <c r="V824" s="35" t="n">
        <v>18.4914985982902</v>
      </c>
      <c r="W824" s="35" t="n">
        <v>17.2499910346682</v>
      </c>
      <c r="X824" s="35" t="n">
        <v>2.90870815100843</v>
      </c>
      <c r="Y824" s="35" t="n">
        <v>7.53184476654377</v>
      </c>
      <c r="Z824" s="35" t="n">
        <v>1.32209879747714</v>
      </c>
      <c r="AA824" s="53" t="n">
        <v>0.656377225351807</v>
      </c>
      <c r="AB824" s="101"/>
      <c r="AC824" s="71" t="n">
        <v>3.07211578615999</v>
      </c>
      <c r="AD824" s="38" t="n">
        <v>5.08516211452981</v>
      </c>
      <c r="AE824" s="38" t="n">
        <v>4.39510561558812</v>
      </c>
      <c r="AF824" s="38" t="n">
        <v>0.971265963875194</v>
      </c>
      <c r="AG824" s="38" t="n">
        <v>2.95956435065635</v>
      </c>
      <c r="AH824" s="38" t="n">
        <v>1.32398777377108</v>
      </c>
      <c r="AI824" s="38"/>
      <c r="AJ824" s="102" t="s">
        <v>906</v>
      </c>
      <c r="AK824" s="103" t="n">
        <v>725</v>
      </c>
      <c r="AL824" s="103" t="n">
        <v>746</v>
      </c>
      <c r="AM824" s="103" t="n">
        <v>667</v>
      </c>
      <c r="AN824" s="103" t="n">
        <v>608</v>
      </c>
      <c r="AO824" s="104" t="n">
        <v>26.93</v>
      </c>
      <c r="AP824" s="105" t="n">
        <v>1.206</v>
      </c>
      <c r="AQ824" s="105" t="n">
        <v>1.008</v>
      </c>
      <c r="AR824" s="105" t="n">
        <v>1.207</v>
      </c>
      <c r="AS824" s="77" t="n">
        <v>28.862</v>
      </c>
      <c r="AT824" s="78" t="n">
        <v>29.02</v>
      </c>
      <c r="AU824" s="78" t="n">
        <v>44.8</v>
      </c>
      <c r="AV824" s="78" t="n">
        <v>37.42</v>
      </c>
      <c r="AW824" s="78" t="n">
        <v>44.83</v>
      </c>
      <c r="AX824" s="78" t="n">
        <v>17.6382978723404</v>
      </c>
      <c r="AY824" s="48" t="n">
        <v>1.56936982937031</v>
      </c>
      <c r="AZ824" s="48" t="n">
        <v>24.1495150743402</v>
      </c>
      <c r="BA824" s="48" t="n">
        <v>-5.65801647604996</v>
      </c>
      <c r="BB824" s="49" t="n">
        <f aca="false">AT824/V824</f>
        <v>1.56936982937031</v>
      </c>
      <c r="BC824" s="49" t="n">
        <f aca="false">AS824/V824</f>
        <v>1.56082536234617</v>
      </c>
      <c r="BD824" s="49" t="n">
        <f aca="false">SUM(AP824:AR824)/V824</f>
        <v>0.18500393474417</v>
      </c>
      <c r="BE824" s="53" t="n">
        <v>6.81</v>
      </c>
      <c r="BF824" s="51" t="n">
        <v>111.28</v>
      </c>
      <c r="BG824" s="51" t="n">
        <v>631.829618979152</v>
      </c>
      <c r="BH824" s="51" t="n">
        <v>153.217109992811</v>
      </c>
      <c r="BI824" s="51" t="n">
        <v>149.712437095615</v>
      </c>
      <c r="BJ824" s="51" t="n">
        <v>13.3896477354421</v>
      </c>
      <c r="BK824" s="51" t="n">
        <v>26.1502516175413</v>
      </c>
      <c r="BL824" s="51" t="n">
        <v>10.6937455068296</v>
      </c>
      <c r="BM824" s="51" t="n">
        <v>15.0071890726096</v>
      </c>
      <c r="BN824" s="52" t="n">
        <f aca="false">(BG824*0.5-BH824*0.25+BI824*0.5)/SUM(BG824:BI824)*1000</f>
        <v>377.066910209575</v>
      </c>
      <c r="BO824" s="93" t="n">
        <v>2.73214285714286</v>
      </c>
      <c r="BP824" s="94" t="s">
        <v>491</v>
      </c>
      <c r="BQ824" s="55" t="n">
        <v>510</v>
      </c>
      <c r="BR824" s="56" t="n">
        <v>27.5802416601949</v>
      </c>
      <c r="BS824" s="56" t="n">
        <v>39.6316792992285</v>
      </c>
      <c r="BT824" s="56" t="n">
        <v>17.5740868366644</v>
      </c>
      <c r="BU824" s="55" t="n">
        <v>14081</v>
      </c>
      <c r="BV824" s="55" t="n">
        <v>761.48506434746</v>
      </c>
      <c r="BW824" s="55" t="n">
        <v>1094.22289453419</v>
      </c>
      <c r="BX824" s="55" t="n">
        <v>547</v>
      </c>
      <c r="BY824" s="106" t="n">
        <v>0.1938</v>
      </c>
      <c r="BZ824" s="106" t="n">
        <v>1.7</v>
      </c>
      <c r="CA824" s="106" t="n">
        <v>4.05</v>
      </c>
      <c r="CB824" s="81"/>
      <c r="CC824" s="106" t="n">
        <v>3.75</v>
      </c>
      <c r="CD824" s="106" t="n">
        <v>6.78</v>
      </c>
      <c r="CE824" s="106" t="n">
        <v>105.1</v>
      </c>
      <c r="CF824" s="106" t="n">
        <v>40.8</v>
      </c>
      <c r="CG824" s="106" t="n">
        <v>0.0857</v>
      </c>
      <c r="CH824" s="63"/>
      <c r="CI824" s="63"/>
      <c r="CJ824" s="64"/>
      <c r="CK824" s="65"/>
    </row>
    <row r="825" customFormat="false" ht="15" hidden="false" customHeight="false" outlineLevel="0" collapsed="false">
      <c r="A825" s="7" t="s">
        <v>902</v>
      </c>
      <c r="B825" s="66" t="n">
        <v>805</v>
      </c>
      <c r="C825" s="8" t="s">
        <v>911</v>
      </c>
      <c r="D825" s="100" t="n">
        <v>41317</v>
      </c>
      <c r="E825" s="4" t="s">
        <v>904</v>
      </c>
      <c r="F825" s="7" t="n">
        <v>1436</v>
      </c>
      <c r="G825" s="68" t="n">
        <v>2</v>
      </c>
      <c r="H825" s="68" t="n">
        <v>178</v>
      </c>
      <c r="I825" s="7" t="n">
        <v>4</v>
      </c>
      <c r="J825" s="8" t="n">
        <v>689</v>
      </c>
      <c r="K825" s="31" t="n">
        <v>369.998554277522</v>
      </c>
      <c r="L825" s="31" t="n">
        <v>930.529504511243</v>
      </c>
      <c r="M825" s="31" t="n">
        <v>157.71268467794</v>
      </c>
      <c r="N825" s="31" t="n">
        <v>419.851948603738</v>
      </c>
      <c r="O825" s="31" t="n">
        <v>70.6915687253093</v>
      </c>
      <c r="P825" s="31" t="n">
        <v>34.8167778760056</v>
      </c>
      <c r="Q825" s="31"/>
      <c r="R825" s="31" t="n">
        <v>155.480773167757</v>
      </c>
      <c r="S825" s="34" t="s">
        <v>905</v>
      </c>
      <c r="T825" s="35" t="n">
        <v>12.0560088847249</v>
      </c>
      <c r="U825" s="35" t="n">
        <v>8.50909933148404</v>
      </c>
      <c r="V825" s="35" t="n">
        <v>20.5651082162089</v>
      </c>
      <c r="W825" s="35" t="n">
        <v>19.136439958649</v>
      </c>
      <c r="X825" s="35" t="n">
        <v>3.24337842747067</v>
      </c>
      <c r="Y825" s="35" t="n">
        <v>8.63430075782205</v>
      </c>
      <c r="Z825" s="35" t="n">
        <v>1.45377976080955</v>
      </c>
      <c r="AA825" s="53" t="n">
        <v>0.716010804759763</v>
      </c>
      <c r="AB825" s="101"/>
      <c r="AC825" s="71" t="n">
        <v>3.19747892573476</v>
      </c>
      <c r="AD825" s="38" t="n">
        <v>4.70940978151184</v>
      </c>
      <c r="AE825" s="38" t="n">
        <v>4.10754721143462</v>
      </c>
      <c r="AF825" s="38" t="n">
        <v>0.758214974823406</v>
      </c>
      <c r="AG825" s="38" t="n">
        <v>2.8633211471592</v>
      </c>
      <c r="AH825" s="38" t="n">
        <v>1.45688963999413</v>
      </c>
      <c r="AI825" s="38"/>
      <c r="AJ825" s="102" t="s">
        <v>906</v>
      </c>
      <c r="AK825" s="103" t="n">
        <v>771</v>
      </c>
      <c r="AL825" s="103" t="n">
        <v>786</v>
      </c>
      <c r="AM825" s="103" t="n">
        <v>767</v>
      </c>
      <c r="AN825" s="103" t="n">
        <v>669</v>
      </c>
      <c r="AO825" s="104" t="n">
        <v>15.64</v>
      </c>
      <c r="AP825" s="105" t="n">
        <v>0.86</v>
      </c>
      <c r="AQ825" s="105" t="n">
        <v>0.598</v>
      </c>
      <c r="AR825" s="105" t="n">
        <v>0.7</v>
      </c>
      <c r="AS825" s="77" t="n">
        <v>19.156</v>
      </c>
      <c r="AT825" s="78" t="n">
        <v>18.89</v>
      </c>
      <c r="AU825" s="78" t="n">
        <v>54.99</v>
      </c>
      <c r="AV825" s="78" t="n">
        <v>38.25</v>
      </c>
      <c r="AW825" s="78" t="n">
        <v>44.74</v>
      </c>
      <c r="AX825" s="78" t="n">
        <v>22.2765957446809</v>
      </c>
      <c r="AY825" s="48" t="n">
        <v>0.918546102524828</v>
      </c>
      <c r="AZ825" s="48" t="n">
        <v>20.0684276319684</v>
      </c>
      <c r="BA825" s="48" t="n">
        <v>0.496680584240504</v>
      </c>
      <c r="BB825" s="49" t="n">
        <f aca="false">AT825/V825</f>
        <v>0.918546102524828</v>
      </c>
      <c r="BC825" s="49" t="n">
        <f aca="false">AS825/V825</f>
        <v>0.931480632078645</v>
      </c>
      <c r="BD825" s="49" t="n">
        <f aca="false">SUM(AP825:AR825)/V825</f>
        <v>0.104935017959162</v>
      </c>
      <c r="BE825" s="53" t="n">
        <v>6.78</v>
      </c>
      <c r="BF825" s="51" t="n">
        <v>86.83</v>
      </c>
      <c r="BG825" s="51" t="n">
        <v>638.373833928366</v>
      </c>
      <c r="BH825" s="51" t="n">
        <v>156.397558447541</v>
      </c>
      <c r="BI825" s="51" t="n">
        <v>153.403201658413</v>
      </c>
      <c r="BJ825" s="51" t="n">
        <v>12.5532650005758</v>
      </c>
      <c r="BK825" s="51" t="n">
        <v>20.9604975238973</v>
      </c>
      <c r="BL825" s="51" t="n">
        <v>9.67407578026028</v>
      </c>
      <c r="BM825" s="51" t="n">
        <v>8.63756766094668</v>
      </c>
      <c r="BN825" s="52" t="n">
        <f aca="false">(BG825*0.5-BH825*0.25+BI825*0.5)/SUM(BG825:BI825)*1000</f>
        <v>376.290538078465</v>
      </c>
      <c r="BO825" s="93" t="n">
        <v>3.56479591836735</v>
      </c>
      <c r="BP825" s="94" t="s">
        <v>491</v>
      </c>
      <c r="BQ825" s="55" t="n">
        <v>581</v>
      </c>
      <c r="BR825" s="56" t="n">
        <v>28.2517356043899</v>
      </c>
      <c r="BS825" s="56" t="n">
        <v>38.6271298231753</v>
      </c>
      <c r="BT825" s="56" t="n">
        <v>30.7570142932769</v>
      </c>
      <c r="BU825" s="55" t="n">
        <v>15969</v>
      </c>
      <c r="BV825" s="55" t="n">
        <v>776.509407687611</v>
      </c>
      <c r="BW825" s="55" t="n">
        <v>1061.68095722252</v>
      </c>
      <c r="BX825" s="55" t="n">
        <v>845</v>
      </c>
      <c r="BY825" s="106" t="n">
        <v>0.1836</v>
      </c>
      <c r="BZ825" s="106" t="n">
        <v>0.97</v>
      </c>
      <c r="CA825" s="106" t="n">
        <v>4.59</v>
      </c>
      <c r="CB825" s="81"/>
      <c r="CC825" s="106" t="n">
        <v>4.13</v>
      </c>
      <c r="CD825" s="106" t="n">
        <v>4.2</v>
      </c>
      <c r="CE825" s="106" t="n">
        <v>87.6</v>
      </c>
      <c r="CF825" s="106" t="n">
        <v>34.1</v>
      </c>
      <c r="CG825" s="106" t="n">
        <v>0.4468</v>
      </c>
      <c r="CH825" s="63" t="n">
        <v>71652.3629295468</v>
      </c>
      <c r="CI825" s="63" t="n">
        <v>13796.4421305886</v>
      </c>
      <c r="CJ825" s="64" t="n">
        <v>668918.110913039</v>
      </c>
      <c r="CK825" s="65" t="n">
        <v>2.0625009108749</v>
      </c>
    </row>
    <row r="826" customFormat="false" ht="15" hidden="false" customHeight="false" outlineLevel="0" collapsed="false">
      <c r="A826" s="7" t="s">
        <v>902</v>
      </c>
      <c r="B826" s="66" t="n">
        <v>806</v>
      </c>
      <c r="C826" s="8" t="s">
        <v>912</v>
      </c>
      <c r="D826" s="100" t="n">
        <v>41316</v>
      </c>
      <c r="E826" s="4" t="s">
        <v>904</v>
      </c>
      <c r="F826" s="7" t="n">
        <v>1437</v>
      </c>
      <c r="G826" s="68" t="n">
        <v>2</v>
      </c>
      <c r="H826" s="68" t="n">
        <v>141</v>
      </c>
      <c r="I826" s="7" t="n">
        <v>4</v>
      </c>
      <c r="J826" s="8" t="n">
        <v>715</v>
      </c>
      <c r="K826" s="31" t="n">
        <v>384.900523609404</v>
      </c>
      <c r="L826" s="31" t="n">
        <v>931.274651506771</v>
      </c>
      <c r="M826" s="31" t="n">
        <v>158.024243262713</v>
      </c>
      <c r="N826" s="31" t="n">
        <v>413.245690368668</v>
      </c>
      <c r="O826" s="31" t="n">
        <v>71.48122830161</v>
      </c>
      <c r="P826" s="31" t="n">
        <v>34.9510357353549</v>
      </c>
      <c r="Q826" s="31"/>
      <c r="R826" s="31" t="n">
        <v>163.774953994585</v>
      </c>
      <c r="S826" s="34" t="s">
        <v>905</v>
      </c>
      <c r="T826" s="35" t="n">
        <v>11.0169865233137</v>
      </c>
      <c r="U826" s="35" t="n">
        <v>8.40617401805477</v>
      </c>
      <c r="V826" s="35" t="n">
        <v>19.4231605413685</v>
      </c>
      <c r="W826" s="35" t="n">
        <v>18.088297064323</v>
      </c>
      <c r="X826" s="35" t="n">
        <v>3.06933024631995</v>
      </c>
      <c r="Y826" s="35" t="n">
        <v>8.02653738705929</v>
      </c>
      <c r="Z826" s="35" t="n">
        <v>1.38839137299638</v>
      </c>
      <c r="AA826" s="53" t="n">
        <v>0.678859578174904</v>
      </c>
      <c r="AB826" s="101"/>
      <c r="AC826" s="71" t="n">
        <v>3.18102722409206</v>
      </c>
      <c r="AD826" s="38" t="n">
        <v>5.51617759374865</v>
      </c>
      <c r="AE826" s="38" t="n">
        <v>4.78004369386289</v>
      </c>
      <c r="AF826" s="38" t="n">
        <v>0.954298723718516</v>
      </c>
      <c r="AG826" s="38" t="n">
        <v>3.21041535956171</v>
      </c>
      <c r="AH826" s="38" t="n">
        <v>1.38607275337557</v>
      </c>
      <c r="AI826" s="38"/>
      <c r="AJ826" s="102" t="s">
        <v>906</v>
      </c>
      <c r="AK826" s="103" t="n">
        <v>716</v>
      </c>
      <c r="AL826" s="103" t="n">
        <v>735</v>
      </c>
      <c r="AM826" s="103" t="n">
        <v>689</v>
      </c>
      <c r="AN826" s="103" t="n">
        <v>599</v>
      </c>
      <c r="AO826" s="104" t="n">
        <v>18.92</v>
      </c>
      <c r="AP826" s="105" t="n">
        <v>0.976</v>
      </c>
      <c r="AQ826" s="105" t="n">
        <v>0.7</v>
      </c>
      <c r="AR826" s="105" t="n">
        <v>0.922</v>
      </c>
      <c r="AS826" s="77" t="n">
        <v>22.208</v>
      </c>
      <c r="AT826" s="78" t="n">
        <v>22.29</v>
      </c>
      <c r="AU826" s="78" t="n">
        <v>51.6</v>
      </c>
      <c r="AV826" s="78" t="n">
        <v>37.01</v>
      </c>
      <c r="AW826" s="78" t="n">
        <v>48.73</v>
      </c>
      <c r="AX826" s="78" t="n">
        <v>19.6382978723404</v>
      </c>
      <c r="AY826" s="48" t="n">
        <v>1.14759901986732</v>
      </c>
      <c r="AZ826" s="48" t="n">
        <v>21.422215665566</v>
      </c>
      <c r="BA826" s="48" t="n">
        <v>-1.99905512419754</v>
      </c>
      <c r="BB826" s="49" t="n">
        <f aca="false">AT826/V826</f>
        <v>1.14759901986732</v>
      </c>
      <c r="BC826" s="49" t="n">
        <f aca="false">AS826/V826</f>
        <v>1.14337725586422</v>
      </c>
      <c r="BD826" s="49" t="n">
        <f aca="false">SUM(AP826:AR826)/V826</f>
        <v>0.133757840000686</v>
      </c>
      <c r="BE826" s="53" t="n">
        <v>6.56</v>
      </c>
      <c r="BF826" s="51" t="n">
        <v>76.49</v>
      </c>
      <c r="BG826" s="51" t="n">
        <v>646.881945352334</v>
      </c>
      <c r="BH826" s="51" t="n">
        <v>165.904039743757</v>
      </c>
      <c r="BI826" s="51" t="n">
        <v>143.41744018826</v>
      </c>
      <c r="BJ826" s="51" t="n">
        <v>10.7203556020395</v>
      </c>
      <c r="BK826" s="51" t="n">
        <v>17.7801019741143</v>
      </c>
      <c r="BL826" s="51" t="n">
        <v>4.70649758138319</v>
      </c>
      <c r="BM826" s="51" t="n">
        <v>10.7203556020395</v>
      </c>
      <c r="BN826" s="52" t="n">
        <f aca="false">(BG826*0.5-BH826*0.25+BI826*0.5)/SUM(BG826:BI826)*1000</f>
        <v>369.87284659557</v>
      </c>
      <c r="BO826" s="93" t="n">
        <v>3.66887755102041</v>
      </c>
      <c r="BP826" s="94" t="s">
        <v>491</v>
      </c>
      <c r="BQ826" s="55" t="n">
        <v>451</v>
      </c>
      <c r="BR826" s="56" t="n">
        <v>23.2197020170552</v>
      </c>
      <c r="BS826" s="56" t="n">
        <v>33.9227866501117</v>
      </c>
      <c r="BT826" s="56" t="n">
        <v>20.233288470166</v>
      </c>
      <c r="BU826" s="55" t="n">
        <v>13209</v>
      </c>
      <c r="BV826" s="55" t="n">
        <v>680.064398987321</v>
      </c>
      <c r="BW826" s="55" t="n">
        <v>993.538999692517</v>
      </c>
      <c r="BX826" s="55" t="n">
        <v>648</v>
      </c>
      <c r="BY826" s="106" t="n">
        <v>0.2142</v>
      </c>
      <c r="BZ826" s="106" t="n">
        <v>1.25</v>
      </c>
      <c r="CA826" s="106" t="n">
        <v>4.27</v>
      </c>
      <c r="CB826" s="81"/>
      <c r="CC826" s="106" t="n">
        <v>3.93</v>
      </c>
      <c r="CD826" s="106" t="n">
        <v>6.69</v>
      </c>
      <c r="CE826" s="106" t="n">
        <v>117.4</v>
      </c>
      <c r="CF826" s="106" t="n">
        <v>40.2</v>
      </c>
      <c r="CG826" s="106" t="n">
        <v>0.2884</v>
      </c>
      <c r="CH826" s="63" t="n">
        <v>88097.899056126</v>
      </c>
      <c r="CI826" s="63" t="n">
        <v>16486.9773961622</v>
      </c>
      <c r="CJ826" s="64" t="n">
        <v>812519.997136537</v>
      </c>
      <c r="CK826" s="65" t="n">
        <v>2.02911650842627</v>
      </c>
    </row>
    <row r="827" customFormat="false" ht="15" hidden="false" customHeight="false" outlineLevel="0" collapsed="false">
      <c r="A827" s="7" t="s">
        <v>902</v>
      </c>
      <c r="B827" s="66" t="n">
        <v>807</v>
      </c>
      <c r="C827" s="8" t="s">
        <v>913</v>
      </c>
      <c r="D827" s="100" t="n">
        <v>41316</v>
      </c>
      <c r="E827" s="4" t="s">
        <v>904</v>
      </c>
      <c r="F827" s="7" t="n">
        <v>1451</v>
      </c>
      <c r="G827" s="68" t="n">
        <v>2</v>
      </c>
      <c r="H827" s="68" t="n">
        <v>125</v>
      </c>
      <c r="I827" s="7" t="n">
        <v>3</v>
      </c>
      <c r="J827" s="8" t="n">
        <v>626</v>
      </c>
      <c r="K827" s="31" t="n">
        <v>376.45007901568</v>
      </c>
      <c r="L827" s="31" t="n">
        <v>931.003169809728</v>
      </c>
      <c r="M827" s="31" t="n">
        <v>159.505786186752</v>
      </c>
      <c r="N827" s="31" t="n">
        <v>407.314889247984</v>
      </c>
      <c r="O827" s="31" t="n">
        <v>65.4507249687089</v>
      </c>
      <c r="P827" s="31" t="n">
        <v>35.747797250201</v>
      </c>
      <c r="Q827" s="31"/>
      <c r="R827" s="31" t="n">
        <v>163.708829261732</v>
      </c>
      <c r="S827" s="34" t="s">
        <v>905</v>
      </c>
      <c r="T827" s="35" t="n">
        <v>16.0220216670574</v>
      </c>
      <c r="U827" s="35" t="n">
        <v>12.2397772912521</v>
      </c>
      <c r="V827" s="35" t="n">
        <v>28.2617989583094</v>
      </c>
      <c r="W827" s="35" t="n">
        <v>26.3118244147113</v>
      </c>
      <c r="X827" s="35" t="n">
        <v>4.50792046189708</v>
      </c>
      <c r="Y827" s="35" t="n">
        <v>11.5114515126526</v>
      </c>
      <c r="Z827" s="35" t="n">
        <v>1.84975523074126</v>
      </c>
      <c r="AA827" s="53" t="n">
        <v>1.01029705908759</v>
      </c>
      <c r="AB827" s="101"/>
      <c r="AC827" s="71" t="n">
        <v>4.62670602029527</v>
      </c>
      <c r="AD827" s="38" t="n">
        <v>7.94156550728495</v>
      </c>
      <c r="AE827" s="38" t="n">
        <v>6.96912081091791</v>
      </c>
      <c r="AF827" s="38" t="n">
        <v>1.42154022580401</v>
      </c>
      <c r="AG827" s="38" t="n">
        <v>4.40756885654315</v>
      </c>
      <c r="AH827" s="38" t="n">
        <v>1.85071362342505</v>
      </c>
      <c r="AI827" s="38"/>
      <c r="AJ827" s="102" t="s">
        <v>906</v>
      </c>
      <c r="AK827" s="103" t="n">
        <v>719</v>
      </c>
      <c r="AL827" s="103" t="n">
        <v>735</v>
      </c>
      <c r="AM827" s="103" t="n">
        <v>685</v>
      </c>
      <c r="AN827" s="103" t="n">
        <v>617</v>
      </c>
      <c r="AO827" s="104" t="n">
        <v>36.62</v>
      </c>
      <c r="AP827" s="105" t="n">
        <v>1.62</v>
      </c>
      <c r="AQ827" s="105" t="n">
        <v>1.223</v>
      </c>
      <c r="AR827" s="105" t="n">
        <v>1.801</v>
      </c>
      <c r="AS827" s="77" t="n">
        <v>38.948</v>
      </c>
      <c r="AT827" s="78" t="n">
        <v>38.9</v>
      </c>
      <c r="AU827" s="78" t="n">
        <v>44.23</v>
      </c>
      <c r="AV827" s="78" t="n">
        <v>33.39</v>
      </c>
      <c r="AW827" s="78" t="n">
        <v>49.17</v>
      </c>
      <c r="AX827" s="78" t="n">
        <v>20.0851063829787</v>
      </c>
      <c r="AY827" s="48" t="n">
        <v>1.37641627333715</v>
      </c>
      <c r="AZ827" s="48" t="n">
        <v>26.1766893124957</v>
      </c>
      <c r="BA827" s="48" t="n">
        <v>2.08510964581373</v>
      </c>
      <c r="BB827" s="49" t="n">
        <f aca="false">AT827/V827</f>
        <v>1.37641627333715</v>
      </c>
      <c r="BC827" s="49" t="n">
        <f aca="false">AS827/V827</f>
        <v>1.37811467902147</v>
      </c>
      <c r="BD827" s="49" t="n">
        <f aca="false">SUM(AP827:AR827)/V827</f>
        <v>0.164320749958296</v>
      </c>
      <c r="BE827" s="53" t="n">
        <v>6.39</v>
      </c>
      <c r="BF827" s="51" t="n">
        <v>122.39</v>
      </c>
      <c r="BG827" s="51" t="n">
        <v>606.994035460414</v>
      </c>
      <c r="BH827" s="51" t="n">
        <v>184.737315140126</v>
      </c>
      <c r="BI827" s="51" t="n">
        <v>161.124274859057</v>
      </c>
      <c r="BJ827" s="51" t="n">
        <v>16.2594983250266</v>
      </c>
      <c r="BK827" s="51" t="n">
        <v>19.5277391943786</v>
      </c>
      <c r="BL827" s="51" t="n">
        <v>2.45118065201405</v>
      </c>
      <c r="BM827" s="51" t="n">
        <v>8.9876623907182</v>
      </c>
      <c r="BN827" s="52" t="n">
        <f aca="false">(BG827*0.5-BH827*0.25+BI827*0.5)/SUM(BG827:BI827)*1000</f>
        <v>354.591836734694</v>
      </c>
      <c r="BO827" s="93" t="n">
        <v>1.85612244897959</v>
      </c>
      <c r="BP827" s="94" t="s">
        <v>491</v>
      </c>
      <c r="BQ827" s="55" t="n">
        <v>502</v>
      </c>
      <c r="BR827" s="56" t="n">
        <v>17.762492781883</v>
      </c>
      <c r="BS827" s="56" t="n">
        <v>25.9576525942853</v>
      </c>
      <c r="BT827" s="56" t="n">
        <v>12.9048843187661</v>
      </c>
      <c r="BU827" s="55" t="n">
        <v>14243</v>
      </c>
      <c r="BV827" s="55" t="n">
        <v>503.966503371234</v>
      </c>
      <c r="BW827" s="55" t="n">
        <v>736.483756773717</v>
      </c>
      <c r="BX827" s="55" t="n">
        <v>322</v>
      </c>
      <c r="BY827" s="106" t="n">
        <v>0.2448</v>
      </c>
      <c r="BZ827" s="106" t="n">
        <v>1.59</v>
      </c>
      <c r="CA827" s="106" t="n">
        <v>3.51</v>
      </c>
      <c r="CB827" s="81"/>
      <c r="CC827" s="106" t="n">
        <v>4.4</v>
      </c>
      <c r="CD827" s="106" t="n">
        <v>7.9</v>
      </c>
      <c r="CE827" s="106" t="n">
        <v>103</v>
      </c>
      <c r="CF827" s="106" t="n">
        <v>41.8</v>
      </c>
      <c r="CG827" s="106" t="n">
        <v>0.1296</v>
      </c>
      <c r="CH827" s="63" t="n">
        <v>122033.817635897</v>
      </c>
      <c r="CI827" s="63" t="n">
        <v>9455.75356018532</v>
      </c>
      <c r="CJ827" s="64" t="n">
        <v>538542.252860728</v>
      </c>
      <c r="CK827" s="65" t="n">
        <v>1.75580532631498</v>
      </c>
    </row>
    <row r="828" customFormat="false" ht="15" hidden="false" customHeight="false" outlineLevel="0" collapsed="false">
      <c r="A828" s="7" t="s">
        <v>902</v>
      </c>
      <c r="B828" s="66" t="n">
        <v>808</v>
      </c>
      <c r="C828" s="8" t="s">
        <v>914</v>
      </c>
      <c r="D828" s="100" t="n">
        <v>41319</v>
      </c>
      <c r="E828" s="4" t="s">
        <v>904</v>
      </c>
      <c r="F828" s="7" t="n">
        <v>1461</v>
      </c>
      <c r="G828" s="68" t="n">
        <v>2</v>
      </c>
      <c r="H828" s="68" t="n">
        <v>144</v>
      </c>
      <c r="I828" s="7" t="n">
        <v>2</v>
      </c>
      <c r="J828" s="8" t="n">
        <v>765</v>
      </c>
      <c r="K828" s="31" t="n">
        <v>381.597998557949</v>
      </c>
      <c r="L828" s="31" t="n">
        <v>932.772714798168</v>
      </c>
      <c r="M828" s="31" t="n">
        <v>156.462903781078</v>
      </c>
      <c r="N828" s="31" t="n">
        <v>411.350595309773</v>
      </c>
      <c r="O828" s="31" t="n">
        <v>71.7246379733478</v>
      </c>
      <c r="P828" s="31" t="n">
        <v>35.0282563117069</v>
      </c>
      <c r="Q828" s="31"/>
      <c r="R828" s="31" t="n">
        <v>163.450256173223</v>
      </c>
      <c r="S828" s="34" t="s">
        <v>905</v>
      </c>
      <c r="T828" s="35" t="n">
        <v>12.8411830443494</v>
      </c>
      <c r="U828" s="35" t="n">
        <v>9.73379896436674</v>
      </c>
      <c r="V828" s="35" t="n">
        <v>22.5749820087161</v>
      </c>
      <c r="W828" s="35" t="n">
        <v>21.0573272547899</v>
      </c>
      <c r="X828" s="35" t="n">
        <v>3.53214723788931</v>
      </c>
      <c r="Y828" s="35" t="n">
        <v>9.28623228839278</v>
      </c>
      <c r="Z828" s="35" t="n">
        <v>1.61918241183</v>
      </c>
      <c r="AA828" s="53" t="n">
        <v>0.790762256033479</v>
      </c>
      <c r="AB828" s="101"/>
      <c r="AC828" s="71" t="n">
        <v>3.68988659243055</v>
      </c>
      <c r="AD828" s="38" t="n">
        <v>6.27584499842308</v>
      </c>
      <c r="AE828" s="38" t="n">
        <v>5.50328847911719</v>
      </c>
      <c r="AF828" s="38" t="n">
        <v>1.08572118472719</v>
      </c>
      <c r="AG828" s="38" t="n">
        <v>3.43916305913585</v>
      </c>
      <c r="AH828" s="38" t="n">
        <v>1.61938344052441</v>
      </c>
      <c r="AI828" s="38"/>
      <c r="AJ828" s="102" t="s">
        <v>906</v>
      </c>
      <c r="AK828" s="103" t="n">
        <v>722</v>
      </c>
      <c r="AL828" s="103" t="n">
        <v>739</v>
      </c>
      <c r="AM828" s="103" t="n">
        <v>693</v>
      </c>
      <c r="AN828" s="103" t="n">
        <v>630</v>
      </c>
      <c r="AO828" s="104" t="n">
        <v>24.28</v>
      </c>
      <c r="AP828" s="105" t="n">
        <v>1.208</v>
      </c>
      <c r="AQ828" s="105" t="n">
        <v>0.935</v>
      </c>
      <c r="AR828" s="105" t="n">
        <v>1.038</v>
      </c>
      <c r="AS828" s="77" t="n">
        <v>27.832</v>
      </c>
      <c r="AT828" s="78" t="n">
        <v>27.56</v>
      </c>
      <c r="AU828" s="78" t="n">
        <v>49.74</v>
      </c>
      <c r="AV828" s="78" t="n">
        <v>38.51</v>
      </c>
      <c r="AW828" s="78" t="n">
        <v>42.74</v>
      </c>
      <c r="AX828" s="78" t="n">
        <v>22.468085106383</v>
      </c>
      <c r="AY828" s="48" t="n">
        <v>1.22082046352724</v>
      </c>
      <c r="AZ828" s="48" t="n">
        <v>24.2014986480823</v>
      </c>
      <c r="BA828" s="48" t="n">
        <v>-1.62651663936622</v>
      </c>
      <c r="BB828" s="49" t="n">
        <f aca="false">AT828/V828</f>
        <v>1.22082046352724</v>
      </c>
      <c r="BC828" s="49" t="n">
        <f aca="false">AS828/V828</f>
        <v>1.23286919959689</v>
      </c>
      <c r="BD828" s="49" t="n">
        <f aca="false">SUM(AP828:AR828)/V828</f>
        <v>0.140908196461544</v>
      </c>
      <c r="BE828" s="53" t="n">
        <v>6.68</v>
      </c>
      <c r="BF828" s="51" t="n">
        <v>86.05</v>
      </c>
      <c r="BG828" s="51" t="n">
        <v>615.572341661825</v>
      </c>
      <c r="BH828" s="51" t="n">
        <v>183.96281231842</v>
      </c>
      <c r="BI828" s="51" t="n">
        <v>150.029052876235</v>
      </c>
      <c r="BJ828" s="51" t="n">
        <v>10.226612434631</v>
      </c>
      <c r="BK828" s="51" t="n">
        <v>22.6612434631028</v>
      </c>
      <c r="BL828" s="51" t="n">
        <v>6.15920976176642</v>
      </c>
      <c r="BM828" s="51" t="n">
        <v>11.2725159790819</v>
      </c>
      <c r="BN828" s="52" t="n">
        <f aca="false">(BG828*0.5-BH828*0.25+BI828*0.5)/SUM(BG828:BI828)*1000</f>
        <v>354.699547179048</v>
      </c>
      <c r="BO828" s="93" t="n">
        <v>3.21785714285714</v>
      </c>
      <c r="BP828" s="94" t="s">
        <v>491</v>
      </c>
      <c r="BQ828" s="55" t="n">
        <v>569</v>
      </c>
      <c r="BR828" s="56" t="n">
        <v>25.2048927339261</v>
      </c>
      <c r="BS828" s="56" t="n">
        <v>36.5649161113583</v>
      </c>
      <c r="BT828" s="56" t="n">
        <v>20.6458635703919</v>
      </c>
      <c r="BU828" s="55" t="n">
        <v>16551</v>
      </c>
      <c r="BV828" s="55" t="n">
        <v>733.156730473129</v>
      </c>
      <c r="BW828" s="55" t="n">
        <v>1063.59565300368</v>
      </c>
      <c r="BX828" s="55" t="n">
        <v>579</v>
      </c>
      <c r="BY828" s="106" t="n">
        <v>0.2142</v>
      </c>
      <c r="BZ828" s="106" t="n">
        <v>1.04</v>
      </c>
      <c r="CA828" s="106" t="n">
        <v>3.94</v>
      </c>
      <c r="CB828" s="81"/>
      <c r="CC828" s="106" t="n">
        <v>4.14</v>
      </c>
      <c r="CD828" s="106" t="n">
        <v>4.97</v>
      </c>
      <c r="CE828" s="106" t="n">
        <v>99.9</v>
      </c>
      <c r="CF828" s="106" t="n">
        <v>39</v>
      </c>
      <c r="CG828" s="106" t="n">
        <v>0.1744</v>
      </c>
      <c r="CH828" s="63" t="n">
        <v>129855.445546608</v>
      </c>
      <c r="CI828" s="63" t="n">
        <v>4852.14365264748</v>
      </c>
      <c r="CJ828" s="64" t="n">
        <v>381843.574955526</v>
      </c>
      <c r="CK828" s="65" t="n">
        <v>1.27071501810987</v>
      </c>
    </row>
    <row r="829" customFormat="false" ht="15" hidden="false" customHeight="false" outlineLevel="0" collapsed="false">
      <c r="A829" s="7" t="s">
        <v>902</v>
      </c>
      <c r="B829" s="66" t="n">
        <v>809</v>
      </c>
      <c r="C829" s="8" t="s">
        <v>915</v>
      </c>
      <c r="D829" s="100" t="n">
        <v>41319</v>
      </c>
      <c r="E829" s="4" t="s">
        <v>904</v>
      </c>
      <c r="F829" s="7" t="n">
        <v>1467</v>
      </c>
      <c r="G829" s="68" t="n">
        <v>2</v>
      </c>
      <c r="H829" s="68" t="n">
        <v>108</v>
      </c>
      <c r="I829" s="7" t="n">
        <v>3</v>
      </c>
      <c r="J829" s="8" t="n">
        <v>679</v>
      </c>
      <c r="K829" s="31" t="n">
        <v>392.007404001687</v>
      </c>
      <c r="L829" s="31" t="n">
        <v>931.359800158092</v>
      </c>
      <c r="M829" s="31" t="n">
        <v>158.530885911872</v>
      </c>
      <c r="N829" s="31" t="n">
        <v>410.692346814943</v>
      </c>
      <c r="O829" s="31" t="n">
        <v>71.7039038509585</v>
      </c>
      <c r="P829" s="31" t="n">
        <v>35.2440683435288</v>
      </c>
      <c r="Q829" s="31"/>
      <c r="R829" s="31" t="n">
        <v>165.6960168751</v>
      </c>
      <c r="S829" s="34" t="s">
        <v>905</v>
      </c>
      <c r="T829" s="35" t="n">
        <v>11.6400232737476</v>
      </c>
      <c r="U829" s="35" t="n">
        <v>9.16265281171917</v>
      </c>
      <c r="V829" s="35" t="n">
        <v>20.8026760854667</v>
      </c>
      <c r="W829" s="35" t="n">
        <v>19.3747762417138</v>
      </c>
      <c r="X829" s="35" t="n">
        <v>3.29786666916675</v>
      </c>
      <c r="Y829" s="35" t="n">
        <v>8.54349986157142</v>
      </c>
      <c r="Z829" s="35" t="n">
        <v>1.49163308587494</v>
      </c>
      <c r="AA829" s="53" t="n">
        <v>0.733170937684481</v>
      </c>
      <c r="AB829" s="101"/>
      <c r="AC829" s="71" t="n">
        <v>3.44692056770474</v>
      </c>
      <c r="AD829" s="38" t="n">
        <v>5.78314395175975</v>
      </c>
      <c r="AE829" s="38" t="n">
        <v>5.02728703726475</v>
      </c>
      <c r="AF829" s="38" t="n">
        <v>1.035182767365</v>
      </c>
      <c r="AG829" s="38" t="n">
        <v>3.16337974161258</v>
      </c>
      <c r="AH829" s="38" t="n">
        <v>1.49430101387701</v>
      </c>
      <c r="AI829" s="38"/>
      <c r="AJ829" s="102" t="s">
        <v>906</v>
      </c>
      <c r="AK829" s="103" t="n">
        <v>722</v>
      </c>
      <c r="AL829" s="103" t="n">
        <v>741</v>
      </c>
      <c r="AM829" s="103" t="n">
        <v>687</v>
      </c>
      <c r="AN829" s="103" t="n">
        <v>630</v>
      </c>
      <c r="AO829" s="104" t="n">
        <v>35.77</v>
      </c>
      <c r="AP829" s="105" t="n">
        <v>1.399</v>
      </c>
      <c r="AQ829" s="105" t="n">
        <v>1.182</v>
      </c>
      <c r="AR829" s="105" t="n">
        <v>1.712</v>
      </c>
      <c r="AS829" s="77" t="n">
        <v>35.293</v>
      </c>
      <c r="AT829" s="78" t="n">
        <v>35.43</v>
      </c>
      <c r="AU829" s="78" t="n">
        <v>39.11</v>
      </c>
      <c r="AV829" s="78" t="n">
        <v>33.04</v>
      </c>
      <c r="AW829" s="78" t="n">
        <v>47.85</v>
      </c>
      <c r="AX829" s="78" t="n">
        <v>20.063829787234</v>
      </c>
      <c r="AY829" s="48" t="n">
        <v>1.70314626130012</v>
      </c>
      <c r="AZ829" s="48" t="n">
        <v>25.3403458448962</v>
      </c>
      <c r="BA829" s="48" t="n">
        <v>-4.53766975942943</v>
      </c>
      <c r="BB829" s="49" t="n">
        <f aca="false">AT829/V829</f>
        <v>1.70314626130012</v>
      </c>
      <c r="BC829" s="49" t="n">
        <f aca="false">AS829/V829</f>
        <v>1.69656057014014</v>
      </c>
      <c r="BD829" s="49" t="n">
        <f aca="false">SUM(AP829:AR829)/V829</f>
        <v>0.206367679925526</v>
      </c>
      <c r="BE829" s="53" t="n">
        <v>6.98</v>
      </c>
      <c r="BF829" s="51" t="n">
        <v>98.17</v>
      </c>
      <c r="BG829" s="51" t="n">
        <v>654.782520118163</v>
      </c>
      <c r="BH829" s="51" t="n">
        <v>152.694305796068</v>
      </c>
      <c r="BI829" s="51" t="n">
        <v>142.304166242233</v>
      </c>
      <c r="BJ829" s="51" t="n">
        <v>19.8635020882143</v>
      </c>
      <c r="BK829" s="51" t="n">
        <v>14.6684323112967</v>
      </c>
      <c r="BL829" s="51" t="n">
        <v>5.19506977691759</v>
      </c>
      <c r="BM829" s="51" t="n">
        <v>10.4920036671081</v>
      </c>
      <c r="BN829" s="52" t="n">
        <f aca="false">(BG829*0.5-BH829*0.25+BI829*0.5)/SUM(BG829:BI829)*1000</f>
        <v>379.424066924067</v>
      </c>
      <c r="BO829" s="93" t="n">
        <v>4.65765306122449</v>
      </c>
      <c r="BP829" s="94" t="s">
        <v>491</v>
      </c>
      <c r="BQ829" s="55" t="n">
        <v>469</v>
      </c>
      <c r="BR829" s="56" t="n">
        <v>22.5451763067952</v>
      </c>
      <c r="BS829" s="56" t="n">
        <v>32.6676534034517</v>
      </c>
      <c r="BT829" s="56" t="n">
        <v>13.2373694609088</v>
      </c>
      <c r="BU829" s="55" t="n">
        <v>12943</v>
      </c>
      <c r="BV829" s="55" t="n">
        <v>622.179567033796</v>
      </c>
      <c r="BW829" s="55" t="n">
        <v>901.529718551974</v>
      </c>
      <c r="BX829" s="55" t="n">
        <v>356</v>
      </c>
      <c r="BY829" s="106" t="n">
        <v>0.3162</v>
      </c>
      <c r="BZ829" s="106" t="n">
        <v>1.89</v>
      </c>
      <c r="CA829" s="106" t="n">
        <v>3.82</v>
      </c>
      <c r="CB829" s="81"/>
      <c r="CC829" s="106" t="n">
        <v>3.9</v>
      </c>
      <c r="CD829" s="106" t="n">
        <v>7.41</v>
      </c>
      <c r="CE829" s="106" t="n">
        <v>98.9</v>
      </c>
      <c r="CF829" s="106" t="n">
        <v>38.2</v>
      </c>
      <c r="CG829" s="106" t="n">
        <v>0.3126</v>
      </c>
      <c r="CH829" s="63" t="n">
        <v>59364.0522143341</v>
      </c>
      <c r="CI829" s="63" t="n">
        <v>17201.8775827593</v>
      </c>
      <c r="CJ829" s="64" t="n">
        <v>367336.34034877</v>
      </c>
      <c r="CK829" s="65" t="n">
        <v>4.68286844868844</v>
      </c>
    </row>
    <row r="830" customFormat="false" ht="15" hidden="false" customHeight="false" outlineLevel="0" collapsed="false">
      <c r="A830" s="7" t="s">
        <v>902</v>
      </c>
      <c r="B830" s="66" t="n">
        <v>810</v>
      </c>
      <c r="C830" s="8" t="s">
        <v>916</v>
      </c>
      <c r="D830" s="100" t="n">
        <v>41317</v>
      </c>
      <c r="E830" s="4" t="s">
        <v>904</v>
      </c>
      <c r="F830" s="7" t="n">
        <v>1471</v>
      </c>
      <c r="G830" s="68" t="n">
        <v>2</v>
      </c>
      <c r="H830" s="68" t="n">
        <v>182</v>
      </c>
      <c r="I830" s="7" t="n">
        <v>3</v>
      </c>
      <c r="J830" s="8" t="n">
        <v>627</v>
      </c>
      <c r="K830" s="31" t="n">
        <v>390.681075294199</v>
      </c>
      <c r="L830" s="31" t="n">
        <v>930.389030935696</v>
      </c>
      <c r="M830" s="31" t="n">
        <v>157.172835226471</v>
      </c>
      <c r="N830" s="31" t="n">
        <v>413.298887779875</v>
      </c>
      <c r="O830" s="31" t="n">
        <v>72.1400490630174</v>
      </c>
      <c r="P830" s="31" t="n">
        <v>35.0717414086192</v>
      </c>
      <c r="Q830" s="31"/>
      <c r="R830" s="31" t="n">
        <v>164.175804059559</v>
      </c>
      <c r="S830" s="34" t="s">
        <v>905</v>
      </c>
      <c r="T830" s="35" t="n">
        <v>12.7387020329893</v>
      </c>
      <c r="U830" s="35" t="n">
        <v>9.87856638511619</v>
      </c>
      <c r="V830" s="35" t="n">
        <v>22.6172684181054</v>
      </c>
      <c r="W830" s="35" t="n">
        <v>21.0428584459336</v>
      </c>
      <c r="X830" s="35" t="n">
        <v>3.55482020235175</v>
      </c>
      <c r="Y830" s="35" t="n">
        <v>9.34769188182187</v>
      </c>
      <c r="Z830" s="35" t="n">
        <v>1.63161085335356</v>
      </c>
      <c r="AA830" s="53" t="n">
        <v>0.793226989329125</v>
      </c>
      <c r="AB830" s="101"/>
      <c r="AC830" s="71" t="n">
        <v>3.71320822817332</v>
      </c>
      <c r="AD830" s="38" t="n">
        <v>6.62685964650489</v>
      </c>
      <c r="AE830" s="38" t="n">
        <v>5.83793200558849</v>
      </c>
      <c r="AF830" s="38" t="n">
        <v>1.17958101707787</v>
      </c>
      <c r="AG830" s="38" t="n">
        <v>4.04901124401449</v>
      </c>
      <c r="AH830" s="38" t="n">
        <v>1.63151613865634</v>
      </c>
      <c r="AI830" s="38"/>
      <c r="AJ830" s="102" t="s">
        <v>906</v>
      </c>
      <c r="AK830" s="103" t="n">
        <v>707</v>
      </c>
      <c r="AL830" s="103" t="n">
        <v>723</v>
      </c>
      <c r="AM830" s="103" t="n">
        <v>668</v>
      </c>
      <c r="AN830" s="103" t="n">
        <v>567</v>
      </c>
      <c r="AO830" s="104" t="n">
        <v>27.98</v>
      </c>
      <c r="AP830" s="105" t="n">
        <v>1.514</v>
      </c>
      <c r="AQ830" s="105" t="n">
        <v>1.169</v>
      </c>
      <c r="AR830" s="105" t="n">
        <v>1.306</v>
      </c>
      <c r="AS830" s="77" t="n">
        <v>33.902</v>
      </c>
      <c r="AT830" s="78" t="n">
        <v>34.53</v>
      </c>
      <c r="AU830" s="78" t="n">
        <v>54.1</v>
      </c>
      <c r="AV830" s="78" t="n">
        <v>41.77</v>
      </c>
      <c r="AW830" s="78" t="n">
        <v>46.66</v>
      </c>
      <c r="AX830" s="78" t="n">
        <v>26.7872340425532</v>
      </c>
      <c r="AY830" s="48" t="n">
        <v>1.52670956375785</v>
      </c>
      <c r="AZ830" s="48" t="n">
        <v>24.6575126865088</v>
      </c>
      <c r="BA830" s="48" t="n">
        <v>-2.04024426840335</v>
      </c>
      <c r="BB830" s="49" t="n">
        <f aca="false">AT830/V830</f>
        <v>1.52670956375785</v>
      </c>
      <c r="BC830" s="49" t="n">
        <f aca="false">AS830/V830</f>
        <v>1.49894316914332</v>
      </c>
      <c r="BD830" s="49" t="n">
        <f aca="false">SUM(AP830:AR830)/V830</f>
        <v>0.1763696626073</v>
      </c>
      <c r="BE830" s="53" t="n">
        <v>6.85</v>
      </c>
      <c r="BF830" s="51" t="n">
        <v>69.2</v>
      </c>
      <c r="BG830" s="51" t="n">
        <v>653.179190751445</v>
      </c>
      <c r="BH830" s="51" t="n">
        <v>147.687861271676</v>
      </c>
      <c r="BI830" s="51" t="n">
        <v>150.433526011561</v>
      </c>
      <c r="BJ830" s="51" t="n">
        <v>19.5086705202312</v>
      </c>
      <c r="BK830" s="51" t="n">
        <v>15.3179190751445</v>
      </c>
      <c r="BL830" s="51" t="n">
        <v>4.19075144508671</v>
      </c>
      <c r="BM830" s="51" t="n">
        <v>9.68208092485549</v>
      </c>
      <c r="BN830" s="52" t="n">
        <f aca="false">(BG830*0.5-BH830*0.25+BI830*0.5)/SUM(BG830:BI830)*1000</f>
        <v>383.563724745557</v>
      </c>
      <c r="BO830" s="93" t="n">
        <v>2.34183673469388</v>
      </c>
      <c r="BP830" s="94" t="s">
        <v>491</v>
      </c>
      <c r="BQ830" s="55" t="n">
        <v>493</v>
      </c>
      <c r="BR830" s="56" t="n">
        <v>21.7975040524941</v>
      </c>
      <c r="BS830" s="56" t="n">
        <v>32.4043928218043</v>
      </c>
      <c r="BT830" s="56" t="n">
        <v>14.277439907327</v>
      </c>
      <c r="BU830" s="55" t="n">
        <v>13374</v>
      </c>
      <c r="BV830" s="55" t="n">
        <v>591.318091679627</v>
      </c>
      <c r="BW830" s="55" t="n">
        <v>879.05953265479</v>
      </c>
      <c r="BX830" s="55" t="n">
        <v>450</v>
      </c>
      <c r="BY830" s="106" t="n">
        <v>0.1734</v>
      </c>
      <c r="BZ830" s="106" t="n">
        <v>1.2</v>
      </c>
      <c r="CA830" s="106" t="n">
        <v>3.69</v>
      </c>
      <c r="CB830" s="81"/>
      <c r="CC830" s="106" t="n">
        <v>2.99</v>
      </c>
      <c r="CD830" s="106" t="n">
        <v>6.56</v>
      </c>
      <c r="CE830" s="106" t="n">
        <v>94.8</v>
      </c>
      <c r="CF830" s="106" t="n">
        <v>38</v>
      </c>
      <c r="CG830" s="106" t="n">
        <v>0.4369</v>
      </c>
      <c r="CH830" s="63" t="n">
        <v>68062.9580472618</v>
      </c>
      <c r="CI830" s="63" t="n">
        <v>22857.2314780933</v>
      </c>
      <c r="CJ830" s="64" t="n">
        <v>684941.628009611</v>
      </c>
      <c r="CK830" s="65" t="n">
        <v>3.33710648373274</v>
      </c>
    </row>
    <row r="831" customFormat="false" ht="15" hidden="false" customHeight="false" outlineLevel="0" collapsed="false">
      <c r="A831" s="7" t="s">
        <v>902</v>
      </c>
      <c r="B831" s="66" t="n">
        <v>811</v>
      </c>
      <c r="C831" s="8" t="s">
        <v>917</v>
      </c>
      <c r="D831" s="100" t="n">
        <v>41319</v>
      </c>
      <c r="E831" s="4" t="s">
        <v>904</v>
      </c>
      <c r="F831" s="7" t="n">
        <v>1495</v>
      </c>
      <c r="G831" s="68" t="n">
        <v>2</v>
      </c>
      <c r="H831" s="68" t="n">
        <v>127</v>
      </c>
      <c r="I831" s="7" t="n">
        <v>2</v>
      </c>
      <c r="J831" s="8" t="n">
        <v>625</v>
      </c>
      <c r="K831" s="31" t="n">
        <v>384.164246998807</v>
      </c>
      <c r="L831" s="31" t="n">
        <v>930.928647116336</v>
      </c>
      <c r="M831" s="31" t="n">
        <v>156.603814352222</v>
      </c>
      <c r="N831" s="31" t="n">
        <v>414.441819810665</v>
      </c>
      <c r="O831" s="31" t="n">
        <v>71.9895139390281</v>
      </c>
      <c r="P831" s="31" t="n">
        <v>34.8450137035297</v>
      </c>
      <c r="Q831" s="31"/>
      <c r="R831" s="31" t="n">
        <v>163.006935162301</v>
      </c>
      <c r="S831" s="34" t="s">
        <v>905</v>
      </c>
      <c r="T831" s="35" t="n">
        <v>14.2934343873066</v>
      </c>
      <c r="U831" s="35" t="n">
        <v>10.8168954829486</v>
      </c>
      <c r="V831" s="35" t="n">
        <v>25.1103298702551</v>
      </c>
      <c r="W831" s="35" t="n">
        <v>23.3759254147615</v>
      </c>
      <c r="X831" s="35" t="n">
        <v>3.93237343732448</v>
      </c>
      <c r="Y831" s="35" t="n">
        <v>10.4067708074746</v>
      </c>
      <c r="Z831" s="35" t="n">
        <v>1.80768044220833</v>
      </c>
      <c r="AA831" s="53" t="n">
        <v>0.874969788429193</v>
      </c>
      <c r="AB831" s="101"/>
      <c r="AC831" s="71" t="n">
        <v>4.09315791306467</v>
      </c>
      <c r="AD831" s="38" t="n">
        <v>7.33221632211451</v>
      </c>
      <c r="AE831" s="38" t="n">
        <v>6.24814813888987</v>
      </c>
      <c r="AF831" s="38" t="n">
        <v>1.08516801567295</v>
      </c>
      <c r="AG831" s="38" t="n">
        <v>4.09137670773989</v>
      </c>
      <c r="AH831" s="38" t="n">
        <v>1.80573161757898</v>
      </c>
      <c r="AI831" s="38"/>
      <c r="AJ831" s="102" t="s">
        <v>906</v>
      </c>
      <c r="AK831" s="103" t="n">
        <v>708</v>
      </c>
      <c r="AL831" s="103" t="n">
        <v>732</v>
      </c>
      <c r="AM831" s="103" t="n">
        <v>724</v>
      </c>
      <c r="AN831" s="103" t="n">
        <v>606</v>
      </c>
      <c r="AO831" s="104" t="n">
        <v>27.26</v>
      </c>
      <c r="AP831" s="105" t="n">
        <v>1.222</v>
      </c>
      <c r="AQ831" s="105" t="n">
        <v>0.942</v>
      </c>
      <c r="AR831" s="105" t="n">
        <v>1.269</v>
      </c>
      <c r="AS831" s="77" t="n">
        <v>29.234</v>
      </c>
      <c r="AT831" s="78" t="n">
        <v>29.03</v>
      </c>
      <c r="AU831" s="78" t="n">
        <v>44.82</v>
      </c>
      <c r="AV831" s="78" t="n">
        <v>34.57</v>
      </c>
      <c r="AW831" s="78" t="n">
        <v>46.54</v>
      </c>
      <c r="AX831" s="78" t="n">
        <v>23.9574468085106</v>
      </c>
      <c r="AY831" s="48" t="n">
        <v>1.15609791468283</v>
      </c>
      <c r="AZ831" s="48" t="n">
        <v>22.6263886172303</v>
      </c>
      <c r="BA831" s="48" t="n">
        <v>2.48394125302482</v>
      </c>
      <c r="BB831" s="49" t="n">
        <f aca="false">AT831/V831</f>
        <v>1.15609791468283</v>
      </c>
      <c r="BC831" s="49" t="n">
        <f aca="false">AS831/V831</f>
        <v>1.1642220612414</v>
      </c>
      <c r="BD831" s="49" t="n">
        <f aca="false">SUM(AP831:AR831)/V831</f>
        <v>0.136716642821432</v>
      </c>
      <c r="BE831" s="53" t="n">
        <v>6.15</v>
      </c>
      <c r="BF831" s="51" t="n">
        <v>108.41</v>
      </c>
      <c r="BG831" s="51" t="n">
        <v>639.05543769025</v>
      </c>
      <c r="BH831" s="51" t="n">
        <v>160.501798727055</v>
      </c>
      <c r="BI831" s="51" t="n">
        <v>152.568951203763</v>
      </c>
      <c r="BJ831" s="51" t="n">
        <v>14.9432709159672</v>
      </c>
      <c r="BK831" s="51" t="n">
        <v>17.9872705469975</v>
      </c>
      <c r="BL831" s="51" t="n">
        <v>4.98109030532239</v>
      </c>
      <c r="BM831" s="51" t="n">
        <v>9.96218061064478</v>
      </c>
      <c r="BN831" s="52" t="n">
        <f aca="false">(BG831*0.5-BH831*0.25+BI831*0.5)/SUM(BG831:BI831)*1000</f>
        <v>373.571013369502</v>
      </c>
      <c r="BO831" s="93" t="n">
        <v>4.11122448979592</v>
      </c>
      <c r="BP831" s="94" t="s">
        <v>491</v>
      </c>
      <c r="BQ831" s="55" t="n">
        <v>521</v>
      </c>
      <c r="BR831" s="56" t="n">
        <v>20.7484331226233</v>
      </c>
      <c r="BS831" s="56" t="n">
        <v>30.4479339855492</v>
      </c>
      <c r="BT831" s="56" t="n">
        <v>17.9469514295556</v>
      </c>
      <c r="BU831" s="55" t="n">
        <v>13373</v>
      </c>
      <c r="BV831" s="55" t="n">
        <v>532.569666312556</v>
      </c>
      <c r="BW831" s="55" t="n">
        <v>781.53593318378</v>
      </c>
      <c r="BX831" s="55" t="n">
        <v>432</v>
      </c>
      <c r="BY831" s="106" t="n">
        <v>0.2346</v>
      </c>
      <c r="BZ831" s="106" t="n">
        <v>1.48</v>
      </c>
      <c r="CA831" s="106" t="n">
        <v>3.63</v>
      </c>
      <c r="CB831" s="81"/>
      <c r="CC831" s="106" t="n">
        <v>3.89</v>
      </c>
      <c r="CD831" s="106" t="n">
        <v>8.35</v>
      </c>
      <c r="CE831" s="106" t="n">
        <v>107.1</v>
      </c>
      <c r="CF831" s="106" t="n">
        <v>38.5</v>
      </c>
      <c r="CG831" s="106" t="n">
        <v>0.6203</v>
      </c>
      <c r="CH831" s="63" t="n">
        <v>2397.60032103124</v>
      </c>
      <c r="CI831" s="63" t="n">
        <v>41988.164032612</v>
      </c>
      <c r="CJ831" s="63" t="n">
        <v>740175.902555196</v>
      </c>
      <c r="CK831" s="85" t="n">
        <v>5.6727277783109</v>
      </c>
    </row>
    <row r="832" customFormat="false" ht="15" hidden="false" customHeight="false" outlineLevel="0" collapsed="false">
      <c r="A832" s="7" t="s">
        <v>902</v>
      </c>
      <c r="B832" s="66" t="n">
        <v>812</v>
      </c>
      <c r="C832" s="8" t="s">
        <v>918</v>
      </c>
      <c r="D832" s="100" t="n">
        <v>41319</v>
      </c>
      <c r="E832" s="4" t="s">
        <v>904</v>
      </c>
      <c r="F832" s="7" t="n">
        <v>1506</v>
      </c>
      <c r="G832" s="68" t="n">
        <v>2</v>
      </c>
      <c r="H832" s="68" t="n">
        <v>154</v>
      </c>
      <c r="I832" s="7" t="n">
        <v>2</v>
      </c>
      <c r="J832" s="8" t="n">
        <v>732</v>
      </c>
      <c r="K832" s="31" t="n">
        <v>381.839220756715</v>
      </c>
      <c r="L832" s="31" t="n">
        <v>931.041362472853</v>
      </c>
      <c r="M832" s="31" t="n">
        <v>159.868118726431</v>
      </c>
      <c r="N832" s="31" t="n">
        <v>405.341357534814</v>
      </c>
      <c r="O832" s="31" t="n">
        <v>65.5772226772374</v>
      </c>
      <c r="P832" s="31" t="n">
        <v>35.9737084781122</v>
      </c>
      <c r="Q832" s="31"/>
      <c r="R832" s="31" t="n">
        <v>165.19203844051</v>
      </c>
      <c r="S832" s="34" t="s">
        <v>905</v>
      </c>
      <c r="T832" s="35" t="n">
        <v>12.201750509487</v>
      </c>
      <c r="U832" s="35" t="n">
        <v>9.54638982202848</v>
      </c>
      <c r="V832" s="35" t="n">
        <v>21.7481403315155</v>
      </c>
      <c r="W832" s="35" t="n">
        <v>20.248418205505</v>
      </c>
      <c r="X832" s="35" t="n">
        <v>3.47683428059779</v>
      </c>
      <c r="Y832" s="35" t="n">
        <v>8.81542072583412</v>
      </c>
      <c r="Z832" s="35" t="n">
        <v>1.4261826413356</v>
      </c>
      <c r="AA832" s="53" t="n">
        <v>0.782361260227011</v>
      </c>
      <c r="AB832" s="101"/>
      <c r="AC832" s="71" t="n">
        <v>3.59261963365331</v>
      </c>
      <c r="AD832" s="38" t="n">
        <v>5.89374602984069</v>
      </c>
      <c r="AE832" s="38" t="n">
        <v>5.1384624761166</v>
      </c>
      <c r="AF832" s="38" t="n">
        <v>1.09623676155037</v>
      </c>
      <c r="AG832" s="38" t="n">
        <v>3.44194768142696</v>
      </c>
      <c r="AH832" s="38" t="n">
        <v>1.42451835647503</v>
      </c>
      <c r="AI832" s="38"/>
      <c r="AJ832" s="102" t="s">
        <v>906</v>
      </c>
      <c r="AK832" s="103" t="n">
        <v>729</v>
      </c>
      <c r="AL832" s="103" t="n">
        <v>746</v>
      </c>
      <c r="AM832" s="103" t="n">
        <v>684</v>
      </c>
      <c r="AN832" s="103" t="n">
        <v>609</v>
      </c>
      <c r="AO832" s="104" t="n">
        <v>20.06</v>
      </c>
      <c r="AP832" s="105" t="n">
        <v>0.971</v>
      </c>
      <c r="AQ832" s="105" t="n">
        <v>0.833</v>
      </c>
      <c r="AR832" s="105" t="n">
        <v>0.97</v>
      </c>
      <c r="AS832" s="77" t="n">
        <v>22.589</v>
      </c>
      <c r="AT832" s="78" t="n">
        <v>23.51</v>
      </c>
      <c r="AU832" s="78" t="n">
        <v>48.43</v>
      </c>
      <c r="AV832" s="78" t="n">
        <v>41.53</v>
      </c>
      <c r="AW832" s="78" t="n">
        <v>48.36</v>
      </c>
      <c r="AX832" s="78" t="n">
        <v>19.3829787234043</v>
      </c>
      <c r="AY832" s="48" t="n">
        <v>1.08101196891448</v>
      </c>
      <c r="AZ832" s="48" t="n">
        <v>21.8662809122067</v>
      </c>
      <c r="BA832" s="48" t="n">
        <v>-0.118140580691254</v>
      </c>
      <c r="BB832" s="49" t="n">
        <f aca="false">AT832/V832</f>
        <v>1.08101196891448</v>
      </c>
      <c r="BC832" s="49" t="n">
        <f aca="false">AS832/V832</f>
        <v>1.03866352045127</v>
      </c>
      <c r="BD832" s="49" t="n">
        <f aca="false">SUM(AP832:AR832)/V832</f>
        <v>0.127551135762177</v>
      </c>
      <c r="BE832" s="53" t="n">
        <v>6.74</v>
      </c>
      <c r="BF832" s="51" t="n">
        <v>85.68</v>
      </c>
      <c r="BG832" s="51" t="n">
        <v>664.565826330532</v>
      </c>
      <c r="BH832" s="51" t="n">
        <v>154.295051353875</v>
      </c>
      <c r="BI832" s="51" t="n">
        <v>129.785247432306</v>
      </c>
      <c r="BJ832" s="51" t="n">
        <v>19.2577030812325</v>
      </c>
      <c r="BK832" s="51" t="n">
        <v>15.406162464986</v>
      </c>
      <c r="BL832" s="51" t="n">
        <v>5.13538748832867</v>
      </c>
      <c r="BM832" s="51" t="n">
        <v>11.5546218487395</v>
      </c>
      <c r="BN832" s="52" t="n">
        <f aca="false">(BG832*0.5-BH832*0.25+BI832*0.5)/SUM(BG832:BI832)*1000</f>
        <v>378.014271653543</v>
      </c>
      <c r="BO832" s="93" t="n">
        <v>4.26734693877551</v>
      </c>
      <c r="BP832" s="94" t="s">
        <v>491</v>
      </c>
      <c r="BQ832" s="55" t="n">
        <v>493</v>
      </c>
      <c r="BR832" s="56" t="n">
        <v>22.6686048777048</v>
      </c>
      <c r="BS832" s="56" t="n">
        <v>32.6375078853081</v>
      </c>
      <c r="BT832" s="56" t="n">
        <v>20.9698000850702</v>
      </c>
      <c r="BU832" s="55" t="n">
        <v>12831</v>
      </c>
      <c r="BV832" s="55" t="n">
        <v>589.981479078764</v>
      </c>
      <c r="BW832" s="55" t="n">
        <v>849.435828958192</v>
      </c>
      <c r="BX832" s="55" t="n">
        <v>591</v>
      </c>
      <c r="BY832" s="106" t="n">
        <v>0.306</v>
      </c>
      <c r="BZ832" s="106" t="n">
        <v>0.6</v>
      </c>
      <c r="CA832" s="106" t="n">
        <v>4.44</v>
      </c>
      <c r="CB832" s="81"/>
      <c r="CC832" s="106" t="n">
        <v>3.49</v>
      </c>
      <c r="CD832" s="106" t="n">
        <v>8.87</v>
      </c>
      <c r="CE832" s="106" t="n">
        <v>119.5</v>
      </c>
      <c r="CF832" s="106" t="n">
        <v>38.9</v>
      </c>
      <c r="CG832" s="106" t="n">
        <v>0.3134</v>
      </c>
      <c r="CH832" s="63" t="n">
        <v>9700.10677147833</v>
      </c>
      <c r="CI832" s="63" t="n">
        <v>51223.5758457332</v>
      </c>
      <c r="CJ832" s="63" t="n">
        <v>378174.49933078</v>
      </c>
      <c r="CK832" s="85" t="n">
        <v>13.544957668055</v>
      </c>
    </row>
    <row r="833" customFormat="false" ht="15" hidden="false" customHeight="false" outlineLevel="0" collapsed="false">
      <c r="A833" s="7" t="s">
        <v>902</v>
      </c>
      <c r="B833" s="66" t="n">
        <v>813</v>
      </c>
      <c r="C833" s="8" t="s">
        <v>919</v>
      </c>
      <c r="D833" s="100" t="n">
        <v>41317</v>
      </c>
      <c r="E833" s="4" t="s">
        <v>904</v>
      </c>
      <c r="F833" s="7" t="n">
        <v>1509</v>
      </c>
      <c r="G833" s="68" t="n">
        <v>2</v>
      </c>
      <c r="H833" s="68" t="n">
        <v>166</v>
      </c>
      <c r="I833" s="7" t="n">
        <v>2</v>
      </c>
      <c r="J833" s="8" t="n">
        <v>697</v>
      </c>
      <c r="K833" s="31" t="n">
        <v>388.050560973132</v>
      </c>
      <c r="L833" s="31" t="n">
        <v>931.119487491586</v>
      </c>
      <c r="M833" s="31" t="n">
        <v>160.432058435807</v>
      </c>
      <c r="N833" s="31" t="n">
        <v>402.615851197157</v>
      </c>
      <c r="O833" s="31" t="n">
        <v>65.467329454002</v>
      </c>
      <c r="P833" s="31" t="n">
        <v>36.2899422043781</v>
      </c>
      <c r="Q833" s="31"/>
      <c r="R833" s="31" t="n">
        <v>167.007302022774</v>
      </c>
      <c r="S833" s="34" t="s">
        <v>905</v>
      </c>
      <c r="T833" s="35" t="n">
        <v>9.05940967147297</v>
      </c>
      <c r="U833" s="35" t="n">
        <v>7.29837186126632</v>
      </c>
      <c r="V833" s="35" t="n">
        <v>16.3577815327393</v>
      </c>
      <c r="W833" s="35" t="n">
        <v>15.2310491572635</v>
      </c>
      <c r="X833" s="35" t="n">
        <v>2.6243125627406</v>
      </c>
      <c r="Y833" s="35" t="n">
        <v>6.58590213550097</v>
      </c>
      <c r="Z833" s="35" t="n">
        <v>1.07090027274043</v>
      </c>
      <c r="AA833" s="53" t="n">
        <v>0.593622946414953</v>
      </c>
      <c r="AB833" s="101"/>
      <c r="AC833" s="71" t="n">
        <v>2.73186896086075</v>
      </c>
      <c r="AD833" s="38" t="n">
        <v>4.580178829167</v>
      </c>
      <c r="AE833" s="38" t="n">
        <v>3.98246549196071</v>
      </c>
      <c r="AF833" s="38" t="n">
        <v>0.851913262225063</v>
      </c>
      <c r="AG833" s="38" t="n">
        <v>2.7068856880377</v>
      </c>
      <c r="AH833" s="38" t="n">
        <v>1.06903190829699</v>
      </c>
      <c r="AI833" s="38"/>
      <c r="AJ833" s="102" t="s">
        <v>906</v>
      </c>
      <c r="AK833" s="103" t="n">
        <v>720</v>
      </c>
      <c r="AL833" s="103" t="n">
        <v>738</v>
      </c>
      <c r="AM833" s="103" t="n">
        <v>675</v>
      </c>
      <c r="AN833" s="103" t="n">
        <v>588</v>
      </c>
      <c r="AO833" s="104" t="n">
        <v>11.85</v>
      </c>
      <c r="AP833" s="105" t="n">
        <v>0.474</v>
      </c>
      <c r="AQ833" s="105" t="n">
        <v>0.42</v>
      </c>
      <c r="AR833" s="105" t="n">
        <v>0.508</v>
      </c>
      <c r="AS833" s="77" t="n">
        <v>11.85</v>
      </c>
      <c r="AT833" s="78" t="n">
        <v>11.78</v>
      </c>
      <c r="AU833" s="78" t="n">
        <v>40.02</v>
      </c>
      <c r="AV833" s="78" t="n">
        <v>35.45</v>
      </c>
      <c r="AW833" s="78" t="n">
        <v>42.9</v>
      </c>
      <c r="AX833" s="78" t="n">
        <v>15.3191489361702</v>
      </c>
      <c r="AY833" s="48" t="n">
        <v>0.72014655388464</v>
      </c>
      <c r="AZ833" s="48" t="n">
        <v>17.4479406111117</v>
      </c>
      <c r="BA833" s="48" t="n">
        <v>-1.09015907837242</v>
      </c>
      <c r="BB833" s="49" t="n">
        <f aca="false">AT833/V833</f>
        <v>0.72014655388464</v>
      </c>
      <c r="BC833" s="49" t="n">
        <f aca="false">AS833/V833</f>
        <v>0.724425862778691</v>
      </c>
      <c r="BD833" s="49" t="n">
        <f aca="false">SUM(AP833:AR833)/V833</f>
        <v>0.0857084438494282</v>
      </c>
      <c r="BE833" s="53" t="n">
        <v>6.46</v>
      </c>
      <c r="BF833" s="51" t="n">
        <v>110.08</v>
      </c>
      <c r="BG833" s="51" t="n">
        <v>656.340843023256</v>
      </c>
      <c r="BH833" s="51" t="n">
        <v>177.96148255814</v>
      </c>
      <c r="BI833" s="51" t="n">
        <v>119.549418604651</v>
      </c>
      <c r="BJ833" s="51" t="n">
        <v>18.8045058139535</v>
      </c>
      <c r="BK833" s="51" t="n">
        <v>15.0799418604651</v>
      </c>
      <c r="BL833" s="51" t="n">
        <v>2.81613372093023</v>
      </c>
      <c r="BM833" s="51" t="n">
        <v>9.44767441860465</v>
      </c>
      <c r="BN833" s="52" t="n">
        <f aca="false">(BG833*0.5-BH833*0.25+BI833*0.5)/SUM(BG833:BI833)*1000</f>
        <v>360.071428571429</v>
      </c>
      <c r="BO833" s="93" t="n">
        <v>4.58826530612245</v>
      </c>
      <c r="BP833" s="94" t="s">
        <v>491</v>
      </c>
      <c r="BQ833" s="55" t="n">
        <v>375</v>
      </c>
      <c r="BR833" s="56" t="n">
        <v>22.924869075275</v>
      </c>
      <c r="BS833" s="56" t="n">
        <v>33.3614628942676</v>
      </c>
      <c r="BT833" s="56" t="n">
        <v>31.8336162988115</v>
      </c>
      <c r="BU833" s="55" t="n">
        <v>11709</v>
      </c>
      <c r="BV833" s="55" t="n">
        <v>715.806112006388</v>
      </c>
      <c r="BW833" s="55" t="n">
        <v>1041.67831741061</v>
      </c>
      <c r="BX833" s="55" t="n">
        <v>998</v>
      </c>
      <c r="BY833" s="106" t="n">
        <v>0.1632</v>
      </c>
      <c r="BZ833" s="106" t="n">
        <v>1.04</v>
      </c>
      <c r="CA833" s="106" t="n">
        <v>4.34</v>
      </c>
      <c r="CB833" s="81"/>
      <c r="CC833" s="106" t="n">
        <v>4.33</v>
      </c>
      <c r="CD833" s="106" t="n">
        <v>4.9</v>
      </c>
      <c r="CE833" s="106" t="n">
        <v>111.2</v>
      </c>
      <c r="CF833" s="106" t="n">
        <v>36.9</v>
      </c>
      <c r="CG833" s="106" t="n">
        <v>0.2876</v>
      </c>
      <c r="CH833" s="63" t="n">
        <v>71045.2834907031</v>
      </c>
      <c r="CI833" s="63" t="n">
        <v>19866.0669514251</v>
      </c>
      <c r="CJ833" s="64" t="n">
        <v>809400.685878161</v>
      </c>
      <c r="CK833" s="65" t="n">
        <v>2.45441686645859</v>
      </c>
    </row>
    <row r="834" customFormat="false" ht="15" hidden="false" customHeight="false" outlineLevel="0" collapsed="false">
      <c r="A834" s="7" t="s">
        <v>902</v>
      </c>
      <c r="B834" s="66" t="n">
        <v>814</v>
      </c>
      <c r="C834" s="8" t="s">
        <v>920</v>
      </c>
      <c r="D834" s="100" t="n">
        <v>41319</v>
      </c>
      <c r="E834" s="4" t="s">
        <v>904</v>
      </c>
      <c r="F834" s="7" t="n">
        <v>1522</v>
      </c>
      <c r="G834" s="68" t="n">
        <v>2</v>
      </c>
      <c r="H834" s="68" t="n">
        <v>125</v>
      </c>
      <c r="I834" s="7" t="n">
        <v>2</v>
      </c>
      <c r="J834" s="8" t="n">
        <v>689</v>
      </c>
      <c r="K834" s="31" t="n">
        <v>384.41449858231</v>
      </c>
      <c r="L834" s="31" t="n">
        <v>931.270482659272</v>
      </c>
      <c r="M834" s="31" t="n">
        <v>157.955697144679</v>
      </c>
      <c r="N834" s="31" t="n">
        <v>413.565779648318</v>
      </c>
      <c r="O834" s="31" t="n">
        <v>71.5582504751263</v>
      </c>
      <c r="P834" s="31" t="n">
        <v>34.9128372164823</v>
      </c>
      <c r="Q834" s="31"/>
      <c r="R834" s="31" t="n">
        <v>163.605284346905</v>
      </c>
      <c r="S834" s="34" t="s">
        <v>905</v>
      </c>
      <c r="T834" s="35" t="n">
        <v>12.4108522726865</v>
      </c>
      <c r="U834" s="35" t="n">
        <v>9.44361688680144</v>
      </c>
      <c r="V834" s="35" t="n">
        <v>21.854469159488</v>
      </c>
      <c r="W834" s="35" t="n">
        <v>20.3524220424185</v>
      </c>
      <c r="X834" s="35" t="n">
        <v>3.45203791181381</v>
      </c>
      <c r="Y834" s="35" t="n">
        <v>9.03826057674378</v>
      </c>
      <c r="Z834" s="35" t="n">
        <v>1.56386757811556</v>
      </c>
      <c r="AA834" s="53" t="n">
        <v>0.763001524217837</v>
      </c>
      <c r="AB834" s="101"/>
      <c r="AC834" s="71" t="n">
        <v>3.5755066410887</v>
      </c>
      <c r="AD834" s="38" t="n">
        <v>6.46892287120844</v>
      </c>
      <c r="AE834" s="38" t="n">
        <v>5.70203206482668</v>
      </c>
      <c r="AF834" s="38" t="n">
        <v>1.11265473384785</v>
      </c>
      <c r="AG834" s="38" t="n">
        <v>3.71316172807365</v>
      </c>
      <c r="AH834" s="38" t="n">
        <v>1.56371091891822</v>
      </c>
      <c r="AI834" s="38"/>
      <c r="AJ834" s="102" t="s">
        <v>906</v>
      </c>
      <c r="AK834" s="103" t="n">
        <v>704</v>
      </c>
      <c r="AL834" s="103" t="n">
        <v>720</v>
      </c>
      <c r="AM834" s="103" t="n">
        <v>678</v>
      </c>
      <c r="AN834" s="103" t="n">
        <v>589</v>
      </c>
      <c r="AO834" s="104" t="n">
        <v>27.78</v>
      </c>
      <c r="AP834" s="105" t="n">
        <v>1.518</v>
      </c>
      <c r="AQ834" s="105" t="n">
        <v>1.108</v>
      </c>
      <c r="AR834" s="105" t="n">
        <v>1.323</v>
      </c>
      <c r="AS834" s="77" t="n">
        <v>33.882</v>
      </c>
      <c r="AT834" s="78" t="n">
        <v>34.21</v>
      </c>
      <c r="AU834" s="78" t="n">
        <v>54.64</v>
      </c>
      <c r="AV834" s="78" t="n">
        <v>39.9</v>
      </c>
      <c r="AW834" s="78" t="n">
        <v>47.63</v>
      </c>
      <c r="AX834" s="78" t="n">
        <v>18.468085106383</v>
      </c>
      <c r="AY834" s="48" t="n">
        <v>1.56535488235128</v>
      </c>
      <c r="AZ834" s="48" t="n">
        <v>25.2112155080733</v>
      </c>
      <c r="BA834" s="48" t="n">
        <v>-3.35674634858534</v>
      </c>
      <c r="BB834" s="49" t="n">
        <f aca="false">AT834/V834</f>
        <v>1.56535488235128</v>
      </c>
      <c r="BC834" s="49" t="n">
        <f aca="false">AS834/V834</f>
        <v>1.55034651048892</v>
      </c>
      <c r="BD834" s="49" t="n">
        <f aca="false">SUM(AP834:AR834)/V834</f>
        <v>0.180695306355019</v>
      </c>
      <c r="BE834" s="53" t="n">
        <v>6.28</v>
      </c>
      <c r="BF834" s="51" t="n">
        <v>99.65</v>
      </c>
      <c r="BG834" s="51" t="n">
        <v>638.735574510788</v>
      </c>
      <c r="BH834" s="51" t="n">
        <v>166.482689412945</v>
      </c>
      <c r="BI834" s="51" t="n">
        <v>148.018063221274</v>
      </c>
      <c r="BJ834" s="51" t="n">
        <v>17.3607626693427</v>
      </c>
      <c r="BK834" s="51" t="n">
        <v>18.4646261916709</v>
      </c>
      <c r="BL834" s="51" t="n">
        <v>1.10386352232815</v>
      </c>
      <c r="BM834" s="51" t="n">
        <v>9.83442047165078</v>
      </c>
      <c r="BN834" s="52" t="n">
        <f aca="false">(BG834*0.5-BH834*0.25+BI834*0.5)/SUM(BG834:BI834)*1000</f>
        <v>369.012527634488</v>
      </c>
      <c r="BO834" s="93" t="n">
        <v>5.6030612244898</v>
      </c>
      <c r="BP834" s="94" t="s">
        <v>491</v>
      </c>
      <c r="BQ834" s="55" t="n">
        <v>494</v>
      </c>
      <c r="BR834" s="56" t="n">
        <v>22.6040722561103</v>
      </c>
      <c r="BS834" s="56" t="n">
        <v>33.7115213944128</v>
      </c>
      <c r="BT834" s="56" t="n">
        <v>14.440222157264</v>
      </c>
      <c r="BU834" s="55" t="n">
        <v>13762</v>
      </c>
      <c r="BV834" s="55" t="n">
        <v>629.711016980951</v>
      </c>
      <c r="BW834" s="55" t="n">
        <v>939.14566281358</v>
      </c>
      <c r="BX834" s="55" t="n">
        <v>401</v>
      </c>
      <c r="BY834" s="106" t="n">
        <v>0.2346</v>
      </c>
      <c r="BZ834" s="106" t="n">
        <v>1.47</v>
      </c>
      <c r="CA834" s="106" t="n">
        <v>3.67</v>
      </c>
      <c r="CB834" s="81"/>
      <c r="CC834" s="106" t="n">
        <v>3.63</v>
      </c>
      <c r="CD834" s="106" t="n">
        <v>7.41</v>
      </c>
      <c r="CE834" s="106" t="n">
        <v>111.2</v>
      </c>
      <c r="CF834" s="106" t="n">
        <v>40.1</v>
      </c>
      <c r="CG834" s="106" t="n">
        <v>0.3922</v>
      </c>
      <c r="CH834" s="63" t="n">
        <v>107233.919283187</v>
      </c>
      <c r="CI834" s="63" t="n">
        <v>2962.2589877033</v>
      </c>
      <c r="CJ834" s="64" t="n">
        <v>441060.596583085</v>
      </c>
      <c r="CK834" s="65" t="n">
        <v>0.671621770489598</v>
      </c>
    </row>
    <row r="835" customFormat="false" ht="15" hidden="false" customHeight="false" outlineLevel="0" collapsed="false">
      <c r="A835" s="7" t="s">
        <v>902</v>
      </c>
      <c r="B835" s="66" t="n">
        <v>815</v>
      </c>
      <c r="C835" s="8" t="s">
        <v>921</v>
      </c>
      <c r="D835" s="100" t="n">
        <v>41319</v>
      </c>
      <c r="E835" s="4" t="s">
        <v>904</v>
      </c>
      <c r="F835" s="7" t="n">
        <v>1547</v>
      </c>
      <c r="G835" s="68" t="n">
        <v>2</v>
      </c>
      <c r="H835" s="68" t="n">
        <v>149</v>
      </c>
      <c r="I835" s="7" t="n">
        <v>1</v>
      </c>
      <c r="J835" s="8" t="n">
        <v>595</v>
      </c>
      <c r="K835" s="31" t="n">
        <v>392.116147838633</v>
      </c>
      <c r="L835" s="31" t="n">
        <v>930.548627379896</v>
      </c>
      <c r="M835" s="31" t="n">
        <v>157.31494031612</v>
      </c>
      <c r="N835" s="31" t="n">
        <v>411.523264024133</v>
      </c>
      <c r="O835" s="31" t="n">
        <v>71.6558123769365</v>
      </c>
      <c r="P835" s="31" t="n">
        <v>35.1897140073675</v>
      </c>
      <c r="Q835" s="31"/>
      <c r="R835" s="31" t="n">
        <v>165.440909476245</v>
      </c>
      <c r="S835" s="34" t="s">
        <v>905</v>
      </c>
      <c r="T835" s="35" t="n">
        <v>10.1976574327694</v>
      </c>
      <c r="U835" s="35" t="n">
        <v>8.00642693671833</v>
      </c>
      <c r="V835" s="35" t="n">
        <v>18.2040843694877</v>
      </c>
      <c r="W835" s="35" t="n">
        <v>16.9397857227346</v>
      </c>
      <c r="X835" s="35" t="n">
        <v>2.86377444609558</v>
      </c>
      <c r="Y835" s="35" t="n">
        <v>7.4914042183023</v>
      </c>
      <c r="Z835" s="35" t="n">
        <v>1.30442845407394</v>
      </c>
      <c r="AA835" s="53" t="n">
        <v>0.640596522728263</v>
      </c>
      <c r="AB835" s="101"/>
      <c r="AC835" s="71" t="n">
        <v>3.01170027427036</v>
      </c>
      <c r="AD835" s="38" t="n">
        <v>5.55224573269376</v>
      </c>
      <c r="AE835" s="38" t="n">
        <v>4.82767766457723</v>
      </c>
      <c r="AF835" s="38" t="n">
        <v>1.01606096908296</v>
      </c>
      <c r="AG835" s="38" t="n">
        <v>3.24806375362585</v>
      </c>
      <c r="AH835" s="38" t="n">
        <v>1.30484939336197</v>
      </c>
      <c r="AI835" s="38"/>
      <c r="AJ835" s="102" t="s">
        <v>906</v>
      </c>
      <c r="AK835" s="103" t="n">
        <v>695</v>
      </c>
      <c r="AL835" s="103" t="n">
        <v>715</v>
      </c>
      <c r="AM835" s="103" t="n">
        <v>645</v>
      </c>
      <c r="AN835" s="103" t="n">
        <v>567</v>
      </c>
      <c r="AO835" s="104" t="n">
        <v>25.65</v>
      </c>
      <c r="AP835" s="105" t="n">
        <v>1.227</v>
      </c>
      <c r="AQ835" s="105" t="n">
        <v>0.903</v>
      </c>
      <c r="AR835" s="105" t="n">
        <v>1.234</v>
      </c>
      <c r="AS835" s="77" t="n">
        <v>28.665</v>
      </c>
      <c r="AT835" s="78" t="n">
        <v>28.59</v>
      </c>
      <c r="AU835" s="78" t="n">
        <v>47.84</v>
      </c>
      <c r="AV835" s="78" t="n">
        <v>35.19</v>
      </c>
      <c r="AW835" s="78" t="n">
        <v>48.1</v>
      </c>
      <c r="AX835" s="78" t="n">
        <v>18.063829787234</v>
      </c>
      <c r="AY835" s="48" t="n">
        <v>1.57052666971377</v>
      </c>
      <c r="AZ835" s="48" t="n">
        <v>22.1398137501715</v>
      </c>
      <c r="BA835" s="48" t="n">
        <v>-3.93572938068371</v>
      </c>
      <c r="BB835" s="49" t="n">
        <f aca="false">AT835/V835</f>
        <v>1.57052666971377</v>
      </c>
      <c r="BC835" s="49" t="n">
        <f aca="false">AS835/V835</f>
        <v>1.57464662425131</v>
      </c>
      <c r="BD835" s="49" t="n">
        <f aca="false">SUM(AP835:AR835)/V835</f>
        <v>0.184793694190875</v>
      </c>
      <c r="BE835" s="53" t="n">
        <v>6.06</v>
      </c>
      <c r="BF835" s="51" t="n">
        <v>137.01</v>
      </c>
      <c r="BG835" s="51" t="n">
        <v>646.814101160499</v>
      </c>
      <c r="BH835" s="51" t="n">
        <v>165.389387635939</v>
      </c>
      <c r="BI835" s="51" t="n">
        <v>136.778337347639</v>
      </c>
      <c r="BJ835" s="51" t="n">
        <v>14.6704620100723</v>
      </c>
      <c r="BK835" s="51" t="n">
        <v>17.8089190570031</v>
      </c>
      <c r="BL835" s="51" t="n">
        <v>3.06546967374644</v>
      </c>
      <c r="BM835" s="51" t="n">
        <v>15.4733231151011</v>
      </c>
      <c r="BN835" s="52" t="n">
        <f aca="false">(BG835*0.5-BH835*0.25+BI835*0.5)/SUM(BG835:BI835)*1000</f>
        <v>369.289340101523</v>
      </c>
      <c r="BO835" s="93" t="n">
        <v>1.85612244897959</v>
      </c>
      <c r="BP835" s="94" t="s">
        <v>491</v>
      </c>
      <c r="BQ835" s="55" t="n">
        <v>430</v>
      </c>
      <c r="BR835" s="56" t="n">
        <v>23.6210726819489</v>
      </c>
      <c r="BS835" s="56" t="n">
        <v>35.5021374675048</v>
      </c>
      <c r="BT835" s="56" t="n">
        <v>15.0402238544946</v>
      </c>
      <c r="BU835" s="55" t="n">
        <v>11744</v>
      </c>
      <c r="BV835" s="55" t="n">
        <v>645.129947853042</v>
      </c>
      <c r="BW835" s="55" t="n">
        <v>969.62116841483</v>
      </c>
      <c r="BX835" s="55" t="n">
        <v>475</v>
      </c>
      <c r="BY835" s="106" t="n">
        <v>0.3876</v>
      </c>
      <c r="BZ835" s="106" t="n">
        <v>1.41</v>
      </c>
      <c r="CA835" s="106" t="n">
        <v>3.65</v>
      </c>
      <c r="CB835" s="81"/>
      <c r="CC835" s="106" t="n">
        <v>2.48</v>
      </c>
      <c r="CD835" s="106" t="n">
        <v>8.88</v>
      </c>
      <c r="CE835" s="106" t="n">
        <v>111.2</v>
      </c>
      <c r="CF835" s="106" t="n">
        <v>40.2</v>
      </c>
      <c r="CG835" s="106" t="n">
        <v>0.5201</v>
      </c>
      <c r="CH835" s="63" t="n">
        <v>29201.9307313579</v>
      </c>
      <c r="CI835" s="63" t="n">
        <v>13078.419945459</v>
      </c>
      <c r="CJ835" s="63" t="n">
        <v>461880.839638219</v>
      </c>
      <c r="CK835" s="85" t="n">
        <v>2.83155715134299</v>
      </c>
    </row>
    <row r="836" customFormat="false" ht="15" hidden="false" customHeight="false" outlineLevel="0" collapsed="false">
      <c r="A836" s="7" t="s">
        <v>902</v>
      </c>
      <c r="B836" s="66" t="n">
        <v>816</v>
      </c>
      <c r="C836" s="8" t="s">
        <v>922</v>
      </c>
      <c r="D836" s="100" t="n">
        <v>41316</v>
      </c>
      <c r="E836" s="4" t="s">
        <v>904</v>
      </c>
      <c r="F836" s="7" t="n">
        <v>1556</v>
      </c>
      <c r="G836" s="68" t="n">
        <v>2</v>
      </c>
      <c r="H836" s="68" t="n">
        <v>113</v>
      </c>
      <c r="I836" s="7" t="n">
        <v>1</v>
      </c>
      <c r="J836" s="8" t="n">
        <v>600</v>
      </c>
      <c r="K836" s="31" t="n">
        <v>399.304837501291</v>
      </c>
      <c r="L836" s="31" t="n">
        <v>932.749338354098</v>
      </c>
      <c r="M836" s="31" t="n">
        <v>158.087222248158</v>
      </c>
      <c r="N836" s="31" t="n">
        <v>405.987705629239</v>
      </c>
      <c r="O836" s="31" t="n">
        <v>72.4117240637393</v>
      </c>
      <c r="P836" s="31" t="n">
        <v>35.8542399868166</v>
      </c>
      <c r="Q836" s="31"/>
      <c r="R836" s="31" t="n">
        <v>166.691023204977</v>
      </c>
      <c r="S836" s="34" t="s">
        <v>905</v>
      </c>
      <c r="T836" s="35" t="n">
        <v>10.005497827066</v>
      </c>
      <c r="U836" s="35" t="n">
        <v>8.1455601808498</v>
      </c>
      <c r="V836" s="35" t="n">
        <v>18.1510580079158</v>
      </c>
      <c r="W836" s="35" t="n">
        <v>16.9303873473103</v>
      </c>
      <c r="X836" s="35" t="n">
        <v>2.86945034133659</v>
      </c>
      <c r="Y836" s="35" t="n">
        <v>7.36910639537695</v>
      </c>
      <c r="Z836" s="35" t="n">
        <v>1.31434940393412</v>
      </c>
      <c r="AA836" s="53" t="n">
        <v>0.650792389830442</v>
      </c>
      <c r="AB836" s="101"/>
      <c r="AC836" s="71" t="n">
        <v>3.02561843159237</v>
      </c>
      <c r="AD836" s="38" t="n">
        <v>5.31825999631932</v>
      </c>
      <c r="AE836" s="38" t="n">
        <v>4.68139836176008</v>
      </c>
      <c r="AF836" s="38" t="n">
        <v>0.989196359315394</v>
      </c>
      <c r="AG836" s="38" t="n">
        <v>2.89313343799771</v>
      </c>
      <c r="AH836" s="38" t="n">
        <v>1.31356186547099</v>
      </c>
      <c r="AI836" s="38"/>
      <c r="AJ836" s="102" t="s">
        <v>906</v>
      </c>
      <c r="AK836" s="103" t="n">
        <v>707</v>
      </c>
      <c r="AL836" s="103" t="n">
        <v>723</v>
      </c>
      <c r="AM836" s="103" t="n">
        <v>655</v>
      </c>
      <c r="AN836" s="103" t="n">
        <v>607</v>
      </c>
      <c r="AO836" s="104" t="n">
        <v>22.42</v>
      </c>
      <c r="AP836" s="105" t="n">
        <v>0.991</v>
      </c>
      <c r="AQ836" s="105" t="n">
        <v>0.855</v>
      </c>
      <c r="AR836" s="105" t="n">
        <v>1.106</v>
      </c>
      <c r="AS836" s="77" t="n">
        <v>23.833</v>
      </c>
      <c r="AT836" s="78" t="n">
        <v>24.64</v>
      </c>
      <c r="AU836" s="78" t="n">
        <v>44.18</v>
      </c>
      <c r="AV836" s="78" t="n">
        <v>38.12</v>
      </c>
      <c r="AW836" s="78" t="n">
        <v>49.34</v>
      </c>
      <c r="AX836" s="78" t="n">
        <v>13.936170212766</v>
      </c>
      <c r="AY836" s="48" t="n">
        <v>1.35749662577544</v>
      </c>
      <c r="AZ836" s="48" t="n">
        <v>20.1420403443408</v>
      </c>
      <c r="BA836" s="48" t="n">
        <v>-1.99098233642501</v>
      </c>
      <c r="BB836" s="49" t="n">
        <f aca="false">AT836/V836</f>
        <v>1.35749662577544</v>
      </c>
      <c r="BC836" s="49" t="n">
        <f aca="false">AS836/V836</f>
        <v>1.31303640755301</v>
      </c>
      <c r="BD836" s="49" t="n">
        <f aca="false">SUM(AP836:AR836)/V836</f>
        <v>0.162635147698422</v>
      </c>
      <c r="BE836" s="53" t="n">
        <v>6.65</v>
      </c>
      <c r="BF836" s="51" t="n">
        <v>92.53</v>
      </c>
      <c r="BG836" s="51" t="n">
        <v>610.504701177996</v>
      </c>
      <c r="BH836" s="51" t="n">
        <v>197.449475845672</v>
      </c>
      <c r="BI836" s="51" t="n">
        <v>131.957203069275</v>
      </c>
      <c r="BJ836" s="51" t="n">
        <v>20.425807846104</v>
      </c>
      <c r="BK836" s="51" t="n">
        <v>22.479195936453</v>
      </c>
      <c r="BL836" s="51" t="n">
        <v>5.40365286933967</v>
      </c>
      <c r="BM836" s="51" t="n">
        <v>11.7799632551605</v>
      </c>
      <c r="BN836" s="52" t="n">
        <f aca="false">(BG836*0.5-BH836*0.25+BI836*0.5)/SUM(BG836:BI836)*1000</f>
        <v>342.445670921007</v>
      </c>
      <c r="BO836" s="93" t="n">
        <v>2.41122448979592</v>
      </c>
      <c r="BP836" s="94" t="s">
        <v>491</v>
      </c>
      <c r="BQ836" s="55" t="n">
        <v>403</v>
      </c>
      <c r="BR836" s="56" t="n">
        <v>22.2025625076097</v>
      </c>
      <c r="BS836" s="56" t="n">
        <v>32.9230343015974</v>
      </c>
      <c r="BT836" s="56" t="n">
        <v>16.3555194805195</v>
      </c>
      <c r="BU836" s="55" t="n">
        <v>12084</v>
      </c>
      <c r="BV836" s="55" t="n">
        <v>665.746315985002</v>
      </c>
      <c r="BW836" s="55" t="n">
        <v>987.200859802736</v>
      </c>
      <c r="BX836" s="55" t="n">
        <v>506</v>
      </c>
      <c r="BY836" s="106" t="n">
        <v>0.153</v>
      </c>
      <c r="BZ836" s="106" t="n">
        <v>0.82</v>
      </c>
      <c r="CA836" s="106" t="n">
        <v>3.3</v>
      </c>
      <c r="CB836" s="81"/>
      <c r="CC836" s="106" t="n">
        <v>4.09</v>
      </c>
      <c r="CD836" s="106" t="n">
        <v>6.06</v>
      </c>
      <c r="CE836" s="106" t="n">
        <v>94.8</v>
      </c>
      <c r="CF836" s="106" t="n">
        <v>40.8</v>
      </c>
      <c r="CG836" s="106" t="n">
        <v>0.5575</v>
      </c>
      <c r="CH836" s="63" t="n">
        <v>53658.6586632841</v>
      </c>
      <c r="CI836" s="63" t="n">
        <v>11294.8016858098</v>
      </c>
      <c r="CJ836" s="64" t="n">
        <v>568677.273576722</v>
      </c>
      <c r="CK836" s="65" t="n">
        <v>1.98615316817052</v>
      </c>
    </row>
    <row r="837" customFormat="false" ht="15" hidden="false" customHeight="false" outlineLevel="0" collapsed="false">
      <c r="A837" s="7" t="s">
        <v>902</v>
      </c>
      <c r="B837" s="66" t="n">
        <v>817</v>
      </c>
      <c r="C837" s="8" t="s">
        <v>923</v>
      </c>
      <c r="D837" s="100" t="n">
        <v>41317</v>
      </c>
      <c r="E837" s="4" t="s">
        <v>904</v>
      </c>
      <c r="F837" s="7" t="n">
        <v>1559</v>
      </c>
      <c r="G837" s="68" t="n">
        <v>2</v>
      </c>
      <c r="H837" s="68" t="n">
        <v>165</v>
      </c>
      <c r="I837" s="7" t="n">
        <v>1</v>
      </c>
      <c r="J837" s="8" t="n">
        <v>680</v>
      </c>
      <c r="K837" s="31" t="n">
        <v>398.677027064296</v>
      </c>
      <c r="L837" s="31" t="n">
        <v>931.433480952988</v>
      </c>
      <c r="M837" s="31" t="n">
        <v>159.191054504778</v>
      </c>
      <c r="N837" s="31" t="n">
        <v>407.449117372158</v>
      </c>
      <c r="O837" s="31" t="n">
        <v>71.3849548028019</v>
      </c>
      <c r="P837" s="31" t="n">
        <v>35.6185966598213</v>
      </c>
      <c r="Q837" s="31"/>
      <c r="R837" s="31" t="n">
        <v>167.761067952343</v>
      </c>
      <c r="S837" s="34" t="s">
        <v>905</v>
      </c>
      <c r="T837" s="35" t="n">
        <v>9.18171228579518</v>
      </c>
      <c r="U837" s="35" t="n">
        <v>7.46865676984474</v>
      </c>
      <c r="V837" s="35" t="n">
        <v>16.6503690556399</v>
      </c>
      <c r="W837" s="35" t="n">
        <v>15.5087112086466</v>
      </c>
      <c r="X837" s="35" t="n">
        <v>2.65058980786105</v>
      </c>
      <c r="Y837" s="35" t="n">
        <v>6.78417817564118</v>
      </c>
      <c r="Z837" s="35" t="n">
        <v>1.18858584248683</v>
      </c>
      <c r="AA837" s="53" t="n">
        <v>0.593062779630009</v>
      </c>
      <c r="AB837" s="101"/>
      <c r="AC837" s="71" t="n">
        <v>2.7932836945748</v>
      </c>
      <c r="AD837" s="38" t="n">
        <v>4.5455507521897</v>
      </c>
      <c r="AE837" s="38" t="n">
        <v>3.96303842329659</v>
      </c>
      <c r="AF837" s="38" t="n">
        <v>0.777289178624438</v>
      </c>
      <c r="AG837" s="38" t="n">
        <v>2.69551159604849</v>
      </c>
      <c r="AH837" s="38" t="n">
        <v>1.18864014397242</v>
      </c>
      <c r="AI837" s="38"/>
      <c r="AJ837" s="102" t="s">
        <v>906</v>
      </c>
      <c r="AK837" s="103" t="n">
        <v>727</v>
      </c>
      <c r="AL837" s="103" t="n">
        <v>744</v>
      </c>
      <c r="AM837" s="103" t="n">
        <v>707</v>
      </c>
      <c r="AN837" s="103" t="n">
        <v>603</v>
      </c>
      <c r="AO837" s="104" t="n">
        <v>18.5</v>
      </c>
      <c r="AP837" s="105" t="n">
        <v>0.864</v>
      </c>
      <c r="AQ837" s="105" t="n">
        <v>0.686</v>
      </c>
      <c r="AR837" s="105" t="n">
        <v>0.825</v>
      </c>
      <c r="AS837" s="77" t="n">
        <v>20.36</v>
      </c>
      <c r="AT837" s="78" t="n">
        <v>20.29</v>
      </c>
      <c r="AU837" s="78" t="n">
        <v>46.7</v>
      </c>
      <c r="AV837" s="78" t="n">
        <v>37.08</v>
      </c>
      <c r="AW837" s="78" t="n">
        <v>44.59</v>
      </c>
      <c r="AX837" s="78" t="n">
        <v>17.7659574468085</v>
      </c>
      <c r="AY837" s="48" t="n">
        <v>1.21859160792158</v>
      </c>
      <c r="AZ837" s="48" t="n">
        <v>20.3545264545564</v>
      </c>
      <c r="BA837" s="48" t="n">
        <v>-3.70415739891651</v>
      </c>
      <c r="BB837" s="49" t="n">
        <f aca="false">AT837/V837</f>
        <v>1.21859160792158</v>
      </c>
      <c r="BC837" s="49" t="n">
        <f aca="false">AS837/V837</f>
        <v>1.22279571893955</v>
      </c>
      <c r="BD837" s="49" t="n">
        <f aca="false">SUM(AP837:AR837)/V837</f>
        <v>0.142639480966671</v>
      </c>
      <c r="BE837" s="53" t="n">
        <v>6.39</v>
      </c>
      <c r="BF837" s="51" t="n">
        <v>97.63</v>
      </c>
      <c r="BG837" s="51" t="n">
        <v>605.858854860186</v>
      </c>
      <c r="BH837" s="51" t="n">
        <v>188.978797500768</v>
      </c>
      <c r="BI837" s="51" t="n">
        <v>147.905356959951</v>
      </c>
      <c r="BJ837" s="51" t="n">
        <v>18.3345283212127</v>
      </c>
      <c r="BK837" s="51" t="n">
        <v>19.4612311789409</v>
      </c>
      <c r="BL837" s="51" t="n">
        <v>4.30195636587115</v>
      </c>
      <c r="BM837" s="51" t="n">
        <v>15.1592748130698</v>
      </c>
      <c r="BN837" s="52" t="n">
        <f aca="false">(BG837*0.5-BH837*0.25+BI837*0.5)/SUM(BG837:BI837)*1000</f>
        <v>349.657757496741</v>
      </c>
      <c r="BO837" s="93" t="n">
        <v>10.1219387755102</v>
      </c>
      <c r="BP837" s="94" t="s">
        <v>491</v>
      </c>
      <c r="BQ837" s="55" t="n">
        <v>436</v>
      </c>
      <c r="BR837" s="56" t="n">
        <v>26.1856057690394</v>
      </c>
      <c r="BS837" s="56" t="n">
        <v>37.7866024772979</v>
      </c>
      <c r="BT837" s="56" t="n">
        <v>21.4884179398719</v>
      </c>
      <c r="BU837" s="55" t="n">
        <v>12540</v>
      </c>
      <c r="BV837" s="55" t="n">
        <v>753.136459504024</v>
      </c>
      <c r="BW837" s="55" t="n">
        <v>1086.79815381953</v>
      </c>
      <c r="BX837" s="55" t="n">
        <v>578</v>
      </c>
      <c r="BY837" s="106" t="n">
        <v>0.2142</v>
      </c>
      <c r="BZ837" s="106" t="n">
        <v>1.32</v>
      </c>
      <c r="CA837" s="106" t="n">
        <v>4.38</v>
      </c>
      <c r="CB837" s="81"/>
      <c r="CC837" s="106" t="n">
        <v>3.77</v>
      </c>
      <c r="CD837" s="106" t="n">
        <v>8.11</v>
      </c>
      <c r="CE837" s="106" t="n">
        <v>107.1</v>
      </c>
      <c r="CF837" s="106" t="n">
        <v>36.2</v>
      </c>
      <c r="CG837" s="106" t="n">
        <v>0.6943</v>
      </c>
      <c r="CH837" s="63"/>
      <c r="CI837" s="63"/>
      <c r="CJ837" s="64"/>
      <c r="CK837" s="65"/>
    </row>
    <row r="838" customFormat="false" ht="15" hidden="false" customHeight="false" outlineLevel="0" collapsed="false">
      <c r="A838" s="7" t="s">
        <v>902</v>
      </c>
      <c r="B838" s="66" t="n">
        <v>818</v>
      </c>
      <c r="C838" s="8" t="s">
        <v>924</v>
      </c>
      <c r="D838" s="100" t="n">
        <v>41317</v>
      </c>
      <c r="E838" s="4" t="s">
        <v>904</v>
      </c>
      <c r="F838" s="7" t="n">
        <v>1560</v>
      </c>
      <c r="G838" s="68" t="n">
        <v>2</v>
      </c>
      <c r="H838" s="68" t="n">
        <v>175</v>
      </c>
      <c r="I838" s="7" t="n">
        <v>1</v>
      </c>
      <c r="J838" s="8" t="n">
        <v>579</v>
      </c>
      <c r="K838" s="31" t="n">
        <v>392.179022407017</v>
      </c>
      <c r="L838" s="31" t="n">
        <v>932.927854293808</v>
      </c>
      <c r="M838" s="31" t="n">
        <v>157.406036453386</v>
      </c>
      <c r="N838" s="31" t="n">
        <v>406.481896454819</v>
      </c>
      <c r="O838" s="31" t="n">
        <v>71.4423644411837</v>
      </c>
      <c r="P838" s="31" t="n">
        <v>35.5882360563419</v>
      </c>
      <c r="Q838" s="31"/>
      <c r="R838" s="31" t="n">
        <v>166.619841302229</v>
      </c>
      <c r="S838" s="34" t="s">
        <v>905</v>
      </c>
      <c r="T838" s="35" t="n">
        <v>11.2019157847905</v>
      </c>
      <c r="U838" s="35" t="n">
        <v>8.93440479169706</v>
      </c>
      <c r="V838" s="35" t="n">
        <v>20.1363205764876</v>
      </c>
      <c r="W838" s="35" t="n">
        <v>18.7857343487948</v>
      </c>
      <c r="X838" s="35" t="n">
        <v>3.16957841069966</v>
      </c>
      <c r="Y838" s="35" t="n">
        <v>8.18504977555286</v>
      </c>
      <c r="Z838" s="35" t="n">
        <v>1.43858635312993</v>
      </c>
      <c r="AA838" s="53" t="n">
        <v>0.716616129982215</v>
      </c>
      <c r="AB838" s="101"/>
      <c r="AC838" s="71" t="n">
        <v>3.35511053886517</v>
      </c>
      <c r="AD838" s="38" t="n">
        <v>5.71871504372247</v>
      </c>
      <c r="AE838" s="38" t="n">
        <v>5.0504831908635</v>
      </c>
      <c r="AF838" s="38" t="n">
        <v>1.04652485300121</v>
      </c>
      <c r="AG838" s="38" t="n">
        <v>3.48841617667071</v>
      </c>
      <c r="AH838" s="38" t="n">
        <v>1.44106369893268</v>
      </c>
      <c r="AI838" s="38"/>
      <c r="AJ838" s="102" t="s">
        <v>906</v>
      </c>
      <c r="AK838" s="103" t="n">
        <v>716</v>
      </c>
      <c r="AL838" s="103" t="n">
        <v>732</v>
      </c>
      <c r="AM838" s="103" t="n">
        <v>670</v>
      </c>
      <c r="AN838" s="103" t="n">
        <v>575</v>
      </c>
      <c r="AO838" s="104" t="n">
        <v>25.42</v>
      </c>
      <c r="AP838" s="105" t="n">
        <v>1.049</v>
      </c>
      <c r="AQ838" s="105" t="n">
        <v>0.871</v>
      </c>
      <c r="AR838" s="105" t="n">
        <v>1.226</v>
      </c>
      <c r="AS838" s="77" t="n">
        <v>25.903</v>
      </c>
      <c r="AT838" s="78" t="n">
        <v>26.13</v>
      </c>
      <c r="AU838" s="78" t="n">
        <v>41.25</v>
      </c>
      <c r="AV838" s="78" t="n">
        <v>34.28</v>
      </c>
      <c r="AW838" s="78" t="n">
        <v>48.23</v>
      </c>
      <c r="AX838" s="78" t="n">
        <v>17.7446808510638</v>
      </c>
      <c r="AY838" s="48" t="n">
        <v>1.29765514512671</v>
      </c>
      <c r="AZ838" s="48" t="n">
        <v>20.9759787891129</v>
      </c>
      <c r="BA838" s="48" t="n">
        <v>-0.839658212625348</v>
      </c>
      <c r="BB838" s="49" t="n">
        <f aca="false">AT838/V838</f>
        <v>1.29765514512671</v>
      </c>
      <c r="BC838" s="49" t="n">
        <f aca="false">AS838/V838</f>
        <v>1.28638198332251</v>
      </c>
      <c r="BD838" s="49" t="n">
        <f aca="false">SUM(AP838:AR838)/V838</f>
        <v>0.156235097074957</v>
      </c>
      <c r="BE838" s="53" t="n">
        <v>6.9</v>
      </c>
      <c r="BF838" s="51" t="n">
        <v>127.64</v>
      </c>
      <c r="BG838" s="51" t="n">
        <v>608.42995926042</v>
      </c>
      <c r="BH838" s="51" t="n">
        <v>186.305233469132</v>
      </c>
      <c r="BI838" s="51" t="n">
        <v>151.363209025384</v>
      </c>
      <c r="BJ838" s="51" t="n">
        <v>10.8900031338139</v>
      </c>
      <c r="BK838" s="51" t="n">
        <v>24.5220933876528</v>
      </c>
      <c r="BL838" s="51" t="n">
        <v>8.4612973989345</v>
      </c>
      <c r="BM838" s="51" t="n">
        <v>10.0282043246631</v>
      </c>
      <c r="BN838" s="52" t="n">
        <f aca="false">(BG838*0.5-BH838*0.25+BI838*0.5)/SUM(BG838:BI838)*1000</f>
        <v>352.310367671414</v>
      </c>
      <c r="BO838" s="93" t="n">
        <v>7.06020408163265</v>
      </c>
      <c r="BP838" s="94" t="s">
        <v>491</v>
      </c>
      <c r="BQ838" s="55" t="n">
        <v>408</v>
      </c>
      <c r="BR838" s="56" t="n">
        <v>20.261894344114</v>
      </c>
      <c r="BS838" s="56" t="n">
        <v>29.6702294853907</v>
      </c>
      <c r="BT838" s="56" t="n">
        <v>15.6142365097589</v>
      </c>
      <c r="BU838" s="55" t="n">
        <v>11395</v>
      </c>
      <c r="BV838" s="55" t="n">
        <v>565.892857968576</v>
      </c>
      <c r="BW838" s="55" t="n">
        <v>828.657512220654</v>
      </c>
      <c r="BX838" s="55" t="n">
        <v>451</v>
      </c>
      <c r="BY838" s="106" t="n">
        <v>0.1938</v>
      </c>
      <c r="BZ838" s="106" t="n">
        <v>1.32</v>
      </c>
      <c r="CA838" s="106" t="n">
        <v>3.67</v>
      </c>
      <c r="CB838" s="81"/>
      <c r="CC838" s="106" t="n">
        <v>3.07</v>
      </c>
      <c r="CD838" s="106" t="n">
        <v>8.49</v>
      </c>
      <c r="CE838" s="106" t="n">
        <v>104</v>
      </c>
      <c r="CF838" s="106" t="n">
        <v>37.8</v>
      </c>
      <c r="CG838" s="106" t="n">
        <v>0.1209</v>
      </c>
      <c r="CH838" s="63" t="n">
        <v>16344.0097315761</v>
      </c>
      <c r="CI838" s="63" t="n">
        <v>8418.9851135566</v>
      </c>
      <c r="CJ838" s="64" t="n">
        <v>465888.558827282</v>
      </c>
      <c r="CK838" s="65" t="n">
        <v>1.80708131892068</v>
      </c>
    </row>
    <row r="839" customFormat="false" ht="15" hidden="false" customHeight="false" outlineLevel="0" collapsed="false">
      <c r="A839" s="7" t="s">
        <v>902</v>
      </c>
      <c r="B839" s="66" t="n">
        <v>819</v>
      </c>
      <c r="C839" s="8" t="s">
        <v>925</v>
      </c>
      <c r="D839" s="100" t="n">
        <v>41316</v>
      </c>
      <c r="E839" s="4" t="s">
        <v>904</v>
      </c>
      <c r="F839" s="7" t="n">
        <v>1561</v>
      </c>
      <c r="G839" s="68" t="n">
        <v>2</v>
      </c>
      <c r="H839" s="68" t="n">
        <v>121</v>
      </c>
      <c r="I839" s="7" t="n">
        <v>1</v>
      </c>
      <c r="J839" s="8" t="n">
        <v>606</v>
      </c>
      <c r="K839" s="31" t="n">
        <v>383.069472861993</v>
      </c>
      <c r="L839" s="31" t="n">
        <v>931.059497967588</v>
      </c>
      <c r="M839" s="31" t="n">
        <v>160.013860851477</v>
      </c>
      <c r="N839" s="31" t="n">
        <v>404.967520613883</v>
      </c>
      <c r="O839" s="31" t="n">
        <v>65.6322511328216</v>
      </c>
      <c r="P839" s="31" t="n">
        <v>36.0428982480223</v>
      </c>
      <c r="Q839" s="31"/>
      <c r="R839" s="31" t="n">
        <v>165.329007893454</v>
      </c>
      <c r="S839" s="34" t="s">
        <v>905</v>
      </c>
      <c r="T839" s="35" t="n">
        <v>12.8756026050346</v>
      </c>
      <c r="U839" s="35" t="n">
        <v>10.1216613606848</v>
      </c>
      <c r="V839" s="35" t="n">
        <v>22.9972639657194</v>
      </c>
      <c r="W839" s="35" t="n">
        <v>21.4118210425508</v>
      </c>
      <c r="X839" s="35" t="n">
        <v>3.6798809961753</v>
      </c>
      <c r="Y839" s="35" t="n">
        <v>9.31314496910039</v>
      </c>
      <c r="Z839" s="35" t="n">
        <v>1.50936220396589</v>
      </c>
      <c r="AA839" s="53" t="n">
        <v>0.828888045099334</v>
      </c>
      <c r="AB839" s="101"/>
      <c r="AC839" s="71" t="n">
        <v>3.80211483571628</v>
      </c>
      <c r="AD839" s="38" t="n">
        <v>7.22114088523589</v>
      </c>
      <c r="AE839" s="38" t="n">
        <v>6.30297282167815</v>
      </c>
      <c r="AF839" s="38" t="n">
        <v>1.35035334553911</v>
      </c>
      <c r="AG839" s="38" t="n">
        <v>3.92107950068309</v>
      </c>
      <c r="AH839" s="38" t="n">
        <v>1.50932260275043</v>
      </c>
      <c r="AI839" s="38"/>
      <c r="AJ839" s="102" t="s">
        <v>906</v>
      </c>
      <c r="AK839" s="103" t="n">
        <v>686</v>
      </c>
      <c r="AL839" s="103" t="n">
        <v>706</v>
      </c>
      <c r="AM839" s="103" t="n">
        <v>633</v>
      </c>
      <c r="AN839" s="103" t="n">
        <v>579</v>
      </c>
      <c r="AO839" s="104" t="n">
        <v>22.56</v>
      </c>
      <c r="AP839" s="105" t="n">
        <v>1.04</v>
      </c>
      <c r="AQ839" s="105" t="n">
        <v>0.834</v>
      </c>
      <c r="AR839" s="105" t="n">
        <v>1.06</v>
      </c>
      <c r="AS839" s="77" t="n">
        <v>24.624</v>
      </c>
      <c r="AT839" s="78" t="n">
        <v>24.85</v>
      </c>
      <c r="AU839" s="78" t="n">
        <v>46.12</v>
      </c>
      <c r="AV839" s="78" t="n">
        <v>36.97</v>
      </c>
      <c r="AW839" s="78" t="n">
        <v>46.97</v>
      </c>
      <c r="AX839" s="78" t="n">
        <v>14.9787234042553</v>
      </c>
      <c r="AY839" s="48" t="n">
        <v>1.08056332427381</v>
      </c>
      <c r="AZ839" s="48" t="n">
        <v>20.6077908493329</v>
      </c>
      <c r="BA839" s="48" t="n">
        <v>2.38947311638648</v>
      </c>
      <c r="BB839" s="49" t="n">
        <f aca="false">AT839/V839</f>
        <v>1.08056332427381</v>
      </c>
      <c r="BC839" s="49" t="n">
        <f aca="false">AS839/V839</f>
        <v>1.07073606828645</v>
      </c>
      <c r="BD839" s="49" t="n">
        <f aca="false">SUM(AP839:AR839)/V839</f>
        <v>0.127580394101382</v>
      </c>
      <c r="BE839" s="53" t="n">
        <v>6.64</v>
      </c>
      <c r="BF839" s="51" t="n">
        <v>62.04</v>
      </c>
      <c r="BG839" s="51" t="n">
        <v>581.237911025145</v>
      </c>
      <c r="BH839" s="51" t="n">
        <v>170.535138620245</v>
      </c>
      <c r="BI839" s="51" t="n">
        <v>178.433268858801</v>
      </c>
      <c r="BJ839" s="51" t="n">
        <v>23.6943907156673</v>
      </c>
      <c r="BK839" s="51" t="n">
        <v>25.3062540296583</v>
      </c>
      <c r="BL839" s="51" t="n">
        <v>4.67440361057382</v>
      </c>
      <c r="BM839" s="51" t="n">
        <v>15.7962604771115</v>
      </c>
      <c r="BN839" s="52" t="n">
        <f aca="false">(BG839*0.5-BH839*0.25+BI839*0.5)/SUM(BG839:BI839)*1000</f>
        <v>362.502166002426</v>
      </c>
      <c r="BO839" s="93" t="n">
        <v>3.59948979591837</v>
      </c>
      <c r="BP839" s="94" t="s">
        <v>491</v>
      </c>
      <c r="BQ839" s="55" t="n">
        <v>493</v>
      </c>
      <c r="BR839" s="56" t="n">
        <v>21.4373327511866</v>
      </c>
      <c r="BS839" s="56" t="n">
        <v>32.6128395104002</v>
      </c>
      <c r="BT839" s="56" t="n">
        <v>19.8390342052314</v>
      </c>
      <c r="BU839" s="55" t="n">
        <v>13479</v>
      </c>
      <c r="BV839" s="55" t="n">
        <v>586.113201122199</v>
      </c>
      <c r="BW839" s="55" t="n">
        <v>891.660169899968</v>
      </c>
      <c r="BX839" s="55" t="n">
        <v>485</v>
      </c>
      <c r="BY839" s="106" t="n">
        <v>0.1734</v>
      </c>
      <c r="BZ839" s="106" t="n">
        <v>1.94</v>
      </c>
      <c r="CA839" s="106" t="n">
        <v>4.27</v>
      </c>
      <c r="CB839" s="81"/>
      <c r="CC839" s="106" t="n">
        <v>3.86</v>
      </c>
      <c r="CD839" s="106" t="n">
        <v>5.2</v>
      </c>
      <c r="CE839" s="106" t="n">
        <v>106.1</v>
      </c>
      <c r="CF839" s="106" t="n">
        <v>38.5</v>
      </c>
      <c r="CG839" s="106" t="n">
        <v>0.1957</v>
      </c>
      <c r="CH839" s="63" t="n">
        <v>5952.62765924546</v>
      </c>
      <c r="CI839" s="63" t="n">
        <v>28176.5217075187</v>
      </c>
      <c r="CJ839" s="64" t="n">
        <v>1047218.27382441</v>
      </c>
      <c r="CK839" s="65" t="n">
        <v>2.69060638185951</v>
      </c>
    </row>
    <row r="840" customFormat="false" ht="15" hidden="false" customHeight="false" outlineLevel="0" collapsed="false">
      <c r="A840" s="7" t="s">
        <v>902</v>
      </c>
      <c r="B840" s="66" t="n">
        <v>820</v>
      </c>
      <c r="C840" s="8" t="s">
        <v>926</v>
      </c>
      <c r="D840" s="100" t="n">
        <v>41316</v>
      </c>
      <c r="E840" s="4" t="s">
        <v>904</v>
      </c>
      <c r="F840" s="7" t="n">
        <v>1564</v>
      </c>
      <c r="G840" s="68" t="n">
        <v>2</v>
      </c>
      <c r="H840" s="68" t="n">
        <v>181</v>
      </c>
      <c r="I840" s="7" t="n">
        <v>1</v>
      </c>
      <c r="J840" s="8" t="n">
        <v>551</v>
      </c>
      <c r="K840" s="31" t="n">
        <v>367.575137899573</v>
      </c>
      <c r="L840" s="31" t="n">
        <v>930.916104345027</v>
      </c>
      <c r="M840" s="31" t="n">
        <v>158.806348710147</v>
      </c>
      <c r="N840" s="31" t="n">
        <v>410.892947476362</v>
      </c>
      <c r="O840" s="31" t="n">
        <v>65.427684931426</v>
      </c>
      <c r="P840" s="31" t="n">
        <v>35.33627214063</v>
      </c>
      <c r="Q840" s="31"/>
      <c r="R840" s="31" t="n">
        <v>161.181559730489</v>
      </c>
      <c r="S840" s="34" t="s">
        <v>905</v>
      </c>
      <c r="T840" s="35" t="n">
        <v>11.5660287020853</v>
      </c>
      <c r="U840" s="35" t="n">
        <v>8.48213334863157</v>
      </c>
      <c r="V840" s="35" t="n">
        <v>20.0481620507169</v>
      </c>
      <c r="W840" s="35" t="n">
        <v>18.6631569155311</v>
      </c>
      <c r="X840" s="35" t="n">
        <v>3.18377541362367</v>
      </c>
      <c r="Y840" s="35" t="n">
        <v>8.2376483965028</v>
      </c>
      <c r="Z840" s="35" t="n">
        <v>1.31170483010847</v>
      </c>
      <c r="AA840" s="53" t="n">
        <v>0.708427310143581</v>
      </c>
      <c r="AB840" s="101"/>
      <c r="AC840" s="71" t="n">
        <v>3.23139402906415</v>
      </c>
      <c r="AD840" s="38" t="n">
        <v>6.15478574957007</v>
      </c>
      <c r="AE840" s="38" t="n">
        <v>5.39220779519834</v>
      </c>
      <c r="AF840" s="38" t="n">
        <v>1.11401622067218</v>
      </c>
      <c r="AG840" s="38" t="n">
        <v>3.79134802173517</v>
      </c>
      <c r="AH840" s="38" t="n">
        <v>1.3119016792942</v>
      </c>
      <c r="AI840" s="38"/>
      <c r="AJ840" s="102" t="s">
        <v>906</v>
      </c>
      <c r="AK840" s="103" t="n">
        <v>693</v>
      </c>
      <c r="AL840" s="103" t="n">
        <v>711</v>
      </c>
      <c r="AM840" s="103" t="n">
        <v>650</v>
      </c>
      <c r="AN840" s="103" t="n">
        <v>540</v>
      </c>
      <c r="AO840" s="104" t="n">
        <v>27.13</v>
      </c>
      <c r="AP840" s="105" t="n">
        <v>1.054</v>
      </c>
      <c r="AQ840" s="105" t="n">
        <v>0.996</v>
      </c>
      <c r="AR840" s="105" t="n">
        <v>1.231</v>
      </c>
      <c r="AS840" s="77" t="n">
        <v>26.662</v>
      </c>
      <c r="AT840" s="78" t="n">
        <v>27.2</v>
      </c>
      <c r="AU840" s="78" t="n">
        <v>38.85</v>
      </c>
      <c r="AV840" s="78" t="n">
        <v>36.73</v>
      </c>
      <c r="AW840" s="78" t="n">
        <v>45.37</v>
      </c>
      <c r="AX840" s="78" t="n">
        <v>18.2978723404255</v>
      </c>
      <c r="AY840" s="48" t="n">
        <v>1.35673284818782</v>
      </c>
      <c r="AZ840" s="48" t="n">
        <v>20.8548300052932</v>
      </c>
      <c r="BA840" s="48" t="n">
        <v>-0.806667954576355</v>
      </c>
      <c r="BB840" s="49" t="n">
        <f aca="false">AT840/V840</f>
        <v>1.35673284818782</v>
      </c>
      <c r="BC840" s="49" t="n">
        <f aca="false">AS840/V840</f>
        <v>1.32989747052881</v>
      </c>
      <c r="BD840" s="49" t="n">
        <f aca="false">SUM(AP840:AR840)/V840</f>
        <v>0.163655899812656</v>
      </c>
      <c r="BE840" s="53" t="n">
        <v>6.75</v>
      </c>
      <c r="BF840" s="51" t="n">
        <v>84.02</v>
      </c>
      <c r="BG840" s="51" t="n">
        <v>582.123303975244</v>
      </c>
      <c r="BH840" s="51" t="n">
        <v>224.827422042371</v>
      </c>
      <c r="BI840" s="51" t="n">
        <v>129.01690073792</v>
      </c>
      <c r="BJ840" s="51" t="n">
        <v>21.6615091644846</v>
      </c>
      <c r="BK840" s="51" t="n">
        <v>22.8517019757201</v>
      </c>
      <c r="BL840" s="51" t="n">
        <v>6.90311830516544</v>
      </c>
      <c r="BM840" s="51" t="n">
        <v>12.4970245179719</v>
      </c>
      <c r="BN840" s="52" t="n">
        <f aca="false">(BG840*0.5-BH840*0.25+BI840*0.5)/SUM(BG840:BI840)*1000</f>
        <v>319.843591047813</v>
      </c>
      <c r="BO840" s="93" t="n">
        <v>8.85561224489796</v>
      </c>
      <c r="BP840" s="94" t="s">
        <v>491</v>
      </c>
      <c r="BQ840" s="55" t="n">
        <v>383</v>
      </c>
      <c r="BR840" s="56" t="n">
        <v>19.1039956197035</v>
      </c>
      <c r="BS840" s="56" t="n">
        <v>28.8631725523604</v>
      </c>
      <c r="BT840" s="56" t="n">
        <v>14.0808823529412</v>
      </c>
      <c r="BU840" s="55" t="n">
        <v>10919</v>
      </c>
      <c r="BV840" s="55" t="n">
        <v>544.638454755985</v>
      </c>
      <c r="BW840" s="55" t="n">
        <v>822.864180415727</v>
      </c>
      <c r="BX840" s="55" t="n">
        <v>349</v>
      </c>
      <c r="BY840" s="106" t="n">
        <v>0.1428</v>
      </c>
      <c r="BZ840" s="106" t="n">
        <v>0.94</v>
      </c>
      <c r="CA840" s="106" t="n">
        <v>3.13</v>
      </c>
      <c r="CB840" s="81"/>
      <c r="CC840" s="106" t="n">
        <v>2.71</v>
      </c>
      <c r="CD840" s="106" t="n">
        <v>6.77</v>
      </c>
      <c r="CE840" s="106" t="n">
        <v>98.9</v>
      </c>
      <c r="CF840" s="106" t="n">
        <v>33.2</v>
      </c>
      <c r="CG840" s="106" t="n">
        <v>1.455</v>
      </c>
      <c r="CH840" s="63" t="n">
        <v>23787.3392076768</v>
      </c>
      <c r="CI840" s="63" t="n">
        <v>20906.5464803393</v>
      </c>
      <c r="CJ840" s="64" t="n">
        <v>1395119.97681116</v>
      </c>
      <c r="CK840" s="65" t="n">
        <v>1.4985482845802</v>
      </c>
    </row>
    <row r="841" customFormat="false" ht="15" hidden="false" customHeight="false" outlineLevel="0" collapsed="false">
      <c r="A841" s="7" t="s">
        <v>902</v>
      </c>
      <c r="B841" s="66" t="n">
        <v>821</v>
      </c>
      <c r="C841" s="8" t="s">
        <v>927</v>
      </c>
      <c r="D841" s="100" t="n">
        <v>41319</v>
      </c>
      <c r="E841" s="4" t="s">
        <v>904</v>
      </c>
      <c r="F841" s="7" t="n">
        <v>1565</v>
      </c>
      <c r="G841" s="68" t="n">
        <v>2</v>
      </c>
      <c r="H841" s="68" t="n">
        <v>147</v>
      </c>
      <c r="I841" s="7" t="n">
        <v>1</v>
      </c>
      <c r="J841" s="8" t="n">
        <v>603</v>
      </c>
      <c r="K841" s="31" t="n">
        <v>389.232237268954</v>
      </c>
      <c r="L841" s="31" t="n">
        <v>931.325342885178</v>
      </c>
      <c r="M841" s="31" t="n">
        <v>158.376786069044</v>
      </c>
      <c r="N841" s="31" t="n">
        <v>411.483601240361</v>
      </c>
      <c r="O841" s="31" t="n">
        <v>71.4895016796244</v>
      </c>
      <c r="P841" s="31" t="n">
        <v>35.1532671361517</v>
      </c>
      <c r="Q841" s="31"/>
      <c r="R841" s="31" t="n">
        <v>165.013094195196</v>
      </c>
      <c r="S841" s="34" t="s">
        <v>905</v>
      </c>
      <c r="T841" s="35" t="n">
        <v>10.1242153502596</v>
      </c>
      <c r="U841" s="35" t="n">
        <v>7.88032041388493</v>
      </c>
      <c r="V841" s="35" t="n">
        <v>18.0045357641445</v>
      </c>
      <c r="W841" s="35" t="n">
        <v>16.7680804440303</v>
      </c>
      <c r="X841" s="35" t="n">
        <v>2.85150050899037</v>
      </c>
      <c r="Y841" s="35" t="n">
        <v>7.40857121489105</v>
      </c>
      <c r="Z841" s="35" t="n">
        <v>1.28713528975167</v>
      </c>
      <c r="AA841" s="53" t="n">
        <v>0.632918255379369</v>
      </c>
      <c r="AB841" s="101"/>
      <c r="AC841" s="71" t="n">
        <v>2.97098415598955</v>
      </c>
      <c r="AD841" s="38" t="n">
        <v>4.75319744173415</v>
      </c>
      <c r="AE841" s="38" t="n">
        <v>4.11626898454177</v>
      </c>
      <c r="AF841" s="38" t="n">
        <v>0.903107513929488</v>
      </c>
      <c r="AG841" s="38" t="n">
        <v>2.78062050341448</v>
      </c>
      <c r="AH841" s="38" t="n">
        <v>1.28522034072993</v>
      </c>
      <c r="AI841" s="38"/>
      <c r="AJ841" s="102" t="s">
        <v>906</v>
      </c>
      <c r="AK841" s="103" t="n">
        <v>736</v>
      </c>
      <c r="AL841" s="103" t="n">
        <v>754</v>
      </c>
      <c r="AM841" s="103" t="n">
        <v>683</v>
      </c>
      <c r="AN841" s="103" t="n">
        <v>624</v>
      </c>
      <c r="AO841" s="104" t="n">
        <v>22.25</v>
      </c>
      <c r="AP841" s="105" t="n">
        <v>1.07</v>
      </c>
      <c r="AQ841" s="105" t="n">
        <v>0.796</v>
      </c>
      <c r="AR841" s="105" t="n">
        <v>1.085</v>
      </c>
      <c r="AS841" s="77" t="n">
        <v>24.95</v>
      </c>
      <c r="AT841" s="78" t="n">
        <v>25.05</v>
      </c>
      <c r="AU841" s="78" t="n">
        <v>48.08</v>
      </c>
      <c r="AV841" s="78" t="n">
        <v>35.79</v>
      </c>
      <c r="AW841" s="78" t="n">
        <v>48.79</v>
      </c>
      <c r="AX841" s="78" t="n">
        <v>17.2765957446809</v>
      </c>
      <c r="AY841" s="48" t="n">
        <v>1.39131607324674</v>
      </c>
      <c r="AZ841" s="48" t="n">
        <v>20.875873465304</v>
      </c>
      <c r="BA841" s="48" t="n">
        <v>-2.87133770115953</v>
      </c>
      <c r="BB841" s="49" t="n">
        <f aca="false">AT841/V841</f>
        <v>1.39131607324674</v>
      </c>
      <c r="BC841" s="49" t="n">
        <f aca="false">AS841/V841</f>
        <v>1.38576191726571</v>
      </c>
      <c r="BD841" s="49" t="n">
        <f aca="false">SUM(AP841:AR841)/V841</f>
        <v>0.163903143000045</v>
      </c>
      <c r="BE841" s="53" t="n">
        <v>6.4</v>
      </c>
      <c r="BF841" s="51" t="n">
        <v>74.74</v>
      </c>
      <c r="BG841" s="51" t="n">
        <v>645.036125234145</v>
      </c>
      <c r="BH841" s="51" t="n">
        <v>155.873695477656</v>
      </c>
      <c r="BI841" s="51" t="n">
        <v>139.95183302114</v>
      </c>
      <c r="BJ841" s="51" t="n">
        <v>21.6751404870217</v>
      </c>
      <c r="BK841" s="51" t="n">
        <v>18.7316028900187</v>
      </c>
      <c r="BL841" s="51" t="n">
        <v>5.75327803050575</v>
      </c>
      <c r="BM841" s="51" t="n">
        <v>12.978324859513</v>
      </c>
      <c r="BN841" s="52" t="n">
        <f aca="false">(BG841*0.5-BH841*0.25+BI841*0.5)/SUM(BG841:BI841)*1000</f>
        <v>375.746587030717</v>
      </c>
      <c r="BO841" s="93" t="n">
        <v>5.66377551020408</v>
      </c>
      <c r="BP841" s="94" t="s">
        <v>491</v>
      </c>
      <c r="BQ841" s="55" t="n">
        <v>461</v>
      </c>
      <c r="BR841" s="56" t="n">
        <v>25.6046590725248</v>
      </c>
      <c r="BS841" s="56" t="n">
        <v>36.4624822492091</v>
      </c>
      <c r="BT841" s="56" t="n">
        <v>18.4031936127745</v>
      </c>
      <c r="BU841" s="55" t="n">
        <v>11874</v>
      </c>
      <c r="BV841" s="55" t="n">
        <v>659.500481186897</v>
      </c>
      <c r="BW841" s="55" t="n">
        <v>939.165974462276</v>
      </c>
      <c r="BX841" s="55" t="n">
        <v>479</v>
      </c>
      <c r="BY841" s="106" t="n">
        <v>0.2652</v>
      </c>
      <c r="BZ841" s="106" t="n">
        <v>0.91</v>
      </c>
      <c r="CA841" s="106" t="n">
        <v>4.18</v>
      </c>
      <c r="CB841" s="81"/>
      <c r="CC841" s="106" t="n">
        <v>2.99</v>
      </c>
      <c r="CD841" s="106" t="n">
        <v>7.95</v>
      </c>
      <c r="CE841" s="106" t="n">
        <v>113.3</v>
      </c>
      <c r="CF841" s="106" t="n">
        <v>37</v>
      </c>
      <c r="CG841" s="106" t="n">
        <v>0.2789</v>
      </c>
      <c r="CH841" s="63" t="n">
        <v>117314.954170668</v>
      </c>
      <c r="CI841" s="63" t="n">
        <v>10588.7508274857</v>
      </c>
      <c r="CJ841" s="64" t="n">
        <v>411060.828704408</v>
      </c>
      <c r="CK841" s="65" t="n">
        <v>2.57595715477428</v>
      </c>
    </row>
    <row r="842" customFormat="false" ht="15" hidden="false" customHeight="false" outlineLevel="0" collapsed="false">
      <c r="A842" s="7" t="s">
        <v>902</v>
      </c>
      <c r="B842" s="66" t="n">
        <v>822</v>
      </c>
      <c r="C842" s="8" t="s">
        <v>928</v>
      </c>
      <c r="D842" s="100" t="n">
        <v>41319</v>
      </c>
      <c r="E842" s="4" t="s">
        <v>904</v>
      </c>
      <c r="F842" s="7" t="n">
        <v>1568</v>
      </c>
      <c r="G842" s="68" t="n">
        <v>2</v>
      </c>
      <c r="H842" s="68" t="n">
        <v>120</v>
      </c>
      <c r="I842" s="7" t="n">
        <v>1</v>
      </c>
      <c r="J842" s="8" t="n">
        <v>519</v>
      </c>
      <c r="K842" s="31" t="n">
        <v>396.392369061645</v>
      </c>
      <c r="L842" s="31" t="n">
        <v>931.1945098296</v>
      </c>
      <c r="M842" s="31" t="n">
        <v>161.059170832018</v>
      </c>
      <c r="N842" s="31" t="n">
        <v>399.333216046008</v>
      </c>
      <c r="O842" s="31" t="n">
        <v>65.5354525936426</v>
      </c>
      <c r="P842" s="31" t="n">
        <v>36.6654837627469</v>
      </c>
      <c r="Q842" s="31"/>
      <c r="R842" s="31" t="n">
        <v>169.372624170136</v>
      </c>
      <c r="S842" s="34" t="s">
        <v>905</v>
      </c>
      <c r="T842" s="35" t="n">
        <v>8.73156278642579</v>
      </c>
      <c r="U842" s="35" t="n">
        <v>7.30409789860853</v>
      </c>
      <c r="V842" s="35" t="n">
        <v>16.0356606850343</v>
      </c>
      <c r="W842" s="35" t="n">
        <v>14.9323191913943</v>
      </c>
      <c r="X842" s="35" t="n">
        <v>2.58269021367522</v>
      </c>
      <c r="Y842" s="35" t="n">
        <v>6.40357195277728</v>
      </c>
      <c r="Z842" s="35" t="n">
        <v>1.05090428063181</v>
      </c>
      <c r="AA842" s="53" t="n">
        <v>0.587955256472045</v>
      </c>
      <c r="AB842" s="101"/>
      <c r="AC842" s="71" t="n">
        <v>2.71600193052614</v>
      </c>
      <c r="AD842" s="38" t="n">
        <v>4.42584234906947</v>
      </c>
      <c r="AE842" s="38" t="n">
        <v>3.9082400863458</v>
      </c>
      <c r="AF842" s="38" t="n">
        <v>0.885168469813895</v>
      </c>
      <c r="AG842" s="38" t="n">
        <v>2.28816049446892</v>
      </c>
      <c r="AH842" s="38" t="n">
        <v>1.05246063249336</v>
      </c>
      <c r="AI842" s="38"/>
      <c r="AJ842" s="102" t="s">
        <v>906</v>
      </c>
      <c r="AK842" s="103" t="n">
        <v>724</v>
      </c>
      <c r="AL842" s="103" t="n">
        <v>739</v>
      </c>
      <c r="AM842" s="103" t="n">
        <v>658</v>
      </c>
      <c r="AN842" s="103" t="n">
        <v>643</v>
      </c>
      <c r="AO842" s="104" t="n">
        <v>31.49</v>
      </c>
      <c r="AP842" s="105" t="n">
        <v>1.258</v>
      </c>
      <c r="AQ842" s="105" t="n">
        <v>1.075</v>
      </c>
      <c r="AR842" s="105" t="n">
        <v>1.543</v>
      </c>
      <c r="AS842" s="77" t="n">
        <v>31.466</v>
      </c>
      <c r="AT842" s="78" t="n">
        <v>31.96</v>
      </c>
      <c r="AU842" s="78" t="n">
        <v>39.95</v>
      </c>
      <c r="AV842" s="78" t="n">
        <v>34.12</v>
      </c>
      <c r="AW842" s="78" t="n">
        <v>49.01</v>
      </c>
      <c r="AX842" s="78" t="n">
        <v>19.7872340425532</v>
      </c>
      <c r="AY842" s="48" t="n">
        <v>1.9930578869025</v>
      </c>
      <c r="AZ842" s="48" t="n">
        <v>21.8222694799436</v>
      </c>
      <c r="BA842" s="48" t="n">
        <v>-5.78660879490926</v>
      </c>
      <c r="BB842" s="49" t="n">
        <f aca="false">AT842/V842</f>
        <v>1.9930578869025</v>
      </c>
      <c r="BC842" s="49" t="n">
        <f aca="false">AS842/V842</f>
        <v>1.96225154784963</v>
      </c>
      <c r="BD842" s="49" t="n">
        <f aca="false">SUM(AP842:AR842)/V842</f>
        <v>0.241711275645622</v>
      </c>
      <c r="BE842" s="53" t="n">
        <v>6.63</v>
      </c>
      <c r="BF842" s="51" t="n">
        <v>130.12</v>
      </c>
      <c r="BG842" s="51" t="n">
        <v>709.191515524132</v>
      </c>
      <c r="BH842" s="51" t="n">
        <v>143.329234552721</v>
      </c>
      <c r="BI842" s="51" t="n">
        <v>99.1392560713188</v>
      </c>
      <c r="BJ842" s="51" t="n">
        <v>18.3676606209653</v>
      </c>
      <c r="BK842" s="51" t="n">
        <v>14.1407931140486</v>
      </c>
      <c r="BL842" s="51" t="n">
        <v>4.99538887181064</v>
      </c>
      <c r="BM842" s="51" t="n">
        <v>10.8361512450046</v>
      </c>
      <c r="BN842" s="52" t="n">
        <f aca="false">(BG842*0.5-BH842*0.25+BI842*0.5)/SUM(BG842:BI842)*1000</f>
        <v>387.04271985787</v>
      </c>
      <c r="BO842" s="93" t="n">
        <v>1.42244897959184</v>
      </c>
      <c r="BP842" s="94" t="s">
        <v>491</v>
      </c>
      <c r="BQ842" s="55" t="n">
        <v>404</v>
      </c>
      <c r="BR842" s="56" t="n">
        <v>25.1938481323095</v>
      </c>
      <c r="BS842" s="56" t="n">
        <v>36.6108373427597</v>
      </c>
      <c r="BT842" s="56" t="n">
        <v>12.6408010012516</v>
      </c>
      <c r="BU842" s="55" t="n">
        <v>11218</v>
      </c>
      <c r="BV842" s="55" t="n">
        <v>699.565812743187</v>
      </c>
      <c r="BW842" s="55" t="n">
        <v>1016.58508245316</v>
      </c>
      <c r="BX842" s="55" t="n">
        <v>324</v>
      </c>
      <c r="BY842" s="106" t="n">
        <v>0.1938</v>
      </c>
      <c r="BZ842" s="106" t="n">
        <v>1.02</v>
      </c>
      <c r="CA842" s="106" t="n">
        <v>3.5</v>
      </c>
      <c r="CB842" s="81"/>
      <c r="CC842" s="106" t="n">
        <v>3.12</v>
      </c>
      <c r="CD842" s="106" t="n">
        <v>7.04</v>
      </c>
      <c r="CE842" s="106" t="n">
        <v>99.9</v>
      </c>
      <c r="CF842" s="106" t="n">
        <v>40</v>
      </c>
      <c r="CG842" s="106" t="n">
        <v>0.1459</v>
      </c>
      <c r="CH842" s="63" t="n">
        <v>36787.7790883941</v>
      </c>
      <c r="CI842" s="63" t="n">
        <v>16755.2832514146</v>
      </c>
      <c r="CJ842" s="64" t="n">
        <v>423509.816285146</v>
      </c>
      <c r="CK842" s="65" t="n">
        <v>3.95629159162945</v>
      </c>
    </row>
    <row r="843" customFormat="false" ht="15" hidden="false" customHeight="false" outlineLevel="0" collapsed="false">
      <c r="A843" s="7" t="s">
        <v>902</v>
      </c>
      <c r="B843" s="66" t="n">
        <v>823</v>
      </c>
      <c r="C843" s="8" t="s">
        <v>929</v>
      </c>
      <c r="D843" s="100" t="n">
        <v>41317</v>
      </c>
      <c r="E843" s="4" t="s">
        <v>904</v>
      </c>
      <c r="F843" s="7" t="n">
        <v>1577</v>
      </c>
      <c r="G843" s="68" t="n">
        <v>2</v>
      </c>
      <c r="H843" s="68" t="n">
        <v>114</v>
      </c>
      <c r="I843" s="7" t="n">
        <v>1</v>
      </c>
      <c r="J843" s="8" t="n">
        <v>522</v>
      </c>
      <c r="K843" s="31" t="n">
        <v>403.6969378925</v>
      </c>
      <c r="L843" s="31" t="n">
        <v>931.481903033638</v>
      </c>
      <c r="M843" s="31" t="n">
        <v>159.736284745839</v>
      </c>
      <c r="N843" s="31" t="n">
        <v>404.891836528489</v>
      </c>
      <c r="O843" s="31" t="n">
        <v>71.055749611427</v>
      </c>
      <c r="P843" s="31" t="n">
        <v>35.9254064984296</v>
      </c>
      <c r="Q843" s="31"/>
      <c r="R843" s="31" t="n">
        <v>169.280078816467</v>
      </c>
      <c r="S843" s="34" t="s">
        <v>905</v>
      </c>
      <c r="T843" s="35" t="n">
        <v>8.50498974364097</v>
      </c>
      <c r="U843" s="35" t="n">
        <v>7.0933537680087</v>
      </c>
      <c r="V843" s="35" t="n">
        <v>15.5983435116497</v>
      </c>
      <c r="W843" s="35" t="n">
        <v>14.5295746984038</v>
      </c>
      <c r="X843" s="35" t="n">
        <v>2.49162144074028</v>
      </c>
      <c r="Y843" s="35" t="n">
        <v>6.31564195123407</v>
      </c>
      <c r="Z843" s="35" t="n">
        <v>1.10835199091681</v>
      </c>
      <c r="AA843" s="53" t="n">
        <v>0.560376831358157</v>
      </c>
      <c r="AB843" s="101"/>
      <c r="AC843" s="71" t="n">
        <v>2.64048881905839</v>
      </c>
      <c r="AD843" s="38" t="n">
        <v>4.36753618326191</v>
      </c>
      <c r="AE843" s="38" t="n">
        <v>3.85806308748441</v>
      </c>
      <c r="AF843" s="38" t="n">
        <v>0.786156512987144</v>
      </c>
      <c r="AG843" s="38" t="n">
        <v>2.37593968369448</v>
      </c>
      <c r="AH843" s="38" t="n">
        <v>1.10715459450577</v>
      </c>
      <c r="AI843" s="38"/>
      <c r="AJ843" s="102" t="s">
        <v>906</v>
      </c>
      <c r="AK843" s="103" t="n">
        <v>720</v>
      </c>
      <c r="AL843" s="103" t="n">
        <v>734</v>
      </c>
      <c r="AM843" s="103" t="n">
        <v>684</v>
      </c>
      <c r="AN843" s="103" t="n">
        <v>623</v>
      </c>
      <c r="AO843" s="104" t="n">
        <v>23.24</v>
      </c>
      <c r="AP843" s="105" t="n">
        <v>1.014</v>
      </c>
      <c r="AQ843" s="105" t="n">
        <v>0.837</v>
      </c>
      <c r="AR843" s="105" t="n">
        <v>1.113</v>
      </c>
      <c r="AS843" s="77" t="n">
        <v>24.506</v>
      </c>
      <c r="AT843" s="78" t="n">
        <v>24.83</v>
      </c>
      <c r="AU843" s="78" t="n">
        <v>43.63</v>
      </c>
      <c r="AV843" s="78" t="n">
        <v>36</v>
      </c>
      <c r="AW843" s="78" t="n">
        <v>47.9</v>
      </c>
      <c r="AX843" s="78" t="n">
        <v>17.7021276595745</v>
      </c>
      <c r="AY843" s="48" t="n">
        <v>1.59183569597987</v>
      </c>
      <c r="AZ843" s="48" t="n">
        <v>19.2607587752279</v>
      </c>
      <c r="BA843" s="48" t="n">
        <v>-3.66241526357818</v>
      </c>
      <c r="BB843" s="49" t="n">
        <f aca="false">AT843/V843</f>
        <v>1.59183569597987</v>
      </c>
      <c r="BC843" s="49" t="n">
        <f aca="false">AS843/V843</f>
        <v>1.57106425959254</v>
      </c>
      <c r="BD843" s="49" t="n">
        <f aca="false">SUM(AP843:AR843)/V843</f>
        <v>0.190020177321158</v>
      </c>
      <c r="BE843" s="53" t="n">
        <v>6.42</v>
      </c>
      <c r="BF843" s="51" t="n">
        <v>80.68</v>
      </c>
      <c r="BG843" s="51" t="n">
        <v>624.814080317303</v>
      </c>
      <c r="BH843" s="51" t="n">
        <v>183.68864650471</v>
      </c>
      <c r="BI843" s="51" t="n">
        <v>149.60337134358</v>
      </c>
      <c r="BJ843" s="51" t="n">
        <v>8.80019831432821</v>
      </c>
      <c r="BK843" s="51" t="n">
        <v>20.9469509172038</v>
      </c>
      <c r="BL843" s="51" t="n">
        <v>2.2310361923649</v>
      </c>
      <c r="BM843" s="51" t="n">
        <v>9.91571641051066</v>
      </c>
      <c r="BN843" s="52" t="n">
        <f aca="false">(BG843*0.5-BH843*0.25+BI843*0.5)/SUM(BG843:BI843)*1000</f>
        <v>356.20957309185</v>
      </c>
      <c r="BO843" s="93" t="n">
        <v>5.86326530612245</v>
      </c>
      <c r="BP843" s="94" t="s">
        <v>491</v>
      </c>
      <c r="BQ843" s="55" t="n">
        <v>388</v>
      </c>
      <c r="BR843" s="56" t="n">
        <v>24.874436167547</v>
      </c>
      <c r="BS843" s="56" t="n">
        <v>36.3816811707162</v>
      </c>
      <c r="BT843" s="56" t="n">
        <v>15.6262585581957</v>
      </c>
      <c r="BU843" s="55" t="n">
        <v>10455</v>
      </c>
      <c r="BV843" s="55" t="n">
        <v>670.263479720885</v>
      </c>
      <c r="BW843" s="55" t="n">
        <v>980.336279999582</v>
      </c>
      <c r="BX843" s="55" t="n">
        <v>410</v>
      </c>
      <c r="BY843" s="106" t="n">
        <v>0.1836</v>
      </c>
      <c r="BZ843" s="106" t="n">
        <v>1.21</v>
      </c>
      <c r="CA843" s="106" t="n">
        <v>3.13</v>
      </c>
      <c r="CB843" s="81"/>
      <c r="CC843" s="106" t="n">
        <v>3.47</v>
      </c>
      <c r="CD843" s="106" t="n">
        <v>6.04</v>
      </c>
      <c r="CE843" s="106" t="n">
        <v>97.9</v>
      </c>
      <c r="CF843" s="106" t="n">
        <v>38.1</v>
      </c>
      <c r="CG843" s="106" t="n">
        <v>0.254</v>
      </c>
      <c r="CH843" s="63"/>
      <c r="CI843" s="63"/>
      <c r="CJ843" s="64"/>
      <c r="CK843" s="65"/>
    </row>
    <row r="844" customFormat="false" ht="15" hidden="false" customHeight="false" outlineLevel="0" collapsed="false">
      <c r="A844" s="7" t="s">
        <v>902</v>
      </c>
      <c r="B844" s="66" t="n">
        <v>824</v>
      </c>
      <c r="C844" s="8" t="s">
        <v>930</v>
      </c>
      <c r="D844" s="107" t="n">
        <v>41375</v>
      </c>
      <c r="E844" s="4" t="s">
        <v>904</v>
      </c>
      <c r="F844" s="7" t="n">
        <v>1360</v>
      </c>
      <c r="G844" s="68" t="n">
        <v>2</v>
      </c>
      <c r="H844" s="68" t="n">
        <v>116</v>
      </c>
      <c r="I844" s="7" t="n">
        <v>5</v>
      </c>
      <c r="J844" s="8" t="n">
        <v>622</v>
      </c>
      <c r="K844" s="31" t="n">
        <v>532.459164269409</v>
      </c>
      <c r="L844" s="31" t="n">
        <v>920.542174061839</v>
      </c>
      <c r="M844" s="31" t="n">
        <v>180.31877603068</v>
      </c>
      <c r="N844" s="31" t="n">
        <v>364.148023954126</v>
      </c>
      <c r="O844" s="31" t="n">
        <v>76.7136340418048</v>
      </c>
      <c r="P844" s="31" t="n">
        <v>44.2814807425549</v>
      </c>
      <c r="Q844" s="31"/>
      <c r="R844" s="31" t="n">
        <v>210.585817256731</v>
      </c>
      <c r="S844" s="34" t="s">
        <v>905</v>
      </c>
      <c r="T844" s="35" t="n">
        <v>6.959240558413</v>
      </c>
      <c r="U844" s="35" t="n">
        <v>10.0548593482916</v>
      </c>
      <c r="V844" s="35" t="n">
        <v>17.0140999067046</v>
      </c>
      <c r="W844" s="35" t="n">
        <v>15.6621965178232</v>
      </c>
      <c r="X844" s="35" t="n">
        <v>3.06796167044068</v>
      </c>
      <c r="Y844" s="35" t="n">
        <v>6.19565086038456</v>
      </c>
      <c r="Z844" s="35" t="n">
        <v>1.30521343379364</v>
      </c>
      <c r="AA844" s="53" t="n">
        <v>0.753409537370645</v>
      </c>
      <c r="AB844" s="101"/>
      <c r="AC844" s="71" t="n">
        <v>3.58292813374106</v>
      </c>
      <c r="AD844" s="38" t="n">
        <v>4.95110307285104</v>
      </c>
      <c r="AE844" s="38" t="n">
        <v>4.30201346000027</v>
      </c>
      <c r="AF844" s="38" t="n">
        <v>0.965465099205953</v>
      </c>
      <c r="AG844" s="38" t="n">
        <v>2.61418242246535</v>
      </c>
      <c r="AH844" s="38" t="n">
        <v>1.30717377582752</v>
      </c>
      <c r="AI844" s="38"/>
      <c r="AJ844" s="102" t="s">
        <v>906</v>
      </c>
      <c r="AK844" s="103" t="n">
        <v>709</v>
      </c>
      <c r="AL844" s="103" t="n">
        <v>726</v>
      </c>
      <c r="AM844" s="103" t="n">
        <v>686</v>
      </c>
      <c r="AN844" s="103" t="n">
        <v>579</v>
      </c>
      <c r="AO844" s="104" t="n">
        <v>18.36</v>
      </c>
      <c r="AP844" s="105" t="n">
        <v>0.849</v>
      </c>
      <c r="AQ844" s="105" t="n">
        <v>0.664</v>
      </c>
      <c r="AR844" s="105" t="n">
        <v>0.899</v>
      </c>
      <c r="AS844" s="77" t="n">
        <v>20.079</v>
      </c>
      <c r="AT844" s="78" t="n">
        <v>20.32</v>
      </c>
      <c r="AU844" s="78" t="n">
        <v>46.22</v>
      </c>
      <c r="AV844" s="78" t="n">
        <v>36.14</v>
      </c>
      <c r="AW844" s="78" t="n">
        <v>48.98</v>
      </c>
      <c r="AX844" s="78" t="n">
        <v>23.3404255319149</v>
      </c>
      <c r="AY844" s="48" t="n">
        <v>1.19430355478239</v>
      </c>
      <c r="AZ844" s="48" t="n">
        <v>19.125131968575</v>
      </c>
      <c r="BA844" s="48" t="n">
        <v>-2.11103206187039</v>
      </c>
      <c r="BB844" s="49" t="n">
        <f aca="false">AT844/V844</f>
        <v>1.19430355478239</v>
      </c>
      <c r="BC844" s="49" t="n">
        <f aca="false">AS844/V844</f>
        <v>1.18013883250372</v>
      </c>
      <c r="BD844" s="49" t="n">
        <f aca="false">SUM(AP844:AR844)/V844</f>
        <v>0.141764772349169</v>
      </c>
      <c r="BE844" s="53" t="n">
        <v>6.23</v>
      </c>
      <c r="BF844" s="51" t="n">
        <v>96.46</v>
      </c>
      <c r="BG844" s="51" t="n">
        <v>644.515861496994</v>
      </c>
      <c r="BH844" s="51" t="n">
        <v>227.037113829567</v>
      </c>
      <c r="BI844" s="51" t="n">
        <v>96.3093510263322</v>
      </c>
      <c r="BJ844" s="51" t="n">
        <v>9.12295251917893</v>
      </c>
      <c r="BK844" s="51" t="n">
        <v>12.6477296288617</v>
      </c>
      <c r="BL844" s="51" t="n">
        <v>4.56147625958947</v>
      </c>
      <c r="BM844" s="51" t="n">
        <v>5.70184532448683</v>
      </c>
      <c r="BN844" s="52" t="n">
        <f aca="false">(BG844*0.5-BH844*0.25+BI844*0.5)/SUM(BG844:BI844)*1000</f>
        <v>324.068123393316</v>
      </c>
      <c r="BO844" s="93" t="n">
        <v>5.21275510204082</v>
      </c>
      <c r="BP844" s="94" t="s">
        <v>491</v>
      </c>
      <c r="BQ844" s="55" t="n">
        <v>458.582783267641</v>
      </c>
      <c r="BR844" s="56" t="n">
        <v>26.9531027666607</v>
      </c>
      <c r="BS844" s="56" t="n">
        <v>40.3300217530254</v>
      </c>
      <c r="BT844" s="56" t="n">
        <v>22.5680503576595</v>
      </c>
      <c r="BU844" s="55" t="n">
        <v>13523.5702751254</v>
      </c>
      <c r="BV844" s="55" t="n">
        <v>794.844884494668</v>
      </c>
      <c r="BW844" s="55" t="n">
        <v>1189.32917517765</v>
      </c>
      <c r="BX844" s="55" t="n">
        <v>665</v>
      </c>
      <c r="BY844" s="106" t="n">
        <v>0.2244</v>
      </c>
      <c r="BZ844" s="106" t="n">
        <v>0.71</v>
      </c>
      <c r="CA844" s="106" t="n">
        <v>4.5</v>
      </c>
      <c r="CB844" s="81"/>
      <c r="CC844" s="106" t="n">
        <v>3.72</v>
      </c>
      <c r="CD844" s="106" t="n">
        <v>4.48</v>
      </c>
      <c r="CE844" s="106" t="n">
        <v>92.7</v>
      </c>
      <c r="CF844" s="106" t="n">
        <v>38</v>
      </c>
      <c r="CG844" s="106" t="n">
        <v>0.1542</v>
      </c>
      <c r="CH844" s="63"/>
      <c r="CI844" s="63"/>
      <c r="CJ844" s="64"/>
      <c r="CK844" s="65"/>
    </row>
    <row r="845" customFormat="false" ht="15" hidden="false" customHeight="false" outlineLevel="0" collapsed="false">
      <c r="A845" s="7" t="s">
        <v>902</v>
      </c>
      <c r="B845" s="66" t="n">
        <v>825</v>
      </c>
      <c r="C845" s="8" t="s">
        <v>931</v>
      </c>
      <c r="D845" s="107" t="n">
        <v>41374</v>
      </c>
      <c r="E845" s="4" t="s">
        <v>904</v>
      </c>
      <c r="F845" s="7" t="n">
        <v>1367</v>
      </c>
      <c r="G845" s="68" t="n">
        <v>2</v>
      </c>
      <c r="H845" s="68" t="n">
        <v>118</v>
      </c>
      <c r="I845" s="7" t="n">
        <v>4</v>
      </c>
      <c r="J845" s="8" t="n">
        <v>600</v>
      </c>
      <c r="K845" s="31" t="n">
        <v>526.5976792616</v>
      </c>
      <c r="L845" s="31" t="n">
        <v>920.322821182628</v>
      </c>
      <c r="M845" s="31" t="n">
        <v>179.743095902593</v>
      </c>
      <c r="N845" s="31" t="n">
        <v>366.866059124959</v>
      </c>
      <c r="O845" s="31" t="n">
        <v>76.9440632715977</v>
      </c>
      <c r="P845" s="31" t="n">
        <v>43.9488833977271</v>
      </c>
      <c r="Q845" s="31"/>
      <c r="R845" s="31" t="n">
        <v>208.906584822833</v>
      </c>
      <c r="S845" s="34" t="s">
        <v>905</v>
      </c>
      <c r="T845" s="35" t="n">
        <v>9.00904860326926</v>
      </c>
      <c r="U845" s="35" t="n">
        <v>12.6394174503578</v>
      </c>
      <c r="V845" s="35" t="n">
        <v>21.6484660536271</v>
      </c>
      <c r="W845" s="35" t="n">
        <v>19.9235773527504</v>
      </c>
      <c r="X845" s="35" t="n">
        <v>3.89116231002111</v>
      </c>
      <c r="Y845" s="35" t="n">
        <v>7.94208742719462</v>
      </c>
      <c r="Z845" s="35" t="n">
        <v>1.66572094176332</v>
      </c>
      <c r="AA845" s="53" t="n">
        <v>0.951425910330509</v>
      </c>
      <c r="AB845" s="101"/>
      <c r="AC845" s="71" t="n">
        <v>4.52250710991627</v>
      </c>
      <c r="AD845" s="38" t="n">
        <v>6.64607907846351</v>
      </c>
      <c r="AE845" s="38" t="n">
        <v>5.77079046382987</v>
      </c>
      <c r="AF845" s="38" t="n">
        <v>1.24946286675114</v>
      </c>
      <c r="AG845" s="38" t="n">
        <v>3.89460233997962</v>
      </c>
      <c r="AH845" s="38" t="n">
        <v>1.66418862229926</v>
      </c>
      <c r="AI845" s="38"/>
      <c r="AJ845" s="102" t="s">
        <v>906</v>
      </c>
      <c r="AK845" s="103" t="n">
        <v>693</v>
      </c>
      <c r="AL845" s="103" t="n">
        <v>710</v>
      </c>
      <c r="AM845" s="103" t="n">
        <v>679</v>
      </c>
      <c r="AN845" s="103" t="n">
        <v>509</v>
      </c>
      <c r="AO845" s="104" t="n">
        <v>31.95</v>
      </c>
      <c r="AP845" s="105" t="n">
        <v>1.273</v>
      </c>
      <c r="AQ845" s="105" t="n">
        <v>1</v>
      </c>
      <c r="AR845" s="105" t="n">
        <v>1.421</v>
      </c>
      <c r="AS845" s="77" t="n">
        <v>31.875</v>
      </c>
      <c r="AT845" s="78" t="n">
        <v>30.92</v>
      </c>
      <c r="AU845" s="78" t="n">
        <v>39.83</v>
      </c>
      <c r="AV845" s="78" t="n">
        <v>31.29</v>
      </c>
      <c r="AW845" s="78" t="n">
        <v>44.46</v>
      </c>
      <c r="AX845" s="78" t="n">
        <v>20.8085106382979</v>
      </c>
      <c r="AY845" s="48" t="n">
        <v>1.42827671593016</v>
      </c>
      <c r="AZ845" s="48" t="n">
        <v>23.1343745580449</v>
      </c>
      <c r="BA845" s="48" t="n">
        <v>-1.4859085044178</v>
      </c>
      <c r="BB845" s="49" t="n">
        <f aca="false">AT845/V845</f>
        <v>1.42827671593016</v>
      </c>
      <c r="BC845" s="49" t="n">
        <f aca="false">AS845/V845</f>
        <v>1.47239069599851</v>
      </c>
      <c r="BD845" s="49" t="n">
        <f aca="false">SUM(AP845:AR845)/V845</f>
        <v>0.170635646463325</v>
      </c>
      <c r="BE845" s="53" t="n">
        <v>6.68</v>
      </c>
      <c r="BF845" s="51" t="n">
        <v>80.12</v>
      </c>
      <c r="BG845" s="51" t="n">
        <v>644.408387418872</v>
      </c>
      <c r="BH845" s="51" t="n">
        <v>186.844732900649</v>
      </c>
      <c r="BI845" s="51" t="n">
        <v>126.185721417873</v>
      </c>
      <c r="BJ845" s="51" t="n">
        <v>7.2391412880679</v>
      </c>
      <c r="BK845" s="51" t="n">
        <v>16.9745381927109</v>
      </c>
      <c r="BL845" s="51" t="n">
        <v>3.61957064403395</v>
      </c>
      <c r="BM845" s="51" t="n">
        <v>14.6030953569646</v>
      </c>
      <c r="BN845" s="52" t="n">
        <f aca="false">(BG845*0.5-BH845*0.25+BI845*0.5)/SUM(BG845:BI845)*1000</f>
        <v>353.63707469691</v>
      </c>
      <c r="BO845" s="93" t="n">
        <v>3.40867346938775</v>
      </c>
      <c r="BP845" s="94" t="s">
        <v>491</v>
      </c>
      <c r="BQ845" s="55"/>
      <c r="BR845" s="56"/>
      <c r="BS845" s="56"/>
      <c r="BT845" s="56"/>
      <c r="BU845" s="55"/>
      <c r="BV845" s="55"/>
      <c r="BW845" s="55"/>
      <c r="BX845" s="55"/>
      <c r="BY845" s="106" t="n">
        <v>0.3876</v>
      </c>
      <c r="BZ845" s="106" t="n">
        <v>0.75</v>
      </c>
      <c r="CA845" s="106" t="n">
        <v>4.68</v>
      </c>
      <c r="CB845" s="81"/>
      <c r="CC845" s="106" t="n">
        <v>3.03</v>
      </c>
      <c r="CD845" s="106" t="n">
        <v>6.55</v>
      </c>
      <c r="CE845" s="106" t="n">
        <v>86.5</v>
      </c>
      <c r="CF845" s="106" t="n">
        <v>36.6</v>
      </c>
      <c r="CG845" s="106" t="n">
        <v>0.4163</v>
      </c>
      <c r="CH845" s="63"/>
      <c r="CI845" s="63"/>
      <c r="CJ845" s="64"/>
      <c r="CK845" s="65"/>
    </row>
    <row r="846" customFormat="false" ht="15" hidden="false" customHeight="false" outlineLevel="0" collapsed="false">
      <c r="A846" s="7" t="s">
        <v>902</v>
      </c>
      <c r="B846" s="66" t="n">
        <v>826</v>
      </c>
      <c r="C846" s="8" t="s">
        <v>932</v>
      </c>
      <c r="D846" s="107" t="n">
        <v>41373</v>
      </c>
      <c r="E846" s="4" t="s">
        <v>904</v>
      </c>
      <c r="F846" s="7" t="n">
        <v>1379</v>
      </c>
      <c r="G846" s="68" t="n">
        <v>2</v>
      </c>
      <c r="H846" s="68" t="n">
        <v>105</v>
      </c>
      <c r="I846" s="7" t="n">
        <v>4</v>
      </c>
      <c r="J846" s="8" t="n">
        <v>714</v>
      </c>
      <c r="K846" s="31" t="n">
        <v>528.625714267075</v>
      </c>
      <c r="L846" s="31" t="n">
        <v>924.440206936758</v>
      </c>
      <c r="M846" s="31" t="n">
        <v>188.050499985364</v>
      </c>
      <c r="N846" s="31" t="n">
        <v>365.103040632626</v>
      </c>
      <c r="O846" s="31" t="n">
        <v>76.8133933490275</v>
      </c>
      <c r="P846" s="31" t="n">
        <v>46.8646518810178</v>
      </c>
      <c r="Q846" s="31"/>
      <c r="R846" s="31" t="n">
        <v>192.862642317569</v>
      </c>
      <c r="S846" s="34" t="s">
        <v>905</v>
      </c>
      <c r="T846" s="35" t="n">
        <v>10.8847682619137</v>
      </c>
      <c r="U846" s="35" t="n">
        <v>15.7277011555921</v>
      </c>
      <c r="V846" s="35" t="n">
        <v>26.6124694175057</v>
      </c>
      <c r="W846" s="35" t="n">
        <v>24.6016367354171</v>
      </c>
      <c r="X846" s="35" t="n">
        <v>5.00448817980716</v>
      </c>
      <c r="Y846" s="35" t="n">
        <v>9.71629350307413</v>
      </c>
      <c r="Z846" s="35" t="n">
        <v>2.04419408135583</v>
      </c>
      <c r="AA846" s="53" t="n">
        <v>1.24718411494564</v>
      </c>
      <c r="AB846" s="101"/>
      <c r="AC846" s="71" t="n">
        <v>5.13255117045565</v>
      </c>
      <c r="AD846" s="38" t="n">
        <v>7.93051588641671</v>
      </c>
      <c r="AE846" s="38" t="n">
        <v>7.02128224003904</v>
      </c>
      <c r="AF846" s="38" t="n">
        <v>1.51472853430559</v>
      </c>
      <c r="AG846" s="38" t="n">
        <v>4.25868703100577</v>
      </c>
      <c r="AH846" s="38" t="n">
        <v>2.04224806020369</v>
      </c>
      <c r="AI846" s="38"/>
      <c r="AJ846" s="102" t="s">
        <v>906</v>
      </c>
      <c r="AK846" s="103" t="n">
        <v>702</v>
      </c>
      <c r="AL846" s="103" t="n">
        <v>714</v>
      </c>
      <c r="AM846" s="103" t="n">
        <v>697</v>
      </c>
      <c r="AN846" s="103" t="n">
        <v>561</v>
      </c>
      <c r="AO846" s="104" t="n">
        <v>36.19</v>
      </c>
      <c r="AP846" s="105" t="n">
        <v>1.564</v>
      </c>
      <c r="AQ846" s="105" t="n">
        <v>1.347</v>
      </c>
      <c r="AR846" s="105" t="n">
        <v>1.735</v>
      </c>
      <c r="AS846" s="77" t="n">
        <v>37.936</v>
      </c>
      <c r="AT846" s="78" t="n">
        <v>38.84</v>
      </c>
      <c r="AU846" s="78" t="n">
        <v>43.23</v>
      </c>
      <c r="AV846" s="78" t="n">
        <v>37.21</v>
      </c>
      <c r="AW846" s="78" t="n">
        <v>47.94</v>
      </c>
      <c r="AX846" s="78" t="n">
        <v>23.1063829787234</v>
      </c>
      <c r="AY846" s="48" t="n">
        <v>1.45946621452765</v>
      </c>
      <c r="AZ846" s="48" t="n">
        <v>26.7201801786326</v>
      </c>
      <c r="BA846" s="48" t="n">
        <v>-0.107710761126892</v>
      </c>
      <c r="BB846" s="49" t="n">
        <f aca="false">AT846/V846</f>
        <v>1.45946621452765</v>
      </c>
      <c r="BC846" s="49" t="n">
        <f aca="false">AS846/V846</f>
        <v>1.42549717596089</v>
      </c>
      <c r="BD846" s="49" t="n">
        <f aca="false">SUM(AP846:AR846)/V846</f>
        <v>0.174579815465898</v>
      </c>
      <c r="BE846" s="53" t="n">
        <v>6.66</v>
      </c>
      <c r="BF846" s="51" t="n">
        <v>98.67</v>
      </c>
      <c r="BG846" s="51" t="n">
        <v>683.997162258032</v>
      </c>
      <c r="BH846" s="51" t="n">
        <v>184.047836221749</v>
      </c>
      <c r="BI846" s="51" t="n">
        <v>100.43579608797</v>
      </c>
      <c r="BJ846" s="51" t="n">
        <v>7.29705077531164</v>
      </c>
      <c r="BK846" s="51" t="n">
        <v>14.4927536231884</v>
      </c>
      <c r="BL846" s="51" t="n">
        <v>4.86470051687443</v>
      </c>
      <c r="BM846" s="51" t="n">
        <v>4.86470051687443</v>
      </c>
      <c r="BN846" s="52" t="n">
        <f aca="false">(BG846*0.5-BH846*0.25+BI846*0.5)/SUM(BG846:BI846)*1000</f>
        <v>357.471745500209</v>
      </c>
      <c r="BO846" s="93" t="n">
        <v>2.94897959183673</v>
      </c>
      <c r="BP846" s="94" t="s">
        <v>491</v>
      </c>
      <c r="BQ846" s="55" t="n">
        <v>497.1874</v>
      </c>
      <c r="BR846" s="56" t="n">
        <v>18.6824977494553</v>
      </c>
      <c r="BS846" s="56" t="n">
        <v>28.3046572814431</v>
      </c>
      <c r="BT846" s="56" t="n">
        <v>12.8009114315139</v>
      </c>
      <c r="BU846" s="55" t="n">
        <v>14145.2632</v>
      </c>
      <c r="BV846" s="55" t="n">
        <v>531.527645108169</v>
      </c>
      <c r="BW846" s="55" t="n">
        <v>805.283535004728</v>
      </c>
      <c r="BX846" s="55" t="n">
        <v>364</v>
      </c>
      <c r="BY846" s="106" t="n">
        <v>0.1836</v>
      </c>
      <c r="BZ846" s="106" t="n">
        <v>0.67</v>
      </c>
      <c r="CA846" s="106" t="n">
        <v>4.02</v>
      </c>
      <c r="CB846" s="81"/>
      <c r="CC846" s="106" t="n">
        <v>4.99</v>
      </c>
      <c r="CD846" s="106" t="n">
        <v>7.89</v>
      </c>
      <c r="CE846" s="106" t="n">
        <v>95.8</v>
      </c>
      <c r="CF846" s="106" t="n">
        <v>36.4</v>
      </c>
      <c r="CG846" s="106" t="n">
        <v>0.3423</v>
      </c>
      <c r="CH846" s="63"/>
      <c r="CI846" s="63"/>
      <c r="CJ846" s="64"/>
      <c r="CK846" s="65"/>
    </row>
    <row r="847" customFormat="false" ht="15" hidden="false" customHeight="false" outlineLevel="0" collapsed="false">
      <c r="A847" s="7" t="s">
        <v>902</v>
      </c>
      <c r="B847" s="66" t="n">
        <v>827</v>
      </c>
      <c r="C847" s="8" t="s">
        <v>933</v>
      </c>
      <c r="D847" s="107" t="n">
        <v>41374</v>
      </c>
      <c r="E847" s="4" t="s">
        <v>904</v>
      </c>
      <c r="F847" s="7" t="n">
        <v>1381</v>
      </c>
      <c r="G847" s="68" t="n">
        <v>2</v>
      </c>
      <c r="H847" s="68" t="n">
        <v>148</v>
      </c>
      <c r="I847" s="7" t="n">
        <v>3</v>
      </c>
      <c r="J847" s="8" t="n">
        <v>626</v>
      </c>
      <c r="K847" s="31" t="n">
        <v>438.823657964556</v>
      </c>
      <c r="L847" s="31" t="n">
        <v>919.011983589962</v>
      </c>
      <c r="M847" s="31" t="n">
        <v>164.823413180818</v>
      </c>
      <c r="N847" s="31" t="n">
        <v>401.424715217153</v>
      </c>
      <c r="O847" s="31" t="n">
        <v>78.5205527647819</v>
      </c>
      <c r="P847" s="31" t="n">
        <v>37.0973331709032</v>
      </c>
      <c r="Q847" s="31"/>
      <c r="R847" s="31" t="n">
        <v>183.760570933989</v>
      </c>
      <c r="S847" s="34" t="s">
        <v>905</v>
      </c>
      <c r="T847" s="35" t="n">
        <v>10.4639687108674</v>
      </c>
      <c r="U847" s="35" t="n">
        <v>9.55007337634388</v>
      </c>
      <c r="V847" s="35" t="n">
        <v>20.0140420872113</v>
      </c>
      <c r="W847" s="35" t="n">
        <v>18.393144518221</v>
      </c>
      <c r="X847" s="35" t="n">
        <v>3.2987827283587</v>
      </c>
      <c r="Y847" s="35" t="n">
        <v>8.0341311452029</v>
      </c>
      <c r="Z847" s="35" t="n">
        <v>1.57151364774544</v>
      </c>
      <c r="AA847" s="53" t="n">
        <v>0.742467587405757</v>
      </c>
      <c r="AB847" s="101"/>
      <c r="AC847" s="71" t="n">
        <v>3.67779180064283</v>
      </c>
      <c r="AD847" s="38" t="n">
        <v>6.3844794258204</v>
      </c>
      <c r="AE847" s="38" t="n">
        <v>5.57652355448283</v>
      </c>
      <c r="AF847" s="38" t="n">
        <v>1.17474421435095</v>
      </c>
      <c r="AG847" s="38" t="n">
        <v>3.4731568076463</v>
      </c>
      <c r="AH847" s="38" t="n">
        <v>1.57325583534911</v>
      </c>
      <c r="AI847" s="38"/>
      <c r="AJ847" s="102" t="s">
        <v>906</v>
      </c>
      <c r="AK847" s="103" t="n">
        <v>681</v>
      </c>
      <c r="AL847" s="103" t="n">
        <v>697</v>
      </c>
      <c r="AM847" s="103" t="n">
        <v>644</v>
      </c>
      <c r="AN847" s="103" t="n">
        <v>568</v>
      </c>
      <c r="AO847" s="104" t="n">
        <v>29.78</v>
      </c>
      <c r="AP847" s="105" t="n">
        <v>1.395</v>
      </c>
      <c r="AQ847" s="105" t="n">
        <v>1.062</v>
      </c>
      <c r="AR847" s="105" t="n">
        <v>1.367</v>
      </c>
      <c r="AS847" s="77" t="n">
        <v>32.837</v>
      </c>
      <c r="AT847" s="78" t="n">
        <v>32.6</v>
      </c>
      <c r="AU847" s="78" t="n">
        <v>46.85</v>
      </c>
      <c r="AV847" s="78" t="n">
        <v>35.67</v>
      </c>
      <c r="AW847" s="78" t="n">
        <v>45.89</v>
      </c>
      <c r="AX847" s="78" t="n">
        <v>22.6808510638298</v>
      </c>
      <c r="AY847" s="48" t="n">
        <v>1.6288563728379</v>
      </c>
      <c r="AZ847" s="48" t="n">
        <v>24.1223270085815</v>
      </c>
      <c r="BA847" s="48" t="n">
        <v>-4.10828492137021</v>
      </c>
      <c r="BB847" s="49" t="n">
        <f aca="false">AT847/V847</f>
        <v>1.6288563728379</v>
      </c>
      <c r="BC847" s="49" t="n">
        <f aca="false">AS847/V847</f>
        <v>1.64069805873859</v>
      </c>
      <c r="BD847" s="49" t="n">
        <f aca="false">SUM(AP847:AR847)/V847</f>
        <v>0.191065851832274</v>
      </c>
      <c r="BE847" s="53" t="n">
        <v>6.63</v>
      </c>
      <c r="BF847" s="51" t="n">
        <v>84.31</v>
      </c>
      <c r="BG847" s="51" t="n">
        <v>621.397224528526</v>
      </c>
      <c r="BH847" s="51" t="n">
        <v>166.053848890998</v>
      </c>
      <c r="BI847" s="51" t="n">
        <v>169.493535760882</v>
      </c>
      <c r="BJ847" s="51" t="n">
        <v>7.94686276835488</v>
      </c>
      <c r="BK847" s="51" t="n">
        <v>16.9612145652947</v>
      </c>
      <c r="BL847" s="51" t="n">
        <v>5.69327481911991</v>
      </c>
      <c r="BM847" s="51" t="n">
        <v>12.4540386668248</v>
      </c>
      <c r="BN847" s="52" t="n">
        <f aca="false">(BG847*0.5-BH847*0.25+BI847*0.5)/SUM(BG847:BI847)*1000</f>
        <v>369.856222112048</v>
      </c>
      <c r="BO847" s="93" t="n">
        <v>4.90918367346939</v>
      </c>
      <c r="BP847" s="94" t="s">
        <v>491</v>
      </c>
      <c r="BQ847" s="55" t="n">
        <v>484.744940536417</v>
      </c>
      <c r="BR847" s="56" t="n">
        <v>24.2202418893764</v>
      </c>
      <c r="BS847" s="56" t="n">
        <v>37.8115537380344</v>
      </c>
      <c r="BT847" s="56" t="n">
        <v>14.8694767035711</v>
      </c>
      <c r="BU847" s="55" t="n">
        <v>12151.0294929237</v>
      </c>
      <c r="BV847" s="55" t="n">
        <v>607.125209389264</v>
      </c>
      <c r="BW847" s="55" t="n">
        <v>947.816606679175</v>
      </c>
      <c r="BX847" s="55" t="n">
        <v>373</v>
      </c>
      <c r="BY847" s="106" t="n">
        <v>0.1632</v>
      </c>
      <c r="BZ847" s="106" t="n">
        <v>1.67</v>
      </c>
      <c r="CA847" s="106" t="n">
        <v>3.41</v>
      </c>
      <c r="CB847" s="81"/>
      <c r="CC847" s="106" t="n">
        <v>4.06</v>
      </c>
      <c r="CD847" s="106" t="n">
        <v>6.44</v>
      </c>
      <c r="CE847" s="106" t="n">
        <v>93.7</v>
      </c>
      <c r="CF847" s="106" t="n">
        <v>38.5</v>
      </c>
      <c r="CG847" s="106" t="n">
        <v>0.2037</v>
      </c>
      <c r="CH847" s="63"/>
      <c r="CI847" s="63"/>
      <c r="CJ847" s="64"/>
      <c r="CK847" s="65"/>
    </row>
    <row r="848" customFormat="false" ht="15" hidden="false" customHeight="false" outlineLevel="0" collapsed="false">
      <c r="A848" s="7" t="s">
        <v>902</v>
      </c>
      <c r="B848" s="66" t="n">
        <v>828</v>
      </c>
      <c r="C848" s="8" t="s">
        <v>934</v>
      </c>
      <c r="D848" s="107" t="n">
        <v>41374</v>
      </c>
      <c r="E848" s="4" t="s">
        <v>904</v>
      </c>
      <c r="F848" s="7" t="n">
        <v>1404</v>
      </c>
      <c r="G848" s="68" t="n">
        <v>2</v>
      </c>
      <c r="H848" s="68" t="n">
        <v>118</v>
      </c>
      <c r="I848" s="7" t="n">
        <v>4</v>
      </c>
      <c r="J848" s="8" t="n">
        <v>640</v>
      </c>
      <c r="K848" s="31" t="n">
        <v>546.327470001526</v>
      </c>
      <c r="L848" s="31" t="n">
        <v>921.792082391577</v>
      </c>
      <c r="M848" s="31" t="n">
        <v>183.752452894265</v>
      </c>
      <c r="N848" s="31" t="n">
        <v>358.414374722974</v>
      </c>
      <c r="O848" s="31" t="n">
        <v>77.6271359491563</v>
      </c>
      <c r="P848" s="31" t="n">
        <v>45.4373535754164</v>
      </c>
      <c r="Q848" s="31"/>
      <c r="R848" s="31" t="n">
        <v>214.17503260588</v>
      </c>
      <c r="S848" s="34" t="s">
        <v>905</v>
      </c>
      <c r="T848" s="35" t="n">
        <v>9.97275677478867</v>
      </c>
      <c r="U848" s="35" t="n">
        <v>15.457799390153</v>
      </c>
      <c r="V848" s="35" t="n">
        <v>25.4305561649416</v>
      </c>
      <c r="W848" s="35" t="n">
        <v>23.4416853236575</v>
      </c>
      <c r="X848" s="35" t="n">
        <v>4.67292707377339</v>
      </c>
      <c r="Y848" s="35" t="n">
        <v>9.11467688671502</v>
      </c>
      <c r="Z848" s="35" t="n">
        <v>1.97410124067858</v>
      </c>
      <c r="AA848" s="53" t="n">
        <v>1.15549717208594</v>
      </c>
      <c r="AB848" s="101"/>
      <c r="AC848" s="71" t="n">
        <v>5.44659019581204</v>
      </c>
      <c r="AD848" s="38" t="n">
        <v>8.29036130977098</v>
      </c>
      <c r="AE848" s="38" t="n">
        <v>7.41821529998307</v>
      </c>
      <c r="AF848" s="38" t="n">
        <v>1.55858792623694</v>
      </c>
      <c r="AG848" s="38" t="n">
        <v>4.4850854685861</v>
      </c>
      <c r="AH848" s="38" t="n">
        <v>1.97293942178606</v>
      </c>
      <c r="AI848" s="38"/>
      <c r="AJ848" s="102" t="s">
        <v>906</v>
      </c>
      <c r="AK848" s="103" t="n">
        <v>674</v>
      </c>
      <c r="AL848" s="103" t="n">
        <v>683</v>
      </c>
      <c r="AM848" s="103" t="n">
        <v>666</v>
      </c>
      <c r="AN848" s="103" t="n">
        <v>508</v>
      </c>
      <c r="AO848" s="104" t="n">
        <v>37.34</v>
      </c>
      <c r="AP848" s="105" t="n">
        <v>1.622</v>
      </c>
      <c r="AQ848" s="105" t="n">
        <v>1.215</v>
      </c>
      <c r="AR848" s="105" t="n">
        <v>1.794</v>
      </c>
      <c r="AS848" s="77" t="n">
        <v>39.266</v>
      </c>
      <c r="AT848" s="78" t="n">
        <v>38.84</v>
      </c>
      <c r="AU848" s="78" t="n">
        <v>43.43</v>
      </c>
      <c r="AV848" s="78" t="n">
        <v>32.53</v>
      </c>
      <c r="AW848" s="78" t="n">
        <v>48.04</v>
      </c>
      <c r="AX848" s="78" t="n">
        <v>20.9148936170213</v>
      </c>
      <c r="AY848" s="48" t="n">
        <v>1.52729652265901</v>
      </c>
      <c r="AZ848" s="48" t="n">
        <v>26.4011132215158</v>
      </c>
      <c r="BA848" s="48" t="n">
        <v>-0.970557056574183</v>
      </c>
      <c r="BB848" s="49" t="n">
        <f aca="false">AT848/V848</f>
        <v>1.52729652265901</v>
      </c>
      <c r="BC848" s="49" t="n">
        <f aca="false">AS848/V848</f>
        <v>1.54404802416912</v>
      </c>
      <c r="BD848" s="49" t="n">
        <f aca="false">SUM(AP848:AR848)/V848</f>
        <v>0.182103764068843</v>
      </c>
      <c r="BE848" s="53" t="n">
        <v>6.64</v>
      </c>
      <c r="BF848" s="51" t="n">
        <v>119.04</v>
      </c>
      <c r="BG848" s="51" t="n">
        <v>623.235887096774</v>
      </c>
      <c r="BH848" s="51" t="n">
        <v>197.832661290323</v>
      </c>
      <c r="BI848" s="51" t="n">
        <v>133.736559139785</v>
      </c>
      <c r="BJ848" s="51" t="n">
        <v>18.8172043010753</v>
      </c>
      <c r="BK848" s="51" t="n">
        <v>14.3649193548387</v>
      </c>
      <c r="BL848" s="51" t="n">
        <v>3.27620967741935</v>
      </c>
      <c r="BM848" s="51" t="n">
        <v>8.82056451612903</v>
      </c>
      <c r="BN848" s="52" t="n">
        <f aca="false">(BG848*0.5-BH848*0.25+BI848*0.5)/SUM(BG848:BI848)*1000</f>
        <v>344.602322716875</v>
      </c>
      <c r="BO848" s="93" t="n">
        <v>3.23520408163265</v>
      </c>
      <c r="BP848" s="94" t="s">
        <v>491</v>
      </c>
      <c r="BQ848" s="55"/>
      <c r="BR848" s="56"/>
      <c r="BS848" s="56"/>
      <c r="BT848" s="56"/>
      <c r="BU848" s="55"/>
      <c r="BV848" s="55"/>
      <c r="BW848" s="55"/>
      <c r="BX848" s="55"/>
      <c r="BY848" s="106" t="n">
        <v>0.204</v>
      </c>
      <c r="BZ848" s="106" t="n">
        <v>1.46</v>
      </c>
      <c r="CA848" s="106" t="n">
        <v>3.68</v>
      </c>
      <c r="CB848" s="81"/>
      <c r="CC848" s="106" t="n">
        <v>4.92</v>
      </c>
      <c r="CD848" s="106" t="n">
        <v>8.04</v>
      </c>
      <c r="CE848" s="106" t="n">
        <v>95.8</v>
      </c>
      <c r="CF848" s="106" t="n">
        <v>40</v>
      </c>
      <c r="CG848" s="106" t="n">
        <v>0.5902</v>
      </c>
      <c r="CH848" s="63" t="n">
        <v>77.8776455889001</v>
      </c>
      <c r="CI848" s="63" t="n">
        <v>8202.9962813044</v>
      </c>
      <c r="CJ848" s="64" t="n">
        <v>2032907.64861784</v>
      </c>
      <c r="CK848" s="65" t="n">
        <v>0.403510522816005</v>
      </c>
    </row>
    <row r="849" customFormat="false" ht="15" hidden="false" customHeight="false" outlineLevel="0" collapsed="false">
      <c r="A849" s="7" t="s">
        <v>902</v>
      </c>
      <c r="B849" s="66" t="n">
        <v>829</v>
      </c>
      <c r="C849" s="8" t="s">
        <v>935</v>
      </c>
      <c r="D849" s="107" t="n">
        <v>41374</v>
      </c>
      <c r="E849" s="4" t="s">
        <v>904</v>
      </c>
      <c r="F849" s="7" t="n">
        <v>1409</v>
      </c>
      <c r="G849" s="68" t="n">
        <v>2</v>
      </c>
      <c r="H849" s="68" t="n">
        <v>154</v>
      </c>
      <c r="I849" s="7" t="n">
        <v>4</v>
      </c>
      <c r="J849" s="8" t="n">
        <v>676</v>
      </c>
      <c r="K849" s="31" t="n">
        <v>409.246697585746</v>
      </c>
      <c r="L849" s="31" t="n">
        <v>919.44611762616</v>
      </c>
      <c r="M849" s="31" t="n">
        <v>167.134409862542</v>
      </c>
      <c r="N849" s="31" t="n">
        <v>399.737137420205</v>
      </c>
      <c r="O849" s="31" t="n">
        <v>70.9196580058256</v>
      </c>
      <c r="P849" s="31" t="n">
        <v>37.388560408424</v>
      </c>
      <c r="Q849" s="31"/>
      <c r="R849" s="31" t="n">
        <v>180.039174556373</v>
      </c>
      <c r="S849" s="34" t="s">
        <v>905</v>
      </c>
      <c r="T849" s="35" t="n">
        <v>13.4611525064139</v>
      </c>
      <c r="U849" s="35" t="n">
        <v>11.4367364139078</v>
      </c>
      <c r="V849" s="35" t="n">
        <v>24.8978889203218</v>
      </c>
      <c r="W849" s="35" t="n">
        <v>22.8922673048773</v>
      </c>
      <c r="X849" s="35" t="n">
        <v>4.16129397152111</v>
      </c>
      <c r="Y849" s="35" t="n">
        <v>9.95261084481568</v>
      </c>
      <c r="Z849" s="35" t="n">
        <v>1.76574976729626</v>
      </c>
      <c r="AA849" s="53" t="n">
        <v>0.930896223939682</v>
      </c>
      <c r="AB849" s="101"/>
      <c r="AC849" s="71" t="n">
        <v>4.482595369411</v>
      </c>
      <c r="AD849" s="38" t="n">
        <v>7.36977512041525</v>
      </c>
      <c r="AE849" s="38" t="n">
        <v>6.43455065763455</v>
      </c>
      <c r="AF849" s="38" t="n">
        <v>1.31918974655433</v>
      </c>
      <c r="AG849" s="38" t="n">
        <v>3.97230878990382</v>
      </c>
      <c r="AH849" s="38" t="n">
        <v>1.76727891302689</v>
      </c>
      <c r="AI849" s="38"/>
      <c r="AJ849" s="102" t="s">
        <v>906</v>
      </c>
      <c r="AK849" s="103" t="n">
        <v>704</v>
      </c>
      <c r="AL849" s="103" t="n">
        <v>719</v>
      </c>
      <c r="AM849" s="103" t="n">
        <v>683</v>
      </c>
      <c r="AN849" s="103" t="n">
        <v>601</v>
      </c>
      <c r="AO849" s="104" t="n">
        <v>32.58</v>
      </c>
      <c r="AP849" s="105" t="n">
        <v>1.322</v>
      </c>
      <c r="AQ849" s="105" t="n">
        <v>1.048</v>
      </c>
      <c r="AR849" s="105" t="n">
        <v>1.465</v>
      </c>
      <c r="AS849" s="77" t="n">
        <v>32.862</v>
      </c>
      <c r="AT849" s="78" t="n">
        <v>32.13</v>
      </c>
      <c r="AU849" s="78" t="n">
        <v>40.57</v>
      </c>
      <c r="AV849" s="78" t="n">
        <v>32.17</v>
      </c>
      <c r="AW849" s="78" t="n">
        <v>44.96</v>
      </c>
      <c r="AX849" s="78" t="n">
        <v>17.2553191489362</v>
      </c>
      <c r="AY849" s="48" t="n">
        <v>1.29047085489145</v>
      </c>
      <c r="AZ849" s="48" t="n">
        <v>24.8765490489567</v>
      </c>
      <c r="BA849" s="48" t="n">
        <v>0.0213398713651003</v>
      </c>
      <c r="BB849" s="49" t="n">
        <f aca="false">AT849/V849</f>
        <v>1.29047085489145</v>
      </c>
      <c r="BC849" s="49" t="n">
        <f aca="false">AS849/V849</f>
        <v>1.31987093786003</v>
      </c>
      <c r="BD849" s="49" t="n">
        <f aca="false">SUM(AP849:AR849)/V849</f>
        <v>0.154029123202885</v>
      </c>
      <c r="BE849" s="53" t="n">
        <v>6.87</v>
      </c>
      <c r="BF849" s="51"/>
      <c r="BG849" s="51"/>
      <c r="BH849" s="51"/>
      <c r="BI849" s="51"/>
      <c r="BJ849" s="51"/>
      <c r="BK849" s="51"/>
      <c r="BL849" s="51"/>
      <c r="BM849" s="51"/>
      <c r="BN849" s="52"/>
      <c r="BO849" s="93" t="n">
        <v>3.33061224489796</v>
      </c>
      <c r="BP849" s="94" t="s">
        <v>491</v>
      </c>
      <c r="BQ849" s="55" t="n">
        <v>522.9305</v>
      </c>
      <c r="BR849" s="56" t="n">
        <v>21.003005583063</v>
      </c>
      <c r="BS849" s="56" t="n">
        <v>31.7706627216474</v>
      </c>
      <c r="BT849" s="56" t="n">
        <v>16.2754590725179</v>
      </c>
      <c r="BU849" s="55" t="n">
        <v>14227.336</v>
      </c>
      <c r="BV849" s="55" t="n">
        <v>571.427402762151</v>
      </c>
      <c r="BW849" s="55" t="n">
        <v>864.382348100851</v>
      </c>
      <c r="BX849" s="55" t="n">
        <v>443</v>
      </c>
      <c r="BY849" s="106" t="n">
        <v>0.2244</v>
      </c>
      <c r="BZ849" s="106" t="n">
        <v>1.35</v>
      </c>
      <c r="CA849" s="106" t="n">
        <v>4.12</v>
      </c>
      <c r="CB849" s="81"/>
      <c r="CC849" s="106" t="n">
        <v>3.45</v>
      </c>
      <c r="CD849" s="106" t="n">
        <v>6.98</v>
      </c>
      <c r="CE849" s="106" t="n">
        <v>85.5</v>
      </c>
      <c r="CF849" s="106" t="n">
        <v>33.5</v>
      </c>
      <c r="CG849" s="106" t="n">
        <v>1.0068</v>
      </c>
      <c r="CH849" s="63" t="n">
        <v>22.6416403624498</v>
      </c>
      <c r="CI849" s="63" t="n">
        <v>34097.5139037305</v>
      </c>
      <c r="CJ849" s="64" t="n">
        <v>1648623.79498627</v>
      </c>
      <c r="CK849" s="65" t="n">
        <v>2.06824103882442</v>
      </c>
    </row>
    <row r="850" customFormat="false" ht="15" hidden="false" customHeight="false" outlineLevel="0" collapsed="false">
      <c r="A850" s="7" t="s">
        <v>902</v>
      </c>
      <c r="B850" s="66" t="n">
        <v>830</v>
      </c>
      <c r="C850" s="8" t="s">
        <v>936</v>
      </c>
      <c r="D850" s="107" t="n">
        <v>41373</v>
      </c>
      <c r="E850" s="4" t="s">
        <v>904</v>
      </c>
      <c r="F850" s="7" t="n">
        <v>1422</v>
      </c>
      <c r="G850" s="68" t="n">
        <v>2</v>
      </c>
      <c r="H850" s="68" t="n">
        <v>123</v>
      </c>
      <c r="I850" s="7" t="n">
        <v>4</v>
      </c>
      <c r="J850" s="8" t="n">
        <v>653</v>
      </c>
      <c r="K850" s="31" t="n">
        <v>423.211137013564</v>
      </c>
      <c r="L850" s="31" t="n">
        <v>921.565668510359</v>
      </c>
      <c r="M850" s="31" t="n">
        <v>163.34633986119</v>
      </c>
      <c r="N850" s="31" t="n">
        <v>402.021331239017</v>
      </c>
      <c r="O850" s="31" t="n">
        <v>78.7402227420216</v>
      </c>
      <c r="P850" s="31" t="n">
        <v>36.9147876735136</v>
      </c>
      <c r="Q850" s="31"/>
      <c r="R850" s="31" t="n">
        <v>180.855044715564</v>
      </c>
      <c r="S850" s="34" t="s">
        <v>905</v>
      </c>
      <c r="T850" s="35" t="n">
        <v>11.8432869291219</v>
      </c>
      <c r="U850" s="35" t="n">
        <v>10.3158042177852</v>
      </c>
      <c r="V850" s="35" t="n">
        <v>22.1590911469071</v>
      </c>
      <c r="W850" s="35" t="n">
        <v>20.4210576463814</v>
      </c>
      <c r="X850" s="35" t="n">
        <v>3.61960643349778</v>
      </c>
      <c r="Y850" s="35" t="n">
        <v>8.9084273219263</v>
      </c>
      <c r="Z850" s="35" t="n">
        <v>1.74481177266822</v>
      </c>
      <c r="AA850" s="53" t="n">
        <v>0.817998144726111</v>
      </c>
      <c r="AB850" s="101"/>
      <c r="AC850" s="71" t="n">
        <v>4.00758342023013</v>
      </c>
      <c r="AD850" s="38" t="n">
        <v>6.69204552636594</v>
      </c>
      <c r="AE850" s="38" t="n">
        <v>5.92212568855754</v>
      </c>
      <c r="AF850" s="38" t="n">
        <v>1.21126024027223</v>
      </c>
      <c r="AG850" s="38" t="n">
        <v>3.52670799239485</v>
      </c>
      <c r="AH850" s="38" t="n">
        <v>1.74609572607243</v>
      </c>
      <c r="AI850" s="38"/>
      <c r="AJ850" s="102" t="s">
        <v>906</v>
      </c>
      <c r="AK850" s="103" t="n">
        <v>698</v>
      </c>
      <c r="AL850" s="103" t="n">
        <v>710</v>
      </c>
      <c r="AM850" s="103" t="n">
        <v>666</v>
      </c>
      <c r="AN850" s="103" t="n">
        <v>604</v>
      </c>
      <c r="AO850" s="104" t="n">
        <v>30.41</v>
      </c>
      <c r="AP850" s="105" t="n">
        <v>1.513</v>
      </c>
      <c r="AQ850" s="105" t="n">
        <v>1.188</v>
      </c>
      <c r="AR850" s="105" t="n">
        <v>1.42</v>
      </c>
      <c r="AS850" s="77" t="n">
        <v>34.859</v>
      </c>
      <c r="AT850" s="78" t="n">
        <v>35.28</v>
      </c>
      <c r="AU850" s="78" t="n">
        <v>49.74</v>
      </c>
      <c r="AV850" s="78" t="n">
        <v>39.06</v>
      </c>
      <c r="AW850" s="78" t="n">
        <v>46.69</v>
      </c>
      <c r="AX850" s="78" t="n">
        <v>17.9574468085106</v>
      </c>
      <c r="AY850" s="48" t="n">
        <v>1.59212305983607</v>
      </c>
      <c r="AZ850" s="48" t="n">
        <v>25.0404985744055</v>
      </c>
      <c r="BA850" s="48" t="n">
        <v>-2.88140742749837</v>
      </c>
      <c r="BB850" s="49" t="n">
        <f aca="false">AT850/V850</f>
        <v>1.59212305983607</v>
      </c>
      <c r="BC850" s="49" t="n">
        <f aca="false">AS850/V850</f>
        <v>1.57312408568099</v>
      </c>
      <c r="BD850" s="49" t="n">
        <f aca="false">SUM(AP850:AR850)/V850</f>
        <v>0.185973331337427</v>
      </c>
      <c r="BE850" s="53" t="n">
        <v>6.76</v>
      </c>
      <c r="BF850" s="51" t="n">
        <v>96.1</v>
      </c>
      <c r="BG850" s="51" t="n">
        <v>680.228928199792</v>
      </c>
      <c r="BH850" s="51" t="n">
        <v>137.669094693028</v>
      </c>
      <c r="BI850" s="51" t="n">
        <v>127.159209157128</v>
      </c>
      <c r="BJ850" s="51" t="n">
        <v>23.309053069719</v>
      </c>
      <c r="BK850" s="51" t="n">
        <v>14.047866805411</v>
      </c>
      <c r="BL850" s="51" t="n">
        <v>4.68262226847034</v>
      </c>
      <c r="BM850" s="51" t="n">
        <v>12.7991675338189</v>
      </c>
      <c r="BN850" s="52" t="n">
        <f aca="false">(BG850*0.5-BH850*0.25+BI850*0.5)/SUM(BG850:BI850)*1000</f>
        <v>390.745430521912</v>
      </c>
      <c r="BO850" s="93" t="n">
        <v>3.36530612244898</v>
      </c>
      <c r="BP850" s="94" t="s">
        <v>491</v>
      </c>
      <c r="BQ850" s="55" t="n">
        <v>541.484428571429</v>
      </c>
      <c r="BR850" s="56" t="n">
        <v>24.4362201040455</v>
      </c>
      <c r="BS850" s="56" t="n">
        <v>37.346455700527</v>
      </c>
      <c r="BT850" s="56" t="n">
        <v>15.3481980887593</v>
      </c>
      <c r="BU850" s="55" t="n">
        <v>12179.7442271529</v>
      </c>
      <c r="BV850" s="55" t="n">
        <v>549.649989993067</v>
      </c>
      <c r="BW850" s="55" t="n">
        <v>840.043137386569</v>
      </c>
      <c r="BX850" s="55" t="n">
        <v>345</v>
      </c>
      <c r="BY850" s="106" t="n">
        <v>0.2856</v>
      </c>
      <c r="BZ850" s="106" t="n">
        <v>1.28</v>
      </c>
      <c r="CA850" s="106" t="n">
        <v>4.14</v>
      </c>
      <c r="CB850" s="81"/>
      <c r="CC850" s="106" t="n">
        <v>4.13</v>
      </c>
      <c r="CD850" s="106" t="n">
        <v>7.89</v>
      </c>
      <c r="CE850" s="106" t="n">
        <v>95.8</v>
      </c>
      <c r="CF850" s="106" t="n">
        <v>40.8</v>
      </c>
      <c r="CG850" s="106" t="n">
        <v>0.2243</v>
      </c>
      <c r="CH850" s="63" t="n">
        <v>10922.5662216883</v>
      </c>
      <c r="CI850" s="63" t="n">
        <v>33171.6918331107</v>
      </c>
      <c r="CJ850" s="64" t="n">
        <v>1687284.14829741</v>
      </c>
      <c r="CK850" s="65" t="n">
        <v>1.96598135925021</v>
      </c>
    </row>
    <row r="851" customFormat="false" ht="15" hidden="false" customHeight="false" outlineLevel="0" collapsed="false">
      <c r="A851" s="7" t="s">
        <v>902</v>
      </c>
      <c r="B851" s="66" t="n">
        <v>831</v>
      </c>
      <c r="C851" s="8" t="s">
        <v>937</v>
      </c>
      <c r="D851" s="107" t="n">
        <v>41373</v>
      </c>
      <c r="E851" s="4" t="s">
        <v>904</v>
      </c>
      <c r="F851" s="7" t="n">
        <v>1450</v>
      </c>
      <c r="G851" s="68" t="n">
        <v>2</v>
      </c>
      <c r="H851" s="68" t="n">
        <v>120</v>
      </c>
      <c r="I851" s="7" t="n">
        <v>3</v>
      </c>
      <c r="J851" s="8" t="n">
        <v>635</v>
      </c>
      <c r="K851" s="31" t="n">
        <v>433.092013016955</v>
      </c>
      <c r="L851" s="31" t="n">
        <v>920.261879631731</v>
      </c>
      <c r="M851" s="31" t="n">
        <v>165.672938463515</v>
      </c>
      <c r="N851" s="31" t="n">
        <v>403.633643725247</v>
      </c>
      <c r="O851" s="31" t="n">
        <v>80.288333717533</v>
      </c>
      <c r="P851" s="31" t="n">
        <v>36.8677456650777</v>
      </c>
      <c r="Q851" s="31"/>
      <c r="R851" s="31" t="n">
        <v>181.448909671327</v>
      </c>
      <c r="S851" s="34" t="s">
        <v>905</v>
      </c>
      <c r="T851" s="35" t="n">
        <v>10.9159559118167</v>
      </c>
      <c r="U851" s="35" t="n">
        <v>9.69005162652545</v>
      </c>
      <c r="V851" s="35" t="n">
        <v>20.6060075383421</v>
      </c>
      <c r="W851" s="35" t="n">
        <v>18.9629232289403</v>
      </c>
      <c r="X851" s="35" t="n">
        <v>3.41385781887848</v>
      </c>
      <c r="Y851" s="35" t="n">
        <v>8.31727790533093</v>
      </c>
      <c r="Z851" s="35" t="n">
        <v>1.65442200982441</v>
      </c>
      <c r="AA851" s="53" t="n">
        <v>0.759697045096272</v>
      </c>
      <c r="AB851" s="101"/>
      <c r="AC851" s="71" t="n">
        <v>3.73893760051133</v>
      </c>
      <c r="AD851" s="38" t="n">
        <v>6.92361853288295</v>
      </c>
      <c r="AE851" s="38" t="n">
        <v>6.15821250407274</v>
      </c>
      <c r="AF851" s="38" t="n">
        <v>1.24625133591893</v>
      </c>
      <c r="AG851" s="38" t="n">
        <v>3.91876808961175</v>
      </c>
      <c r="AH851" s="38" t="n">
        <v>1.65686241808731</v>
      </c>
      <c r="AI851" s="38"/>
      <c r="AJ851" s="102" t="s">
        <v>906</v>
      </c>
      <c r="AK851" s="103" t="n">
        <v>664</v>
      </c>
      <c r="AL851" s="103" t="n">
        <v>676</v>
      </c>
      <c r="AM851" s="103" t="n">
        <v>635</v>
      </c>
      <c r="AN851" s="103" t="n">
        <v>530</v>
      </c>
      <c r="AO851" s="104" t="n">
        <v>37.91</v>
      </c>
      <c r="AP851" s="105" t="n">
        <v>1.477</v>
      </c>
      <c r="AQ851" s="105" t="n">
        <v>1.253</v>
      </c>
      <c r="AR851" s="105" t="n">
        <v>1.818</v>
      </c>
      <c r="AS851" s="77" t="n">
        <v>37.319</v>
      </c>
      <c r="AT851" s="78" t="n">
        <v>37.5</v>
      </c>
      <c r="AU851" s="78" t="n">
        <v>38.95</v>
      </c>
      <c r="AV851" s="78" t="n">
        <v>33.05</v>
      </c>
      <c r="AW851" s="78" t="n">
        <v>47.97</v>
      </c>
      <c r="AX851" s="78" t="n">
        <v>21.7872340425532</v>
      </c>
      <c r="AY851" s="48" t="n">
        <v>1.81985762793801</v>
      </c>
      <c r="AZ851" s="48" t="n">
        <v>25.6471511453403</v>
      </c>
      <c r="BA851" s="48" t="n">
        <v>-5.04114360699819</v>
      </c>
      <c r="BB851" s="49" t="n">
        <f aca="false">AT851/V851</f>
        <v>1.81985762793801</v>
      </c>
      <c r="BC851" s="49" t="n">
        <f aca="false">AS851/V851</f>
        <v>1.81107378178716</v>
      </c>
      <c r="BD851" s="49" t="n">
        <f aca="false">SUM(AP851:AR851)/V851</f>
        <v>0.220712333116322</v>
      </c>
      <c r="BE851" s="53" t="n">
        <v>6.11</v>
      </c>
      <c r="BF851" s="51" t="n">
        <v>135.24</v>
      </c>
      <c r="BG851" s="51" t="n">
        <v>647.145814847678</v>
      </c>
      <c r="BH851" s="51" t="n">
        <v>172.656018929311</v>
      </c>
      <c r="BI851" s="51" t="n">
        <v>139.455782312925</v>
      </c>
      <c r="BJ851" s="51" t="n">
        <v>7.69003253475303</v>
      </c>
      <c r="BK851" s="51" t="n">
        <v>15.3061224489796</v>
      </c>
      <c r="BL851" s="51" t="n">
        <v>4.28867199053534</v>
      </c>
      <c r="BM851" s="51" t="n">
        <v>13.6054421768707</v>
      </c>
      <c r="BN851" s="52" t="n">
        <f aca="false">(BG851*0.5-BH851*0.25+BI851*0.5)/SUM(BG851:BI851)*1000</f>
        <v>365.008093733138</v>
      </c>
      <c r="BO851" s="93" t="n">
        <v>2.06428571428571</v>
      </c>
      <c r="BP851" s="94" t="s">
        <v>491</v>
      </c>
      <c r="BQ851" s="55" t="n">
        <v>465.1935</v>
      </c>
      <c r="BR851" s="56" t="n">
        <v>22.5756250517915</v>
      </c>
      <c r="BS851" s="56" t="n">
        <v>36.2895560341944</v>
      </c>
      <c r="BT851" s="56" t="n">
        <v>12.40516</v>
      </c>
      <c r="BU851" s="55" t="n">
        <v>13219.5246666667</v>
      </c>
      <c r="BV851" s="55" t="n">
        <v>641.537408062613</v>
      </c>
      <c r="BW851" s="55" t="n">
        <v>1031.24975120335</v>
      </c>
      <c r="BX851" s="55" t="n">
        <v>353</v>
      </c>
      <c r="BY851" s="106" t="n">
        <v>0.1836</v>
      </c>
      <c r="BZ851" s="106" t="n">
        <v>1.59</v>
      </c>
      <c r="CA851" s="106" t="n">
        <v>3.11</v>
      </c>
      <c r="CB851" s="81"/>
      <c r="CC851" s="106" t="n">
        <v>3.53</v>
      </c>
      <c r="CD851" s="106" t="n">
        <v>8.42</v>
      </c>
      <c r="CE851" s="106" t="n">
        <v>103</v>
      </c>
      <c r="CF851" s="106" t="n">
        <v>39.7</v>
      </c>
      <c r="CG851" s="106" t="n">
        <v>0.1383</v>
      </c>
      <c r="CH851" s="63" t="n">
        <v>15.5153877540549</v>
      </c>
      <c r="CI851" s="63" t="n">
        <v>15077.1469978991</v>
      </c>
      <c r="CJ851" s="64" t="n">
        <v>884546.095463766</v>
      </c>
      <c r="CK851" s="65" t="n">
        <v>1.70450664755851</v>
      </c>
    </row>
    <row r="852" customFormat="false" ht="15" hidden="false" customHeight="false" outlineLevel="0" collapsed="false">
      <c r="A852" s="7" t="s">
        <v>902</v>
      </c>
      <c r="B852" s="66" t="n">
        <v>832</v>
      </c>
      <c r="C852" s="8" t="s">
        <v>938</v>
      </c>
      <c r="D852" s="107" t="n">
        <v>41374</v>
      </c>
      <c r="E852" s="4" t="s">
        <v>904</v>
      </c>
      <c r="F852" s="7" t="n">
        <v>1466</v>
      </c>
      <c r="G852" s="68" t="n">
        <v>2</v>
      </c>
      <c r="H852" s="68" t="n">
        <v>147</v>
      </c>
      <c r="I852" s="7" t="n">
        <v>4</v>
      </c>
      <c r="J852" s="8" t="n">
        <v>702</v>
      </c>
      <c r="K852" s="31" t="n">
        <v>418.032776694516</v>
      </c>
      <c r="L852" s="31" t="n">
        <v>919.773004404028</v>
      </c>
      <c r="M852" s="31" t="n">
        <v>167.792323681619</v>
      </c>
      <c r="N852" s="31" t="n">
        <v>395.889858385972</v>
      </c>
      <c r="O852" s="31" t="n">
        <v>70.7281615688189</v>
      </c>
      <c r="P852" s="31" t="n">
        <v>37.8174609957102</v>
      </c>
      <c r="Q852" s="31"/>
      <c r="R852" s="31" t="n">
        <v>182.457265321287</v>
      </c>
      <c r="S852" s="34" t="s">
        <v>905</v>
      </c>
      <c r="T852" s="35" t="n">
        <v>11.3642390861615</v>
      </c>
      <c r="U852" s="35" t="n">
        <v>10.0634314465583</v>
      </c>
      <c r="V852" s="35" t="n">
        <v>21.4276705327198</v>
      </c>
      <c r="W852" s="35" t="n">
        <v>19.7085929032593</v>
      </c>
      <c r="X852" s="35" t="n">
        <v>3.5953986297692</v>
      </c>
      <c r="Y852" s="35" t="n">
        <v>8.48299745273969</v>
      </c>
      <c r="Z852" s="35" t="n">
        <v>1.51553974348162</v>
      </c>
      <c r="AA852" s="53" t="n">
        <v>0.810340094600059</v>
      </c>
      <c r="AB852" s="101"/>
      <c r="AC852" s="71" t="n">
        <v>3.90963416760558</v>
      </c>
      <c r="AD852" s="38" t="n">
        <v>6.96399292313393</v>
      </c>
      <c r="AE852" s="38" t="n">
        <v>6.20561409380464</v>
      </c>
      <c r="AF852" s="38" t="n">
        <v>1.25351872616411</v>
      </c>
      <c r="AG852" s="38" t="n">
        <v>3.34271660310428</v>
      </c>
      <c r="AH852" s="38" t="n">
        <v>1.514733044852</v>
      </c>
      <c r="AI852" s="38"/>
      <c r="AJ852" s="102" t="s">
        <v>906</v>
      </c>
      <c r="AK852" s="103" t="n">
        <v>675</v>
      </c>
      <c r="AL852" s="103" t="n">
        <v>685</v>
      </c>
      <c r="AM852" s="103" t="n">
        <v>651</v>
      </c>
      <c r="AN852" s="103" t="n">
        <v>606</v>
      </c>
      <c r="AO852" s="104" t="n">
        <v>31.8</v>
      </c>
      <c r="AP852" s="105" t="n">
        <v>1.538</v>
      </c>
      <c r="AQ852" s="105" t="n">
        <v>1.175</v>
      </c>
      <c r="AR852" s="105" t="n">
        <v>1.472</v>
      </c>
      <c r="AS852" s="77" t="n">
        <v>35.79</v>
      </c>
      <c r="AT852" s="78" t="n">
        <v>35.78</v>
      </c>
      <c r="AU852" s="78" t="n">
        <v>48.37</v>
      </c>
      <c r="AV852" s="78" t="n">
        <v>36.96</v>
      </c>
      <c r="AW852" s="78" t="n">
        <v>46.3</v>
      </c>
      <c r="AX852" s="78" t="n">
        <v>22.531914893617</v>
      </c>
      <c r="AY852" s="48" t="n">
        <v>1.66980353489029</v>
      </c>
      <c r="AZ852" s="48" t="n">
        <v>26.2830396108605</v>
      </c>
      <c r="BA852" s="48" t="n">
        <v>-4.85536907814068</v>
      </c>
      <c r="BB852" s="49" t="n">
        <f aca="false">AT852/V852</f>
        <v>1.66980353489029</v>
      </c>
      <c r="BC852" s="49" t="n">
        <f aca="false">AS852/V852</f>
        <v>1.67027022117729</v>
      </c>
      <c r="BD852" s="49" t="n">
        <f aca="false">SUM(AP852:AR852)/V852</f>
        <v>0.195308211110002</v>
      </c>
      <c r="BE852" s="53" t="n">
        <v>6.57</v>
      </c>
      <c r="BF852" s="51" t="n">
        <v>101.52</v>
      </c>
      <c r="BG852" s="51" t="n">
        <v>661.446020488574</v>
      </c>
      <c r="BH852" s="51" t="n">
        <v>143.518518518519</v>
      </c>
      <c r="BI852" s="51" t="n">
        <v>158.096926713948</v>
      </c>
      <c r="BJ852" s="51" t="n">
        <v>8.96375098502758</v>
      </c>
      <c r="BK852" s="51" t="n">
        <v>14.5784081954295</v>
      </c>
      <c r="BL852" s="51" t="n">
        <v>5.61465721040189</v>
      </c>
      <c r="BM852" s="51" t="n">
        <v>7.88022064617809</v>
      </c>
      <c r="BN852" s="52" t="n">
        <f aca="false">(BG852*0.5-BH852*0.25+BI852*0.5)/SUM(BG852:BI852)*1000</f>
        <v>388.232586683032</v>
      </c>
      <c r="BO852" s="93" t="n">
        <v>2.87959183673469</v>
      </c>
      <c r="BP852" s="94" t="s">
        <v>491</v>
      </c>
      <c r="BQ852" s="55" t="n">
        <v>533.913779919663</v>
      </c>
      <c r="BR852" s="56" t="n">
        <v>24.9170239529483</v>
      </c>
      <c r="BS852" s="56" t="n">
        <v>39.5480376955932</v>
      </c>
      <c r="BT852" s="56" t="n">
        <v>14.9221291201694</v>
      </c>
      <c r="BU852" s="55" t="n">
        <v>13676.1134665635</v>
      </c>
      <c r="BV852" s="55" t="n">
        <v>638.245461431761</v>
      </c>
      <c r="BW852" s="55" t="n">
        <v>1013.01646679028</v>
      </c>
      <c r="BX852" s="55" t="n">
        <v>406</v>
      </c>
      <c r="BY852" s="106" t="n">
        <v>0.2142</v>
      </c>
      <c r="BZ852" s="106" t="n">
        <v>1.66</v>
      </c>
      <c r="CA852" s="106" t="n">
        <v>3.84</v>
      </c>
      <c r="CB852" s="81"/>
      <c r="CC852" s="106" t="n">
        <v>4.34</v>
      </c>
      <c r="CD852" s="106" t="n">
        <v>8.12</v>
      </c>
      <c r="CE852" s="106" t="n">
        <v>99.9</v>
      </c>
      <c r="CF852" s="106" t="n">
        <v>37.1</v>
      </c>
      <c r="CG852" s="106" t="n">
        <v>0.4805</v>
      </c>
      <c r="CH852" s="63" t="n">
        <v>58.3595987583798</v>
      </c>
      <c r="CI852" s="63" t="n">
        <v>2792.93659537281</v>
      </c>
      <c r="CJ852" s="64" t="n">
        <v>1362986.73125161</v>
      </c>
      <c r="CK852" s="65" t="n">
        <v>0.20491297026847</v>
      </c>
    </row>
    <row r="853" customFormat="false" ht="15" hidden="false" customHeight="false" outlineLevel="0" collapsed="false">
      <c r="A853" s="7" t="s">
        <v>902</v>
      </c>
      <c r="B853" s="66" t="n">
        <v>833</v>
      </c>
      <c r="C853" s="8" t="s">
        <v>939</v>
      </c>
      <c r="D853" s="107" t="n">
        <v>41373</v>
      </c>
      <c r="E853" s="4" t="s">
        <v>904</v>
      </c>
      <c r="F853" s="7" t="n">
        <v>1472</v>
      </c>
      <c r="G853" s="68" t="n">
        <v>2</v>
      </c>
      <c r="H853" s="68" t="n">
        <v>119</v>
      </c>
      <c r="I853" s="7" t="n">
        <v>3</v>
      </c>
      <c r="J853" s="8" t="n">
        <v>543</v>
      </c>
      <c r="K853" s="31" t="n">
        <v>501.605132257194</v>
      </c>
      <c r="L853" s="31" t="n">
        <v>921.085383897719</v>
      </c>
      <c r="M853" s="31" t="n">
        <v>180.054247453237</v>
      </c>
      <c r="N853" s="31" t="n">
        <v>364.8573345653</v>
      </c>
      <c r="O853" s="31" t="n">
        <v>70.5640965606819</v>
      </c>
      <c r="P853" s="31" t="n">
        <v>43.688074790821</v>
      </c>
      <c r="Q853" s="31"/>
      <c r="R853" s="31" t="n">
        <v>205.400344103777</v>
      </c>
      <c r="S853" s="34" t="s">
        <v>905</v>
      </c>
      <c r="T853" s="35" t="n">
        <v>9.83392302500945</v>
      </c>
      <c r="U853" s="35" t="n">
        <v>12.9227506802884</v>
      </c>
      <c r="V853" s="35" t="n">
        <v>22.7566737052978</v>
      </c>
      <c r="W853" s="35" t="n">
        <v>20.9608395360794</v>
      </c>
      <c r="X853" s="35" t="n">
        <v>4.09743575854627</v>
      </c>
      <c r="Y853" s="35" t="n">
        <v>8.30293931168722</v>
      </c>
      <c r="Z853" s="35" t="n">
        <v>1.60580412074057</v>
      </c>
      <c r="AA853" s="53" t="n">
        <v>0.994195262827363</v>
      </c>
      <c r="AB853" s="101"/>
      <c r="AC853" s="71" t="n">
        <v>4.67422860972555</v>
      </c>
      <c r="AD853" s="38" t="n">
        <v>6.87251545899995</v>
      </c>
      <c r="AE853" s="38" t="n">
        <v>6.07049290493465</v>
      </c>
      <c r="AF853" s="38" t="n">
        <v>1.27141535991499</v>
      </c>
      <c r="AG853" s="38" t="n">
        <v>3.70428583240097</v>
      </c>
      <c r="AH853" s="38" t="n">
        <v>1.60636729674161</v>
      </c>
      <c r="AI853" s="38"/>
      <c r="AJ853" s="102" t="s">
        <v>906</v>
      </c>
      <c r="AK853" s="103" t="n">
        <v>698</v>
      </c>
      <c r="AL853" s="103" t="n">
        <v>710</v>
      </c>
      <c r="AM853" s="103" t="n">
        <v>690</v>
      </c>
      <c r="AN853" s="103" t="n">
        <v>554</v>
      </c>
      <c r="AO853" s="104" t="n">
        <v>29.79</v>
      </c>
      <c r="AP853" s="105" t="n">
        <v>1.341</v>
      </c>
      <c r="AQ853" s="105" t="n">
        <v>1.101</v>
      </c>
      <c r="AR853" s="105" t="n">
        <v>1.371</v>
      </c>
      <c r="AS853" s="77" t="n">
        <v>32.031</v>
      </c>
      <c r="AT853" s="78" t="n">
        <v>32.25</v>
      </c>
      <c r="AU853" s="78" t="n">
        <v>45</v>
      </c>
      <c r="AV853" s="78" t="n">
        <v>36.95</v>
      </c>
      <c r="AW853" s="78" t="n">
        <v>46.02</v>
      </c>
      <c r="AX853" s="78" t="n">
        <v>17.2765957446809</v>
      </c>
      <c r="AY853" s="48" t="n">
        <v>1.41716669218191</v>
      </c>
      <c r="AZ853" s="48" t="n">
        <v>22.3732323652724</v>
      </c>
      <c r="BA853" s="48" t="n">
        <v>0.383441340025399</v>
      </c>
      <c r="BB853" s="49" t="n">
        <f aca="false">AT853/V853</f>
        <v>1.41716669218191</v>
      </c>
      <c r="BC853" s="49" t="n">
        <f aca="false">AS853/V853</f>
        <v>1.40754314162105</v>
      </c>
      <c r="BD853" s="49" t="n">
        <f aca="false">SUM(AP853:AR853)/V853</f>
        <v>0.16755524332681</v>
      </c>
      <c r="BE853" s="53" t="n">
        <v>6.64</v>
      </c>
      <c r="BF853" s="51" t="n">
        <v>114.26</v>
      </c>
      <c r="BG853" s="51" t="n">
        <v>637.843514790828</v>
      </c>
      <c r="BH853" s="51" t="n">
        <v>163.924382986172</v>
      </c>
      <c r="BI853" s="51" t="n">
        <v>142.307019079293</v>
      </c>
      <c r="BJ853" s="51" t="n">
        <v>19.6044109924733</v>
      </c>
      <c r="BK853" s="51" t="n">
        <v>17.6789777699982</v>
      </c>
      <c r="BL853" s="51" t="n">
        <v>3.9383861368808</v>
      </c>
      <c r="BM853" s="51" t="n">
        <v>14.703308244355</v>
      </c>
      <c r="BN853" s="52" t="n">
        <f aca="false">(BG853*0.5-BH853*0.25+BI853*0.5)/SUM(BG853:BI853)*1000</f>
        <v>369.773801798461</v>
      </c>
      <c r="BO853" s="93" t="n">
        <v>4.01581632653061</v>
      </c>
      <c r="BP853" s="94" t="s">
        <v>491</v>
      </c>
      <c r="BQ853" s="55" t="n">
        <v>327.7622</v>
      </c>
      <c r="BR853" s="56" t="n">
        <v>14.4029045828299</v>
      </c>
      <c r="BS853" s="56" t="n">
        <v>22.0237791818332</v>
      </c>
      <c r="BT853" s="56" t="n">
        <v>10.1631689922481</v>
      </c>
      <c r="BU853" s="55" t="n">
        <v>10270.8962</v>
      </c>
      <c r="BV853" s="55" t="n">
        <v>451.335565689853</v>
      </c>
      <c r="BW853" s="55" t="n">
        <v>690.146544990024</v>
      </c>
      <c r="BX853" s="55" t="n">
        <v>299</v>
      </c>
      <c r="BY853" s="106" t="n">
        <v>0.2346</v>
      </c>
      <c r="BZ853" s="106" t="n">
        <v>1.16</v>
      </c>
      <c r="CA853" s="106" t="n">
        <v>3.76</v>
      </c>
      <c r="CB853" s="81"/>
      <c r="CC853" s="106" t="n">
        <v>3.35</v>
      </c>
      <c r="CD853" s="106" t="n">
        <v>6.78</v>
      </c>
      <c r="CE853" s="106" t="n">
        <v>89.6</v>
      </c>
      <c r="CF853" s="106" t="n">
        <v>37.8</v>
      </c>
      <c r="CG853" s="106" t="n">
        <v>0.7335</v>
      </c>
      <c r="CH853" s="63" t="n">
        <v>186.755925242022</v>
      </c>
      <c r="CI853" s="63" t="n">
        <v>35603.7974184195</v>
      </c>
      <c r="CJ853" s="64" t="n">
        <v>1517302.96952115</v>
      </c>
      <c r="CK853" s="65" t="n">
        <v>2.34651866724124</v>
      </c>
    </row>
    <row r="854" customFormat="false" ht="15" hidden="false" customHeight="false" outlineLevel="0" collapsed="false">
      <c r="A854" s="7" t="s">
        <v>902</v>
      </c>
      <c r="B854" s="66" t="n">
        <v>834</v>
      </c>
      <c r="C854" s="8" t="s">
        <v>940</v>
      </c>
      <c r="D854" s="107" t="n">
        <v>41373</v>
      </c>
      <c r="E854" s="4" t="s">
        <v>904</v>
      </c>
      <c r="F854" s="7" t="n">
        <v>1490</v>
      </c>
      <c r="G854" s="68" t="n">
        <v>2</v>
      </c>
      <c r="H854" s="68" t="n">
        <v>150</v>
      </c>
      <c r="I854" s="7" t="n">
        <v>2</v>
      </c>
      <c r="J854" s="8" t="n">
        <v>675</v>
      </c>
      <c r="K854" s="31" t="n">
        <v>422.519261399668</v>
      </c>
      <c r="L854" s="31" t="n">
        <v>918.851464230918</v>
      </c>
      <c r="M854" s="31" t="n">
        <v>164.344669782753</v>
      </c>
      <c r="N854" s="31" t="n">
        <v>409.084599557075</v>
      </c>
      <c r="O854" s="31" t="n">
        <v>79.2666716333198</v>
      </c>
      <c r="P854" s="31" t="n">
        <v>36.5513260348778</v>
      </c>
      <c r="Q854" s="31"/>
      <c r="R854" s="31" t="n">
        <v>177.12452116099</v>
      </c>
      <c r="S854" s="34" t="s">
        <v>905</v>
      </c>
      <c r="T854" s="35" t="n">
        <v>9.14695206331255</v>
      </c>
      <c r="U854" s="35" t="n">
        <v>7.72530161850774</v>
      </c>
      <c r="V854" s="35" t="n">
        <v>16.8722536818203</v>
      </c>
      <c r="W854" s="35" t="n">
        <v>15.5030950004161</v>
      </c>
      <c r="X854" s="35" t="n">
        <v>2.77286495982959</v>
      </c>
      <c r="Y854" s="35" t="n">
        <v>6.90217914105283</v>
      </c>
      <c r="Z854" s="35" t="n">
        <v>1.33740739231092</v>
      </c>
      <c r="AA854" s="53" t="n">
        <v>0.616703245267381</v>
      </c>
      <c r="AB854" s="101"/>
      <c r="AC854" s="71" t="n">
        <v>2.98848985429916</v>
      </c>
      <c r="AD854" s="38" t="n">
        <v>4.94357032877334</v>
      </c>
      <c r="AE854" s="38" t="n">
        <v>4.29942311493418</v>
      </c>
      <c r="AF854" s="38" t="n">
        <v>0.934334792138162</v>
      </c>
      <c r="AG854" s="38" t="n">
        <v>2.69918939951025</v>
      </c>
      <c r="AH854" s="38" t="n">
        <v>1.33929958106905</v>
      </c>
      <c r="AI854" s="38"/>
      <c r="AJ854" s="102" t="s">
        <v>906</v>
      </c>
      <c r="AK854" s="103" t="n">
        <v>707</v>
      </c>
      <c r="AL854" s="103" t="n">
        <v>723</v>
      </c>
      <c r="AM854" s="103" t="n">
        <v>664</v>
      </c>
      <c r="AN854" s="103" t="n">
        <v>609</v>
      </c>
      <c r="AO854" s="104" t="n">
        <v>29.63</v>
      </c>
      <c r="AP854" s="105" t="n">
        <v>1.207</v>
      </c>
      <c r="AQ854" s="105" t="n">
        <v>1.033</v>
      </c>
      <c r="AR854" s="105" t="n">
        <v>1.358</v>
      </c>
      <c r="AS854" s="77" t="n">
        <v>29.957</v>
      </c>
      <c r="AT854" s="78" t="n">
        <v>30.03</v>
      </c>
      <c r="AU854" s="78" t="n">
        <v>40.74</v>
      </c>
      <c r="AV854" s="78" t="n">
        <v>34.87</v>
      </c>
      <c r="AW854" s="78" t="n">
        <v>45.82</v>
      </c>
      <c r="AX854" s="78" t="n">
        <v>23.1702127659574</v>
      </c>
      <c r="AY854" s="48" t="n">
        <v>1.7798452160755</v>
      </c>
      <c r="AZ854" s="48" t="n">
        <v>23.7694636466961</v>
      </c>
      <c r="BA854" s="48" t="n">
        <v>-6.89720996487582</v>
      </c>
      <c r="BB854" s="49" t="n">
        <f aca="false">AT854/V854</f>
        <v>1.7798452160755</v>
      </c>
      <c r="BC854" s="49" t="n">
        <f aca="false">AS854/V854</f>
        <v>1.77551858601311</v>
      </c>
      <c r="BD854" s="49" t="n">
        <f aca="false">SUM(AP854:AR854)/V854</f>
        <v>0.21324952006126</v>
      </c>
      <c r="BE854" s="53" t="n">
        <v>6.93</v>
      </c>
      <c r="BF854" s="51" t="n">
        <v>145.17</v>
      </c>
      <c r="BG854" s="51" t="n">
        <v>704.759936626025</v>
      </c>
      <c r="BH854" s="51" t="n">
        <v>153.681890197699</v>
      </c>
      <c r="BI854" s="51" t="n">
        <v>104.153750774954</v>
      </c>
      <c r="BJ854" s="51" t="n">
        <v>20.252118206241</v>
      </c>
      <c r="BK854" s="51" t="n">
        <v>8.05951642901426</v>
      </c>
      <c r="BL854" s="51" t="n">
        <v>4.0642005924089</v>
      </c>
      <c r="BM854" s="51" t="n">
        <v>5.02858717365847</v>
      </c>
      <c r="BN854" s="52" t="n">
        <f aca="false">(BG854*0.5-BH854*0.25+BI854*0.5)/SUM(BG854:BI854)*1000</f>
        <v>380.259768140833</v>
      </c>
      <c r="BO854" s="93" t="n">
        <v>2.59336734693878</v>
      </c>
      <c r="BP854" s="94" t="s">
        <v>491</v>
      </c>
      <c r="BQ854" s="55" t="n">
        <v>624.889666666667</v>
      </c>
      <c r="BR854" s="56" t="n">
        <v>37.0365262667891</v>
      </c>
      <c r="BS854" s="56" t="n">
        <v>55.7502266723709</v>
      </c>
      <c r="BT854" s="56" t="n">
        <v>20.8088467088467</v>
      </c>
      <c r="BU854" s="55" t="n">
        <v>13958.7716666667</v>
      </c>
      <c r="BV854" s="55" t="n">
        <v>827.321111328899</v>
      </c>
      <c r="BW854" s="55" t="n">
        <v>1245.34734049243</v>
      </c>
      <c r="BX854" s="55" t="n">
        <v>419</v>
      </c>
      <c r="BY854" s="106" t="n">
        <v>0.255</v>
      </c>
      <c r="BZ854" s="106" t="n">
        <v>0.87</v>
      </c>
      <c r="CA854" s="106" t="n">
        <v>4.03</v>
      </c>
      <c r="CB854" s="81"/>
      <c r="CC854" s="106" t="n">
        <v>3.37</v>
      </c>
      <c r="CD854" s="106" t="n">
        <v>8.39</v>
      </c>
      <c r="CE854" s="106" t="n">
        <v>91.7</v>
      </c>
      <c r="CF854" s="106" t="n">
        <v>37.7</v>
      </c>
      <c r="CG854" s="106" t="n">
        <v>0.4357</v>
      </c>
      <c r="CH854" s="63" t="n">
        <v>58.997265988514</v>
      </c>
      <c r="CI854" s="63" t="n">
        <v>22336.1869993825</v>
      </c>
      <c r="CJ854" s="64" t="n">
        <v>1381560.44348168</v>
      </c>
      <c r="CK854" s="65" t="n">
        <v>1.61673614098946</v>
      </c>
    </row>
    <row r="855" customFormat="false" ht="15" hidden="false" customHeight="false" outlineLevel="0" collapsed="false">
      <c r="A855" s="7" t="s">
        <v>902</v>
      </c>
      <c r="B855" s="66" t="n">
        <v>835</v>
      </c>
      <c r="C855" s="8" t="s">
        <v>941</v>
      </c>
      <c r="D855" s="107" t="n">
        <v>41373</v>
      </c>
      <c r="E855" s="4" t="s">
        <v>904</v>
      </c>
      <c r="F855" s="7" t="n">
        <v>1491</v>
      </c>
      <c r="G855" s="68" t="n">
        <v>2</v>
      </c>
      <c r="H855" s="68" t="n">
        <v>122</v>
      </c>
      <c r="I855" s="7" t="n">
        <v>2</v>
      </c>
      <c r="J855" s="8" t="n">
        <v>652</v>
      </c>
      <c r="K855" s="31" t="n">
        <v>427.652860527086</v>
      </c>
      <c r="L855" s="31" t="n">
        <v>919.956322366061</v>
      </c>
      <c r="M855" s="31" t="n">
        <v>165.00815265978</v>
      </c>
      <c r="N855" s="31" t="n">
        <v>406.203723930969</v>
      </c>
      <c r="O855" s="31" t="n">
        <v>80.5620344364717</v>
      </c>
      <c r="P855" s="31" t="n">
        <v>36.4907320185338</v>
      </c>
      <c r="Q855" s="31"/>
      <c r="R855" s="31" t="n">
        <v>180.434211754519</v>
      </c>
      <c r="S855" s="34" t="s">
        <v>905</v>
      </c>
      <c r="T855" s="35" t="n">
        <v>10.1787422947446</v>
      </c>
      <c r="U855" s="35" t="n">
        <v>8.79427690180414</v>
      </c>
      <c r="V855" s="35" t="n">
        <v>18.9730191965487</v>
      </c>
      <c r="W855" s="35" t="n">
        <v>17.4543489642376</v>
      </c>
      <c r="X855" s="35" t="n">
        <v>3.13070284800105</v>
      </c>
      <c r="Y855" s="35" t="n">
        <v>7.70691105185185</v>
      </c>
      <c r="Z855" s="35" t="n">
        <v>1.5285050258762</v>
      </c>
      <c r="AA855" s="53" t="n">
        <v>0.692339359083758</v>
      </c>
      <c r="AB855" s="101"/>
      <c r="AC855" s="71" t="n">
        <v>3.42338176333263</v>
      </c>
      <c r="AD855" s="38" t="n">
        <v>6.94412502593683</v>
      </c>
      <c r="AE855" s="38" t="n">
        <v>6.19658996689473</v>
      </c>
      <c r="AF855" s="38" t="n">
        <v>1.13883650425364</v>
      </c>
      <c r="AG855" s="38" t="n">
        <v>3.76371576405776</v>
      </c>
      <c r="AH855" s="38" t="n">
        <v>1.52692142380904</v>
      </c>
      <c r="AI855" s="38"/>
      <c r="AJ855" s="102" t="s">
        <v>906</v>
      </c>
      <c r="AK855" s="103" t="n">
        <v>634</v>
      </c>
      <c r="AL855" s="103" t="n">
        <v>645</v>
      </c>
      <c r="AM855" s="103" t="n">
        <v>636</v>
      </c>
      <c r="AN855" s="103" t="n">
        <v>511</v>
      </c>
      <c r="AO855" s="104" t="n">
        <v>34.11</v>
      </c>
      <c r="AP855" s="105" t="n">
        <v>1.229</v>
      </c>
      <c r="AQ855" s="105" t="n">
        <v>1.132</v>
      </c>
      <c r="AR855" s="105" t="n">
        <v>1.637</v>
      </c>
      <c r="AS855" s="77" t="n">
        <v>32.079</v>
      </c>
      <c r="AT855" s="78" t="n">
        <v>32.57</v>
      </c>
      <c r="AU855" s="78" t="n">
        <v>36.04</v>
      </c>
      <c r="AV855" s="78" t="n">
        <v>33.19</v>
      </c>
      <c r="AW855" s="78" t="n">
        <v>47.99</v>
      </c>
      <c r="AX855" s="78" t="n">
        <v>19.7234042553192</v>
      </c>
      <c r="AY855" s="48" t="n">
        <v>1.7166482394075</v>
      </c>
      <c r="AZ855" s="48" t="n">
        <v>23.9982291883681</v>
      </c>
      <c r="BA855" s="48" t="n">
        <v>-5.02520999181941</v>
      </c>
      <c r="BB855" s="49" t="n">
        <f aca="false">AT855/V855</f>
        <v>1.7166482394075</v>
      </c>
      <c r="BC855" s="49" t="n">
        <f aca="false">AS855/V855</f>
        <v>1.69076938507685</v>
      </c>
      <c r="BD855" s="49" t="n">
        <f aca="false">SUM(AP855:AR855)/V855</f>
        <v>0.21072028434606</v>
      </c>
      <c r="BE855" s="53" t="n">
        <v>6.94</v>
      </c>
      <c r="BF855" s="51" t="n">
        <v>89.11</v>
      </c>
      <c r="BG855" s="51" t="n">
        <v>575.580742902031</v>
      </c>
      <c r="BH855" s="51" t="n">
        <v>250.813601167097</v>
      </c>
      <c r="BI855" s="51" t="n">
        <v>123.218493996185</v>
      </c>
      <c r="BJ855" s="51" t="n">
        <v>22.4441701268096</v>
      </c>
      <c r="BK855" s="51" t="n">
        <v>16.8331275951072</v>
      </c>
      <c r="BL855" s="51" t="n">
        <v>3.36662551902143</v>
      </c>
      <c r="BM855" s="51" t="n">
        <v>7.85545954438335</v>
      </c>
      <c r="BN855" s="52" t="n">
        <f aca="false">(BG855*0.5-BH855*0.25+BI855*0.5)/SUM(BG855:BI855)*1000</f>
        <v>301.908532261877</v>
      </c>
      <c r="BO855" s="93" t="n">
        <v>2.69744897959184</v>
      </c>
      <c r="BP855" s="94" t="s">
        <v>491</v>
      </c>
      <c r="BQ855" s="55" t="n">
        <v>392.670467470406</v>
      </c>
      <c r="BR855" s="56" t="n">
        <v>20.6962562680501</v>
      </c>
      <c r="BS855" s="56" t="n">
        <v>34.8790678862956</v>
      </c>
      <c r="BT855" s="56" t="n">
        <v>12.0562010276453</v>
      </c>
      <c r="BU855" s="55" t="n">
        <v>10904.2367858472</v>
      </c>
      <c r="BV855" s="55" t="n">
        <v>574.723330687966</v>
      </c>
      <c r="BW855" s="55" t="n">
        <v>968.571987478203</v>
      </c>
      <c r="BX855" s="55" t="n">
        <v>306</v>
      </c>
      <c r="BY855" s="106" t="n">
        <v>0.1428</v>
      </c>
      <c r="BZ855" s="106" t="n">
        <v>0.74</v>
      </c>
      <c r="CA855" s="106" t="n">
        <v>4.26</v>
      </c>
      <c r="CB855" s="81"/>
      <c r="CC855" s="106" t="n">
        <v>3.27</v>
      </c>
      <c r="CD855" s="106" t="n">
        <v>5.08</v>
      </c>
      <c r="CE855" s="106" t="n">
        <v>102</v>
      </c>
      <c r="CF855" s="106" t="n">
        <v>38.5</v>
      </c>
      <c r="CG855" s="106" t="n">
        <v>0.2199</v>
      </c>
      <c r="CH855" s="63" t="n">
        <v>166.324377361674</v>
      </c>
      <c r="CI855" s="63" t="n">
        <v>22488.8600453582</v>
      </c>
      <c r="CJ855" s="64" t="n">
        <v>1795406.92868291</v>
      </c>
      <c r="CK855" s="65" t="n">
        <v>1.25257732306156</v>
      </c>
    </row>
    <row r="856" customFormat="false" ht="15" hidden="false" customHeight="false" outlineLevel="0" collapsed="false">
      <c r="A856" s="7" t="s">
        <v>902</v>
      </c>
      <c r="B856" s="66" t="n">
        <v>836</v>
      </c>
      <c r="C856" s="8" t="s">
        <v>942</v>
      </c>
      <c r="D856" s="107" t="n">
        <v>41375</v>
      </c>
      <c r="E856" s="4" t="s">
        <v>904</v>
      </c>
      <c r="F856" s="7" t="n">
        <v>1508</v>
      </c>
      <c r="G856" s="68" t="n">
        <v>2</v>
      </c>
      <c r="H856" s="68" t="n">
        <v>102</v>
      </c>
      <c r="I856" s="7" t="n">
        <v>2</v>
      </c>
      <c r="J856" s="8" t="n">
        <v>636</v>
      </c>
      <c r="K856" s="31" t="n">
        <v>547.669794893428</v>
      </c>
      <c r="L856" s="31" t="n">
        <v>925.089937101131</v>
      </c>
      <c r="M856" s="31" t="n">
        <v>191.468692980207</v>
      </c>
      <c r="N856" s="31" t="n">
        <v>359.472751738469</v>
      </c>
      <c r="O856" s="31" t="n">
        <v>77.6294108351338</v>
      </c>
      <c r="P856" s="31" t="n">
        <v>48.398223671656</v>
      </c>
      <c r="Q856" s="31"/>
      <c r="R856" s="31" t="n">
        <v>195.486274779517</v>
      </c>
      <c r="S856" s="34" t="s">
        <v>905</v>
      </c>
      <c r="T856" s="35" t="n">
        <v>8.97985429741579</v>
      </c>
      <c r="U856" s="35" t="n">
        <v>14.1785110965279</v>
      </c>
      <c r="V856" s="35" t="n">
        <v>23.1583653939436</v>
      </c>
      <c r="W856" s="35" t="n">
        <v>21.4235707856483</v>
      </c>
      <c r="X856" s="35" t="n">
        <v>4.43410195353644</v>
      </c>
      <c r="Y856" s="35" t="n">
        <v>8.32480133392585</v>
      </c>
      <c r="Z856" s="35" t="n">
        <v>1.7977702614366</v>
      </c>
      <c r="AA856" s="53" t="n">
        <v>1.12082374820602</v>
      </c>
      <c r="AB856" s="101"/>
      <c r="AC856" s="71" t="n">
        <v>4.52714258084494</v>
      </c>
      <c r="AD856" s="38" t="n">
        <v>7.66541894539535</v>
      </c>
      <c r="AE856" s="38" t="n">
        <v>6.75476717468238</v>
      </c>
      <c r="AF856" s="38" t="n">
        <v>1.36444457228037</v>
      </c>
      <c r="AG856" s="38" t="n">
        <v>4.1239953926227</v>
      </c>
      <c r="AH856" s="38" t="n">
        <v>1.79552183998421</v>
      </c>
      <c r="AI856" s="38"/>
      <c r="AJ856" s="102" t="s">
        <v>906</v>
      </c>
      <c r="AK856" s="103" t="n">
        <v>669</v>
      </c>
      <c r="AL856" s="103" t="n">
        <v>684</v>
      </c>
      <c r="AM856" s="103" t="n">
        <v>692</v>
      </c>
      <c r="AN856" s="103" t="n">
        <v>504</v>
      </c>
      <c r="AO856" s="104" t="n">
        <v>36.01</v>
      </c>
      <c r="AP856" s="105" t="n">
        <v>1.355</v>
      </c>
      <c r="AQ856" s="105" t="n">
        <v>1.21</v>
      </c>
      <c r="AR856" s="105" t="n">
        <v>1.795</v>
      </c>
      <c r="AS856" s="77" t="n">
        <v>34.729</v>
      </c>
      <c r="AT856" s="78" t="n">
        <v>35.55</v>
      </c>
      <c r="AU856" s="78" t="n">
        <v>37.63</v>
      </c>
      <c r="AV856" s="78" t="n">
        <v>33.61</v>
      </c>
      <c r="AW856" s="78" t="n">
        <v>49.83</v>
      </c>
      <c r="AX856" s="78" t="n">
        <v>22.9148936170213</v>
      </c>
      <c r="AY856" s="48" t="n">
        <v>1.53508243761008</v>
      </c>
      <c r="AZ856" s="48" t="n">
        <v>24.4200204829894</v>
      </c>
      <c r="BA856" s="48" t="n">
        <v>-1.2616550890458</v>
      </c>
      <c r="BB856" s="49" t="n">
        <f aca="false">AT856/V856</f>
        <v>1.53508243761008</v>
      </c>
      <c r="BC856" s="49" t="n">
        <f aca="false">AS856/V856</f>
        <v>1.49963088539411</v>
      </c>
      <c r="BD856" s="49" t="n">
        <f aca="false">SUM(AP856:AR856)/V856</f>
        <v>0.188268900927706</v>
      </c>
      <c r="BE856" s="53" t="n">
        <v>7.03</v>
      </c>
      <c r="BF856" s="51" t="n">
        <v>115.59</v>
      </c>
      <c r="BG856" s="51" t="n">
        <v>635.954667358768</v>
      </c>
      <c r="BH856" s="51" t="n">
        <v>257.721256164028</v>
      </c>
      <c r="BI856" s="51" t="n">
        <v>76.8232546067999</v>
      </c>
      <c r="BJ856" s="51" t="n">
        <v>7.09403927675404</v>
      </c>
      <c r="BK856" s="51" t="n">
        <v>14.1880785535081</v>
      </c>
      <c r="BL856" s="51" t="n">
        <v>3.54701963837702</v>
      </c>
      <c r="BM856" s="51" t="n">
        <v>4.75819707587162</v>
      </c>
      <c r="BN856" s="52" t="n">
        <f aca="false">(BG856*0.5-BH856*0.25+BI856*0.5)/SUM(BG856:BI856)*1000</f>
        <v>300.833481904083</v>
      </c>
      <c r="BO856" s="93" t="n">
        <v>2.06428571428571</v>
      </c>
      <c r="BP856" s="94" t="s">
        <v>491</v>
      </c>
      <c r="BQ856" s="55" t="n">
        <v>293.5</v>
      </c>
      <c r="BR856" s="56" t="n">
        <v>12.6736060601564</v>
      </c>
      <c r="BS856" s="56" t="n">
        <v>20.0290405154547</v>
      </c>
      <c r="BT856" s="56" t="n">
        <v>8.25597749648383</v>
      </c>
      <c r="BU856" s="55" t="n">
        <v>11527</v>
      </c>
      <c r="BV856" s="55" t="n">
        <v>497.746702062769</v>
      </c>
      <c r="BW856" s="55" t="n">
        <v>786.626064809697</v>
      </c>
      <c r="BX856" s="55" t="n">
        <v>296</v>
      </c>
      <c r="BY856" s="106" t="n">
        <v>0.1734</v>
      </c>
      <c r="BZ856" s="106" t="n">
        <v>0.46</v>
      </c>
      <c r="CA856" s="106" t="n">
        <v>4.19</v>
      </c>
      <c r="CB856" s="81"/>
      <c r="CC856" s="106" t="n">
        <v>4.09</v>
      </c>
      <c r="CD856" s="106" t="n">
        <v>7.54</v>
      </c>
      <c r="CE856" s="106" t="n">
        <v>94.8</v>
      </c>
      <c r="CF856" s="106" t="n">
        <v>38.7</v>
      </c>
      <c r="CG856" s="106" t="n">
        <v>0.1641</v>
      </c>
      <c r="CH856" s="63" t="n">
        <v>2.9196866699176</v>
      </c>
      <c r="CI856" s="63" t="n">
        <v>10620.6281936341</v>
      </c>
      <c r="CJ856" s="64" t="n">
        <v>1834543.30515442</v>
      </c>
      <c r="CK856" s="65" t="n">
        <v>0.578924910837144</v>
      </c>
    </row>
    <row r="857" customFormat="false" ht="15" hidden="false" customHeight="false" outlineLevel="0" collapsed="false">
      <c r="A857" s="7" t="s">
        <v>902</v>
      </c>
      <c r="B857" s="66" t="n">
        <v>837</v>
      </c>
      <c r="C857" s="8" t="s">
        <v>943</v>
      </c>
      <c r="D857" s="107" t="n">
        <v>41374</v>
      </c>
      <c r="E857" s="4" t="s">
        <v>904</v>
      </c>
      <c r="F857" s="7" t="n">
        <v>1512</v>
      </c>
      <c r="G857" s="68" t="n">
        <v>2</v>
      </c>
      <c r="H857" s="68" t="n">
        <v>154</v>
      </c>
      <c r="I857" s="7" t="n">
        <v>2</v>
      </c>
      <c r="J857" s="8" t="n">
        <v>665</v>
      </c>
      <c r="K857" s="31" t="n">
        <v>505.377363578079</v>
      </c>
      <c r="L857" s="31" t="n">
        <v>922.772520542425</v>
      </c>
      <c r="M857" s="31" t="n">
        <v>175.985770375664</v>
      </c>
      <c r="N857" s="31" t="n">
        <v>369.539141791856</v>
      </c>
      <c r="O857" s="31" t="n">
        <v>76.8991476028174</v>
      </c>
      <c r="P857" s="31" t="n">
        <v>42.8016999096474</v>
      </c>
      <c r="Q857" s="31"/>
      <c r="R857" s="31" t="n">
        <v>203.435437071026</v>
      </c>
      <c r="S857" s="34" t="s">
        <v>905</v>
      </c>
      <c r="T857" s="35" t="n">
        <v>6.51993672565635</v>
      </c>
      <c r="U857" s="35" t="n">
        <v>8.43253395146305</v>
      </c>
      <c r="V857" s="35" t="n">
        <v>14.9524706771194</v>
      </c>
      <c r="W857" s="35" t="n">
        <v>13.7977290550622</v>
      </c>
      <c r="X857" s="35" t="n">
        <v>2.63142207113238</v>
      </c>
      <c r="Y857" s="35" t="n">
        <v>5.52552318169059</v>
      </c>
      <c r="Z857" s="35" t="n">
        <v>1.1498322496266</v>
      </c>
      <c r="AA857" s="53" t="n">
        <v>0.639991162829867</v>
      </c>
      <c r="AB857" s="101"/>
      <c r="AC857" s="71" t="n">
        <v>3.04186240749149</v>
      </c>
      <c r="AD857" s="38" t="n">
        <v>5.17355485428331</v>
      </c>
      <c r="AE857" s="38" t="n">
        <v>4.5669555476186</v>
      </c>
      <c r="AF857" s="38" t="n">
        <v>0.98297542231383</v>
      </c>
      <c r="AG857" s="38" t="n">
        <v>2.75233118247872</v>
      </c>
      <c r="AH857" s="38" t="n">
        <v>1.14947349627134</v>
      </c>
      <c r="AI857" s="38"/>
      <c r="AJ857" s="102" t="s">
        <v>906</v>
      </c>
      <c r="AK857" s="103" t="n">
        <v>654</v>
      </c>
      <c r="AL857" s="103" t="n">
        <v>669</v>
      </c>
      <c r="AM857" s="103" t="n">
        <v>626</v>
      </c>
      <c r="AN857" s="103" t="n">
        <v>502</v>
      </c>
      <c r="AO857" s="104" t="n">
        <v>19.71</v>
      </c>
      <c r="AP857" s="105" t="n">
        <v>0.809</v>
      </c>
      <c r="AQ857" s="105" t="n">
        <v>0.785</v>
      </c>
      <c r="AR857" s="105" t="n">
        <v>0.943</v>
      </c>
      <c r="AS857" s="77" t="n">
        <v>20.019</v>
      </c>
      <c r="AT857" s="78" t="n">
        <v>21.02</v>
      </c>
      <c r="AU857" s="78" t="n">
        <v>41.05</v>
      </c>
      <c r="AV857" s="78" t="n">
        <v>39.83</v>
      </c>
      <c r="AW857" s="78" t="n">
        <v>47.84</v>
      </c>
      <c r="AX857" s="78" t="n">
        <v>20.7234042553191</v>
      </c>
      <c r="AY857" s="48" t="n">
        <v>1.40578774263475</v>
      </c>
      <c r="AZ857" s="48" t="n">
        <v>19.9777219219826</v>
      </c>
      <c r="BA857" s="48" t="n">
        <v>-5.02525124486315</v>
      </c>
      <c r="BB857" s="49" t="n">
        <f aca="false">AT857/V857</f>
        <v>1.40578774263475</v>
      </c>
      <c r="BC857" s="49" t="n">
        <f aca="false">AS857/V857</f>
        <v>1.33884228448169</v>
      </c>
      <c r="BD857" s="49" t="n">
        <f aca="false">SUM(AP857:AR857)/V857</f>
        <v>0.169670956377943</v>
      </c>
      <c r="BE857" s="53" t="n">
        <v>6.59</v>
      </c>
      <c r="BF857" s="51" t="n">
        <v>97.88</v>
      </c>
      <c r="BG857" s="51" t="n">
        <v>638.945647731917</v>
      </c>
      <c r="BH857" s="51" t="n">
        <v>172.353902738047</v>
      </c>
      <c r="BI857" s="51" t="n">
        <v>150.79689415611</v>
      </c>
      <c r="BJ857" s="51" t="n">
        <v>9.19493257049449</v>
      </c>
      <c r="BK857" s="51" t="n">
        <v>14.4053943604414</v>
      </c>
      <c r="BL857" s="51" t="n">
        <v>6.12995504699632</v>
      </c>
      <c r="BM857" s="51" t="n">
        <v>8.1732733959951</v>
      </c>
      <c r="BN857" s="52" t="n">
        <f aca="false">(BG857*0.5-BH857*0.25+BI857*0.5)/SUM(BG857:BI857)*1000</f>
        <v>365.641924179675</v>
      </c>
      <c r="BO857" s="93" t="n">
        <v>1.7</v>
      </c>
      <c r="BP857" s="94" t="s">
        <v>491</v>
      </c>
      <c r="BQ857" s="55" t="n">
        <v>439.546932986719</v>
      </c>
      <c r="BR857" s="56" t="n">
        <v>29.3962745340356</v>
      </c>
      <c r="BS857" s="56" t="n">
        <v>47.6180409084039</v>
      </c>
      <c r="BT857" s="56" t="n">
        <v>20.9108911982264</v>
      </c>
      <c r="BU857" s="55" t="n">
        <v>13259.2313088823</v>
      </c>
      <c r="BV857" s="55" t="n">
        <v>886.758556174393</v>
      </c>
      <c r="BW857" s="55" t="n">
        <v>1436.43049580652</v>
      </c>
      <c r="BX857" s="55" t="n">
        <v>664</v>
      </c>
      <c r="BY857" s="106" t="n">
        <v>0.1734</v>
      </c>
      <c r="BZ857" s="106" t="n">
        <v>1.41</v>
      </c>
      <c r="CA857" s="106" t="n">
        <v>4.15</v>
      </c>
      <c r="CB857" s="81"/>
      <c r="CC857" s="106" t="n">
        <v>4.57</v>
      </c>
      <c r="CD857" s="106" t="n">
        <v>6.74</v>
      </c>
      <c r="CE857" s="106" t="n">
        <v>93.7</v>
      </c>
      <c r="CF857" s="106" t="n">
        <v>38.1</v>
      </c>
      <c r="CG857" s="106" t="n">
        <v>0.21</v>
      </c>
      <c r="CH857" s="63" t="n">
        <v>68.9896417842802</v>
      </c>
      <c r="CI857" s="63" t="n">
        <v>21402.5771324045</v>
      </c>
      <c r="CJ857" s="64" t="n">
        <v>1649211.99701583</v>
      </c>
      <c r="CK857" s="65" t="n">
        <v>1.29774566102669</v>
      </c>
    </row>
    <row r="858" customFormat="false" ht="15" hidden="false" customHeight="false" outlineLevel="0" collapsed="false">
      <c r="A858" s="7" t="s">
        <v>902</v>
      </c>
      <c r="B858" s="66" t="n">
        <v>838</v>
      </c>
      <c r="C858" s="8" t="s">
        <v>944</v>
      </c>
      <c r="D858" s="107" t="n">
        <v>41375</v>
      </c>
      <c r="E858" s="4" t="s">
        <v>904</v>
      </c>
      <c r="F858" s="7" t="n">
        <v>1526</v>
      </c>
      <c r="G858" s="68" t="n">
        <v>2</v>
      </c>
      <c r="H858" s="68" t="n">
        <v>99</v>
      </c>
      <c r="I858" s="7" t="n">
        <v>2</v>
      </c>
      <c r="J858" s="8" t="n">
        <v>684</v>
      </c>
      <c r="K858" s="31" t="n">
        <v>587.586184447176</v>
      </c>
      <c r="L858" s="31" t="n">
        <v>922.488081890969</v>
      </c>
      <c r="M858" s="31" t="n">
        <v>189.717542986795</v>
      </c>
      <c r="N858" s="31" t="n">
        <v>341.417759770928</v>
      </c>
      <c r="O858" s="31" t="n">
        <v>76.5119521887072</v>
      </c>
      <c r="P858" s="31" t="n">
        <v>48.3681852662883</v>
      </c>
      <c r="Q858" s="31"/>
      <c r="R858" s="31" t="n">
        <v>226.272335494291</v>
      </c>
      <c r="S858" s="34" t="s">
        <v>905</v>
      </c>
      <c r="T858" s="35" t="n">
        <v>7.96525439458991</v>
      </c>
      <c r="U858" s="35" t="n">
        <v>15.3195600580053</v>
      </c>
      <c r="V858" s="35" t="n">
        <v>23.2848144525953</v>
      </c>
      <c r="W858" s="35" t="n">
        <v>21.4799638215617</v>
      </c>
      <c r="X858" s="35" t="n">
        <v>4.41753778684977</v>
      </c>
      <c r="Y858" s="35" t="n">
        <v>7.94984918708681</v>
      </c>
      <c r="Z858" s="35" t="n">
        <v>1.78156661011989</v>
      </c>
      <c r="AA858" s="53" t="n">
        <v>1.12624421933428</v>
      </c>
      <c r="AB858" s="101"/>
      <c r="AC858" s="71" t="n">
        <v>5.26870934773994</v>
      </c>
      <c r="AD858" s="38" t="n">
        <v>7.3812861814727</v>
      </c>
      <c r="AE858" s="38" t="n">
        <v>6.59148856005512</v>
      </c>
      <c r="AF858" s="38" t="n">
        <v>1.39506308829834</v>
      </c>
      <c r="AG858" s="38" t="n">
        <v>3.96375067945084</v>
      </c>
      <c r="AH858" s="38" t="n">
        <v>1.7815324111376</v>
      </c>
      <c r="AI858" s="38"/>
      <c r="AJ858" s="102" t="s">
        <v>906</v>
      </c>
      <c r="AK858" s="103" t="n">
        <v>683</v>
      </c>
      <c r="AL858" s="103" t="n">
        <v>693</v>
      </c>
      <c r="AM858" s="103" t="n">
        <v>684</v>
      </c>
      <c r="AN858" s="103" t="n">
        <v>501</v>
      </c>
      <c r="AO858" s="104" t="n">
        <v>29.74</v>
      </c>
      <c r="AP858" s="105" t="n">
        <v>1.366</v>
      </c>
      <c r="AQ858" s="105" t="n">
        <v>1.154</v>
      </c>
      <c r="AR858" s="105" t="n">
        <v>1.366</v>
      </c>
      <c r="AS858" s="77" t="n">
        <v>32.386</v>
      </c>
      <c r="AT858" s="78" t="n">
        <v>32.95</v>
      </c>
      <c r="AU858" s="78" t="n">
        <v>45.93</v>
      </c>
      <c r="AV858" s="78" t="n">
        <v>38.81</v>
      </c>
      <c r="AW858" s="78" t="n">
        <v>45.94</v>
      </c>
      <c r="AX858" s="78" t="n">
        <v>10.3191489361702</v>
      </c>
      <c r="AY858" s="48" t="n">
        <v>1.41508535818835</v>
      </c>
      <c r="AZ858" s="48" t="n">
        <v>24.1769646626148</v>
      </c>
      <c r="BA858" s="48" t="n">
        <v>-0.89215021001954</v>
      </c>
      <c r="BB858" s="49" t="n">
        <f aca="false">AT858/V858</f>
        <v>1.41508535818835</v>
      </c>
      <c r="BC858" s="49" t="n">
        <f aca="false">AS858/V858</f>
        <v>1.39086356328643</v>
      </c>
      <c r="BD858" s="49" t="n">
        <f aca="false">SUM(AP858:AR858)/V858</f>
        <v>0.166889884732016</v>
      </c>
      <c r="BE858" s="53" t="n">
        <v>6.59</v>
      </c>
      <c r="BF858" s="51" t="n">
        <v>101.01</v>
      </c>
      <c r="BG858" s="51" t="n">
        <v>609.64260964261</v>
      </c>
      <c r="BH858" s="51" t="n">
        <v>208.791208791209</v>
      </c>
      <c r="BI858" s="51" t="n">
        <v>142.758142758143</v>
      </c>
      <c r="BJ858" s="51" t="n">
        <v>7.32600732600733</v>
      </c>
      <c r="BK858" s="51" t="n">
        <v>15.7410157410157</v>
      </c>
      <c r="BL858" s="51" t="n">
        <v>5.24700524700525</v>
      </c>
      <c r="BM858" s="51" t="n">
        <v>10.4940104940105</v>
      </c>
      <c r="BN858" s="52" t="n">
        <f aca="false">(BG858*0.5-BH858*0.25+BI858*0.5)/SUM(BG858:BI858)*1000</f>
        <v>337.084148727984</v>
      </c>
      <c r="BO858" s="93" t="n">
        <v>5.04795918367347</v>
      </c>
      <c r="BP858" s="94" t="s">
        <v>491</v>
      </c>
      <c r="BQ858" s="55" t="n">
        <v>311.1795</v>
      </c>
      <c r="BR858" s="56" t="n">
        <v>13.3640532387973</v>
      </c>
      <c r="BS858" s="56" t="n">
        <v>20.9047124689161</v>
      </c>
      <c r="BT858" s="56" t="n">
        <v>9.4439908952959</v>
      </c>
      <c r="BU858" s="55" t="n">
        <v>11804.3945</v>
      </c>
      <c r="BV858" s="55" t="n">
        <v>506.956777518333</v>
      </c>
      <c r="BW858" s="55" t="n">
        <v>793.006842970551</v>
      </c>
      <c r="BX858" s="55" t="n">
        <v>416</v>
      </c>
      <c r="BY858" s="106" t="n">
        <v>0.255</v>
      </c>
      <c r="BZ858" s="106" t="n">
        <v>0.82</v>
      </c>
      <c r="CA858" s="106" t="n">
        <v>4.3</v>
      </c>
      <c r="CB858" s="81"/>
      <c r="CC858" s="106" t="n">
        <v>4.57</v>
      </c>
      <c r="CD858" s="106" t="n">
        <v>6.14</v>
      </c>
      <c r="CE858" s="106" t="n">
        <v>99.9</v>
      </c>
      <c r="CF858" s="106" t="n">
        <v>36.5</v>
      </c>
      <c r="CG858" s="106" t="n">
        <v>0.254</v>
      </c>
      <c r="CH858" s="63" t="n">
        <v>24.4807249336442</v>
      </c>
      <c r="CI858" s="63" t="n">
        <v>8246.87467786536</v>
      </c>
      <c r="CJ858" s="64" t="n">
        <v>1153250.14882489</v>
      </c>
      <c r="CK858" s="65" t="n">
        <v>0.715098514079407</v>
      </c>
    </row>
    <row r="859" customFormat="false" ht="15" hidden="false" customHeight="false" outlineLevel="0" collapsed="false">
      <c r="A859" s="7" t="s">
        <v>902</v>
      </c>
      <c r="B859" s="66" t="n">
        <v>839</v>
      </c>
      <c r="C859" s="8" t="s">
        <v>945</v>
      </c>
      <c r="D859" s="107" t="n">
        <v>41374</v>
      </c>
      <c r="E859" s="4" t="s">
        <v>904</v>
      </c>
      <c r="F859" s="7" t="n">
        <v>1529</v>
      </c>
      <c r="G859" s="68" t="n">
        <v>2</v>
      </c>
      <c r="H859" s="68" t="n">
        <v>150</v>
      </c>
      <c r="I859" s="7" t="n">
        <v>2</v>
      </c>
      <c r="J859" s="8" t="n">
        <v>723</v>
      </c>
      <c r="K859" s="31" t="n">
        <v>419.058561686631</v>
      </c>
      <c r="L859" s="31" t="n">
        <v>921.43704834752</v>
      </c>
      <c r="M859" s="31" t="n">
        <v>162.985782238434</v>
      </c>
      <c r="N859" s="31" t="n">
        <v>403.904745004214</v>
      </c>
      <c r="O859" s="31" t="n">
        <v>78.9121227529573</v>
      </c>
      <c r="P859" s="31" t="n">
        <v>36.7022546958245</v>
      </c>
      <c r="Q859" s="31"/>
      <c r="R859" s="31" t="n">
        <v>179.686050415148</v>
      </c>
      <c r="S859" s="34" t="s">
        <v>905</v>
      </c>
      <c r="T859" s="35" t="n">
        <v>10.4099240345667</v>
      </c>
      <c r="U859" s="35" t="n">
        <v>8.88856594223981</v>
      </c>
      <c r="V859" s="35" t="n">
        <v>19.2984899768065</v>
      </c>
      <c r="W859" s="35" t="n">
        <v>17.7823436417928</v>
      </c>
      <c r="X859" s="35" t="n">
        <v>3.14537948489039</v>
      </c>
      <c r="Y859" s="35" t="n">
        <v>7.79475167304841</v>
      </c>
      <c r="Z859" s="35" t="n">
        <v>1.52288480999647</v>
      </c>
      <c r="AA859" s="53" t="n">
        <v>0.708298094373568</v>
      </c>
      <c r="AB859" s="101"/>
      <c r="AC859" s="71" t="n">
        <v>3.46766944290867</v>
      </c>
      <c r="AD859" s="38" t="n">
        <v>5.73165152311153</v>
      </c>
      <c r="AE859" s="38" t="n">
        <v>5.0364021933581</v>
      </c>
      <c r="AF859" s="38" t="n">
        <v>0.962917455882737</v>
      </c>
      <c r="AG859" s="38" t="n">
        <v>3.14094503466512</v>
      </c>
      <c r="AH859" s="38" t="n">
        <v>1.52328426021665</v>
      </c>
      <c r="AI859" s="38"/>
      <c r="AJ859" s="102" t="s">
        <v>906</v>
      </c>
      <c r="AK859" s="103" t="n">
        <v>703</v>
      </c>
      <c r="AL859" s="103" t="n">
        <v>717</v>
      </c>
      <c r="AM859" s="103" t="n">
        <v>694</v>
      </c>
      <c r="AN859" s="103" t="n">
        <v>597</v>
      </c>
      <c r="AO859" s="104" t="n">
        <v>22.53</v>
      </c>
      <c r="AP859" s="105" t="n">
        <v>1.217</v>
      </c>
      <c r="AQ859" s="105" t="n">
        <v>0.961</v>
      </c>
      <c r="AR859" s="105" t="n">
        <v>1.082</v>
      </c>
      <c r="AS859" s="77" t="n">
        <v>27.267</v>
      </c>
      <c r="AT859" s="78" t="n">
        <v>28.09</v>
      </c>
      <c r="AU859" s="78" t="n">
        <v>54</v>
      </c>
      <c r="AV859" s="78" t="n">
        <v>42.66</v>
      </c>
      <c r="AW859" s="78" t="n">
        <v>48.01</v>
      </c>
      <c r="AX859" s="78" t="n">
        <v>14.6382978723404</v>
      </c>
      <c r="AY859" s="48" t="n">
        <v>1.45555429641176</v>
      </c>
      <c r="AZ859" s="48" t="n">
        <v>23.4491657798537</v>
      </c>
      <c r="BA859" s="48" t="n">
        <v>-4.15067580304724</v>
      </c>
      <c r="BB859" s="49" t="n">
        <f aca="false">AT859/V859</f>
        <v>1.45555429641176</v>
      </c>
      <c r="BC859" s="49" t="n">
        <f aca="false">AS859/V859</f>
        <v>1.41290847277535</v>
      </c>
      <c r="BD859" s="49" t="n">
        <f aca="false">SUM(AP859:AR859)/V859</f>
        <v>0.168925133723828</v>
      </c>
      <c r="BE859" s="53" t="n">
        <v>7.12</v>
      </c>
      <c r="BF859" s="51" t="n">
        <v>87.25</v>
      </c>
      <c r="BG859" s="51" t="n">
        <v>643.667621776504</v>
      </c>
      <c r="BH859" s="51" t="n">
        <v>158.510028653295</v>
      </c>
      <c r="BI859" s="51" t="n">
        <v>159.541547277937</v>
      </c>
      <c r="BJ859" s="51" t="n">
        <v>6.53295128939828</v>
      </c>
      <c r="BK859" s="51" t="n">
        <v>16.3896848137536</v>
      </c>
      <c r="BL859" s="51" t="n">
        <v>5.50143266475645</v>
      </c>
      <c r="BM859" s="51" t="n">
        <v>9.8567335243553</v>
      </c>
      <c r="BN859" s="52" t="n">
        <f aca="false">(BG859*0.5-BH859*0.25+BI859*0.5)/SUM(BG859:BI859)*1000</f>
        <v>376.385412942438</v>
      </c>
      <c r="BO859" s="93" t="n">
        <v>2.93163265306122</v>
      </c>
      <c r="BP859" s="94" t="s">
        <v>491</v>
      </c>
      <c r="BQ859" s="55" t="n">
        <v>380.46</v>
      </c>
      <c r="BR859" s="56" t="n">
        <v>19.7144958210331</v>
      </c>
      <c r="BS859" s="56" t="n">
        <v>29.8401395087012</v>
      </c>
      <c r="BT859" s="56" t="n">
        <v>13.5443218227127</v>
      </c>
      <c r="BU859" s="55" t="n">
        <v>12096.3823333333</v>
      </c>
      <c r="BV859" s="55" t="n">
        <v>626.804602218678</v>
      </c>
      <c r="BW859" s="55" t="n">
        <v>948.740304834293</v>
      </c>
      <c r="BX859" s="55" t="n">
        <v>519</v>
      </c>
      <c r="BY859" s="106" t="n">
        <v>0.2142</v>
      </c>
      <c r="BZ859" s="106" t="n">
        <v>1.48</v>
      </c>
      <c r="CA859" s="106" t="n">
        <v>4.38</v>
      </c>
      <c r="CB859" s="81"/>
      <c r="CC859" s="106" t="n">
        <v>4</v>
      </c>
      <c r="CD859" s="106" t="n">
        <v>6.35</v>
      </c>
      <c r="CE859" s="106" t="n">
        <v>97.9</v>
      </c>
      <c r="CF859" s="106" t="n">
        <v>39.1</v>
      </c>
      <c r="CG859" s="106" t="n">
        <v>0.1803</v>
      </c>
      <c r="CH859" s="63" t="n">
        <v>124.068038720124</v>
      </c>
      <c r="CI859" s="63" t="n">
        <v>26627.0652409896</v>
      </c>
      <c r="CJ859" s="63" t="n">
        <v>1797832.7712192</v>
      </c>
      <c r="CK859" s="85" t="n">
        <v>1.48106462777027</v>
      </c>
    </row>
    <row r="860" customFormat="false" ht="15" hidden="false" customHeight="false" outlineLevel="0" collapsed="false">
      <c r="A860" s="7" t="s">
        <v>902</v>
      </c>
      <c r="B860" s="66" t="n">
        <v>840</v>
      </c>
      <c r="C860" s="8" t="s">
        <v>946</v>
      </c>
      <c r="D860" s="107" t="n">
        <v>41375</v>
      </c>
      <c r="E860" s="4" t="s">
        <v>904</v>
      </c>
      <c r="F860" s="7" t="n">
        <v>1537</v>
      </c>
      <c r="G860" s="68" t="n">
        <v>2</v>
      </c>
      <c r="H860" s="68" t="n">
        <v>101</v>
      </c>
      <c r="I860" s="7" t="n">
        <v>2</v>
      </c>
      <c r="J860" s="8" t="n">
        <v>579</v>
      </c>
      <c r="K860" s="31" t="n">
        <v>584.450834291519</v>
      </c>
      <c r="L860" s="31" t="n">
        <v>925.493936779157</v>
      </c>
      <c r="M860" s="31" t="n">
        <v>195.625800673475</v>
      </c>
      <c r="N860" s="31" t="n">
        <v>343.753901521018</v>
      </c>
      <c r="O860" s="31" t="n">
        <v>76.5010947195398</v>
      </c>
      <c r="P860" s="31" t="n">
        <v>50.602945643158</v>
      </c>
      <c r="Q860" s="31"/>
      <c r="R860" s="31" t="n">
        <v>208.250685518315</v>
      </c>
      <c r="S860" s="34" t="s">
        <v>905</v>
      </c>
      <c r="T860" s="35" t="n">
        <v>6.73886813258361</v>
      </c>
      <c r="U860" s="35" t="n">
        <v>12.8865900457365</v>
      </c>
      <c r="V860" s="35" t="n">
        <v>19.6254581783201</v>
      </c>
      <c r="W860" s="35" t="n">
        <v>18.1632425505482</v>
      </c>
      <c r="X860" s="35" t="n">
        <v>3.83924596971768</v>
      </c>
      <c r="Y860" s="35" t="n">
        <v>6.74632781793512</v>
      </c>
      <c r="Z860" s="35" t="n">
        <v>1.50136903501404</v>
      </c>
      <c r="AA860" s="53" t="n">
        <v>0.993105993419605</v>
      </c>
      <c r="AB860" s="101"/>
      <c r="AC860" s="71" t="n">
        <v>4.0870151192462</v>
      </c>
      <c r="AD860" s="38" t="n">
        <v>5.73063378806948</v>
      </c>
      <c r="AE860" s="38" t="n">
        <v>4.98708405406747</v>
      </c>
      <c r="AF860" s="38" t="n">
        <v>1.19770246170652</v>
      </c>
      <c r="AG860" s="38" t="n">
        <v>3.13465668207401</v>
      </c>
      <c r="AH860" s="38" t="n">
        <v>1.49975107990809</v>
      </c>
      <c r="AI860" s="38"/>
      <c r="AJ860" s="102" t="s">
        <v>906</v>
      </c>
      <c r="AK860" s="103" t="n">
        <v>708</v>
      </c>
      <c r="AL860" s="103" t="n">
        <v>725</v>
      </c>
      <c r="AM860" s="103" t="n">
        <v>688</v>
      </c>
      <c r="AN860" s="103" t="n">
        <v>535</v>
      </c>
      <c r="AO860" s="104" t="n">
        <v>26.12</v>
      </c>
      <c r="AP860" s="105" t="n">
        <v>1.195</v>
      </c>
      <c r="AQ860" s="105" t="n">
        <v>0.963</v>
      </c>
      <c r="AR860" s="105" t="n">
        <v>1.263</v>
      </c>
      <c r="AS860" s="77" t="n">
        <v>28.373</v>
      </c>
      <c r="AT860" s="78" t="n">
        <v>28.82</v>
      </c>
      <c r="AU860" s="78" t="n">
        <v>45.74</v>
      </c>
      <c r="AV860" s="78" t="n">
        <v>36.89</v>
      </c>
      <c r="AW860" s="78" t="n">
        <v>48.34</v>
      </c>
      <c r="AX860" s="78" t="n">
        <v>25.063829787234</v>
      </c>
      <c r="AY860" s="48" t="n">
        <v>1.46850074725067</v>
      </c>
      <c r="AZ860" s="48" t="n">
        <v>21.299887522662</v>
      </c>
      <c r="BA860" s="48" t="n">
        <v>-1.67442934434186</v>
      </c>
      <c r="BB860" s="49" t="n">
        <f aca="false">AT860/V860</f>
        <v>1.46850074725067</v>
      </c>
      <c r="BC860" s="49" t="n">
        <f aca="false">AS860/V860</f>
        <v>1.44572420894321</v>
      </c>
      <c r="BD860" s="49" t="n">
        <f aca="false">SUM(AP860:AR860)/V860</f>
        <v>0.174314401677466</v>
      </c>
      <c r="BE860" s="53" t="n">
        <v>6.12</v>
      </c>
      <c r="BF860" s="51" t="n">
        <v>103.46</v>
      </c>
      <c r="BG860" s="51" t="n">
        <v>610.76744635608</v>
      </c>
      <c r="BH860" s="51" t="n">
        <v>244.732263676783</v>
      </c>
      <c r="BI860" s="51" t="n">
        <v>114.343707713126</v>
      </c>
      <c r="BJ860" s="51" t="n">
        <v>7.0558670017398</v>
      </c>
      <c r="BK860" s="51" t="n">
        <v>13.048521167601</v>
      </c>
      <c r="BL860" s="51" t="n">
        <v>4.0595399188092</v>
      </c>
      <c r="BM860" s="51" t="n">
        <v>5.9926541658612</v>
      </c>
      <c r="BN860" s="52" t="n">
        <f aca="false">(BG860*0.5-BH860*0.25+BI860*0.5)/SUM(BG860:BI860)*1000</f>
        <v>310.743472194539</v>
      </c>
      <c r="BO860" s="93" t="n">
        <v>3.54744897959184</v>
      </c>
      <c r="BP860" s="94" t="s">
        <v>491</v>
      </c>
      <c r="BQ860" s="55" t="n">
        <v>446.978494959907</v>
      </c>
      <c r="BR860" s="56" t="n">
        <v>22.7754425348232</v>
      </c>
      <c r="BS860" s="56" t="n">
        <v>33.9433920071203</v>
      </c>
      <c r="BT860" s="56" t="n">
        <v>15.5093162720301</v>
      </c>
      <c r="BU860" s="55" t="n">
        <v>12135.6052986818</v>
      </c>
      <c r="BV860" s="55" t="n">
        <v>618.360355636829</v>
      </c>
      <c r="BW860" s="55" t="n">
        <v>921.573660795</v>
      </c>
      <c r="BX860" s="55" t="n">
        <v>471</v>
      </c>
      <c r="BY860" s="106" t="n">
        <v>0.204</v>
      </c>
      <c r="BZ860" s="106" t="n">
        <v>0.84</v>
      </c>
      <c r="CA860" s="106" t="n">
        <v>4.87</v>
      </c>
      <c r="CB860" s="81"/>
      <c r="CC860" s="106" t="n">
        <v>4.25</v>
      </c>
      <c r="CD860" s="106" t="n">
        <v>10.05</v>
      </c>
      <c r="CE860" s="106" t="n">
        <v>94.8</v>
      </c>
      <c r="CF860" s="106" t="n">
        <v>38.6</v>
      </c>
      <c r="CG860" s="106" t="n">
        <v>0.5648</v>
      </c>
      <c r="CH860" s="63" t="n">
        <v>15.705480321557</v>
      </c>
      <c r="CI860" s="63" t="n">
        <v>2979.74100527269</v>
      </c>
      <c r="CJ860" s="64" t="n">
        <v>1654036.66799737</v>
      </c>
      <c r="CK860" s="65" t="n">
        <v>0.180149634099734</v>
      </c>
    </row>
    <row r="861" customFormat="false" ht="15" hidden="false" customHeight="false" outlineLevel="0" collapsed="false">
      <c r="A861" s="7" t="s">
        <v>902</v>
      </c>
      <c r="B861" s="66" t="n">
        <v>841</v>
      </c>
      <c r="C861" s="8" t="s">
        <v>947</v>
      </c>
      <c r="D861" s="107" t="n">
        <v>41375</v>
      </c>
      <c r="E861" s="4" t="s">
        <v>904</v>
      </c>
      <c r="F861" s="7" t="n">
        <v>1558</v>
      </c>
      <c r="G861" s="68" t="n">
        <v>2</v>
      </c>
      <c r="H861" s="68" t="n">
        <v>137</v>
      </c>
      <c r="I861" s="7" t="n">
        <v>1</v>
      </c>
      <c r="J861" s="8" t="n">
        <v>607</v>
      </c>
      <c r="K861" s="31" t="n">
        <v>426.774660171801</v>
      </c>
      <c r="L861" s="31" t="n">
        <v>921.697300138819</v>
      </c>
      <c r="M861" s="31" t="n">
        <v>163.659889180697</v>
      </c>
      <c r="N861" s="31" t="n">
        <v>400.365798945682</v>
      </c>
      <c r="O861" s="31" t="n">
        <v>78.590741891771</v>
      </c>
      <c r="P861" s="31" t="n">
        <v>37.1026469106851</v>
      </c>
      <c r="Q861" s="31"/>
      <c r="R861" s="31" t="n">
        <v>181.856083454955</v>
      </c>
      <c r="S861" s="34" t="s">
        <v>905</v>
      </c>
      <c r="T861" s="35" t="n">
        <v>10.692117582804</v>
      </c>
      <c r="U861" s="35" t="n">
        <v>9.47508196849533</v>
      </c>
      <c r="V861" s="35" t="n">
        <v>20.1671995512993</v>
      </c>
      <c r="W861" s="35" t="n">
        <v>18.5880533777934</v>
      </c>
      <c r="X861" s="35" t="n">
        <v>3.30056164365065</v>
      </c>
      <c r="Y861" s="35" t="n">
        <v>8.07425696085294</v>
      </c>
      <c r="Z861" s="35" t="n">
        <v>1.584955174616</v>
      </c>
      <c r="AA861" s="53" t="n">
        <v>0.748256484129186</v>
      </c>
      <c r="AB861" s="101"/>
      <c r="AC861" s="71" t="n">
        <v>3.66752792465382</v>
      </c>
      <c r="AD861" s="38" t="n">
        <v>7.42152943487814</v>
      </c>
      <c r="AE861" s="38" t="n">
        <v>6.56768247339541</v>
      </c>
      <c r="AF861" s="38" t="n">
        <v>1.39524753375709</v>
      </c>
      <c r="AG861" s="38" t="n">
        <v>3.78498001178785</v>
      </c>
      <c r="AH861" s="38" t="n">
        <v>1.58457452719931</v>
      </c>
      <c r="AI861" s="38"/>
      <c r="AJ861" s="102" t="s">
        <v>906</v>
      </c>
      <c r="AK861" s="103" t="n">
        <v>632</v>
      </c>
      <c r="AL861" s="103" t="n">
        <v>647</v>
      </c>
      <c r="AM861" s="103" t="n">
        <v>577</v>
      </c>
      <c r="AN861" s="103" t="n">
        <v>531</v>
      </c>
      <c r="AO861" s="104" t="n">
        <v>27.12</v>
      </c>
      <c r="AP861" s="105" t="n">
        <v>1.194</v>
      </c>
      <c r="AQ861" s="105" t="n">
        <v>1.031</v>
      </c>
      <c r="AR861" s="105" t="n">
        <v>1.284</v>
      </c>
      <c r="AS861" s="77" t="n">
        <v>28.758</v>
      </c>
      <c r="AT861" s="78" t="n">
        <v>29.45</v>
      </c>
      <c r="AU861" s="78" t="n">
        <v>44.02</v>
      </c>
      <c r="AV861" s="78" t="n">
        <v>38.03</v>
      </c>
      <c r="AW861" s="78" t="n">
        <v>47.34</v>
      </c>
      <c r="AX861" s="78" t="n">
        <v>20.2553191489362</v>
      </c>
      <c r="AY861" s="48" t="n">
        <v>1.460291991711</v>
      </c>
      <c r="AZ861" s="48" t="n">
        <v>22.2757108212221</v>
      </c>
      <c r="BA861" s="48" t="n">
        <v>-2.10851126992281</v>
      </c>
      <c r="BB861" s="49" t="n">
        <f aca="false">AT861/V861</f>
        <v>1.460291991711</v>
      </c>
      <c r="BC861" s="49" t="n">
        <f aca="false">AS861/V861</f>
        <v>1.42597884881579</v>
      </c>
      <c r="BD861" s="49" t="n">
        <f aca="false">SUM(AP861:AR861)/V861</f>
        <v>0.17399540234003</v>
      </c>
      <c r="BE861" s="53" t="n">
        <v>6.49</v>
      </c>
      <c r="BF861" s="51" t="n">
        <v>95.36</v>
      </c>
      <c r="BG861" s="51" t="n">
        <v>654.991610738255</v>
      </c>
      <c r="BH861" s="51" t="n">
        <v>171.036073825503</v>
      </c>
      <c r="BI861" s="51" t="n">
        <v>130.453020134228</v>
      </c>
      <c r="BJ861" s="51" t="n">
        <v>9.43791946308725</v>
      </c>
      <c r="BK861" s="51" t="n">
        <v>16.0444630872483</v>
      </c>
      <c r="BL861" s="51" t="n">
        <v>5.66275167785235</v>
      </c>
      <c r="BM861" s="51" t="n">
        <v>12.2692953020134</v>
      </c>
      <c r="BN861" s="52" t="n">
        <f aca="false">(BG861*0.5-BH861*0.25+BI861*0.5)/SUM(BG861:BI861)*1000</f>
        <v>365.886415963162</v>
      </c>
      <c r="BO861" s="93" t="n">
        <v>2.95765306122449</v>
      </c>
      <c r="BP861" s="94" t="s">
        <v>491</v>
      </c>
      <c r="BQ861" s="55" t="n">
        <v>411.51093761278</v>
      </c>
      <c r="BR861" s="56" t="n">
        <v>20.404961857298</v>
      </c>
      <c r="BS861" s="56" t="n">
        <v>34.2170993892505</v>
      </c>
      <c r="BT861" s="56" t="n">
        <v>13.9732067101114</v>
      </c>
      <c r="BU861" s="55" t="n">
        <v>11791.1160875029</v>
      </c>
      <c r="BV861" s="55" t="n">
        <v>584.667993070125</v>
      </c>
      <c r="BW861" s="55" t="n">
        <v>980.430297714028</v>
      </c>
      <c r="BX861" s="55" t="n">
        <v>408</v>
      </c>
      <c r="BY861" s="106" t="n">
        <v>0.2856</v>
      </c>
      <c r="BZ861" s="106" t="n">
        <v>0.91</v>
      </c>
      <c r="CA861" s="106" t="n">
        <v>4.13</v>
      </c>
      <c r="CB861" s="81"/>
      <c r="CC861" s="106" t="n">
        <v>2.86</v>
      </c>
      <c r="CD861" s="106" t="n">
        <v>7.01</v>
      </c>
      <c r="CE861" s="106" t="n">
        <v>99.9</v>
      </c>
      <c r="CF861" s="106" t="n">
        <v>39.5</v>
      </c>
      <c r="CG861" s="106" t="n">
        <v>0.4789</v>
      </c>
      <c r="CH861" s="63" t="n">
        <v>2309.77805155266</v>
      </c>
      <c r="CI861" s="63" t="n">
        <v>8082.80596926151</v>
      </c>
      <c r="CJ861" s="64" t="n">
        <v>1415140.60595166</v>
      </c>
      <c r="CK861" s="65" t="n">
        <v>0.57116628095241</v>
      </c>
    </row>
    <row r="862" customFormat="false" ht="15" hidden="false" customHeight="false" outlineLevel="0" collapsed="false">
      <c r="A862" s="7" t="s">
        <v>902</v>
      </c>
      <c r="B862" s="66" t="n">
        <v>842</v>
      </c>
      <c r="C862" s="8" t="s">
        <v>948</v>
      </c>
      <c r="D862" s="107" t="n">
        <v>41375</v>
      </c>
      <c r="E862" s="4" t="s">
        <v>904</v>
      </c>
      <c r="F862" s="7" t="n">
        <v>1563</v>
      </c>
      <c r="G862" s="68" t="n">
        <v>2</v>
      </c>
      <c r="H862" s="68" t="n">
        <v>123</v>
      </c>
      <c r="I862" s="7" t="n">
        <v>1</v>
      </c>
      <c r="J862" s="8" t="n">
        <v>654</v>
      </c>
      <c r="K862" s="31" t="n">
        <v>429.822266733189</v>
      </c>
      <c r="L862" s="31" t="n">
        <v>920.552903642916</v>
      </c>
      <c r="M862" s="31" t="n">
        <v>168.635882155795</v>
      </c>
      <c r="N862" s="31" t="n">
        <v>393.529286663215</v>
      </c>
      <c r="O862" s="31" t="n">
        <v>72.3361101442062</v>
      </c>
      <c r="P862" s="31" t="n">
        <v>38.3612777656309</v>
      </c>
      <c r="Q862" s="31"/>
      <c r="R862" s="31" t="n">
        <v>182.853126773937</v>
      </c>
      <c r="S862" s="34" t="s">
        <v>905</v>
      </c>
      <c r="T862" s="35" t="n">
        <v>8.481926838993</v>
      </c>
      <c r="U862" s="35" t="n">
        <v>7.84883580847294</v>
      </c>
      <c r="V862" s="35" t="n">
        <v>16.3307626474659</v>
      </c>
      <c r="W862" s="35" t="n">
        <v>15.033330973828</v>
      </c>
      <c r="X862" s="35" t="n">
        <v>2.75395256533233</v>
      </c>
      <c r="Y862" s="35" t="n">
        <v>6.42663337532355</v>
      </c>
      <c r="Z862" s="35" t="n">
        <v>1.18130384560598</v>
      </c>
      <c r="AA862" s="53" t="n">
        <v>0.626468922044031</v>
      </c>
      <c r="AB862" s="101"/>
      <c r="AC862" s="71" t="n">
        <v>2.98613101269217</v>
      </c>
      <c r="AD862" s="38" t="n">
        <v>5.63411311337575</v>
      </c>
      <c r="AE862" s="38" t="n">
        <v>5.01830455008378</v>
      </c>
      <c r="AF862" s="38" t="n">
        <v>1.00287213418088</v>
      </c>
      <c r="AG862" s="38" t="n">
        <v>2.87339768782163</v>
      </c>
      <c r="AH862" s="38" t="n">
        <v>1.18137253966556</v>
      </c>
      <c r="AI862" s="38"/>
      <c r="AJ862" s="102" t="s">
        <v>906</v>
      </c>
      <c r="AK862" s="103" t="n">
        <v>655</v>
      </c>
      <c r="AL862" s="103" t="n">
        <v>666</v>
      </c>
      <c r="AM862" s="103" t="n">
        <v>636</v>
      </c>
      <c r="AN862" s="103" t="n">
        <v>553</v>
      </c>
      <c r="AO862" s="104" t="n">
        <v>22.63</v>
      </c>
      <c r="AP862" s="105" t="n">
        <v>1</v>
      </c>
      <c r="AQ862" s="105" t="n">
        <v>0.923</v>
      </c>
      <c r="AR862" s="105" t="n">
        <v>1.094</v>
      </c>
      <c r="AS862" s="77" t="n">
        <v>24.052</v>
      </c>
      <c r="AT862" s="78" t="n">
        <v>25.23</v>
      </c>
      <c r="AU862" s="78" t="n">
        <v>44.2</v>
      </c>
      <c r="AV862" s="78" t="n">
        <v>40.79</v>
      </c>
      <c r="AW862" s="78" t="n">
        <v>48.34</v>
      </c>
      <c r="AX862" s="78" t="n">
        <v>9.65957446808511</v>
      </c>
      <c r="AY862" s="48" t="n">
        <v>1.54493703353866</v>
      </c>
      <c r="AZ862" s="48" t="n">
        <v>21.102493848806</v>
      </c>
      <c r="BA862" s="48" t="n">
        <v>-4.77173120134002</v>
      </c>
      <c r="BB862" s="49" t="n">
        <f aca="false">AT862/V862</f>
        <v>1.54493703353866</v>
      </c>
      <c r="BC862" s="49" t="n">
        <f aca="false">AS862/V862</f>
        <v>1.4728032314971</v>
      </c>
      <c r="BD862" s="49" t="n">
        <f aca="false">SUM(AP862:AR862)/V862</f>
        <v>0.18474336227452</v>
      </c>
      <c r="BE862" s="53" t="n">
        <v>7.21</v>
      </c>
      <c r="BF862" s="51" t="n">
        <v>93.41</v>
      </c>
      <c r="BG862" s="51" t="n">
        <v>643.400064232952</v>
      </c>
      <c r="BH862" s="51" t="n">
        <v>153.19558933733</v>
      </c>
      <c r="BI862" s="51" t="n">
        <v>151.910930307248</v>
      </c>
      <c r="BJ862" s="51" t="n">
        <v>24.5155764907398</v>
      </c>
      <c r="BK862" s="51" t="n">
        <v>14.6665239267744</v>
      </c>
      <c r="BL862" s="51" t="n">
        <v>3.63986725190023</v>
      </c>
      <c r="BM862" s="51" t="n">
        <v>8.56439353388288</v>
      </c>
      <c r="BN862" s="52" t="n">
        <f aca="false">(BG862*0.5-BH862*0.25+BI862*0.5)/SUM(BG862:BI862)*1000</f>
        <v>378.865688487585</v>
      </c>
      <c r="BO862" s="93" t="n">
        <v>1.92551020408163</v>
      </c>
      <c r="BP862" s="94" t="s">
        <v>491</v>
      </c>
      <c r="BQ862" s="55" t="n">
        <v>376.950827300438</v>
      </c>
      <c r="BR862" s="56" t="n">
        <v>23.0822549710457</v>
      </c>
      <c r="BS862" s="56" t="n">
        <v>37.6491566752035</v>
      </c>
      <c r="BT862" s="56" t="n">
        <v>14.9405797582417</v>
      </c>
      <c r="BU862" s="55" t="n">
        <v>11353.4153177047</v>
      </c>
      <c r="BV862" s="55" t="n">
        <v>695.216479645942</v>
      </c>
      <c r="BW862" s="55" t="n">
        <v>1133.95828086149</v>
      </c>
      <c r="BX862" s="55" t="n">
        <v>396</v>
      </c>
      <c r="BY862" s="106" t="n">
        <v>0.2346</v>
      </c>
      <c r="BZ862" s="106" t="n">
        <v>0.77</v>
      </c>
      <c r="CA862" s="106" t="n">
        <v>4.89</v>
      </c>
      <c r="CB862" s="81"/>
      <c r="CC862" s="106" t="n">
        <v>2.89</v>
      </c>
      <c r="CD862" s="106" t="n">
        <v>6.89</v>
      </c>
      <c r="CE862" s="106" t="n">
        <v>95.8</v>
      </c>
      <c r="CF862" s="106" t="n">
        <v>36.3</v>
      </c>
      <c r="CG862" s="106" t="n">
        <v>0.1459</v>
      </c>
      <c r="CH862" s="63" t="n">
        <v>642.89553190429</v>
      </c>
      <c r="CI862" s="63" t="n">
        <v>3212.34160266497</v>
      </c>
      <c r="CJ862" s="64" t="n">
        <v>1539145.1227453</v>
      </c>
      <c r="CK862" s="65" t="n">
        <v>0.208709468340143</v>
      </c>
    </row>
    <row r="863" customFormat="false" ht="15" hidden="false" customHeight="false" outlineLevel="0" collapsed="false">
      <c r="A863" s="7" t="s">
        <v>902</v>
      </c>
      <c r="B863" s="66" t="n">
        <v>843</v>
      </c>
      <c r="C863" s="8" t="s">
        <v>949</v>
      </c>
      <c r="D863" s="107" t="n">
        <v>41374</v>
      </c>
      <c r="E863" s="4" t="s">
        <v>904</v>
      </c>
      <c r="F863" s="7" t="n">
        <v>1569</v>
      </c>
      <c r="G863" s="68" t="n">
        <v>2</v>
      </c>
      <c r="H863" s="68" t="n">
        <v>176</v>
      </c>
      <c r="I863" s="7" t="n">
        <v>1</v>
      </c>
      <c r="J863" s="8" t="n">
        <v>725</v>
      </c>
      <c r="K863" s="31" t="n">
        <v>426.177194577315</v>
      </c>
      <c r="L863" s="31" t="n">
        <v>920.163977569574</v>
      </c>
      <c r="M863" s="31" t="n">
        <v>168.54475026435</v>
      </c>
      <c r="N863" s="31" t="n">
        <v>392.583749434144</v>
      </c>
      <c r="O863" s="31" t="n">
        <v>70.7105680853131</v>
      </c>
      <c r="P863" s="31" t="n">
        <v>38.2611929907926</v>
      </c>
      <c r="Q863" s="31"/>
      <c r="R863" s="31" t="n">
        <v>184.132637462687</v>
      </c>
      <c r="S863" s="34" t="s">
        <v>905</v>
      </c>
      <c r="T863" s="35" t="n">
        <v>8.49893012530252</v>
      </c>
      <c r="U863" s="35" t="n">
        <v>7.81381126512274</v>
      </c>
      <c r="V863" s="35" t="n">
        <v>16.3127413904253</v>
      </c>
      <c r="W863" s="35" t="n">
        <v>15.0103970028775</v>
      </c>
      <c r="X863" s="35" t="n">
        <v>2.74942692377615</v>
      </c>
      <c r="Y863" s="35" t="n">
        <v>6.40411717860269</v>
      </c>
      <c r="Z863" s="35" t="n">
        <v>1.15348321074577</v>
      </c>
      <c r="AA863" s="53" t="n">
        <v>0.624144946547952</v>
      </c>
      <c r="AB863" s="101"/>
      <c r="AC863" s="71" t="n">
        <v>3.00370809646574</v>
      </c>
      <c r="AD863" s="38" t="n">
        <v>4.60019307209993</v>
      </c>
      <c r="AE863" s="38" t="n">
        <v>4.03505935319245</v>
      </c>
      <c r="AF863" s="38" t="n">
        <v>0.841835332194286</v>
      </c>
      <c r="AG863" s="38" t="n">
        <v>2.55770734808756</v>
      </c>
      <c r="AH863" s="38" t="n">
        <v>1.15225770855616</v>
      </c>
      <c r="AI863" s="38"/>
      <c r="AJ863" s="102" t="s">
        <v>906</v>
      </c>
      <c r="AK863" s="103" t="n">
        <v>718</v>
      </c>
      <c r="AL863" s="103" t="n">
        <v>731</v>
      </c>
      <c r="AM863" s="103" t="n">
        <v>693</v>
      </c>
      <c r="AN863" s="103" t="n">
        <v>600</v>
      </c>
      <c r="AO863" s="104" t="n">
        <v>17.37</v>
      </c>
      <c r="AP863" s="105" t="n">
        <v>0.737</v>
      </c>
      <c r="AQ863" s="105" t="n">
        <v>0.699</v>
      </c>
      <c r="AR863" s="105" t="n">
        <v>0.831</v>
      </c>
      <c r="AS863" s="77" t="n">
        <v>18.003</v>
      </c>
      <c r="AT863" s="78" t="n">
        <v>18.86</v>
      </c>
      <c r="AU863" s="78" t="n">
        <v>42.4</v>
      </c>
      <c r="AV863" s="78" t="n">
        <v>40.25</v>
      </c>
      <c r="AW863" s="78" t="n">
        <v>47.82</v>
      </c>
      <c r="AX863" s="78" t="n">
        <v>14.5106382978723</v>
      </c>
      <c r="AY863" s="48" t="n">
        <v>1.15615147378416</v>
      </c>
      <c r="AZ863" s="48" t="n">
        <v>20.1418201211312</v>
      </c>
      <c r="BA863" s="48" t="n">
        <v>-3.82907873070595</v>
      </c>
      <c r="BB863" s="49" t="n">
        <f aca="false">AT863/V863</f>
        <v>1.15615147378416</v>
      </c>
      <c r="BC863" s="49" t="n">
        <f aca="false">AS863/V863</f>
        <v>1.10361585273257</v>
      </c>
      <c r="BD863" s="49" t="n">
        <f aca="false">SUM(AP863:AR863)/V863</f>
        <v>0.138971123598552</v>
      </c>
      <c r="BE863" s="53" t="n">
        <v>6.67</v>
      </c>
      <c r="BF863" s="51" t="n">
        <v>96.95</v>
      </c>
      <c r="BG863" s="51" t="n">
        <v>687.055183084064</v>
      </c>
      <c r="BH863" s="51" t="n">
        <v>153.790613718412</v>
      </c>
      <c r="BI863" s="51" t="n">
        <v>124.29087158329</v>
      </c>
      <c r="BJ863" s="51" t="n">
        <v>8.45796802475503</v>
      </c>
      <c r="BK863" s="51" t="n">
        <v>13.7184115523466</v>
      </c>
      <c r="BL863" s="51" t="n">
        <v>4.22898401237751</v>
      </c>
      <c r="BM863" s="51" t="n">
        <v>8.45796802475503</v>
      </c>
      <c r="BN863" s="52" t="n">
        <f aca="false">(BG863*0.5-BH863*0.25+BI863*0.5)/SUM(BG863:BI863)*1000</f>
        <v>380.490541840333</v>
      </c>
      <c r="BO863" s="93" t="n">
        <v>3.02704081632653</v>
      </c>
      <c r="BP863" s="94" t="s">
        <v>491</v>
      </c>
      <c r="BQ863" s="55" t="n">
        <v>429.824032269844</v>
      </c>
      <c r="BR863" s="56" t="n">
        <v>26.348976053904</v>
      </c>
      <c r="BS863" s="56" t="n">
        <v>39.1724863823288</v>
      </c>
      <c r="BT863" s="56" t="n">
        <v>22.7902456134594</v>
      </c>
      <c r="BU863" s="55" t="n">
        <v>11984.0884214745</v>
      </c>
      <c r="BV863" s="55" t="n">
        <v>734.645890267622</v>
      </c>
      <c r="BW863" s="55" t="n">
        <v>1092.18309180096</v>
      </c>
      <c r="BX863" s="55" t="n">
        <v>623</v>
      </c>
      <c r="BY863" s="81"/>
      <c r="BZ863" s="81"/>
      <c r="CA863" s="106" t="n">
        <v>4.3</v>
      </c>
      <c r="CB863" s="81"/>
      <c r="CC863" s="106" t="n">
        <v>4.46</v>
      </c>
      <c r="CD863" s="106" t="n">
        <v>9</v>
      </c>
      <c r="CE863" s="81"/>
      <c r="CF863" s="106" t="n">
        <v>38.7</v>
      </c>
      <c r="CG863" s="106" t="n">
        <v>0.6062</v>
      </c>
      <c r="CH863" s="63" t="n">
        <v>66.4616788350081</v>
      </c>
      <c r="CI863" s="63" t="n">
        <v>12672.3504915003</v>
      </c>
      <c r="CJ863" s="64" t="n">
        <v>1947973.97178052</v>
      </c>
      <c r="CK863" s="65" t="n">
        <v>0.650540031595867</v>
      </c>
    </row>
    <row r="864" customFormat="false" ht="15" hidden="false" customHeight="false" outlineLevel="0" collapsed="false">
      <c r="A864" s="7" t="s">
        <v>902</v>
      </c>
      <c r="B864" s="66" t="n">
        <v>844</v>
      </c>
      <c r="C864" s="8" t="s">
        <v>950</v>
      </c>
      <c r="D864" s="107" t="n">
        <v>41375</v>
      </c>
      <c r="E864" s="4" t="s">
        <v>904</v>
      </c>
      <c r="F864" s="7" t="n">
        <v>1573</v>
      </c>
      <c r="G864" s="68" t="n">
        <v>2</v>
      </c>
      <c r="H864" s="68" t="n">
        <v>149</v>
      </c>
      <c r="I864" s="7" t="n">
        <v>1</v>
      </c>
      <c r="J864" s="8" t="n">
        <v>610</v>
      </c>
      <c r="K864" s="31" t="n">
        <v>421.836749935112</v>
      </c>
      <c r="L864" s="31" t="n">
        <v>919.920424299117</v>
      </c>
      <c r="M864" s="31" t="n">
        <v>168.086706797827</v>
      </c>
      <c r="N864" s="31" t="n">
        <v>394.209233759711</v>
      </c>
      <c r="O864" s="31" t="n">
        <v>70.638870677738</v>
      </c>
      <c r="P864" s="31" t="n">
        <v>38.0069244621548</v>
      </c>
      <c r="Q864" s="31"/>
      <c r="R864" s="31" t="n">
        <v>183.495292217112</v>
      </c>
      <c r="S864" s="34" t="s">
        <v>905</v>
      </c>
      <c r="T864" s="35" t="n">
        <v>8.9524569531214</v>
      </c>
      <c r="U864" s="35" t="n">
        <v>8.07150569110617</v>
      </c>
      <c r="V864" s="35" t="n">
        <v>17.0239626442276</v>
      </c>
      <c r="W864" s="35" t="n">
        <v>15.6606909389301</v>
      </c>
      <c r="X864" s="35" t="n">
        <v>2.86150181751744</v>
      </c>
      <c r="Y864" s="35" t="n">
        <v>6.71100326953489</v>
      </c>
      <c r="Z864" s="35" t="n">
        <v>1.20255349564823</v>
      </c>
      <c r="AA864" s="53" t="n">
        <v>0.647028462265703</v>
      </c>
      <c r="AB864" s="101"/>
      <c r="AC864" s="71" t="n">
        <v>3.12381700009574</v>
      </c>
      <c r="AD864" s="38" t="n">
        <v>4.85182935360486</v>
      </c>
      <c r="AE864" s="38" t="n">
        <v>4.21818044002406</v>
      </c>
      <c r="AF864" s="38" t="n">
        <v>0.955810382660157</v>
      </c>
      <c r="AG864" s="38" t="n">
        <v>2.62969150965383</v>
      </c>
      <c r="AH864" s="38" t="n">
        <v>1.2016920116763</v>
      </c>
      <c r="AI864" s="38"/>
      <c r="AJ864" s="102" t="s">
        <v>906</v>
      </c>
      <c r="AK864" s="103" t="n">
        <v>715</v>
      </c>
      <c r="AL864" s="103" t="n">
        <v>730</v>
      </c>
      <c r="AM864" s="103" t="n">
        <v>666</v>
      </c>
      <c r="AN864" s="103" t="n">
        <v>608</v>
      </c>
      <c r="AO864" s="104" t="n">
        <v>18.05</v>
      </c>
      <c r="AP864" s="105" t="n">
        <v>0.779</v>
      </c>
      <c r="AQ864" s="105" t="n">
        <v>0.679</v>
      </c>
      <c r="AR864" s="105" t="n">
        <v>0.87</v>
      </c>
      <c r="AS864" s="77" t="n">
        <v>18.905</v>
      </c>
      <c r="AT864" s="78" t="n">
        <v>19.44</v>
      </c>
      <c r="AU864" s="78" t="n">
        <v>43.18</v>
      </c>
      <c r="AV864" s="78" t="n">
        <v>37.62</v>
      </c>
      <c r="AW864" s="78" t="n">
        <v>48.17</v>
      </c>
      <c r="AX864" s="78" t="n">
        <v>12.4042553191489</v>
      </c>
      <c r="AY864" s="48" t="n">
        <v>1.14191979894832</v>
      </c>
      <c r="AZ864" s="48" t="n">
        <v>18.7572117050707</v>
      </c>
      <c r="BA864" s="48" t="n">
        <v>-1.73324906084316</v>
      </c>
      <c r="BB864" s="49" t="n">
        <f aca="false">AT864/V864</f>
        <v>1.14191979894832</v>
      </c>
      <c r="BC864" s="49" t="n">
        <f aca="false">AS864/V864</f>
        <v>1.11049350818508</v>
      </c>
      <c r="BD864" s="49" t="n">
        <f aca="false">SUM(AP864:AR864)/V864</f>
        <v>0.136748420367885</v>
      </c>
      <c r="BE864" s="53" t="n">
        <v>7.5</v>
      </c>
      <c r="BF864" s="51" t="n">
        <v>68.19</v>
      </c>
      <c r="BG864" s="51" t="n">
        <v>645.98914796891</v>
      </c>
      <c r="BH864" s="51" t="n">
        <v>218.360463411057</v>
      </c>
      <c r="BI864" s="51" t="n">
        <v>99.4280686317642</v>
      </c>
      <c r="BJ864" s="51" t="n">
        <v>9.09224226426162</v>
      </c>
      <c r="BK864" s="51" t="n">
        <v>15.1048540841766</v>
      </c>
      <c r="BL864" s="51" t="n">
        <v>6.01261181991494</v>
      </c>
      <c r="BM864" s="51" t="n">
        <v>6.01261181991494</v>
      </c>
      <c r="BN864" s="52" t="n">
        <f aca="false">(BG864*0.5-BH864*0.25+BI864*0.5)/SUM(BG864:BI864)*1000</f>
        <v>330.074558734023</v>
      </c>
      <c r="BO864" s="93" t="n">
        <v>3.2265306122449</v>
      </c>
      <c r="BP864" s="94" t="s">
        <v>491</v>
      </c>
      <c r="BQ864" s="55" t="n">
        <v>422.411255431728</v>
      </c>
      <c r="BR864" s="56" t="n">
        <v>24.8127456726391</v>
      </c>
      <c r="BS864" s="56" t="n">
        <v>36.9489160882105</v>
      </c>
      <c r="BT864" s="56" t="n">
        <v>21.728974044842</v>
      </c>
      <c r="BU864" s="55" t="n">
        <v>11549.6077357773</v>
      </c>
      <c r="BV864" s="55" t="n">
        <v>678.432394216599</v>
      </c>
      <c r="BW864" s="55" t="n">
        <v>1010.26069166842</v>
      </c>
      <c r="BX864" s="55" t="n">
        <v>513</v>
      </c>
      <c r="BY864" s="106" t="n">
        <v>0.1224</v>
      </c>
      <c r="BZ864" s="106" t="n">
        <v>0.39</v>
      </c>
      <c r="CA864" s="106" t="n">
        <v>4.68</v>
      </c>
      <c r="CB864" s="81"/>
      <c r="CC864" s="106" t="n">
        <v>3.48</v>
      </c>
      <c r="CD864" s="106" t="n">
        <v>5.29</v>
      </c>
      <c r="CE864" s="106" t="n">
        <v>104</v>
      </c>
      <c r="CF864" s="106" t="n">
        <v>37.3</v>
      </c>
      <c r="CG864" s="106" t="n">
        <v>0.2639</v>
      </c>
      <c r="CH864" s="63" t="n">
        <v>4.81426882436452</v>
      </c>
      <c r="CI864" s="63" t="n">
        <v>4383.28057127045</v>
      </c>
      <c r="CJ864" s="64" t="n">
        <v>873626.440652</v>
      </c>
      <c r="CK864" s="65" t="n">
        <v>0.501733964004013</v>
      </c>
    </row>
    <row r="865" customFormat="false" ht="15" hidden="false" customHeight="false" outlineLevel="0" collapsed="false">
      <c r="A865" s="7" t="s">
        <v>902</v>
      </c>
      <c r="B865" s="66" t="n">
        <v>845</v>
      </c>
      <c r="C865" s="8" t="s">
        <v>951</v>
      </c>
      <c r="D865" s="107" t="n">
        <v>41375</v>
      </c>
      <c r="E865" s="4" t="s">
        <v>904</v>
      </c>
      <c r="F865" s="7" t="n">
        <v>1575</v>
      </c>
      <c r="G865" s="68" t="n">
        <v>2</v>
      </c>
      <c r="H865" s="68" t="n">
        <v>105</v>
      </c>
      <c r="I865" s="7" t="n">
        <v>1</v>
      </c>
      <c r="J865" s="8" t="n">
        <v>608</v>
      </c>
      <c r="K865" s="31" t="n">
        <v>540.43415683552</v>
      </c>
      <c r="L865" s="31" t="n">
        <v>924.433838726196</v>
      </c>
      <c r="M865" s="31" t="n">
        <v>187.989537512353</v>
      </c>
      <c r="N865" s="31" t="n">
        <v>361.411599156927</v>
      </c>
      <c r="O865" s="31" t="n">
        <v>77.6156623239095</v>
      </c>
      <c r="P865" s="31" t="n">
        <v>47.0153633176962</v>
      </c>
      <c r="Q865" s="31"/>
      <c r="R865" s="31" t="n">
        <v>197.749415263856</v>
      </c>
      <c r="S865" s="34" t="s">
        <v>905</v>
      </c>
      <c r="T865" s="35" t="n">
        <v>7.82488034747652</v>
      </c>
      <c r="U865" s="35" t="n">
        <v>11.8755828509928</v>
      </c>
      <c r="V865" s="35" t="n">
        <v>19.7004631984693</v>
      </c>
      <c r="W865" s="35" t="n">
        <v>18.2117748192452</v>
      </c>
      <c r="X865" s="35" t="n">
        <v>3.70348096545938</v>
      </c>
      <c r="Y865" s="35" t="n">
        <v>7.119975908691</v>
      </c>
      <c r="Z865" s="35" t="n">
        <v>1.529064499237</v>
      </c>
      <c r="AA865" s="53" t="n">
        <v>0.92622443480294</v>
      </c>
      <c r="AB865" s="101"/>
      <c r="AC865" s="71" t="n">
        <v>3.89575507792443</v>
      </c>
      <c r="AD865" s="38" t="n">
        <v>5.71313432755611</v>
      </c>
      <c r="AE865" s="38" t="n">
        <v>5.01527496944513</v>
      </c>
      <c r="AF865" s="38" t="n">
        <v>1.10834805954589</v>
      </c>
      <c r="AG865" s="38" t="n">
        <v>2.87941970108828</v>
      </c>
      <c r="AH865" s="38" t="n">
        <v>1.531514348882</v>
      </c>
      <c r="AI865" s="38"/>
      <c r="AJ865" s="102" t="s">
        <v>906</v>
      </c>
      <c r="AK865" s="103" t="n">
        <v>710</v>
      </c>
      <c r="AL865" s="103" t="n">
        <v>725</v>
      </c>
      <c r="AM865" s="103" t="n">
        <v>701</v>
      </c>
      <c r="AN865" s="103" t="n">
        <v>596</v>
      </c>
      <c r="AO865" s="104" t="n">
        <v>31.07</v>
      </c>
      <c r="AP865" s="105" t="n">
        <v>1.33</v>
      </c>
      <c r="AQ865" s="105" t="n">
        <v>1.045</v>
      </c>
      <c r="AR865" s="105" t="n">
        <v>1.5</v>
      </c>
      <c r="AS865" s="77" t="n">
        <v>32.378</v>
      </c>
      <c r="AT865" s="78" t="n">
        <v>32.38</v>
      </c>
      <c r="AU865" s="78" t="n">
        <v>42.81</v>
      </c>
      <c r="AV865" s="78" t="n">
        <v>33.62</v>
      </c>
      <c r="AW865" s="78" t="n">
        <v>48.28</v>
      </c>
      <c r="AX865" s="78" t="n">
        <v>21.5531914893617</v>
      </c>
      <c r="AY865" s="48" t="n">
        <v>1.64361617662451</v>
      </c>
      <c r="AZ865" s="48" t="n">
        <v>23.2338673018015</v>
      </c>
      <c r="BA865" s="48" t="n">
        <v>-3.53340410333219</v>
      </c>
      <c r="BB865" s="49" t="n">
        <f aca="false">AT865/V865</f>
        <v>1.64361617662451</v>
      </c>
      <c r="BC865" s="49" t="n">
        <f aca="false">AS865/V865</f>
        <v>1.64351465616888</v>
      </c>
      <c r="BD865" s="49" t="n">
        <f aca="false">SUM(AP865:AR865)/V865</f>
        <v>0.19669588278011</v>
      </c>
      <c r="BE865" s="53" t="n">
        <v>6.64</v>
      </c>
      <c r="BF865" s="51" t="n">
        <v>90.65</v>
      </c>
      <c r="BG865" s="51" t="n">
        <v>680.529509100938</v>
      </c>
      <c r="BH865" s="51" t="n">
        <v>175.068946497518</v>
      </c>
      <c r="BI865" s="51" t="n">
        <v>111.638168781026</v>
      </c>
      <c r="BJ865" s="51" t="n">
        <v>5.51571980143409</v>
      </c>
      <c r="BK865" s="51" t="n">
        <v>12.0242691671263</v>
      </c>
      <c r="BL865" s="51" t="n">
        <v>4.41257584114727</v>
      </c>
      <c r="BM865" s="51" t="n">
        <v>10.9211252068395</v>
      </c>
      <c r="BN865" s="52" t="n">
        <f aca="false">(BG865*0.5-BH865*0.25+BI865*0.5)/SUM(BG865:BI865)*1000</f>
        <v>364.250684306569</v>
      </c>
      <c r="BO865" s="93" t="n">
        <v>4.83979591836735</v>
      </c>
      <c r="BP865" s="94" t="s">
        <v>491</v>
      </c>
      <c r="BQ865" s="55" t="n">
        <v>395.14298338746</v>
      </c>
      <c r="BR865" s="56" t="n">
        <v>20.0575478559388</v>
      </c>
      <c r="BS865" s="56" t="n">
        <v>29.9270559888764</v>
      </c>
      <c r="BT865" s="56" t="n">
        <v>12.2033039959067</v>
      </c>
      <c r="BU865" s="55" t="n">
        <v>11564.6767043454</v>
      </c>
      <c r="BV865" s="55" t="n">
        <v>587.025624110397</v>
      </c>
      <c r="BW865" s="55" t="n">
        <v>875.877193255968</v>
      </c>
      <c r="BX865" s="55" t="n">
        <v>337</v>
      </c>
      <c r="BY865" s="106" t="n">
        <v>0.2142</v>
      </c>
      <c r="BZ865" s="106" t="n">
        <v>1.25</v>
      </c>
      <c r="CA865" s="106" t="n">
        <v>3.99</v>
      </c>
      <c r="CB865" s="81"/>
      <c r="CC865" s="106" t="n">
        <v>4.5</v>
      </c>
      <c r="CD865" s="106" t="n">
        <v>8.17</v>
      </c>
      <c r="CE865" s="106" t="n">
        <v>99.9</v>
      </c>
      <c r="CF865" s="106" t="n">
        <v>36.7</v>
      </c>
      <c r="CG865" s="106" t="n">
        <v>0.1063</v>
      </c>
      <c r="CH865" s="63" t="n">
        <v>15.3736871910172</v>
      </c>
      <c r="CI865" s="63" t="n">
        <v>5770.91313759363</v>
      </c>
      <c r="CJ865" s="64" t="n">
        <v>1733197.02495969</v>
      </c>
      <c r="CK865" s="65" t="n">
        <v>0.332963480463384</v>
      </c>
    </row>
    <row r="866" customFormat="false" ht="15" hidden="false" customHeight="false" outlineLevel="0" collapsed="false">
      <c r="A866" s="7" t="s">
        <v>902</v>
      </c>
      <c r="B866" s="66" t="n">
        <v>846</v>
      </c>
      <c r="C866" s="8" t="s">
        <v>952</v>
      </c>
      <c r="D866" s="107" t="n">
        <v>41373</v>
      </c>
      <c r="E866" s="4" t="s">
        <v>904</v>
      </c>
      <c r="F866" s="7" t="n">
        <v>1579</v>
      </c>
      <c r="G866" s="68" t="n">
        <v>2</v>
      </c>
      <c r="H866" s="68" t="n">
        <v>97</v>
      </c>
      <c r="I866" s="7" t="n">
        <v>1</v>
      </c>
      <c r="J866" s="8" t="n">
        <v>668</v>
      </c>
      <c r="K866" s="31" t="n">
        <v>530.566996094404</v>
      </c>
      <c r="L866" s="31" t="n">
        <v>925.023210564901</v>
      </c>
      <c r="M866" s="31" t="n">
        <v>189.144720866472</v>
      </c>
      <c r="N866" s="31" t="n">
        <v>366.39846224733</v>
      </c>
      <c r="O866" s="31" t="n">
        <v>78.0360524865841</v>
      </c>
      <c r="P866" s="31" t="n">
        <v>47.2568975541968</v>
      </c>
      <c r="Q866" s="31"/>
      <c r="R866" s="31" t="n">
        <v>189.557549224592</v>
      </c>
      <c r="S866" s="34" t="s">
        <v>905</v>
      </c>
      <c r="T866" s="35" t="n">
        <v>8.25476692616347</v>
      </c>
      <c r="U866" s="35" t="n">
        <v>11.9579787677613</v>
      </c>
      <c r="V866" s="35" t="n">
        <v>20.2127456939248</v>
      </c>
      <c r="W866" s="35" t="n">
        <v>18.6972589161262</v>
      </c>
      <c r="X866" s="35" t="n">
        <v>3.82313414222239</v>
      </c>
      <c r="Y866" s="35" t="n">
        <v>7.40591894005037</v>
      </c>
      <c r="Z866" s="35" t="n">
        <v>1.57732288386909</v>
      </c>
      <c r="AA866" s="53" t="n">
        <v>0.955191652546836</v>
      </c>
      <c r="AB866" s="101"/>
      <c r="AC866" s="71" t="n">
        <v>3.8314785368403</v>
      </c>
      <c r="AD866" s="38" t="n">
        <v>5.67978153999286</v>
      </c>
      <c r="AE866" s="38" t="n">
        <v>4.89568769839685</v>
      </c>
      <c r="AF866" s="38" t="n">
        <v>1.15867543415854</v>
      </c>
      <c r="AG866" s="38" t="n">
        <v>3.03300334235619</v>
      </c>
      <c r="AH866" s="38" t="n">
        <v>1.57961392690729</v>
      </c>
      <c r="AI866" s="38"/>
      <c r="AJ866" s="102" t="s">
        <v>906</v>
      </c>
      <c r="AK866" s="103" t="n">
        <v>719</v>
      </c>
      <c r="AL866" s="103" t="n">
        <v>739</v>
      </c>
      <c r="AM866" s="103" t="n">
        <v>697</v>
      </c>
      <c r="AN866" s="103" t="n">
        <v>591</v>
      </c>
      <c r="AO866" s="104" t="n">
        <v>29.68</v>
      </c>
      <c r="AP866" s="105" t="n">
        <v>1.275</v>
      </c>
      <c r="AQ866" s="105" t="n">
        <v>1.023</v>
      </c>
      <c r="AR866" s="105" t="n">
        <v>1.451</v>
      </c>
      <c r="AS866" s="77" t="n">
        <v>30.997</v>
      </c>
      <c r="AT866" s="78" t="n">
        <v>31.27</v>
      </c>
      <c r="AU866" s="78" t="n">
        <v>42.95</v>
      </c>
      <c r="AV866" s="78" t="n">
        <v>34.46</v>
      </c>
      <c r="AW866" s="78" t="n">
        <v>48.89</v>
      </c>
      <c r="AX866" s="78" t="n">
        <v>21.7659574468085</v>
      </c>
      <c r="AY866" s="48" t="n">
        <v>1.54704365619158</v>
      </c>
      <c r="AZ866" s="48" t="n">
        <v>23.412070236167</v>
      </c>
      <c r="BA866" s="48" t="n">
        <v>-3.19932454224224</v>
      </c>
      <c r="BB866" s="49" t="n">
        <f aca="false">AT866/V866</f>
        <v>1.54704365619158</v>
      </c>
      <c r="BC866" s="49" t="n">
        <f aca="false">AS866/V866</f>
        <v>1.53353732686186</v>
      </c>
      <c r="BD866" s="49" t="n">
        <f aca="false">SUM(AP866:AR866)/V866</f>
        <v>0.185477028048041</v>
      </c>
      <c r="BE866" s="53" t="n">
        <v>6.68</v>
      </c>
      <c r="BF866" s="51" t="n">
        <v>95.69</v>
      </c>
      <c r="BG866" s="51" t="n">
        <v>662.242658585014</v>
      </c>
      <c r="BH866" s="51" t="n">
        <v>184.031769254886</v>
      </c>
      <c r="BI866" s="51" t="n">
        <v>118.298672797576</v>
      </c>
      <c r="BJ866" s="51" t="n">
        <v>9.09185912843557</v>
      </c>
      <c r="BK866" s="51" t="n">
        <v>13.1675201170446</v>
      </c>
      <c r="BL866" s="51" t="n">
        <v>5.01619813982652</v>
      </c>
      <c r="BM866" s="51" t="n">
        <v>8.04681784930505</v>
      </c>
      <c r="BN866" s="52" t="n">
        <f aca="false">(BG866*0.5-BH866*0.25+BI866*0.5)/SUM(BG866:BI866)*1000</f>
        <v>356.906825568797</v>
      </c>
      <c r="BO866" s="93" t="n">
        <v>4.02448979591837</v>
      </c>
      <c r="BP866" s="94" t="s">
        <v>491</v>
      </c>
      <c r="BQ866" s="55" t="n">
        <v>471</v>
      </c>
      <c r="BR866" s="56" t="n">
        <v>23.3021286238003</v>
      </c>
      <c r="BS866" s="56" t="n">
        <v>34.0877649559284</v>
      </c>
      <c r="BT866" s="56" t="n">
        <v>15.0623600895427</v>
      </c>
      <c r="BU866" s="55" t="n">
        <v>15097.333</v>
      </c>
      <c r="BV866" s="55" t="n">
        <v>746.921434060179</v>
      </c>
      <c r="BW866" s="55" t="n">
        <v>1092.64190820675</v>
      </c>
      <c r="BX866" s="55" t="n">
        <v>445</v>
      </c>
      <c r="BY866" s="106" t="n">
        <v>0.2346</v>
      </c>
      <c r="BZ866" s="106" t="n">
        <v>0.72</v>
      </c>
      <c r="CA866" s="106" t="n">
        <v>4.13</v>
      </c>
      <c r="CB866" s="81"/>
      <c r="CC866" s="106" t="n">
        <v>4.42</v>
      </c>
      <c r="CD866" s="106" t="n">
        <v>6.69</v>
      </c>
      <c r="CE866" s="106" t="n">
        <v>103</v>
      </c>
      <c r="CF866" s="106" t="n">
        <v>34</v>
      </c>
      <c r="CG866" s="106" t="n">
        <v>0.5854</v>
      </c>
      <c r="CH866" s="63" t="n">
        <v>89.1623306791784</v>
      </c>
      <c r="CI866" s="63" t="n">
        <v>6325.57316883514</v>
      </c>
      <c r="CJ866" s="64" t="n">
        <v>1040445.41219424</v>
      </c>
      <c r="CK866" s="65" t="n">
        <v>0.607967808276925</v>
      </c>
    </row>
    <row r="867" customFormat="false" ht="15" hidden="false" customHeight="false" outlineLevel="0" collapsed="false">
      <c r="A867" s="7" t="s">
        <v>902</v>
      </c>
      <c r="B867" s="66" t="n">
        <v>847</v>
      </c>
      <c r="C867" s="8" t="s">
        <v>953</v>
      </c>
      <c r="D867" s="107" t="n">
        <v>41373</v>
      </c>
      <c r="E867" s="4" t="s">
        <v>904</v>
      </c>
      <c r="F867" s="7" t="n">
        <v>1588</v>
      </c>
      <c r="G867" s="68" t="n">
        <v>2</v>
      </c>
      <c r="H867" s="68" t="n">
        <v>96</v>
      </c>
      <c r="I867" s="7" t="n">
        <v>1</v>
      </c>
      <c r="J867" s="8" t="n">
        <v>629</v>
      </c>
      <c r="K867" s="31" t="n">
        <v>557.20443530588</v>
      </c>
      <c r="L867" s="31" t="n">
        <v>925.173301634846</v>
      </c>
      <c r="M867" s="31" t="n">
        <v>192.399616594065</v>
      </c>
      <c r="N867" s="31" t="n">
        <v>355.288249450668</v>
      </c>
      <c r="O867" s="31" t="n">
        <v>77.2916850482268</v>
      </c>
      <c r="P867" s="31" t="n">
        <v>48.9217760176373</v>
      </c>
      <c r="Q867" s="31"/>
      <c r="R867" s="31" t="n">
        <v>199.024233756457</v>
      </c>
      <c r="S867" s="34" t="s">
        <v>905</v>
      </c>
      <c r="T867" s="35" t="n">
        <v>8.59109523008219</v>
      </c>
      <c r="U867" s="35" t="n">
        <v>14.2425347472562</v>
      </c>
      <c r="V867" s="35" t="n">
        <v>22.8336299773384</v>
      </c>
      <c r="W867" s="35" t="n">
        <v>21.1250648344426</v>
      </c>
      <c r="X867" s="35" t="n">
        <v>4.39318165309066</v>
      </c>
      <c r="Y867" s="35" t="n">
        <v>8.11252042325287</v>
      </c>
      <c r="Z867" s="35" t="n">
        <v>1.76484973671619</v>
      </c>
      <c r="AA867" s="53" t="n">
        <v>1.11706173142096</v>
      </c>
      <c r="AB867" s="101"/>
      <c r="AC867" s="71" t="n">
        <v>4.54444571011825</v>
      </c>
      <c r="AD867" s="38" t="n">
        <v>7.51226426254434</v>
      </c>
      <c r="AE867" s="38" t="n">
        <v>6.5938899564483</v>
      </c>
      <c r="AF867" s="38" t="n">
        <v>1.51747738103396</v>
      </c>
      <c r="AG867" s="38" t="n">
        <v>3.8462793024227</v>
      </c>
      <c r="AH867" s="38" t="n">
        <v>1.76724197305951</v>
      </c>
      <c r="AI867" s="38"/>
      <c r="AJ867" s="102" t="s">
        <v>906</v>
      </c>
      <c r="AK867" s="103" t="n">
        <v>671</v>
      </c>
      <c r="AL867" s="103" t="n">
        <v>688</v>
      </c>
      <c r="AM867" s="103" t="n">
        <v>655</v>
      </c>
      <c r="AN867" s="103" t="n">
        <v>527</v>
      </c>
      <c r="AO867" s="104" t="n">
        <v>32.37</v>
      </c>
      <c r="AP867" s="105" t="n">
        <v>1.392</v>
      </c>
      <c r="AQ867" s="105" t="n">
        <v>1.16</v>
      </c>
      <c r="AR867" s="105" t="n">
        <v>1.577</v>
      </c>
      <c r="AS867" s="77" t="n">
        <v>33.828</v>
      </c>
      <c r="AT867" s="78" t="n">
        <v>34.44</v>
      </c>
      <c r="AU867" s="78" t="n">
        <v>43.01</v>
      </c>
      <c r="AV867" s="78" t="n">
        <v>35.83</v>
      </c>
      <c r="AW867" s="78" t="n">
        <v>48.72</v>
      </c>
      <c r="AX867" s="78" t="n">
        <v>16.1914893617021</v>
      </c>
      <c r="AY867" s="48" t="n">
        <v>1.50830157246923</v>
      </c>
      <c r="AZ867" s="48" t="n">
        <v>23.8633205820333</v>
      </c>
      <c r="BA867" s="48" t="n">
        <v>-1.02969060469484</v>
      </c>
      <c r="BB867" s="49" t="n">
        <f aca="false">AT867/V867</f>
        <v>1.50830157246923</v>
      </c>
      <c r="BC867" s="49" t="n">
        <f aca="false">AS867/V867</f>
        <v>1.48149900097239</v>
      </c>
      <c r="BD867" s="49" t="n">
        <f aca="false">SUM(AP867:AR867)/V867</f>
        <v>0.180829767500738</v>
      </c>
      <c r="BE867" s="53" t="n">
        <v>7.01</v>
      </c>
      <c r="BF867" s="51" t="n">
        <v>81.05</v>
      </c>
      <c r="BG867" s="51" t="n">
        <v>651.326341764343</v>
      </c>
      <c r="BH867" s="51" t="n">
        <v>205.798889574337</v>
      </c>
      <c r="BI867" s="51" t="n">
        <v>96.9771745835904</v>
      </c>
      <c r="BJ867" s="51" t="n">
        <v>23.5657001850709</v>
      </c>
      <c r="BK867" s="51" t="n">
        <v>11.8445404071561</v>
      </c>
      <c r="BL867" s="51" t="n">
        <v>3.94818013571869</v>
      </c>
      <c r="BM867" s="51" t="n">
        <v>6.53917334978408</v>
      </c>
      <c r="BN867" s="52" t="n">
        <f aca="false">(BG867*0.5-BH867*0.25+BI867*0.5)/SUM(BG867:BI867)*1000</f>
        <v>338.225785594207</v>
      </c>
      <c r="BO867" s="93" t="n">
        <v>3.81632653061224</v>
      </c>
      <c r="BP867" s="94" t="s">
        <v>491</v>
      </c>
      <c r="BQ867" s="55" t="n">
        <v>359.862</v>
      </c>
      <c r="BR867" s="56" t="n">
        <v>15.7601748104506</v>
      </c>
      <c r="BS867" s="56" t="n">
        <v>24.7599350182984</v>
      </c>
      <c r="BT867" s="56" t="n">
        <v>10.4489547038328</v>
      </c>
      <c r="BU867" s="55" t="n">
        <v>12505.042</v>
      </c>
      <c r="BV867" s="55" t="n">
        <v>547.658957967297</v>
      </c>
      <c r="BW867" s="55" t="n">
        <v>860.396561240399</v>
      </c>
      <c r="BX867" s="55" t="n">
        <v>356</v>
      </c>
      <c r="BY867" s="106" t="n">
        <v>0.459</v>
      </c>
      <c r="BZ867" s="106" t="n">
        <v>0.48</v>
      </c>
      <c r="CA867" s="106" t="n">
        <v>4.3</v>
      </c>
      <c r="CB867" s="81"/>
      <c r="CC867" s="106" t="n">
        <v>3.92</v>
      </c>
      <c r="CD867" s="106" t="n">
        <v>7.64</v>
      </c>
      <c r="CE867" s="106" t="n">
        <v>95.8</v>
      </c>
      <c r="CF867" s="106" t="n">
        <v>37.5</v>
      </c>
      <c r="CG867" s="106" t="n">
        <v>0.3973</v>
      </c>
      <c r="CH867" s="63" t="n">
        <v>177.245141827504</v>
      </c>
      <c r="CI867" s="63" t="n">
        <v>11205.1483879805</v>
      </c>
      <c r="CJ867" s="64" t="n">
        <v>1432891.01185191</v>
      </c>
      <c r="CK867" s="65" t="n">
        <v>0.781995859789687</v>
      </c>
    </row>
    <row r="868" customFormat="false" ht="15" hidden="false" customHeight="false" outlineLevel="0" collapsed="false">
      <c r="A868" s="7" t="s">
        <v>902</v>
      </c>
      <c r="B868" s="66" t="n">
        <v>848</v>
      </c>
      <c r="C868" s="8" t="s">
        <v>954</v>
      </c>
      <c r="D868" s="108" t="n">
        <v>41452</v>
      </c>
      <c r="E868" s="4" t="s">
        <v>904</v>
      </c>
      <c r="F868" s="7" t="n">
        <v>1244</v>
      </c>
      <c r="G868" s="68" t="n">
        <v>2</v>
      </c>
      <c r="H868" s="68" t="n">
        <v>137</v>
      </c>
      <c r="I868" s="7" t="n">
        <v>6</v>
      </c>
      <c r="J868" s="8" t="n">
        <v>573</v>
      </c>
      <c r="K868" s="31" t="n">
        <v>430.316857898856</v>
      </c>
      <c r="L868" s="31" t="n">
        <v>941.220780376008</v>
      </c>
      <c r="M868" s="31" t="n">
        <v>163.713315533695</v>
      </c>
      <c r="N868" s="31" t="n">
        <v>436.1848820237</v>
      </c>
      <c r="O868" s="31" t="n">
        <v>73.1842853900831</v>
      </c>
      <c r="P868" s="31" t="n">
        <v>34.3411230909424</v>
      </c>
      <c r="Q868" s="31"/>
      <c r="R868" s="31" t="n">
        <v>137.958079486194</v>
      </c>
      <c r="S868" s="34" t="s">
        <v>905</v>
      </c>
      <c r="T868" s="35" t="n">
        <v>12.4747844729738</v>
      </c>
      <c r="U868" s="35" t="n">
        <v>7.95093108717911</v>
      </c>
      <c r="V868" s="35" t="n">
        <v>20.4257155601529</v>
      </c>
      <c r="W868" s="35" t="n">
        <v>19.2251079392655</v>
      </c>
      <c r="X868" s="35" t="n">
        <v>3.34396161650081</v>
      </c>
      <c r="Y868" s="35" t="n">
        <v>8.90938833185495</v>
      </c>
      <c r="Z868" s="35" t="n">
        <v>1.49484139685089</v>
      </c>
      <c r="AA868" s="53" t="n">
        <v>0.701442012271789</v>
      </c>
      <c r="AB868" s="101"/>
      <c r="AC868" s="71" t="n">
        <v>2.81789249080996</v>
      </c>
      <c r="AD868" s="38" t="n">
        <v>5.51494320124129</v>
      </c>
      <c r="AE868" s="38" t="n">
        <v>4.97420302035958</v>
      </c>
      <c r="AF868" s="38" t="n">
        <v>1.04783920823584</v>
      </c>
      <c r="AG868" s="38" t="n">
        <v>3.33102569354974</v>
      </c>
      <c r="AH868" s="38" t="n">
        <v>1.49569693080503</v>
      </c>
      <c r="AI868" s="38"/>
      <c r="AJ868" s="102" t="s">
        <v>906</v>
      </c>
      <c r="AK868" s="103" t="n">
        <v>730</v>
      </c>
      <c r="AL868" s="103" t="n">
        <v>741</v>
      </c>
      <c r="AM868" s="103" t="n">
        <v>687</v>
      </c>
      <c r="AN868" s="103" t="n">
        <v>626</v>
      </c>
      <c r="AO868" s="104" t="n">
        <v>30.39</v>
      </c>
      <c r="AP868" s="105" t="n">
        <v>1.511</v>
      </c>
      <c r="AQ868" s="105" t="n">
        <v>1.096</v>
      </c>
      <c r="AR868" s="105" t="n">
        <v>1.527</v>
      </c>
      <c r="AS868" s="77" t="n">
        <v>34.821</v>
      </c>
      <c r="AT868" s="78" t="n">
        <v>35.13</v>
      </c>
      <c r="AU868" s="78" t="n">
        <v>49.73</v>
      </c>
      <c r="AV868" s="78" t="n">
        <v>36.07</v>
      </c>
      <c r="AW868" s="78" t="n">
        <v>50.26</v>
      </c>
      <c r="AX868" s="78" t="n">
        <v>20.4042553191489</v>
      </c>
      <c r="AY868" s="48" t="n">
        <v>1.71989078652073</v>
      </c>
      <c r="AZ868" s="48" t="n">
        <v>24.0100418155669</v>
      </c>
      <c r="BA868" s="48" t="n">
        <v>-3.58432625541401</v>
      </c>
      <c r="BB868" s="49" t="n">
        <f aca="false">AT868/V868</f>
        <v>1.71989078652073</v>
      </c>
      <c r="BC868" s="49" t="n">
        <f aca="false">AS868/V868</f>
        <v>1.70476279753596</v>
      </c>
      <c r="BD868" s="49" t="n">
        <f aca="false">SUM(AP868:AR868)/V868</f>
        <v>0.202391930301073</v>
      </c>
      <c r="BE868" s="53" t="n">
        <v>6.34</v>
      </c>
      <c r="BF868" s="51" t="n">
        <v>125.86</v>
      </c>
      <c r="BG868" s="51" t="n">
        <v>650.723025583982</v>
      </c>
      <c r="BH868" s="51" t="n">
        <v>185.841411091689</v>
      </c>
      <c r="BI868" s="51" t="n">
        <v>127.204830764341</v>
      </c>
      <c r="BJ868" s="51" t="n">
        <v>8.50150961385667</v>
      </c>
      <c r="BK868" s="51" t="n">
        <v>13.1098045447322</v>
      </c>
      <c r="BL868" s="51" t="n">
        <v>4.60829493087558</v>
      </c>
      <c r="BM868" s="51" t="n">
        <v>10.0111234705228</v>
      </c>
      <c r="BN868" s="52" t="n">
        <f aca="false">(BG868*0.5-BH868*0.25+BI868*0.5)/SUM(BG868:BI868)*1000</f>
        <v>355.37922506183</v>
      </c>
      <c r="BO868" s="93" t="n">
        <v>13.9642857142857</v>
      </c>
      <c r="BP868" s="94" t="s">
        <v>491</v>
      </c>
      <c r="BQ868" s="55" t="n">
        <v>500.0229</v>
      </c>
      <c r="BR868" s="56" t="n">
        <v>24.4800677130479</v>
      </c>
      <c r="BS868" s="56" t="n">
        <v>35.0996592047164</v>
      </c>
      <c r="BT868" s="56" t="n">
        <v>14.2335012809564</v>
      </c>
      <c r="BU868" s="55" t="n">
        <v>12419.3907</v>
      </c>
      <c r="BV868" s="55" t="n">
        <v>608.027202935701</v>
      </c>
      <c r="BW868" s="55" t="n">
        <v>871.792834088646</v>
      </c>
      <c r="BX868" s="55" t="n">
        <v>354</v>
      </c>
      <c r="BY868" s="106" t="n">
        <v>0.2346</v>
      </c>
      <c r="BZ868" s="106" t="n">
        <v>1.71</v>
      </c>
      <c r="CA868" s="106" t="n">
        <v>2.96</v>
      </c>
      <c r="CB868" s="81"/>
      <c r="CC868" s="106" t="n">
        <v>4.04</v>
      </c>
      <c r="CD868" s="106" t="n">
        <v>6.72</v>
      </c>
      <c r="CE868" s="106" t="n">
        <v>103</v>
      </c>
      <c r="CF868" s="106" t="n">
        <v>36.2</v>
      </c>
      <c r="CG868" s="106" t="n">
        <v>0.2239</v>
      </c>
      <c r="CH868" s="63" t="n">
        <v>187.523875683509</v>
      </c>
      <c r="CI868" s="63" t="n">
        <v>28298.3210103141</v>
      </c>
      <c r="CJ868" s="64" t="n">
        <v>765722.274242706</v>
      </c>
      <c r="CK868" s="65" t="n">
        <v>3.69563769557323</v>
      </c>
    </row>
    <row r="869" customFormat="false" ht="15" hidden="false" customHeight="false" outlineLevel="0" collapsed="false">
      <c r="A869" s="7" t="s">
        <v>902</v>
      </c>
      <c r="B869" s="66" t="n">
        <v>849</v>
      </c>
      <c r="C869" s="8" t="s">
        <v>955</v>
      </c>
      <c r="D869" s="108" t="n">
        <v>41453</v>
      </c>
      <c r="E869" s="4" t="s">
        <v>904</v>
      </c>
      <c r="F869" s="7" t="n">
        <v>1405</v>
      </c>
      <c r="G869" s="68" t="n">
        <v>2</v>
      </c>
      <c r="H869" s="68" t="n">
        <v>131</v>
      </c>
      <c r="I869" s="7" t="n">
        <v>4</v>
      </c>
      <c r="J869" s="8" t="n">
        <v>636</v>
      </c>
      <c r="K869" s="31" t="n">
        <v>358.929489484001</v>
      </c>
      <c r="L869" s="31" t="n">
        <v>929.31134203549</v>
      </c>
      <c r="M869" s="31" t="n">
        <v>169.17519153985</v>
      </c>
      <c r="N869" s="31" t="n">
        <v>422.458145860025</v>
      </c>
      <c r="O869" s="31" t="n">
        <v>87.8985404302605</v>
      </c>
      <c r="P869" s="31" t="n">
        <v>35.0406279382763</v>
      </c>
      <c r="Q869" s="31"/>
      <c r="R869" s="31" t="n">
        <v>119.28618447964</v>
      </c>
      <c r="S869" s="34" t="s">
        <v>905</v>
      </c>
      <c r="T869" s="35" t="n">
        <v>10.5575679271848</v>
      </c>
      <c r="U869" s="35" t="n">
        <v>5.30770852457892</v>
      </c>
      <c r="V869" s="35" t="n">
        <v>15.8652764517637</v>
      </c>
      <c r="W869" s="35" t="n">
        <v>15.9468688350457</v>
      </c>
      <c r="X869" s="35" t="n">
        <v>2.90302557130169</v>
      </c>
      <c r="Y869" s="35" t="n">
        <v>7.24933005290829</v>
      </c>
      <c r="Z869" s="35" t="n">
        <v>1.50832819059664</v>
      </c>
      <c r="AA869" s="53" t="n">
        <v>0.6012928846918</v>
      </c>
      <c r="AB869" s="101"/>
      <c r="AC869" s="71" t="n">
        <v>2.04693631906327</v>
      </c>
      <c r="AD869" s="38" t="n">
        <v>6.17755591795758</v>
      </c>
      <c r="AE869" s="38" t="n">
        <v>5.42543848494624</v>
      </c>
      <c r="AF869" s="38" t="n">
        <v>1.08107228564258</v>
      </c>
      <c r="AG869" s="38" t="n">
        <v>3.55209465282561</v>
      </c>
      <c r="AH869" s="38" t="n">
        <v>1.50993468065371</v>
      </c>
      <c r="AI869" s="38"/>
      <c r="AJ869" s="102" t="s">
        <v>906</v>
      </c>
      <c r="AK869" s="103" t="n">
        <v>640</v>
      </c>
      <c r="AL869" s="103" t="n">
        <v>660</v>
      </c>
      <c r="AM869" s="103" t="n">
        <v>628</v>
      </c>
      <c r="AN869" s="103" t="n">
        <v>511</v>
      </c>
      <c r="AO869" s="104" t="n">
        <v>27.88</v>
      </c>
      <c r="AP869" s="105" t="n">
        <v>1.226</v>
      </c>
      <c r="AQ869" s="105" t="n">
        <v>1.007</v>
      </c>
      <c r="AR869" s="105" t="n">
        <v>1.334</v>
      </c>
      <c r="AS869" s="77" t="n">
        <v>29.542</v>
      </c>
      <c r="AT869" s="78" t="n">
        <v>29.92</v>
      </c>
      <c r="AU869" s="78" t="n">
        <v>43.96</v>
      </c>
      <c r="AV869" s="78" t="n">
        <v>36.12</v>
      </c>
      <c r="AW869" s="78" t="n">
        <v>47.83</v>
      </c>
      <c r="AX869" s="78" t="n">
        <v>20.3191489361702</v>
      </c>
      <c r="AY869" s="48" t="n">
        <v>1.88587952381213</v>
      </c>
      <c r="AZ869" s="48" t="n">
        <v>22.9328396191644</v>
      </c>
      <c r="BA869" s="48" t="n">
        <v>-7.0675631674007</v>
      </c>
      <c r="BB869" s="49" t="n">
        <f aca="false">AT869/V869</f>
        <v>1.88587952381213</v>
      </c>
      <c r="BC869" s="49" t="n">
        <f aca="false">AS869/V869</f>
        <v>1.86205390683349</v>
      </c>
      <c r="BD869" s="49" t="n">
        <f aca="false">SUM(AP869:AR869)/V869</f>
        <v>0.224830623711159</v>
      </c>
      <c r="BE869" s="53" t="n">
        <v>6.94</v>
      </c>
      <c r="BF869" s="51" t="n">
        <v>74.02</v>
      </c>
      <c r="BG869" s="51" t="n">
        <v>585.517427722237</v>
      </c>
      <c r="BH869" s="51" t="n">
        <v>250.067549310997</v>
      </c>
      <c r="BI869" s="51" t="n">
        <v>124.560929478519</v>
      </c>
      <c r="BJ869" s="51" t="n">
        <v>9.05160767360173</v>
      </c>
      <c r="BK869" s="51" t="n">
        <v>16.887327749257</v>
      </c>
      <c r="BL869" s="51" t="n">
        <v>4.45825452580384</v>
      </c>
      <c r="BM869" s="51" t="n">
        <v>9.4569035395839</v>
      </c>
      <c r="BN869" s="52" t="n">
        <f aca="false">(BG869*0.5-BH869*0.25+BI869*0.5)/SUM(BG869:BI869)*1000</f>
        <v>304.664415365133</v>
      </c>
      <c r="BO869" s="93" t="n">
        <v>6.53979591836735</v>
      </c>
      <c r="BP869" s="94" t="s">
        <v>491</v>
      </c>
      <c r="BQ869" s="55" t="n">
        <v>418.9405</v>
      </c>
      <c r="BR869" s="56" t="n">
        <v>26.406126692701</v>
      </c>
      <c r="BS869" s="56" t="n">
        <v>39.8045747976779</v>
      </c>
      <c r="BT869" s="56" t="n">
        <v>14.0020220588235</v>
      </c>
      <c r="BU869" s="55" t="n">
        <v>11892.8092</v>
      </c>
      <c r="BV869" s="55" t="n">
        <v>749.612478304964</v>
      </c>
      <c r="BW869" s="55" t="n">
        <v>1129.96526560672</v>
      </c>
      <c r="BX869" s="55" t="n">
        <v>397</v>
      </c>
      <c r="BY869" s="106" t="n">
        <v>0.1938</v>
      </c>
      <c r="BZ869" s="106" t="n">
        <v>1.25</v>
      </c>
      <c r="CA869" s="106" t="n">
        <v>3.77</v>
      </c>
      <c r="CB869" s="81"/>
      <c r="CC869" s="106" t="n">
        <v>5.06</v>
      </c>
      <c r="CD869" s="106" t="n">
        <v>8.65</v>
      </c>
      <c r="CE869" s="106" t="n">
        <v>99.9</v>
      </c>
      <c r="CF869" s="106" t="n">
        <v>38.2</v>
      </c>
      <c r="CG869" s="106" t="n">
        <v>0.1886</v>
      </c>
      <c r="CH869" s="63" t="n">
        <v>33251.890633114</v>
      </c>
      <c r="CI869" s="63" t="n">
        <v>23427.0643610184</v>
      </c>
      <c r="CJ869" s="64" t="n">
        <v>990143.955940924</v>
      </c>
      <c r="CK869" s="65" t="n">
        <v>2.36602609352454</v>
      </c>
    </row>
    <row r="870" customFormat="false" ht="15" hidden="false" customHeight="false" outlineLevel="0" collapsed="false">
      <c r="A870" s="7" t="s">
        <v>902</v>
      </c>
      <c r="B870" s="66" t="n">
        <v>850</v>
      </c>
      <c r="C870" s="8" t="s">
        <v>956</v>
      </c>
      <c r="D870" s="108" t="n">
        <v>41452</v>
      </c>
      <c r="E870" s="4" t="s">
        <v>904</v>
      </c>
      <c r="F870" s="7" t="n">
        <v>1446</v>
      </c>
      <c r="G870" s="68" t="n">
        <v>2</v>
      </c>
      <c r="H870" s="68" t="n">
        <v>117</v>
      </c>
      <c r="I870" s="7" t="n">
        <v>3</v>
      </c>
      <c r="J870" s="8" t="n">
        <v>726</v>
      </c>
      <c r="K870" s="31" t="n">
        <v>388.104617044651</v>
      </c>
      <c r="L870" s="31" t="n">
        <v>926.198006069701</v>
      </c>
      <c r="M870" s="31" t="n">
        <v>180.744715287679</v>
      </c>
      <c r="N870" s="31" t="n">
        <v>411.272848782306</v>
      </c>
      <c r="O870" s="31" t="n">
        <v>86.6394516099242</v>
      </c>
      <c r="P870" s="31" t="n">
        <v>38.888178335625</v>
      </c>
      <c r="Q870" s="31"/>
      <c r="R870" s="31" t="n">
        <v>113.060054034309</v>
      </c>
      <c r="S870" s="34" t="s">
        <v>905</v>
      </c>
      <c r="T870" s="35" t="n">
        <v>11.7630019836465</v>
      </c>
      <c r="U870" s="35" t="n">
        <v>6.86936261487653</v>
      </c>
      <c r="V870" s="35" t="n">
        <v>18.6323645985231</v>
      </c>
      <c r="W870" s="35" t="n">
        <v>18.0448372422685</v>
      </c>
      <c r="X870" s="35" t="n">
        <v>3.52139493757546</v>
      </c>
      <c r="Y870" s="35" t="n">
        <v>8.01270524208225</v>
      </c>
      <c r="Z870" s="35" t="n">
        <v>1.68797038302286</v>
      </c>
      <c r="AA870" s="53" t="n">
        <v>0.757646684743411</v>
      </c>
      <c r="AB870" s="101"/>
      <c r="AC870" s="71" t="n">
        <v>2.20271503531791</v>
      </c>
      <c r="AD870" s="38" t="n">
        <v>7.09170254431691</v>
      </c>
      <c r="AE870" s="38" t="n">
        <v>6.19956636424184</v>
      </c>
      <c r="AF870" s="38" t="n">
        <v>1.32614837578726</v>
      </c>
      <c r="AG870" s="38" t="n">
        <v>4.22665471641288</v>
      </c>
      <c r="AH870" s="38" t="n">
        <v>1.68898331603142</v>
      </c>
      <c r="AI870" s="38"/>
      <c r="AJ870" s="102" t="s">
        <v>906</v>
      </c>
      <c r="AK870" s="103" t="n">
        <v>636</v>
      </c>
      <c r="AL870" s="103" t="n">
        <v>657</v>
      </c>
      <c r="AM870" s="103" t="n">
        <v>624</v>
      </c>
      <c r="AN870" s="103" t="n">
        <v>473</v>
      </c>
      <c r="AO870" s="104" t="n">
        <v>32.29</v>
      </c>
      <c r="AP870" s="105" t="n">
        <v>1.385</v>
      </c>
      <c r="AQ870" s="105" t="n">
        <v>1.058</v>
      </c>
      <c r="AR870" s="105" t="n">
        <v>1.626</v>
      </c>
      <c r="AS870" s="77" t="n">
        <v>33.691</v>
      </c>
      <c r="AT870" s="78" t="n">
        <v>33.83</v>
      </c>
      <c r="AU870" s="78" t="n">
        <v>42.9</v>
      </c>
      <c r="AV870" s="78" t="n">
        <v>32.77</v>
      </c>
      <c r="AW870" s="78" t="n">
        <v>50.36</v>
      </c>
      <c r="AX870" s="78" t="n">
        <v>20.7021276595745</v>
      </c>
      <c r="AY870" s="48" t="n">
        <v>1.81565790112768</v>
      </c>
      <c r="AZ870" s="48" t="n">
        <v>25.5512600112719</v>
      </c>
      <c r="BA870" s="48" t="n">
        <v>-6.91889541274881</v>
      </c>
      <c r="BB870" s="49" t="n">
        <f aca="false">AT870/V870</f>
        <v>1.81565790112768</v>
      </c>
      <c r="BC870" s="49" t="n">
        <f aca="false">AS870/V870</f>
        <v>1.80819776372724</v>
      </c>
      <c r="BD870" s="49" t="n">
        <f aca="false">SUM(AP870:AR870)/V870</f>
        <v>0.218383446635782</v>
      </c>
      <c r="BE870" s="53" t="n">
        <v>6.7</v>
      </c>
      <c r="BF870" s="51" t="n">
        <v>101.48</v>
      </c>
      <c r="BG870" s="51" t="n">
        <v>674.911312573906</v>
      </c>
      <c r="BH870" s="51" t="n">
        <v>159.341742215215</v>
      </c>
      <c r="BI870" s="51" t="n">
        <v>120.91052424123</v>
      </c>
      <c r="BJ870" s="51" t="n">
        <v>9.1643673630272</v>
      </c>
      <c r="BK870" s="51" t="n">
        <v>19.2156089869925</v>
      </c>
      <c r="BL870" s="51" t="n">
        <v>4.53291288923926</v>
      </c>
      <c r="BM870" s="51" t="n">
        <v>11.9235317303902</v>
      </c>
      <c r="BN870" s="52" t="n">
        <f aca="false">(BG870*0.5-BH870*0.25+BI870*0.5)/SUM(BG870:BI870)*1000</f>
        <v>374.883936861653</v>
      </c>
      <c r="BO870" s="93" t="n">
        <v>2.03826530612245</v>
      </c>
      <c r="BP870" s="94" t="s">
        <v>491</v>
      </c>
      <c r="BQ870" s="55" t="n">
        <v>525.239</v>
      </c>
      <c r="BR870" s="56" t="n">
        <v>28.1896050940112</v>
      </c>
      <c r="BS870" s="56" t="n">
        <v>44.3035601812943</v>
      </c>
      <c r="BT870" s="56" t="n">
        <v>15.5258350576411</v>
      </c>
      <c r="BU870" s="55" t="n">
        <v>13194.3429</v>
      </c>
      <c r="BV870" s="55" t="n">
        <v>708.141085917022</v>
      </c>
      <c r="BW870" s="55" t="n">
        <v>1112.93404473541</v>
      </c>
      <c r="BX870" s="55" t="n">
        <v>390</v>
      </c>
      <c r="BY870" s="106" t="n">
        <v>0.2448</v>
      </c>
      <c r="BZ870" s="106" t="n">
        <v>1.64</v>
      </c>
      <c r="CA870" s="106" t="n">
        <v>4.17</v>
      </c>
      <c r="CB870" s="81"/>
      <c r="CC870" s="106" t="n">
        <v>3.74</v>
      </c>
      <c r="CD870" s="106" t="n">
        <v>7.12</v>
      </c>
      <c r="CE870" s="106" t="n">
        <v>94.8</v>
      </c>
      <c r="CF870" s="106" t="n">
        <v>39</v>
      </c>
      <c r="CG870" s="106" t="n">
        <v>0.551</v>
      </c>
      <c r="CH870" s="63" t="n">
        <v>68297.991527108</v>
      </c>
      <c r="CI870" s="63" t="n">
        <v>5692.82361309464</v>
      </c>
      <c r="CJ870" s="64" t="n">
        <v>358356.046719552</v>
      </c>
      <c r="CK870" s="65" t="n">
        <v>1.58859426684931</v>
      </c>
    </row>
    <row r="871" customFormat="false" ht="15" hidden="false" customHeight="false" outlineLevel="0" collapsed="false">
      <c r="A871" s="7" t="s">
        <v>902</v>
      </c>
      <c r="B871" s="66" t="n">
        <v>851</v>
      </c>
      <c r="C871" s="8" t="s">
        <v>957</v>
      </c>
      <c r="D871" s="108" t="n">
        <v>41452</v>
      </c>
      <c r="E871" s="4" t="s">
        <v>904</v>
      </c>
      <c r="F871" s="7" t="n">
        <v>1473</v>
      </c>
      <c r="G871" s="68" t="n">
        <v>2</v>
      </c>
      <c r="H871" s="68" t="n">
        <v>105</v>
      </c>
      <c r="I871" s="7" t="n">
        <v>2</v>
      </c>
      <c r="J871" s="8" t="n">
        <v>682</v>
      </c>
      <c r="K871" s="31" t="n">
        <v>390.846567859077</v>
      </c>
      <c r="L871" s="31" t="n">
        <v>928.591184207917</v>
      </c>
      <c r="M871" s="31" t="n">
        <v>180.556801713006</v>
      </c>
      <c r="N871" s="31" t="n">
        <v>424.685986829512</v>
      </c>
      <c r="O871" s="31" t="n">
        <v>83.4799357082654</v>
      </c>
      <c r="P871" s="31" t="n">
        <v>38.4490843110515</v>
      </c>
      <c r="Q871" s="31"/>
      <c r="R871" s="31" t="n">
        <v>106.630987141868</v>
      </c>
      <c r="S871" s="34" t="s">
        <v>905</v>
      </c>
      <c r="T871" s="35" t="n">
        <v>11.628217255454</v>
      </c>
      <c r="U871" s="35" t="n">
        <v>6.5278742183786</v>
      </c>
      <c r="V871" s="35" t="n">
        <v>18.1560914738326</v>
      </c>
      <c r="W871" s="35" t="n">
        <v>16.9049991450707</v>
      </c>
      <c r="X871" s="35" t="n">
        <v>3.28703592119353</v>
      </c>
      <c r="Y871" s="35" t="n">
        <v>7.73140685198332</v>
      </c>
      <c r="Z871" s="35" t="n">
        <v>1.51975192719771</v>
      </c>
      <c r="AA871" s="53" t="n">
        <v>0.699965440616913</v>
      </c>
      <c r="AB871" s="101"/>
      <c r="AC871" s="71" t="n">
        <v>1.9412167346914</v>
      </c>
      <c r="AD871" s="38" t="n">
        <v>6.0440587974684</v>
      </c>
      <c r="AE871" s="38" t="n">
        <v>5.34476119460131</v>
      </c>
      <c r="AF871" s="38" t="n">
        <v>1.09397464234178</v>
      </c>
      <c r="AG871" s="38" t="n">
        <v>3.65665557246838</v>
      </c>
      <c r="AH871" s="38" t="n">
        <v>1.51765130560095</v>
      </c>
      <c r="AI871" s="38"/>
      <c r="AJ871" s="102" t="s">
        <v>906</v>
      </c>
      <c r="AK871" s="103" t="n">
        <v>668</v>
      </c>
      <c r="AL871" s="103" t="n">
        <v>683</v>
      </c>
      <c r="AM871" s="103" t="n">
        <v>667</v>
      </c>
      <c r="AN871" s="103" t="n">
        <v>526</v>
      </c>
      <c r="AO871" s="104" t="n">
        <v>30.65</v>
      </c>
      <c r="AP871" s="105" t="n">
        <v>1.236</v>
      </c>
      <c r="AQ871" s="105" t="n">
        <v>1.035</v>
      </c>
      <c r="AR871" s="105" t="n">
        <v>1.37</v>
      </c>
      <c r="AS871" s="77" t="n">
        <v>30.8</v>
      </c>
      <c r="AT871" s="78" t="n">
        <v>30.47</v>
      </c>
      <c r="AU871" s="78" t="n">
        <v>40.31</v>
      </c>
      <c r="AV871" s="78" t="n">
        <v>33.77</v>
      </c>
      <c r="AW871" s="78" t="n">
        <v>44.7</v>
      </c>
      <c r="AX871" s="78" t="n">
        <v>21.6808510638298</v>
      </c>
      <c r="AY871" s="48" t="n">
        <v>1.67822463573257</v>
      </c>
      <c r="AZ871" s="48" t="n">
        <v>23.6997895631113</v>
      </c>
      <c r="BA871" s="48" t="n">
        <v>-5.54369808927873</v>
      </c>
      <c r="BB871" s="49" t="n">
        <f aca="false">AT871/V871</f>
        <v>1.67822463573257</v>
      </c>
      <c r="BC871" s="49" t="n">
        <f aca="false">AS871/V871</f>
        <v>1.6964003538091</v>
      </c>
      <c r="BD871" s="49" t="n">
        <f aca="false">SUM(AP871:AR871)/V871</f>
        <v>0.200538756111004</v>
      </c>
      <c r="BE871" s="53" t="n">
        <v>7.13</v>
      </c>
      <c r="BF871" s="51" t="n">
        <v>88.91</v>
      </c>
      <c r="BG871" s="51" t="n">
        <v>680.913283095265</v>
      </c>
      <c r="BH871" s="51" t="n">
        <v>152.851197840513</v>
      </c>
      <c r="BI871" s="51" t="n">
        <v>121.246204026544</v>
      </c>
      <c r="BJ871" s="51" t="n">
        <v>10.2350691710719</v>
      </c>
      <c r="BK871" s="51" t="n">
        <v>16.3086267011585</v>
      </c>
      <c r="BL871" s="51" t="n">
        <v>5.06129794173884</v>
      </c>
      <c r="BM871" s="51" t="n">
        <v>13.2718479361152</v>
      </c>
      <c r="BN871" s="52" t="n">
        <f aca="false">(BG871*0.5-BH871*0.25+BI871*0.5)/SUM(BG871:BI871)*1000</f>
        <v>379.96113531975</v>
      </c>
      <c r="BO871" s="93" t="n">
        <v>2.0469387755102</v>
      </c>
      <c r="BP871" s="94" t="s">
        <v>491</v>
      </c>
      <c r="BQ871" s="55" t="n">
        <v>344.324</v>
      </c>
      <c r="BR871" s="56" t="n">
        <v>18.9646543969144</v>
      </c>
      <c r="BS871" s="56" t="n">
        <v>29.8216341525571</v>
      </c>
      <c r="BT871" s="56" t="n">
        <v>11.3004266491631</v>
      </c>
      <c r="BU871" s="55" t="n">
        <v>11011.5908333333</v>
      </c>
      <c r="BV871" s="55" t="n">
        <v>606.495668365835</v>
      </c>
      <c r="BW871" s="55" t="n">
        <v>953.705327741655</v>
      </c>
      <c r="BX871" s="55" t="n">
        <v>361</v>
      </c>
      <c r="BY871" s="106" t="n">
        <v>0.2142</v>
      </c>
      <c r="BZ871" s="106" t="n">
        <v>1.2</v>
      </c>
      <c r="CA871" s="106" t="n">
        <v>3.96</v>
      </c>
      <c r="CB871" s="81"/>
      <c r="CC871" s="106" t="n">
        <v>2.97</v>
      </c>
      <c r="CD871" s="106" t="n">
        <v>8.23</v>
      </c>
      <c r="CE871" s="106" t="n">
        <v>97.9</v>
      </c>
      <c r="CF871" s="106" t="n">
        <v>37.5</v>
      </c>
      <c r="CG871" s="106" t="n">
        <v>0.1451</v>
      </c>
      <c r="CH871" s="63" t="n">
        <v>84753.5167011607</v>
      </c>
      <c r="CI871" s="63" t="n">
        <v>17427.8810982985</v>
      </c>
      <c r="CJ871" s="64" t="n">
        <v>842454.782141424</v>
      </c>
      <c r="CK871" s="65" t="n">
        <v>2.06870225770442</v>
      </c>
    </row>
    <row r="872" customFormat="false" ht="15" hidden="false" customHeight="false" outlineLevel="0" collapsed="false">
      <c r="A872" s="7" t="s">
        <v>902</v>
      </c>
      <c r="B872" s="66" t="n">
        <v>852</v>
      </c>
      <c r="C872" s="8" t="s">
        <v>958</v>
      </c>
      <c r="D872" s="108" t="n">
        <v>41453</v>
      </c>
      <c r="E872" s="4" t="s">
        <v>904</v>
      </c>
      <c r="F872" s="7" t="n">
        <v>1474</v>
      </c>
      <c r="G872" s="68" t="n">
        <v>2</v>
      </c>
      <c r="H872" s="68" t="n">
        <v>161</v>
      </c>
      <c r="I872" s="7" t="n">
        <v>3</v>
      </c>
      <c r="J872" s="8" t="n">
        <v>649</v>
      </c>
      <c r="K872" s="31" t="n">
        <v>361.834079489271</v>
      </c>
      <c r="L872" s="31" t="n">
        <v>925.861485418575</v>
      </c>
      <c r="M872" s="31" t="n">
        <v>176.058909318769</v>
      </c>
      <c r="N872" s="31" t="n">
        <v>415.534280015685</v>
      </c>
      <c r="O872" s="31" t="n">
        <v>89.4912598080484</v>
      </c>
      <c r="P872" s="31" t="n">
        <v>37.0974789318573</v>
      </c>
      <c r="Q872" s="31"/>
      <c r="R872" s="31" t="n">
        <v>112.280681162468</v>
      </c>
      <c r="S872" s="34" t="s">
        <v>905</v>
      </c>
      <c r="T872" s="35" t="n">
        <v>11.9344147290656</v>
      </c>
      <c r="U872" s="35" t="n">
        <v>6.19585559266647</v>
      </c>
      <c r="V872" s="35" t="n">
        <v>18.1302703217321</v>
      </c>
      <c r="W872" s="35" t="n">
        <v>18.0402690508689</v>
      </c>
      <c r="X872" s="35" t="n">
        <v>3.43048084722651</v>
      </c>
      <c r="Y872" s="35" t="n">
        <v>8.0966217186937</v>
      </c>
      <c r="Z872" s="35" t="n">
        <v>1.74372347274876</v>
      </c>
      <c r="AA872" s="53" t="n">
        <v>0.72283868762192</v>
      </c>
      <c r="AB872" s="101"/>
      <c r="AC872" s="71" t="n">
        <v>2.18777185279502</v>
      </c>
      <c r="AD872" s="38" t="n">
        <v>7.52115080204164</v>
      </c>
      <c r="AE872" s="38" t="n">
        <v>6.59980982879154</v>
      </c>
      <c r="AF872" s="38" t="n">
        <v>1.46662440639812</v>
      </c>
      <c r="AG872" s="38" t="n">
        <v>4.23440790154944</v>
      </c>
      <c r="AH872" s="38" t="n">
        <v>1.74159923659898</v>
      </c>
      <c r="AI872" s="38"/>
      <c r="AJ872" s="102" t="s">
        <v>906</v>
      </c>
      <c r="AK872" s="103" t="n">
        <v>614</v>
      </c>
      <c r="AL872" s="103" t="n">
        <v>634</v>
      </c>
      <c r="AM872" s="103" t="n">
        <v>572</v>
      </c>
      <c r="AN872" s="103" t="n">
        <v>476</v>
      </c>
      <c r="AO872" s="104" t="n">
        <v>24.95</v>
      </c>
      <c r="AP872" s="105" t="n">
        <v>0.942</v>
      </c>
      <c r="AQ872" s="105" t="n">
        <v>0.813</v>
      </c>
      <c r="AR872" s="105" t="n">
        <v>1.145</v>
      </c>
      <c r="AS872" s="77" t="n">
        <v>24.11</v>
      </c>
      <c r="AT872" s="78" t="n">
        <v>23.95</v>
      </c>
      <c r="AU872" s="78" t="n">
        <v>37.75</v>
      </c>
      <c r="AV872" s="78" t="n">
        <v>32.57</v>
      </c>
      <c r="AW872" s="78" t="n">
        <v>45.9</v>
      </c>
      <c r="AX872" s="78" t="n">
        <v>21.4468085106383</v>
      </c>
      <c r="AY872" s="48" t="n">
        <v>1.32099519615502</v>
      </c>
      <c r="AZ872" s="48" t="n">
        <v>21.2878543436801</v>
      </c>
      <c r="BA872" s="48" t="n">
        <v>-3.15758402194803</v>
      </c>
      <c r="BB872" s="49" t="n">
        <f aca="false">AT872/V872</f>
        <v>1.32099519615502</v>
      </c>
      <c r="BC872" s="49" t="n">
        <f aca="false">AS872/V872</f>
        <v>1.32982021625459</v>
      </c>
      <c r="BD872" s="49" t="n">
        <f aca="false">SUM(AP872:AR872)/V872</f>
        <v>0.159953489304783</v>
      </c>
      <c r="BE872" s="53" t="n">
        <v>7.06</v>
      </c>
      <c r="BF872" s="51" t="n">
        <v>96.19</v>
      </c>
      <c r="BG872" s="51" t="n">
        <v>622.621894167793</v>
      </c>
      <c r="BH872" s="51" t="n">
        <v>216.446616072357</v>
      </c>
      <c r="BI872" s="51" t="n">
        <v>122.361991891049</v>
      </c>
      <c r="BJ872" s="51" t="n">
        <v>9.356481962782</v>
      </c>
      <c r="BK872" s="51" t="n">
        <v>15.8020584260318</v>
      </c>
      <c r="BL872" s="51" t="n">
        <v>4.05447551720553</v>
      </c>
      <c r="BM872" s="51" t="n">
        <v>9.356481962782</v>
      </c>
      <c r="BN872" s="52" t="n">
        <f aca="false">(BG872*0.5-BH872*0.25+BI872*0.5)/SUM(BG872:BI872)*1000</f>
        <v>331.1526816609</v>
      </c>
      <c r="BO872" s="93" t="n">
        <v>2.61071428571429</v>
      </c>
      <c r="BP872" s="94" t="s">
        <v>491</v>
      </c>
      <c r="BQ872" s="55" t="n">
        <v>397.103285714286</v>
      </c>
      <c r="BR872" s="56" t="n">
        <v>21.9027779877222</v>
      </c>
      <c r="BS872" s="56" t="n">
        <v>34.7193201362365</v>
      </c>
      <c r="BT872" s="56" t="n">
        <v>16.5805129734566</v>
      </c>
      <c r="BU872" s="55" t="n">
        <v>11469.2703</v>
      </c>
      <c r="BV872" s="55" t="n">
        <v>632.603380780937</v>
      </c>
      <c r="BW872" s="55" t="n">
        <v>1002.77505022015</v>
      </c>
      <c r="BX872" s="55" t="n">
        <v>479</v>
      </c>
      <c r="BY872" s="106" t="n">
        <v>0.1632</v>
      </c>
      <c r="BZ872" s="106" t="n">
        <v>1.18</v>
      </c>
      <c r="CA872" s="106" t="n">
        <v>4.06</v>
      </c>
      <c r="CB872" s="81"/>
      <c r="CC872" s="106" t="n">
        <v>5.55</v>
      </c>
      <c r="CD872" s="106" t="n">
        <v>7.77</v>
      </c>
      <c r="CE872" s="106" t="n">
        <v>93.7</v>
      </c>
      <c r="CF872" s="106" t="n">
        <v>38.3</v>
      </c>
      <c r="CG872" s="106" t="n">
        <v>0.17</v>
      </c>
      <c r="CH872" s="63" t="n">
        <v>41063.7793895703</v>
      </c>
      <c r="CI872" s="63" t="n">
        <v>6197.61607152692</v>
      </c>
      <c r="CJ872" s="63" t="n">
        <v>321665.235963808</v>
      </c>
      <c r="CK872" s="85" t="n">
        <v>1.92672859190299</v>
      </c>
    </row>
    <row r="873" customFormat="false" ht="15" hidden="false" customHeight="false" outlineLevel="0" collapsed="false">
      <c r="A873" s="7" t="s">
        <v>902</v>
      </c>
      <c r="B873" s="66" t="n">
        <v>853</v>
      </c>
      <c r="C873" s="8" t="s">
        <v>959</v>
      </c>
      <c r="D873" s="108" t="n">
        <v>41453</v>
      </c>
      <c r="E873" s="4" t="s">
        <v>904</v>
      </c>
      <c r="F873" s="7" t="n">
        <v>1516</v>
      </c>
      <c r="G873" s="68" t="n">
        <v>2</v>
      </c>
      <c r="H873" s="68" t="n">
        <v>128</v>
      </c>
      <c r="I873" s="7" t="n">
        <v>2</v>
      </c>
      <c r="J873" s="8" t="n">
        <v>659</v>
      </c>
      <c r="K873" s="31" t="n">
        <v>394.820000536843</v>
      </c>
      <c r="L873" s="31" t="n">
        <v>932.166631088751</v>
      </c>
      <c r="M873" s="31" t="n">
        <v>173.624225775612</v>
      </c>
      <c r="N873" s="31" t="n">
        <v>427.158121399539</v>
      </c>
      <c r="O873" s="31" t="n">
        <v>81.2564607530831</v>
      </c>
      <c r="P873" s="31" t="n">
        <v>36.5667298561952</v>
      </c>
      <c r="Q873" s="31"/>
      <c r="R873" s="31" t="n">
        <v>118.13580336036</v>
      </c>
      <c r="S873" s="34" t="s">
        <v>905</v>
      </c>
      <c r="T873" s="35" t="n">
        <v>14.8111146683574</v>
      </c>
      <c r="U873" s="35" t="n">
        <v>8.39779087701954</v>
      </c>
      <c r="V873" s="35" t="n">
        <v>23.2089055453769</v>
      </c>
      <c r="W873" s="35" t="n">
        <v>22.021269020932</v>
      </c>
      <c r="X873" s="35" t="n">
        <v>4.10165485101104</v>
      </c>
      <c r="Y873" s="35" t="n">
        <v>10.0910755567688</v>
      </c>
      <c r="Z873" s="35" t="n">
        <v>1.919582102872</v>
      </c>
      <c r="AA873" s="53" t="n">
        <v>0.8638431891072</v>
      </c>
      <c r="AB873" s="101"/>
      <c r="AC873" s="71" t="n">
        <v>2.79081037664255</v>
      </c>
      <c r="AD873" s="38" t="n">
        <v>6.70914425958384</v>
      </c>
      <c r="AE873" s="38" t="n">
        <v>6.0020004546237</v>
      </c>
      <c r="AF873" s="38" t="n">
        <v>1.22106425524426</v>
      </c>
      <c r="AG873" s="38" t="n">
        <v>4.09257799834614</v>
      </c>
      <c r="AH873" s="38" t="n">
        <v>1.91676411182136</v>
      </c>
      <c r="AI873" s="38"/>
      <c r="AJ873" s="102" t="s">
        <v>906</v>
      </c>
      <c r="AK873" s="103" t="n">
        <v>716</v>
      </c>
      <c r="AL873" s="103" t="n">
        <v>727</v>
      </c>
      <c r="AM873" s="103" t="n">
        <v>702</v>
      </c>
      <c r="AN873" s="103" t="n">
        <v>594</v>
      </c>
      <c r="AO873" s="104" t="n">
        <v>36.08</v>
      </c>
      <c r="AP873" s="105" t="n">
        <v>1.272</v>
      </c>
      <c r="AQ873" s="105" t="n">
        <v>1.044</v>
      </c>
      <c r="AR873" s="105" t="n">
        <v>1.599</v>
      </c>
      <c r="AS873" s="77" t="n">
        <v>33.512</v>
      </c>
      <c r="AT873" s="78" t="n">
        <v>32.22</v>
      </c>
      <c r="AU873" s="78" t="n">
        <v>35.25</v>
      </c>
      <c r="AV873" s="78" t="n">
        <v>28.93</v>
      </c>
      <c r="AW873" s="78" t="n">
        <v>44.32</v>
      </c>
      <c r="AX873" s="78" t="n">
        <v>19</v>
      </c>
      <c r="AY873" s="48" t="n">
        <v>1.38826020628181</v>
      </c>
      <c r="AZ873" s="48" t="n">
        <v>24.6868967796057</v>
      </c>
      <c r="BA873" s="48" t="n">
        <v>-1.47799123422874</v>
      </c>
      <c r="BB873" s="49" t="n">
        <f aca="false">AT873/V873</f>
        <v>1.38826020628181</v>
      </c>
      <c r="BC873" s="49" t="n">
        <f aca="false">AS873/V873</f>
        <v>1.44392849264171</v>
      </c>
      <c r="BD873" s="49" t="n">
        <f aca="false">SUM(AP873:AR873)/V873</f>
        <v>0.168685248528655</v>
      </c>
      <c r="BE873" s="53" t="n">
        <v>6.79</v>
      </c>
      <c r="BF873" s="51" t="n">
        <v>82.19</v>
      </c>
      <c r="BG873" s="51" t="n">
        <v>626.840248205378</v>
      </c>
      <c r="BH873" s="51" t="n">
        <v>173.135417934055</v>
      </c>
      <c r="BI873" s="51" t="n">
        <v>143.326438739506</v>
      </c>
      <c r="BJ873" s="51" t="n">
        <v>11.9235916778197</v>
      </c>
      <c r="BK873" s="51" t="n">
        <v>24.8205377783185</v>
      </c>
      <c r="BL873" s="51" t="n">
        <v>7.90850468426816</v>
      </c>
      <c r="BM873" s="51" t="n">
        <v>11.9235916778197</v>
      </c>
      <c r="BN873" s="52" t="n">
        <f aca="false">(BG873*0.5-BH873*0.25+BI873*0.5)/SUM(BG873:BI873)*1000</f>
        <v>362.343608925577</v>
      </c>
      <c r="BO873" s="93" t="n">
        <v>8.55204081632653</v>
      </c>
      <c r="BP873" s="94" t="s">
        <v>491</v>
      </c>
      <c r="BQ873" s="55" t="n">
        <v>576.2486</v>
      </c>
      <c r="BR873" s="56" t="n">
        <v>24.8287709592056</v>
      </c>
      <c r="BS873" s="56" t="n">
        <v>35.9942500995656</v>
      </c>
      <c r="BT873" s="56" t="n">
        <v>17.8848106765984</v>
      </c>
      <c r="BU873" s="55" t="n">
        <v>14344.8503</v>
      </c>
      <c r="BV873" s="55" t="n">
        <v>618.075258738661</v>
      </c>
      <c r="BW873" s="55" t="n">
        <v>896.023225633916</v>
      </c>
      <c r="BX873" s="55" t="n">
        <v>445</v>
      </c>
      <c r="BY873" s="106" t="n">
        <v>0.2754</v>
      </c>
      <c r="BZ873" s="106" t="n">
        <v>2.31</v>
      </c>
      <c r="CA873" s="106" t="n">
        <v>3.31</v>
      </c>
      <c r="CB873" s="81"/>
      <c r="CC873" s="106" t="n">
        <v>5.81</v>
      </c>
      <c r="CD873" s="106" t="n">
        <v>8.32</v>
      </c>
      <c r="CE873" s="106" t="n">
        <v>108.2</v>
      </c>
      <c r="CF873" s="106" t="n">
        <v>41.3</v>
      </c>
      <c r="CG873" s="106" t="n">
        <v>0.0661</v>
      </c>
      <c r="CH873" s="63" t="n">
        <v>51076.2305562255</v>
      </c>
      <c r="CI873" s="63" t="n">
        <v>9210.1222909723</v>
      </c>
      <c r="CJ873" s="64" t="n">
        <v>725493.859834905</v>
      </c>
      <c r="CK873" s="65" t="n">
        <v>1.26949693179597</v>
      </c>
    </row>
    <row r="874" customFormat="false" ht="15" hidden="false" customHeight="false" outlineLevel="0" collapsed="false">
      <c r="A874" s="7" t="s">
        <v>902</v>
      </c>
      <c r="B874" s="66" t="n">
        <v>854</v>
      </c>
      <c r="C874" s="8" t="s">
        <v>960</v>
      </c>
      <c r="D874" s="108" t="n">
        <v>41452</v>
      </c>
      <c r="E874" s="4" t="s">
        <v>904</v>
      </c>
      <c r="F874" s="7" t="n">
        <v>1542</v>
      </c>
      <c r="G874" s="68" t="n">
        <v>2</v>
      </c>
      <c r="H874" s="68" t="n">
        <v>93</v>
      </c>
      <c r="I874" s="7" t="n">
        <v>2</v>
      </c>
      <c r="J874" s="8" t="n">
        <v>665</v>
      </c>
      <c r="K874" s="31" t="n">
        <v>400.532230206615</v>
      </c>
      <c r="L874" s="31" t="n">
        <v>935.671313828939</v>
      </c>
      <c r="M874" s="31" t="n">
        <v>169.68073358242</v>
      </c>
      <c r="N874" s="31" t="n">
        <v>436.181781064802</v>
      </c>
      <c r="O874" s="31" t="n">
        <v>78.4604060202252</v>
      </c>
      <c r="P874" s="31" t="n">
        <v>35.3960743530718</v>
      </c>
      <c r="Q874" s="31"/>
      <c r="R874" s="31" t="n">
        <v>120.891717433422</v>
      </c>
      <c r="S874" s="34" t="s">
        <v>905</v>
      </c>
      <c r="T874" s="35" t="n">
        <v>13.6675376097887</v>
      </c>
      <c r="U874" s="35" t="n">
        <v>7.7081802386396</v>
      </c>
      <c r="V874" s="35" t="n">
        <v>21.3757178484283</v>
      </c>
      <c r="W874" s="35" t="n">
        <v>20.2477911821589</v>
      </c>
      <c r="X874" s="35" t="n">
        <v>3.6718664026933</v>
      </c>
      <c r="Y874" s="35" t="n">
        <v>9.43891032025046</v>
      </c>
      <c r="Z874" s="35" t="n">
        <v>1.69787177792582</v>
      </c>
      <c r="AA874" s="53" t="n">
        <v>0.765965902317056</v>
      </c>
      <c r="AB874" s="101"/>
      <c r="AC874" s="71" t="n">
        <v>2.61607918728179</v>
      </c>
      <c r="AD874" s="38" t="n">
        <v>6.77327448896695</v>
      </c>
      <c r="AE874" s="38" t="n">
        <v>6.06208066762542</v>
      </c>
      <c r="AF874" s="38" t="n">
        <v>1.24628250596992</v>
      </c>
      <c r="AG874" s="38" t="n">
        <v>4.11137761480294</v>
      </c>
      <c r="AH874" s="38" t="n">
        <v>1.69592795173259</v>
      </c>
      <c r="AI874" s="38"/>
      <c r="AJ874" s="102" t="s">
        <v>906</v>
      </c>
      <c r="AK874" s="103" t="n">
        <v>687</v>
      </c>
      <c r="AL874" s="103" t="n">
        <v>700</v>
      </c>
      <c r="AM874" s="103" t="n">
        <v>660</v>
      </c>
      <c r="AN874" s="103" t="n">
        <v>564</v>
      </c>
      <c r="AO874" s="104" t="n">
        <v>36.08</v>
      </c>
      <c r="AP874" s="105" t="n">
        <v>1.537</v>
      </c>
      <c r="AQ874" s="105" t="n">
        <v>1.19</v>
      </c>
      <c r="AR874" s="105" t="n">
        <v>1.776</v>
      </c>
      <c r="AS874" s="77" t="n">
        <v>37.487</v>
      </c>
      <c r="AT874" s="78" t="n">
        <v>37.51</v>
      </c>
      <c r="AU874" s="78" t="n">
        <v>42.61</v>
      </c>
      <c r="AV874" s="78" t="n">
        <v>32.98</v>
      </c>
      <c r="AW874" s="78" t="n">
        <v>49.21</v>
      </c>
      <c r="AX874" s="78" t="n">
        <v>24</v>
      </c>
      <c r="AY874" s="48" t="n">
        <v>1.75479486892451</v>
      </c>
      <c r="AZ874" s="48" t="n">
        <v>25.5948708028047</v>
      </c>
      <c r="BA874" s="48" t="n">
        <v>-4.21915295437645</v>
      </c>
      <c r="BB874" s="49" t="n">
        <f aca="false">AT874/V874</f>
        <v>1.75479486892451</v>
      </c>
      <c r="BC874" s="49" t="n">
        <f aca="false">AS874/V874</f>
        <v>1.75371888166817</v>
      </c>
      <c r="BD874" s="49" t="n">
        <f aca="false">SUM(AP874:AR874)/V874</f>
        <v>0.210659591969263</v>
      </c>
      <c r="BE874" s="53" t="n">
        <v>6.54</v>
      </c>
      <c r="BF874" s="51" t="n">
        <v>101.59</v>
      </c>
      <c r="BG874" s="51" t="n">
        <v>625.258391573974</v>
      </c>
      <c r="BH874" s="51" t="n">
        <v>209.371001082784</v>
      </c>
      <c r="BI874" s="51" t="n">
        <v>119.696820553204</v>
      </c>
      <c r="BJ874" s="51" t="n">
        <v>10.8278373855694</v>
      </c>
      <c r="BK874" s="51" t="n">
        <v>18.5057584407914</v>
      </c>
      <c r="BL874" s="51" t="n">
        <v>6.00452800472487</v>
      </c>
      <c r="BM874" s="51" t="n">
        <v>10.2372280736293</v>
      </c>
      <c r="BN874" s="52" t="n">
        <f aca="false">(BG874*0.5-BH874*0.25+BI874*0.5)/SUM(BG874:BI874)*1000</f>
        <v>335.456420835482</v>
      </c>
      <c r="BO874" s="93" t="n">
        <v>6.77397959183673</v>
      </c>
      <c r="BP874" s="94" t="s">
        <v>491</v>
      </c>
      <c r="BQ874" s="55" t="n">
        <v>604.629666666667</v>
      </c>
      <c r="BR874" s="56" t="n">
        <v>28.2858180929407</v>
      </c>
      <c r="BS874" s="56" t="n">
        <v>42.6593033726935</v>
      </c>
      <c r="BT874" s="56" t="n">
        <v>16.1191593352884</v>
      </c>
      <c r="BU874" s="55" t="n">
        <v>13383.5499</v>
      </c>
      <c r="BV874" s="55" t="n">
        <v>626.109962477077</v>
      </c>
      <c r="BW874" s="55" t="n">
        <v>944.268776183684</v>
      </c>
      <c r="BX874" s="55" t="n">
        <v>357</v>
      </c>
      <c r="BY874" s="106" t="n">
        <v>0.2448</v>
      </c>
      <c r="BZ874" s="106" t="n">
        <v>1.3</v>
      </c>
      <c r="CA874" s="106" t="n">
        <v>3.99</v>
      </c>
      <c r="CB874" s="81"/>
      <c r="CC874" s="106" t="n">
        <v>2.87</v>
      </c>
      <c r="CD874" s="106" t="n">
        <v>7.42</v>
      </c>
      <c r="CE874" s="106" t="n">
        <v>104</v>
      </c>
      <c r="CF874" s="106" t="n">
        <v>37.4</v>
      </c>
      <c r="CG874" s="106" t="n">
        <v>0.2096</v>
      </c>
      <c r="CH874" s="63" t="n">
        <v>78970.3102928554</v>
      </c>
      <c r="CI874" s="63" t="n">
        <v>12186.5875363031</v>
      </c>
      <c r="CJ874" s="64" t="n">
        <v>694770.92529877</v>
      </c>
      <c r="CK874" s="65" t="n">
        <v>1.75404397227223</v>
      </c>
    </row>
    <row r="875" customFormat="false" ht="15" hidden="false" customHeight="false" outlineLevel="0" collapsed="false">
      <c r="A875" s="7" t="s">
        <v>902</v>
      </c>
      <c r="B875" s="66" t="n">
        <v>855</v>
      </c>
      <c r="C875" s="8" t="s">
        <v>961</v>
      </c>
      <c r="D875" s="108" t="n">
        <v>41452</v>
      </c>
      <c r="E875" s="4" t="s">
        <v>904</v>
      </c>
      <c r="F875" s="7" t="n">
        <v>1567</v>
      </c>
      <c r="G875" s="68" t="n">
        <v>2</v>
      </c>
      <c r="H875" s="68" t="n">
        <v>118</v>
      </c>
      <c r="I875" s="7" t="n">
        <v>1</v>
      </c>
      <c r="J875" s="8" t="n">
        <v>673</v>
      </c>
      <c r="K875" s="31" t="n">
        <v>413.463374730541</v>
      </c>
      <c r="L875" s="31" t="n">
        <v>939.864701679827</v>
      </c>
      <c r="M875" s="31" t="n">
        <v>164.647454816619</v>
      </c>
      <c r="N875" s="31" t="n">
        <v>441.560443654965</v>
      </c>
      <c r="O875" s="31" t="n">
        <v>74.7422702763364</v>
      </c>
      <c r="P875" s="31" t="n">
        <v>34.1118345888898</v>
      </c>
      <c r="Q875" s="31"/>
      <c r="R875" s="31" t="n">
        <v>129.501431272504</v>
      </c>
      <c r="S875" s="34" t="s">
        <v>905</v>
      </c>
      <c r="T875" s="35" t="n">
        <v>12.7741709557567</v>
      </c>
      <c r="U875" s="35" t="n">
        <v>7.46024064289196</v>
      </c>
      <c r="V875" s="35" t="n">
        <v>20.2344115986486</v>
      </c>
      <c r="W875" s="35" t="n">
        <v>19.0176092208307</v>
      </c>
      <c r="X875" s="35" t="n">
        <v>3.33154436942937</v>
      </c>
      <c r="Y875" s="35" t="n">
        <v>8.93471576259647</v>
      </c>
      <c r="Z875" s="35" t="n">
        <v>1.51236586058883</v>
      </c>
      <c r="AA875" s="53" t="n">
        <v>0.690232901456616</v>
      </c>
      <c r="AB875" s="101"/>
      <c r="AC875" s="71" t="n">
        <v>2.62038526298196</v>
      </c>
      <c r="AD875" s="38" t="n">
        <v>4.97766525326757</v>
      </c>
      <c r="AE875" s="38" t="n">
        <v>4.48412974340609</v>
      </c>
      <c r="AF875" s="38" t="n">
        <v>0.826292432042416</v>
      </c>
      <c r="AG875" s="38" t="n">
        <v>3.10606311803896</v>
      </c>
      <c r="AH875" s="38" t="n">
        <v>1.51451290692312</v>
      </c>
      <c r="AI875" s="38"/>
      <c r="AJ875" s="102" t="s">
        <v>906</v>
      </c>
      <c r="AK875" s="103" t="n">
        <v>754</v>
      </c>
      <c r="AL875" s="103" t="n">
        <v>765</v>
      </c>
      <c r="AM875" s="103" t="n">
        <v>752</v>
      </c>
      <c r="AN875" s="103" t="n">
        <v>653</v>
      </c>
      <c r="AO875" s="104" t="n">
        <v>20.6</v>
      </c>
      <c r="AP875" s="105" t="n">
        <v>0.815</v>
      </c>
      <c r="AQ875" s="105" t="n">
        <v>0.712</v>
      </c>
      <c r="AR875" s="105" t="n">
        <v>0.974</v>
      </c>
      <c r="AS875" s="77" t="n">
        <v>20.465</v>
      </c>
      <c r="AT875" s="78" t="n">
        <v>20.7</v>
      </c>
      <c r="AU875" s="78" t="n">
        <v>39.57</v>
      </c>
      <c r="AV875" s="78" t="n">
        <v>34.56</v>
      </c>
      <c r="AW875" s="78" t="n">
        <v>47.3</v>
      </c>
      <c r="AX875" s="78" t="n">
        <v>21.2978723404255</v>
      </c>
      <c r="AY875" s="48" t="n">
        <v>1.02300973265674</v>
      </c>
      <c r="AZ875" s="48" t="n">
        <v>20.0071241312978</v>
      </c>
      <c r="BA875" s="48" t="n">
        <v>0.227287467350827</v>
      </c>
      <c r="BB875" s="49" t="n">
        <f aca="false">AT875/V875</f>
        <v>1.02300973265674</v>
      </c>
      <c r="BC875" s="49" t="n">
        <f aca="false">AS875/V875</f>
        <v>1.01139585404928</v>
      </c>
      <c r="BD875" s="49" t="n">
        <f aca="false">SUM(AP875:AR875)/V875</f>
        <v>0.123601320839348</v>
      </c>
      <c r="BE875" s="53" t="n">
        <v>6.95</v>
      </c>
      <c r="BF875" s="51"/>
      <c r="BG875" s="51"/>
      <c r="BH875" s="51"/>
      <c r="BI875" s="51"/>
      <c r="BJ875" s="51"/>
      <c r="BK875" s="51"/>
      <c r="BL875" s="51"/>
      <c r="BM875" s="51"/>
      <c r="BN875" s="52"/>
      <c r="BO875" s="93" t="n">
        <v>1.63928571428571</v>
      </c>
      <c r="BP875" s="94" t="s">
        <v>491</v>
      </c>
      <c r="BQ875" s="55" t="n">
        <v>377.99125</v>
      </c>
      <c r="BR875" s="56" t="n">
        <v>18.6806148603424</v>
      </c>
      <c r="BS875" s="56" t="n">
        <v>25.9815102630836</v>
      </c>
      <c r="BT875" s="56" t="n">
        <v>18.2604468599034</v>
      </c>
      <c r="BU875" s="55" t="n">
        <v>11138.3744444444</v>
      </c>
      <c r="BV875" s="55" t="n">
        <v>550.466930562405</v>
      </c>
      <c r="BW875" s="55" t="n">
        <v>765.604468205021</v>
      </c>
      <c r="BX875" s="55" t="n">
        <v>538</v>
      </c>
      <c r="BY875" s="106" t="n">
        <v>0.1326</v>
      </c>
      <c r="BZ875" s="106" t="n">
        <v>0.77</v>
      </c>
      <c r="CA875" s="106" t="n">
        <v>4.37</v>
      </c>
      <c r="CB875" s="81"/>
      <c r="CC875" s="106" t="n">
        <v>2.6</v>
      </c>
      <c r="CD875" s="106" t="n">
        <v>5.95</v>
      </c>
      <c r="CE875" s="106" t="n">
        <v>88.6</v>
      </c>
      <c r="CF875" s="106" t="n">
        <v>35.3</v>
      </c>
      <c r="CG875" s="106" t="n">
        <v>0.1201</v>
      </c>
      <c r="CH875" s="63" t="n">
        <v>18393.8020624765</v>
      </c>
      <c r="CI875" s="63" t="n">
        <v>2949.91104058463</v>
      </c>
      <c r="CJ875" s="63" t="n">
        <v>324196.806939464</v>
      </c>
      <c r="CK875" s="85" t="n">
        <v>0.909913662763326</v>
      </c>
    </row>
    <row r="876" customFormat="false" ht="15" hidden="false" customHeight="false" outlineLevel="0" collapsed="false">
      <c r="A876" s="7" t="s">
        <v>902</v>
      </c>
      <c r="B876" s="66" t="n">
        <v>856</v>
      </c>
      <c r="C876" s="8" t="s">
        <v>962</v>
      </c>
      <c r="D876" s="108" t="n">
        <v>41453</v>
      </c>
      <c r="E876" s="4" t="s">
        <v>904</v>
      </c>
      <c r="F876" s="7" t="n">
        <v>1584</v>
      </c>
      <c r="G876" s="68" t="n">
        <v>2</v>
      </c>
      <c r="H876" s="68" t="n">
        <v>119</v>
      </c>
      <c r="I876" s="7" t="n">
        <v>1</v>
      </c>
      <c r="J876" s="8" t="n">
        <v>613</v>
      </c>
      <c r="K876" s="31" t="n">
        <v>423.903105795242</v>
      </c>
      <c r="L876" s="31" t="n">
        <v>941.286876293228</v>
      </c>
      <c r="M876" s="31" t="n">
        <v>163.153546353005</v>
      </c>
      <c r="N876" s="31" t="n">
        <v>439.681876535239</v>
      </c>
      <c r="O876" s="31" t="n">
        <v>73.3755837439314</v>
      </c>
      <c r="P876" s="31" t="n">
        <v>33.9659783453212</v>
      </c>
      <c r="Q876" s="31"/>
      <c r="R876" s="31" t="n">
        <v>135.486607780895</v>
      </c>
      <c r="S876" s="34" t="s">
        <v>905</v>
      </c>
      <c r="T876" s="35" t="n">
        <v>11.5811076861494</v>
      </c>
      <c r="U876" s="35" t="n">
        <v>7.1080922561438</v>
      </c>
      <c r="V876" s="35" t="n">
        <v>18.6891999422932</v>
      </c>
      <c r="W876" s="35" t="n">
        <v>17.5918986341008</v>
      </c>
      <c r="X876" s="35" t="n">
        <v>3.04920924908552</v>
      </c>
      <c r="Y876" s="35" t="n">
        <v>8.21730250156976</v>
      </c>
      <c r="Z876" s="35" t="n">
        <v>1.37133095547282</v>
      </c>
      <c r="AA876" s="53" t="n">
        <v>0.63479696053131</v>
      </c>
      <c r="AB876" s="101"/>
      <c r="AC876" s="71" t="n">
        <v>2.53213630232021</v>
      </c>
      <c r="AD876" s="38" t="n">
        <v>5.10215158424605</v>
      </c>
      <c r="AE876" s="38" t="n">
        <v>4.66413187073853</v>
      </c>
      <c r="AF876" s="38" t="n">
        <v>0.913285133580043</v>
      </c>
      <c r="AG876" s="38" t="n">
        <v>3.13782322431132</v>
      </c>
      <c r="AH876" s="38" t="n">
        <v>1.37366574070675</v>
      </c>
      <c r="AI876" s="38"/>
      <c r="AJ876" s="102" t="s">
        <v>906</v>
      </c>
      <c r="AK876" s="103" t="n">
        <v>727</v>
      </c>
      <c r="AL876" s="103" t="n">
        <v>735</v>
      </c>
      <c r="AM876" s="103" t="n">
        <v>701</v>
      </c>
      <c r="AN876" s="103" t="n">
        <v>619</v>
      </c>
      <c r="AO876" s="104" t="n">
        <v>28.7</v>
      </c>
      <c r="AP876" s="105" t="n">
        <v>1.525</v>
      </c>
      <c r="AQ876" s="105" t="n">
        <v>1.072</v>
      </c>
      <c r="AR876" s="105" t="n">
        <v>1.425</v>
      </c>
      <c r="AS876" s="77" t="n">
        <v>34.355</v>
      </c>
      <c r="AT876" s="78" t="n">
        <v>34.55</v>
      </c>
      <c r="AU876" s="78" t="n">
        <v>53.12</v>
      </c>
      <c r="AV876" s="78" t="n">
        <v>37.36</v>
      </c>
      <c r="AW876" s="78" t="n">
        <v>49.64</v>
      </c>
      <c r="AX876" s="78" t="n">
        <v>13.063829787234</v>
      </c>
      <c r="AY876" s="48" t="n">
        <v>1.84866126461701</v>
      </c>
      <c r="AZ876" s="48" t="n">
        <v>24.2384881900923</v>
      </c>
      <c r="BA876" s="48" t="n">
        <v>-5.54928824779911</v>
      </c>
      <c r="BB876" s="49" t="n">
        <f aca="false">AT876/V876</f>
        <v>1.84866126461701</v>
      </c>
      <c r="BC876" s="49" t="n">
        <f aca="false">AS876/V876</f>
        <v>1.83822743114088</v>
      </c>
      <c r="BD876" s="49" t="n">
        <f aca="false">SUM(AP876:AR876)/V876</f>
        <v>0.215204503799989</v>
      </c>
      <c r="BE876" s="53" t="n">
        <v>7.2</v>
      </c>
      <c r="BF876" s="51" t="n">
        <v>76.72</v>
      </c>
      <c r="BG876" s="51" t="n">
        <v>680.135557872784</v>
      </c>
      <c r="BH876" s="51" t="n">
        <v>158.628779979145</v>
      </c>
      <c r="BI876" s="51" t="n">
        <v>108.837330552659</v>
      </c>
      <c r="BJ876" s="51" t="n">
        <v>9.38477580813347</v>
      </c>
      <c r="BK876" s="51" t="n">
        <v>22.8102189781022</v>
      </c>
      <c r="BL876" s="51" t="n">
        <v>5.34410844629823</v>
      </c>
      <c r="BM876" s="51" t="n">
        <v>14.7288842544317</v>
      </c>
      <c r="BN876" s="52" t="n">
        <f aca="false">(BG876*0.5-BH876*0.25+BI876*0.5)/SUM(BG876:BI876)*1000</f>
        <v>374.449793672627</v>
      </c>
      <c r="BO876" s="93" t="n">
        <v>6.96479591836735</v>
      </c>
      <c r="BP876" s="94" t="s">
        <v>491</v>
      </c>
      <c r="BQ876" s="55" t="n">
        <v>404.589</v>
      </c>
      <c r="BR876" s="56" t="n">
        <v>21.6482782167911</v>
      </c>
      <c r="BS876" s="56" t="n">
        <v>31.2906091570333</v>
      </c>
      <c r="BT876" s="56" t="n">
        <v>11.7102460202605</v>
      </c>
      <c r="BU876" s="55" t="n">
        <v>11089.0239</v>
      </c>
      <c r="BV876" s="55" t="n">
        <v>593.338609156072</v>
      </c>
      <c r="BW876" s="55" t="n">
        <v>857.616773535369</v>
      </c>
      <c r="BX876" s="55" t="n">
        <v>321</v>
      </c>
      <c r="BY876" s="106" t="n">
        <v>0.1632</v>
      </c>
      <c r="BZ876" s="106" t="n">
        <v>1.25</v>
      </c>
      <c r="CA876" s="106" t="n">
        <v>3.64</v>
      </c>
      <c r="CB876" s="81"/>
      <c r="CC876" s="106" t="n">
        <v>3.67</v>
      </c>
      <c r="CD876" s="106" t="n">
        <v>6.35</v>
      </c>
      <c r="CE876" s="106" t="n">
        <v>96.8</v>
      </c>
      <c r="CF876" s="106" t="n">
        <v>36.2</v>
      </c>
      <c r="CG876" s="106" t="n">
        <v>0.0849</v>
      </c>
      <c r="CH876" s="63" t="n">
        <v>71645.6668390316</v>
      </c>
      <c r="CI876" s="63" t="n">
        <v>12070.8763622732</v>
      </c>
      <c r="CJ876" s="64" t="n">
        <v>850597.630624263</v>
      </c>
      <c r="CK876" s="65" t="n">
        <v>1.41910533578777</v>
      </c>
    </row>
    <row r="877" customFormat="false" ht="15" hidden="false" customHeight="false" outlineLevel="0" collapsed="false">
      <c r="A877" s="7" t="s">
        <v>902</v>
      </c>
      <c r="B877" s="66" t="n">
        <v>857</v>
      </c>
      <c r="C877" s="8" t="s">
        <v>963</v>
      </c>
      <c r="D877" s="108" t="n">
        <v>41453</v>
      </c>
      <c r="E877" s="4" t="s">
        <v>904</v>
      </c>
      <c r="F877" s="7" t="n">
        <v>1591</v>
      </c>
      <c r="G877" s="68" t="n">
        <v>2</v>
      </c>
      <c r="H877" s="68" t="n">
        <v>158</v>
      </c>
      <c r="I877" s="7" t="n">
        <v>1</v>
      </c>
      <c r="J877" s="8" t="n">
        <v>602</v>
      </c>
      <c r="K877" s="31" t="n">
        <v>350.135739892899</v>
      </c>
      <c r="L877" s="31" t="n">
        <v>923.429463244786</v>
      </c>
      <c r="M877" s="31" t="n">
        <v>175.498571186068</v>
      </c>
      <c r="N877" s="31" t="n">
        <v>406.381352102298</v>
      </c>
      <c r="O877" s="31" t="n">
        <v>93.2975490611485</v>
      </c>
      <c r="P877" s="31" t="n">
        <v>37.0820054591726</v>
      </c>
      <c r="Q877" s="31"/>
      <c r="R877" s="31" t="n">
        <v>115.358387614775</v>
      </c>
      <c r="S877" s="34" t="s">
        <v>905</v>
      </c>
      <c r="T877" s="35" t="n">
        <v>11.5403585516025</v>
      </c>
      <c r="U877" s="35" t="n">
        <v>5.92787556601705</v>
      </c>
      <c r="V877" s="35" t="n">
        <v>17.4682341176196</v>
      </c>
      <c r="W877" s="35" t="n">
        <v>17.0320195591127</v>
      </c>
      <c r="X877" s="35" t="n">
        <v>3.23695010394647</v>
      </c>
      <c r="Y877" s="35" t="n">
        <v>7.49542375780815</v>
      </c>
      <c r="Z877" s="35" t="n">
        <v>1.72080894499846</v>
      </c>
      <c r="AA877" s="53" t="n">
        <v>0.683952015189632</v>
      </c>
      <c r="AB877" s="101"/>
      <c r="AC877" s="71" t="n">
        <v>2.12770589673261</v>
      </c>
      <c r="AD877" s="38" t="n">
        <v>6.89817205173966</v>
      </c>
      <c r="AE877" s="38" t="n">
        <v>5.98450916348674</v>
      </c>
      <c r="AF877" s="38" t="n">
        <v>1.51759785138273</v>
      </c>
      <c r="AG877" s="38" t="n">
        <v>3.42149333766287</v>
      </c>
      <c r="AH877" s="38" t="n">
        <v>1.71933053339112</v>
      </c>
      <c r="AI877" s="38"/>
      <c r="AJ877" s="102" t="s">
        <v>906</v>
      </c>
      <c r="AK877" s="103" t="n">
        <v>626</v>
      </c>
      <c r="AL877" s="103" t="n">
        <v>648</v>
      </c>
      <c r="AM877" s="103" t="n">
        <v>531</v>
      </c>
      <c r="AN877" s="103" t="n">
        <v>543</v>
      </c>
      <c r="AO877" s="104" t="n">
        <v>27.99</v>
      </c>
      <c r="AP877" s="105" t="n">
        <v>1.124</v>
      </c>
      <c r="AQ877" s="105" t="n">
        <v>0.974</v>
      </c>
      <c r="AR877" s="105" t="n">
        <v>1.387</v>
      </c>
      <c r="AS877" s="77" t="n">
        <v>28.056</v>
      </c>
      <c r="AT877" s="78" t="n">
        <v>28.7</v>
      </c>
      <c r="AU877" s="78" t="n">
        <v>40.15</v>
      </c>
      <c r="AV877" s="78" t="n">
        <v>34.8</v>
      </c>
      <c r="AW877" s="78" t="n">
        <v>49.54</v>
      </c>
      <c r="AX877" s="78" t="n">
        <v>16.1914893617021</v>
      </c>
      <c r="AY877" s="48" t="n">
        <v>1.64298233048361</v>
      </c>
      <c r="AZ877" s="48" t="n">
        <v>22.0573492984634</v>
      </c>
      <c r="BA877" s="48" t="n">
        <v>-4.58911518084385</v>
      </c>
      <c r="BB877" s="49" t="n">
        <f aca="false">AT877/V877</f>
        <v>1.64298233048361</v>
      </c>
      <c r="BC877" s="49" t="n">
        <f aca="false">AS877/V877</f>
        <v>1.60611540989715</v>
      </c>
      <c r="BD877" s="49" t="n">
        <f aca="false">SUM(AP877:AR877)/V877</f>
        <v>0.19950499727301</v>
      </c>
      <c r="BE877" s="53" t="n">
        <v>7.02</v>
      </c>
      <c r="BF877" s="51" t="n">
        <v>88.02</v>
      </c>
      <c r="BG877" s="51" t="n">
        <v>662.349466030448</v>
      </c>
      <c r="BH877" s="51" t="n">
        <v>169.96137241536</v>
      </c>
      <c r="BI877" s="51" t="n">
        <v>116.905248807089</v>
      </c>
      <c r="BJ877" s="51" t="n">
        <v>15.1102022267666</v>
      </c>
      <c r="BK877" s="51" t="n">
        <v>17.2688025448762</v>
      </c>
      <c r="BL877" s="51" t="n">
        <v>10.7930015905476</v>
      </c>
      <c r="BM877" s="51" t="n">
        <v>7.61190638491252</v>
      </c>
      <c r="BN877" s="52" t="n">
        <f aca="false">(BG877*0.5-BH877*0.25+BI877*0.5)/SUM(BG877:BI877)*1000</f>
        <v>365.709156193896</v>
      </c>
      <c r="BO877" s="93" t="n">
        <v>10.0352040816327</v>
      </c>
      <c r="BP877" s="94" t="s">
        <v>491</v>
      </c>
      <c r="BQ877" s="55" t="n">
        <v>552.3114</v>
      </c>
      <c r="BR877" s="56" t="n">
        <v>31.6180442900581</v>
      </c>
      <c r="BS877" s="56" t="n">
        <v>50.0429443759875</v>
      </c>
      <c r="BT877" s="56" t="n">
        <v>19.2442996515679</v>
      </c>
      <c r="BU877" s="55" t="n">
        <v>13519.4787</v>
      </c>
      <c r="BV877" s="55" t="n">
        <v>773.946502489532</v>
      </c>
      <c r="BW877" s="55" t="n">
        <v>1224.95121515951</v>
      </c>
      <c r="BX877" s="55" t="n">
        <v>471</v>
      </c>
      <c r="BY877" s="106" t="n">
        <v>0.255</v>
      </c>
      <c r="BZ877" s="106" t="n">
        <v>0.67</v>
      </c>
      <c r="CA877" s="106" t="n">
        <v>4.28</v>
      </c>
      <c r="CB877" s="81"/>
      <c r="CC877" s="106" t="n">
        <v>5.72</v>
      </c>
      <c r="CD877" s="106" t="n">
        <v>8.43</v>
      </c>
      <c r="CE877" s="106" t="n">
        <v>61.8</v>
      </c>
      <c r="CF877" s="106" t="n">
        <v>33.6</v>
      </c>
      <c r="CG877" s="106" t="n">
        <v>1.0443</v>
      </c>
      <c r="CH877" s="63" t="n">
        <v>35339.1127524961</v>
      </c>
      <c r="CI877" s="63" t="n">
        <v>3150.0384135919</v>
      </c>
      <c r="CJ877" s="63" t="n">
        <v>201781.020895683</v>
      </c>
      <c r="CK877" s="85" t="n">
        <v>1.56111729418815</v>
      </c>
    </row>
    <row r="878" customFormat="false" ht="15" hidden="false" customHeight="false" outlineLevel="0" collapsed="false">
      <c r="A878" s="7" t="s">
        <v>902</v>
      </c>
      <c r="B878" s="66" t="n">
        <v>858</v>
      </c>
      <c r="C878" s="8" t="s">
        <v>964</v>
      </c>
      <c r="D878" s="108" t="n">
        <v>41452</v>
      </c>
      <c r="E878" s="4" t="s">
        <v>904</v>
      </c>
      <c r="F878" s="7" t="n">
        <v>1596</v>
      </c>
      <c r="G878" s="68" t="n">
        <v>2</v>
      </c>
      <c r="H878" s="68" t="n">
        <v>117</v>
      </c>
      <c r="I878" s="7" t="n">
        <v>1</v>
      </c>
      <c r="J878" s="8" t="n">
        <v>497</v>
      </c>
      <c r="K878" s="31" t="n">
        <v>410.661119429522</v>
      </c>
      <c r="L878" s="31" t="n">
        <v>936.778263980263</v>
      </c>
      <c r="M878" s="31" t="n">
        <v>168.192152288799</v>
      </c>
      <c r="N878" s="31" t="n">
        <v>432.294532496123</v>
      </c>
      <c r="O878" s="31" t="n">
        <v>77.2544680517105</v>
      </c>
      <c r="P878" s="31" t="n">
        <v>35.2621609701925</v>
      </c>
      <c r="Q878" s="31"/>
      <c r="R878" s="31" t="n">
        <v>128.116211445042</v>
      </c>
      <c r="S878" s="34" t="s">
        <v>905</v>
      </c>
      <c r="T878" s="35" t="n">
        <v>11.0085650441092</v>
      </c>
      <c r="U878" s="35" t="n">
        <v>6.55382596176482</v>
      </c>
      <c r="V878" s="35" t="n">
        <v>17.562391005874</v>
      </c>
      <c r="W878" s="35" t="n">
        <v>16.6044832572057</v>
      </c>
      <c r="X878" s="35" t="n">
        <v>2.9812217939459</v>
      </c>
      <c r="Y878" s="35" t="n">
        <v>7.66246144153135</v>
      </c>
      <c r="Z878" s="35" t="n">
        <v>1.36934274697901</v>
      </c>
      <c r="AA878" s="53" t="n">
        <v>0.625025135569104</v>
      </c>
      <c r="AB878" s="101"/>
      <c r="AC878" s="71" t="n">
        <v>2.27087195520224</v>
      </c>
      <c r="AD878" s="38" t="n">
        <v>5.24662797282458</v>
      </c>
      <c r="AE878" s="38" t="n">
        <v>4.75423193757499</v>
      </c>
      <c r="AF878" s="38" t="n">
        <v>0.918159895244301</v>
      </c>
      <c r="AG878" s="38" t="n">
        <v>3.1164970158578</v>
      </c>
      <c r="AH878" s="38" t="n">
        <v>1.36996710882948</v>
      </c>
      <c r="AI878" s="38"/>
      <c r="AJ878" s="102" t="s">
        <v>906</v>
      </c>
      <c r="AK878" s="103" t="n">
        <v>704</v>
      </c>
      <c r="AL878" s="103" t="n">
        <v>714</v>
      </c>
      <c r="AM878" s="103" t="n">
        <v>692</v>
      </c>
      <c r="AN878" s="103" t="n">
        <v>593</v>
      </c>
      <c r="AO878" s="104" t="n">
        <v>28.24</v>
      </c>
      <c r="AP878" s="105" t="n">
        <v>1.22</v>
      </c>
      <c r="AQ878" s="105" t="n">
        <v>0.959</v>
      </c>
      <c r="AR878" s="105" t="n">
        <v>1.376</v>
      </c>
      <c r="AS878" s="77" t="n">
        <v>29.596</v>
      </c>
      <c r="AT878" s="78" t="n">
        <v>29.71</v>
      </c>
      <c r="AU878" s="78" t="n">
        <v>43.22</v>
      </c>
      <c r="AV878" s="78" t="n">
        <v>33.95</v>
      </c>
      <c r="AW878" s="78" t="n">
        <v>48.72</v>
      </c>
      <c r="AX878" s="78" t="n">
        <v>19.6595744680851</v>
      </c>
      <c r="AY878" s="48" t="n">
        <v>1.69168309657056</v>
      </c>
      <c r="AZ878" s="48" t="n">
        <v>20.7757381495432</v>
      </c>
      <c r="BA878" s="48" t="n">
        <v>-3.21334714366915</v>
      </c>
      <c r="BB878" s="49" t="n">
        <f aca="false">AT878/V878</f>
        <v>1.69168309657056</v>
      </c>
      <c r="BC878" s="49" t="n">
        <f aca="false">AS878/V878</f>
        <v>1.68519195308322</v>
      </c>
      <c r="BD878" s="49" t="n">
        <f aca="false">SUM(AP878:AR878)/V878</f>
        <v>0.202421185065916</v>
      </c>
      <c r="BE878" s="53" t="n">
        <v>6.5</v>
      </c>
      <c r="BF878" s="51" t="n">
        <v>109.75</v>
      </c>
      <c r="BG878" s="51" t="n">
        <v>593.986332574032</v>
      </c>
      <c r="BH878" s="51" t="n">
        <v>265.239179954442</v>
      </c>
      <c r="BI878" s="51" t="n">
        <v>105.330296127563</v>
      </c>
      <c r="BJ878" s="51" t="n">
        <v>8.2004555808656</v>
      </c>
      <c r="BK878" s="51" t="n">
        <v>19.0432801822323</v>
      </c>
      <c r="BL878" s="51" t="n">
        <v>2.73348519362187</v>
      </c>
      <c r="BM878" s="51" t="n">
        <v>5.46697038724374</v>
      </c>
      <c r="BN878" s="52" t="n">
        <f aca="false">(BG878*0.5-BH878*0.25+BI878*0.5)/SUM(BG878:BI878)*1000</f>
        <v>293.760627243529</v>
      </c>
      <c r="BO878" s="93" t="n">
        <v>2.06428571428571</v>
      </c>
      <c r="BP878" s="94" t="s">
        <v>491</v>
      </c>
      <c r="BQ878" s="55" t="n">
        <v>318.821714285714</v>
      </c>
      <c r="BR878" s="56" t="n">
        <v>18.1536622307907</v>
      </c>
      <c r="BS878" s="56" t="n">
        <v>26.8920751515025</v>
      </c>
      <c r="BT878" s="56" t="n">
        <v>10.7311246814444</v>
      </c>
      <c r="BU878" s="55" t="n">
        <v>10274.5053333333</v>
      </c>
      <c r="BV878" s="55" t="n">
        <v>585.028845440058</v>
      </c>
      <c r="BW878" s="55" t="n">
        <v>866.637237013609</v>
      </c>
      <c r="BX878" s="55" t="n">
        <v>346</v>
      </c>
      <c r="BY878" s="106" t="n">
        <v>0.1632</v>
      </c>
      <c r="BZ878" s="106" t="n">
        <v>0.95</v>
      </c>
      <c r="CA878" s="106" t="n">
        <v>4.15</v>
      </c>
      <c r="CB878" s="81"/>
      <c r="CC878" s="106" t="n">
        <v>3.75</v>
      </c>
      <c r="CD878" s="106" t="n">
        <v>6.81</v>
      </c>
      <c r="CE878" s="106" t="n">
        <v>94.8</v>
      </c>
      <c r="CF878" s="106" t="n">
        <v>37.2</v>
      </c>
      <c r="CG878" s="106" t="n">
        <v>0.1993</v>
      </c>
      <c r="CH878" s="63" t="n">
        <v>54876.2243971782</v>
      </c>
      <c r="CI878" s="63" t="n">
        <v>4118.03612178798</v>
      </c>
      <c r="CJ878" s="64" t="n">
        <v>940926.554249767</v>
      </c>
      <c r="CK878" s="65" t="n">
        <v>0.437657551823631</v>
      </c>
    </row>
    <row r="879" customFormat="false" ht="15" hidden="false" customHeight="false" outlineLevel="0" collapsed="false">
      <c r="A879" s="7" t="s">
        <v>902</v>
      </c>
      <c r="B879" s="66" t="n">
        <v>859</v>
      </c>
      <c r="C879" s="8" t="s">
        <v>965</v>
      </c>
      <c r="D879" s="108" t="n">
        <v>41453</v>
      </c>
      <c r="E879" s="4" t="s">
        <v>904</v>
      </c>
      <c r="F879" s="7" t="n">
        <v>1600</v>
      </c>
      <c r="G879" s="68" t="n">
        <v>2</v>
      </c>
      <c r="H879" s="68" t="n">
        <v>114</v>
      </c>
      <c r="I879" s="7" t="n">
        <v>1</v>
      </c>
      <c r="J879" s="8" t="n">
        <v>583</v>
      </c>
      <c r="K879" s="31" t="n">
        <v>409.113491459658</v>
      </c>
      <c r="L879" s="31" t="n">
        <v>935.085405994616</v>
      </c>
      <c r="M879" s="31" t="n">
        <v>171.852180172776</v>
      </c>
      <c r="N879" s="31" t="n">
        <v>431.906124732549</v>
      </c>
      <c r="O879" s="31" t="n">
        <v>78.199943306631</v>
      </c>
      <c r="P879" s="31" t="n">
        <v>36.2429896063155</v>
      </c>
      <c r="Q879" s="31"/>
      <c r="R879" s="31" t="n">
        <v>121.636989143128</v>
      </c>
      <c r="S879" s="34" t="s">
        <v>905</v>
      </c>
      <c r="T879" s="35" t="n">
        <v>11.7249276562534</v>
      </c>
      <c r="U879" s="35" t="n">
        <v>6.93819425592483</v>
      </c>
      <c r="V879" s="35" t="n">
        <v>18.6631219121783</v>
      </c>
      <c r="W879" s="35" t="n">
        <v>17.4516129303762</v>
      </c>
      <c r="X879" s="35" t="n">
        <v>3.20729818943815</v>
      </c>
      <c r="Y879" s="35" t="n">
        <v>8.06071666050003</v>
      </c>
      <c r="Z879" s="35" t="n">
        <v>1.45945507545708</v>
      </c>
      <c r="AA879" s="53" t="n">
        <v>0.676407333484476</v>
      </c>
      <c r="AB879" s="101"/>
      <c r="AC879" s="71" t="n">
        <v>2.2701259574085</v>
      </c>
      <c r="AD879" s="38" t="n">
        <v>5.46829472026823</v>
      </c>
      <c r="AE879" s="38" t="n">
        <v>4.9315815934739</v>
      </c>
      <c r="AF879" s="38" t="n">
        <v>1.1538101859766</v>
      </c>
      <c r="AG879" s="38" t="n">
        <v>2.98022062254618</v>
      </c>
      <c r="AH879" s="38" t="n">
        <v>1.45833973768012</v>
      </c>
      <c r="AI879" s="38"/>
      <c r="AJ879" s="102" t="s">
        <v>906</v>
      </c>
      <c r="AK879" s="103" t="n">
        <v>707</v>
      </c>
      <c r="AL879" s="103" t="n">
        <v>717</v>
      </c>
      <c r="AM879" s="103" t="n">
        <v>640</v>
      </c>
      <c r="AN879" s="103" t="n">
        <v>630</v>
      </c>
      <c r="AO879" s="104" t="n">
        <v>33.85</v>
      </c>
      <c r="AP879" s="105" t="n">
        <v>1.284</v>
      </c>
      <c r="AQ879" s="105" t="n">
        <v>1.077</v>
      </c>
      <c r="AR879" s="105" t="n">
        <v>1.629</v>
      </c>
      <c r="AS879" s="77" t="n">
        <v>32.8</v>
      </c>
      <c r="AT879" s="78" t="n">
        <v>32.76</v>
      </c>
      <c r="AU879" s="78" t="n">
        <v>37.92</v>
      </c>
      <c r="AV879" s="78" t="n">
        <v>31.81</v>
      </c>
      <c r="AW879" s="78" t="n">
        <v>48.12</v>
      </c>
      <c r="AX879" s="78" t="n">
        <v>15.6170212765957</v>
      </c>
      <c r="AY879" s="48" t="n">
        <v>1.75533333352032</v>
      </c>
      <c r="AZ879" s="48" t="n">
        <v>23.1730329754297</v>
      </c>
      <c r="BA879" s="48" t="n">
        <v>-4.5099110632514</v>
      </c>
      <c r="BB879" s="49" t="n">
        <f aca="false">AT879/V879</f>
        <v>1.75533333352032</v>
      </c>
      <c r="BC879" s="49" t="n">
        <f aca="false">AS879/V879</f>
        <v>1.75747659766381</v>
      </c>
      <c r="BD879" s="49" t="n">
        <f aca="false">SUM(AP879:AR879)/V879</f>
        <v>0.213790598313372</v>
      </c>
      <c r="BE879" s="53" t="n">
        <v>6.98</v>
      </c>
      <c r="BF879" s="51" t="n">
        <v>81.35</v>
      </c>
      <c r="BG879" s="51" t="n">
        <v>697.848801475108</v>
      </c>
      <c r="BH879" s="51" t="n">
        <v>156.238475722188</v>
      </c>
      <c r="BI879" s="51" t="n">
        <v>95.7590657652121</v>
      </c>
      <c r="BJ879" s="51" t="n">
        <v>14.8740012292563</v>
      </c>
      <c r="BK879" s="51" t="n">
        <v>18.1929932390904</v>
      </c>
      <c r="BL879" s="51" t="n">
        <v>7.99016594960049</v>
      </c>
      <c r="BM879" s="51" t="n">
        <v>9.09649661954518</v>
      </c>
      <c r="BN879" s="52" t="n">
        <f aca="false">(BG879*0.5-BH879*0.25+BI879*0.5)/SUM(BG879:BI879)*1000</f>
        <v>376.633881195807</v>
      </c>
      <c r="BO879" s="93" t="n">
        <v>3.09642857142857</v>
      </c>
      <c r="BP879" s="94" t="s">
        <v>491</v>
      </c>
      <c r="BQ879" s="55" t="n">
        <v>409.6951</v>
      </c>
      <c r="BR879" s="56" t="n">
        <v>21.9521204398639</v>
      </c>
      <c r="BS879" s="56" t="n">
        <v>32.7420631771864</v>
      </c>
      <c r="BT879" s="56" t="n">
        <v>12.5059554334554</v>
      </c>
      <c r="BU879" s="55" t="n">
        <v>10408.6725</v>
      </c>
      <c r="BV879" s="55" t="n">
        <v>557.713363765149</v>
      </c>
      <c r="BW879" s="55" t="n">
        <v>831.841563605821</v>
      </c>
      <c r="BX879" s="55" t="n">
        <v>318</v>
      </c>
      <c r="BY879" s="106" t="n">
        <v>0.3672</v>
      </c>
      <c r="BZ879" s="106" t="n">
        <v>0.89</v>
      </c>
      <c r="CA879" s="106" t="n">
        <v>3.91</v>
      </c>
      <c r="CB879" s="81"/>
      <c r="CC879" s="106" t="n">
        <v>3.66</v>
      </c>
      <c r="CD879" s="106" t="n">
        <v>8.19</v>
      </c>
      <c r="CE879" s="106" t="n">
        <v>109.2</v>
      </c>
      <c r="CF879" s="106" t="n">
        <v>37.2</v>
      </c>
      <c r="CG879" s="106" t="n">
        <v>0.1506</v>
      </c>
      <c r="CH879" s="63" t="n">
        <v>13201.6649665073</v>
      </c>
      <c r="CI879" s="63" t="n">
        <v>8564.67945696705</v>
      </c>
      <c r="CJ879" s="63" t="n">
        <v>144400.78194744</v>
      </c>
      <c r="CK879" s="85" t="n">
        <v>5.93118634224881</v>
      </c>
    </row>
    <row r="880" customFormat="false" ht="15" hidden="false" customHeight="false" outlineLevel="0" collapsed="false">
      <c r="A880" s="7" t="s">
        <v>902</v>
      </c>
      <c r="B880" s="66" t="n">
        <v>860</v>
      </c>
      <c r="C880" s="8" t="s">
        <v>966</v>
      </c>
      <c r="D880" s="108" t="n">
        <v>41452</v>
      </c>
      <c r="E880" s="4" t="s">
        <v>904</v>
      </c>
      <c r="F880" s="7" t="n">
        <v>1604</v>
      </c>
      <c r="G880" s="68" t="n">
        <v>2</v>
      </c>
      <c r="H880" s="68" t="n">
        <v>96</v>
      </c>
      <c r="I880" s="7" t="n">
        <v>1</v>
      </c>
      <c r="J880" s="8" t="n">
        <v>630</v>
      </c>
      <c r="K880" s="31" t="n">
        <v>419.016134568938</v>
      </c>
      <c r="L880" s="31" t="n">
        <v>939.429847847525</v>
      </c>
      <c r="M880" s="31" t="n">
        <v>165.701625034536</v>
      </c>
      <c r="N880" s="31" t="n">
        <v>437.523697450268</v>
      </c>
      <c r="O880" s="31" t="n">
        <v>74.8396379042261</v>
      </c>
      <c r="P880" s="31" t="n">
        <v>34.6178001376816</v>
      </c>
      <c r="Q880" s="31"/>
      <c r="R880" s="31" t="n">
        <v>131.240996299099</v>
      </c>
      <c r="S880" s="34" t="s">
        <v>905</v>
      </c>
      <c r="T880" s="35" t="n">
        <v>13.0014141575897</v>
      </c>
      <c r="U880" s="35" t="n">
        <v>7.87378679522219</v>
      </c>
      <c r="V880" s="35" t="n">
        <v>20.8752009528119</v>
      </c>
      <c r="W880" s="35" t="n">
        <v>19.6148558620742</v>
      </c>
      <c r="X880" s="35" t="n">
        <v>3.45977243389802</v>
      </c>
      <c r="Y880" s="35" t="n">
        <v>9.13529017775222</v>
      </c>
      <c r="Z880" s="35" t="n">
        <v>1.56261663776674</v>
      </c>
      <c r="AA880" s="53" t="n">
        <v>0.722803476511345</v>
      </c>
      <c r="AB880" s="101"/>
      <c r="AC880" s="71" t="n">
        <v>2.74025062275822</v>
      </c>
      <c r="AD880" s="38" t="n">
        <v>6.15946203175252</v>
      </c>
      <c r="AE880" s="38" t="n">
        <v>5.4724767203426</v>
      </c>
      <c r="AF880" s="38" t="n">
        <v>1.20109509619174</v>
      </c>
      <c r="AG880" s="38" t="n">
        <v>3.60944475060698</v>
      </c>
      <c r="AH880" s="38" t="n">
        <v>1.56168647393201</v>
      </c>
      <c r="AI880" s="38"/>
      <c r="AJ880" s="102" t="s">
        <v>906</v>
      </c>
      <c r="AK880" s="103" t="n">
        <v>705</v>
      </c>
      <c r="AL880" s="103" t="n">
        <v>721</v>
      </c>
      <c r="AM880" s="103" t="n">
        <v>653</v>
      </c>
      <c r="AN880" s="103" t="n">
        <v>605</v>
      </c>
      <c r="AO880" s="104" t="n">
        <v>31.78</v>
      </c>
      <c r="AP880" s="105" t="n">
        <v>1.246</v>
      </c>
      <c r="AQ880" s="105" t="n">
        <v>1</v>
      </c>
      <c r="AR880" s="105" t="n">
        <v>1.493</v>
      </c>
      <c r="AS880" s="77" t="n">
        <v>31.402</v>
      </c>
      <c r="AT880" s="78" t="n">
        <v>30.98</v>
      </c>
      <c r="AU880" s="78" t="n">
        <v>39.21</v>
      </c>
      <c r="AV880" s="78" t="n">
        <v>31.47</v>
      </c>
      <c r="AW880" s="78" t="n">
        <v>46.97</v>
      </c>
      <c r="AX880" s="78" t="n">
        <v>14.3404255319149</v>
      </c>
      <c r="AY880" s="48" t="n">
        <v>1.48405757003393</v>
      </c>
      <c r="AZ880" s="48" t="n">
        <v>23.0068796477555</v>
      </c>
      <c r="BA880" s="48" t="n">
        <v>-2.13167869494364</v>
      </c>
      <c r="BB880" s="49" t="n">
        <f aca="false">AT880/V880</f>
        <v>1.48405757003393</v>
      </c>
      <c r="BC880" s="49" t="n">
        <f aca="false">AS880/V880</f>
        <v>1.50427294429327</v>
      </c>
      <c r="BD880" s="49" t="n">
        <f aca="false">SUM(AP880:AR880)/V880</f>
        <v>0.17911204823618</v>
      </c>
      <c r="BE880" s="53" t="n">
        <v>6.58</v>
      </c>
      <c r="BF880" s="51" t="n">
        <v>86.54</v>
      </c>
      <c r="BG880" s="51" t="n">
        <v>660.272706263</v>
      </c>
      <c r="BH880" s="51" t="n">
        <v>166.165934827825</v>
      </c>
      <c r="BI880" s="51" t="n">
        <v>126.531083891842</v>
      </c>
      <c r="BJ880" s="51" t="n">
        <v>9.59094060550035</v>
      </c>
      <c r="BK880" s="51" t="n">
        <v>19.2974347122718</v>
      </c>
      <c r="BL880" s="51" t="n">
        <v>5.31546105847007</v>
      </c>
      <c r="BM880" s="51" t="n">
        <v>12.8264386410908</v>
      </c>
      <c r="BN880" s="52" t="n">
        <f aca="false">(BG880*0.5-BH880*0.25+BI880*0.5)/SUM(BG880:BI880)*1000</f>
        <v>369.225172790106</v>
      </c>
      <c r="BO880" s="93" t="n">
        <v>5.42091836734694</v>
      </c>
      <c r="BP880" s="94" t="s">
        <v>491</v>
      </c>
      <c r="BQ880" s="55" t="n">
        <v>450.4243</v>
      </c>
      <c r="BR880" s="56" t="n">
        <v>21.5770042654046</v>
      </c>
      <c r="BS880" s="56" t="n">
        <v>31.8494125579442</v>
      </c>
      <c r="BT880" s="56" t="n">
        <v>14.5391962556488</v>
      </c>
      <c r="BU880" s="55" t="n">
        <v>11948.2607</v>
      </c>
      <c r="BV880" s="55" t="n">
        <v>572.366260186376</v>
      </c>
      <c r="BW880" s="55" t="n">
        <v>844.859134785072</v>
      </c>
      <c r="BX880" s="55" t="n">
        <v>386</v>
      </c>
      <c r="BY880" s="106" t="n">
        <v>0.1632</v>
      </c>
      <c r="BZ880" s="106" t="n">
        <v>0.89</v>
      </c>
      <c r="CA880" s="106" t="n">
        <v>3.9</v>
      </c>
      <c r="CB880" s="81"/>
      <c r="CC880" s="106" t="n">
        <v>4.82</v>
      </c>
      <c r="CD880" s="106" t="n">
        <v>6.98</v>
      </c>
      <c r="CE880" s="106" t="n">
        <v>99.9</v>
      </c>
      <c r="CF880" s="106" t="n">
        <v>36.7</v>
      </c>
      <c r="CG880" s="106" t="n">
        <v>0.136</v>
      </c>
      <c r="CH880" s="63" t="n">
        <v>10496.4553602676</v>
      </c>
      <c r="CI880" s="63" t="n">
        <v>1544.65317371894</v>
      </c>
      <c r="CJ880" s="64" t="n">
        <v>142580.292627698</v>
      </c>
      <c r="CK880" s="65" t="n">
        <v>1.08335671448809</v>
      </c>
    </row>
    <row r="881" customFormat="false" ht="15" hidden="false" customHeight="false" outlineLevel="0" collapsed="false">
      <c r="A881" s="7" t="s">
        <v>902</v>
      </c>
      <c r="B881" s="66" t="n">
        <v>861</v>
      </c>
      <c r="C881" s="8" t="s">
        <v>967</v>
      </c>
      <c r="D881" s="109" t="n">
        <v>41534</v>
      </c>
      <c r="E881" s="4" t="s">
        <v>904</v>
      </c>
      <c r="F881" s="7" t="n">
        <v>1400</v>
      </c>
      <c r="G881" s="68" t="n">
        <v>2</v>
      </c>
      <c r="H881" s="68" t="n">
        <v>130</v>
      </c>
      <c r="I881" s="7" t="n">
        <v>4</v>
      </c>
      <c r="J881" s="8" t="n">
        <v>656</v>
      </c>
      <c r="K881" s="31" t="n">
        <v>365.195770389425</v>
      </c>
      <c r="L881" s="31" t="n">
        <v>928.459863341814</v>
      </c>
      <c r="M881" s="31" t="n">
        <v>165.286212537316</v>
      </c>
      <c r="N881" s="31" t="n">
        <v>479.389811201082</v>
      </c>
      <c r="O881" s="31" t="n">
        <v>117.600916248255</v>
      </c>
      <c r="P881" s="31" t="n">
        <v>37.4737242451145</v>
      </c>
      <c r="Q881" s="31"/>
      <c r="R881" s="31" t="n">
        <v>140.005571555541</v>
      </c>
      <c r="S881" s="34" t="s">
        <v>905</v>
      </c>
      <c r="T881" s="35" t="n">
        <v>14.2145704497015</v>
      </c>
      <c r="U881" s="35" t="n">
        <v>8.61885684242258</v>
      </c>
      <c r="V881" s="35" t="n">
        <v>22.8334272921241</v>
      </c>
      <c r="W881" s="35" t="n">
        <v>21.1999207832708</v>
      </c>
      <c r="X881" s="35" t="n">
        <v>3.77405071636139</v>
      </c>
      <c r="Y881" s="35" t="n">
        <v>10.946112398645</v>
      </c>
      <c r="Z881" s="35" t="n">
        <v>2.6852319706417</v>
      </c>
      <c r="AA881" s="53" t="n">
        <v>0.855653557915931</v>
      </c>
      <c r="AB881" s="101"/>
      <c r="AC881" s="71" t="n">
        <v>3.19680703860573</v>
      </c>
      <c r="AD881" s="38" t="n">
        <v>7.39803044264821</v>
      </c>
      <c r="AE881" s="38" t="n">
        <v>6.51544541084028</v>
      </c>
      <c r="AF881" s="38" t="n">
        <v>1.25026714480755</v>
      </c>
      <c r="AG881" s="38" t="n">
        <v>4.59417690488454</v>
      </c>
      <c r="AH881" s="38" t="n">
        <v>2.68380373729275</v>
      </c>
      <c r="AI881" s="38"/>
      <c r="AJ881" s="102" t="s">
        <v>906</v>
      </c>
      <c r="AK881" s="103" t="n">
        <v>676</v>
      </c>
      <c r="AL881" s="103" t="n">
        <v>693</v>
      </c>
      <c r="AM881" s="103" t="n">
        <v>669</v>
      </c>
      <c r="AN881" s="103" t="n">
        <v>580</v>
      </c>
      <c r="AO881" s="104" t="n">
        <v>33.79</v>
      </c>
      <c r="AP881" s="105" t="n">
        <v>1.566</v>
      </c>
      <c r="AQ881" s="105" t="n">
        <v>1.122</v>
      </c>
      <c r="AR881" s="105" t="n">
        <v>1.595</v>
      </c>
      <c r="AS881" s="77" t="n">
        <v>37.006</v>
      </c>
      <c r="AT881" s="78" t="n">
        <v>36.37</v>
      </c>
      <c r="AU881" s="78" t="n">
        <v>46.36</v>
      </c>
      <c r="AV881" s="78" t="n">
        <v>33.19</v>
      </c>
      <c r="AW881" s="78" t="n">
        <v>47.2</v>
      </c>
      <c r="AX881" s="78" t="n">
        <v>26.1063829787234</v>
      </c>
      <c r="AY881" s="48" t="n">
        <v>1.59284016081743</v>
      </c>
      <c r="AZ881" s="48" t="n">
        <v>25.945836402902</v>
      </c>
      <c r="BA881" s="48" t="n">
        <v>-3.1124091107779</v>
      </c>
      <c r="BB881" s="49" t="n">
        <f aca="false">AT881/V881</f>
        <v>1.59284016081743</v>
      </c>
      <c r="BC881" s="49" t="n">
        <f aca="false">AS881/V881</f>
        <v>1.62069406079763</v>
      </c>
      <c r="BD881" s="49" t="n">
        <f aca="false">SUM(AP881:AR881)/V881</f>
        <v>0.187575870464147</v>
      </c>
      <c r="BE881" s="53" t="n">
        <v>6.94</v>
      </c>
      <c r="BF881" s="51" t="n">
        <v>81.17</v>
      </c>
      <c r="BG881" s="51" t="n">
        <v>675.003079955649</v>
      </c>
      <c r="BH881" s="51" t="n">
        <v>145.004311937908</v>
      </c>
      <c r="BI881" s="51" t="n">
        <v>141.801158063324</v>
      </c>
      <c r="BJ881" s="51" t="n">
        <v>11.950227916718</v>
      </c>
      <c r="BK881" s="51" t="n">
        <v>13.0590119502279</v>
      </c>
      <c r="BL881" s="51" t="n">
        <v>4.31193790809412</v>
      </c>
      <c r="BM881" s="51" t="n">
        <v>8.74707404213379</v>
      </c>
      <c r="BN881" s="52" t="n">
        <f aca="false">(BG881*0.5-BH881*0.25+BI881*0.5)/SUM(BG881:BI881)*1000</f>
        <v>386.928397591905</v>
      </c>
      <c r="BO881" s="93" t="n">
        <v>4.39744897959184</v>
      </c>
      <c r="BP881" s="94" t="s">
        <v>491</v>
      </c>
      <c r="BQ881" s="55" t="n">
        <v>449.38</v>
      </c>
      <c r="BR881" s="56" t="n">
        <v>19.6807949262616</v>
      </c>
      <c r="BS881" s="56" t="n">
        <v>30.5876609203038</v>
      </c>
      <c r="BT881" s="56" t="n">
        <v>12.355787737146</v>
      </c>
      <c r="BU881" s="55" t="n">
        <v>11800.257</v>
      </c>
      <c r="BV881" s="55" t="n">
        <v>516.797450029337</v>
      </c>
      <c r="BW881" s="55" t="n">
        <v>803.200542722065</v>
      </c>
      <c r="BX881" s="55" t="n">
        <v>324</v>
      </c>
      <c r="BY881" s="106" t="n">
        <v>0.1938</v>
      </c>
      <c r="BZ881" s="106" t="n">
        <v>2.08</v>
      </c>
      <c r="CA881" s="106" t="n">
        <v>3.47</v>
      </c>
      <c r="CB881" s="81"/>
      <c r="CC881" s="106" t="n">
        <v>6.72</v>
      </c>
      <c r="CD881" s="106" t="n">
        <v>5.67</v>
      </c>
      <c r="CE881" s="106" t="n">
        <v>97.9</v>
      </c>
      <c r="CF881" s="106" t="n">
        <v>38.8</v>
      </c>
      <c r="CG881" s="106" t="n">
        <v>0.0762</v>
      </c>
      <c r="CH881" s="63" t="n">
        <v>63430.5140022573</v>
      </c>
      <c r="CI881" s="63" t="n">
        <v>2678.74476059663</v>
      </c>
      <c r="CJ881" s="64" t="n">
        <v>99774.8857919086</v>
      </c>
      <c r="CK881" s="65" t="n">
        <v>2.68478860119514</v>
      </c>
    </row>
    <row r="882" customFormat="false" ht="15" hidden="false" customHeight="false" outlineLevel="0" collapsed="false">
      <c r="A882" s="7" t="s">
        <v>902</v>
      </c>
      <c r="B882" s="66" t="n">
        <v>862</v>
      </c>
      <c r="C882" s="8" t="s">
        <v>968</v>
      </c>
      <c r="D882" s="109" t="n">
        <v>41534</v>
      </c>
      <c r="E882" s="4" t="s">
        <v>904</v>
      </c>
      <c r="F882" s="7" t="n">
        <v>1428</v>
      </c>
      <c r="G882" s="68" t="n">
        <v>2</v>
      </c>
      <c r="H882" s="68" t="n">
        <v>177</v>
      </c>
      <c r="I882" s="7" t="n">
        <v>4</v>
      </c>
      <c r="J882" s="8" t="n">
        <v>802</v>
      </c>
      <c r="K882" s="31" t="n">
        <v>351.478051511783</v>
      </c>
      <c r="L882" s="31" t="n">
        <v>928.248583878005</v>
      </c>
      <c r="M882" s="31" t="n">
        <v>164.275762594377</v>
      </c>
      <c r="N882" s="31" t="n">
        <v>487.099774047404</v>
      </c>
      <c r="O882" s="31" t="n">
        <v>119.166814712925</v>
      </c>
      <c r="P882" s="31" t="n">
        <v>36.8544445408385</v>
      </c>
      <c r="Q882" s="31"/>
      <c r="R882" s="31" t="n">
        <v>135.465715055508</v>
      </c>
      <c r="S882" s="34" t="s">
        <v>905</v>
      </c>
      <c r="T882" s="35" t="n">
        <v>14.3113464061211</v>
      </c>
      <c r="U882" s="35" t="n">
        <v>8.06712818906337</v>
      </c>
      <c r="V882" s="35" t="n">
        <v>22.3784745951844</v>
      </c>
      <c r="W882" s="35" t="n">
        <v>20.7727873523299</v>
      </c>
      <c r="X882" s="35" t="n">
        <v>3.67624097982281</v>
      </c>
      <c r="Y882" s="35" t="n">
        <v>10.9005499188399</v>
      </c>
      <c r="Z882" s="35" t="n">
        <v>2.66677153564225</v>
      </c>
      <c r="AA882" s="53" t="n">
        <v>0.824746250876789</v>
      </c>
      <c r="AB882" s="101"/>
      <c r="AC882" s="71" t="n">
        <v>3.03151606288819</v>
      </c>
      <c r="AD882" s="38" t="n">
        <v>7.56392441317234</v>
      </c>
      <c r="AE882" s="38" t="n">
        <v>6.63053614058688</v>
      </c>
      <c r="AF882" s="38" t="n">
        <v>1.3388146211315</v>
      </c>
      <c r="AG882" s="38" t="n">
        <v>4.60642996762196</v>
      </c>
      <c r="AH882" s="38" t="n">
        <v>2.66757947947499</v>
      </c>
      <c r="AI882" s="38"/>
      <c r="AJ882" s="102" t="s">
        <v>906</v>
      </c>
      <c r="AK882" s="103" t="n">
        <v>662</v>
      </c>
      <c r="AL882" s="103" t="n">
        <v>681</v>
      </c>
      <c r="AM882" s="103" t="n">
        <v>636</v>
      </c>
      <c r="AN882" s="103" t="n">
        <v>578</v>
      </c>
      <c r="AO882" s="104" t="n">
        <v>17.59</v>
      </c>
      <c r="AP882" s="105" t="n">
        <v>0.867</v>
      </c>
      <c r="AQ882" s="105" t="n">
        <v>0.704</v>
      </c>
      <c r="AR882" s="105" t="n">
        <v>0.803</v>
      </c>
      <c r="AS882" s="77" t="n">
        <v>20.041</v>
      </c>
      <c r="AT882" s="78" t="n">
        <v>20.34</v>
      </c>
      <c r="AU882" s="78" t="n">
        <v>49.28</v>
      </c>
      <c r="AV882" s="78" t="n">
        <v>40</v>
      </c>
      <c r="AW882" s="78" t="n">
        <v>45.63</v>
      </c>
      <c r="AX882" s="78" t="n">
        <v>13.2127659574468</v>
      </c>
      <c r="AY882" s="48" t="n">
        <v>0.908909135584107</v>
      </c>
      <c r="AZ882" s="48" t="n">
        <v>21.9587170684867</v>
      </c>
      <c r="BA882" s="48" t="n">
        <v>0.41975752669779</v>
      </c>
      <c r="BB882" s="49" t="n">
        <f aca="false">AT882/V882</f>
        <v>0.908909135584107</v>
      </c>
      <c r="BC882" s="49" t="n">
        <f aca="false">AS882/V882</f>
        <v>0.895548081919424</v>
      </c>
      <c r="BD882" s="49" t="n">
        <f aca="false">SUM(AP882:AR882)/V882</f>
        <v>0.106084084949689</v>
      </c>
      <c r="BE882" s="53" t="n">
        <v>6.88</v>
      </c>
      <c r="BF882" s="51" t="n">
        <v>87.21</v>
      </c>
      <c r="BG882" s="51" t="n">
        <v>714.367618392386</v>
      </c>
      <c r="BH882" s="51" t="n">
        <v>155.945419103314</v>
      </c>
      <c r="BI882" s="51" t="n">
        <v>98.0392156862745</v>
      </c>
      <c r="BJ882" s="51" t="n">
        <v>8.48526545120972</v>
      </c>
      <c r="BK882" s="51" t="n">
        <v>11.5812406834079</v>
      </c>
      <c r="BL882" s="51" t="n">
        <v>4.24263272560486</v>
      </c>
      <c r="BM882" s="51" t="n">
        <v>7.338607957803</v>
      </c>
      <c r="BN882" s="52" t="n">
        <f aca="false">(BG882*0.5-BH882*0.25+BI882*0.5)/SUM(BG882:BI882)*1000</f>
        <v>379.218472468916</v>
      </c>
      <c r="BO882" s="93" t="n">
        <v>3.20051020408163</v>
      </c>
      <c r="BP882" s="94" t="s">
        <v>491</v>
      </c>
      <c r="BQ882" s="55" t="n">
        <v>433.3976</v>
      </c>
      <c r="BR882" s="56" t="n">
        <v>19.3667176981429</v>
      </c>
      <c r="BS882" s="56" t="n">
        <v>30.6368855922172</v>
      </c>
      <c r="BT882" s="56" t="n">
        <v>21.3076499508358</v>
      </c>
      <c r="BU882" s="55" t="n">
        <v>11882.1234</v>
      </c>
      <c r="BV882" s="55" t="n">
        <v>530.962168554459</v>
      </c>
      <c r="BW882" s="55" t="n">
        <v>839.947556697146</v>
      </c>
      <c r="BX882" s="55" t="n">
        <v>584</v>
      </c>
      <c r="BY882" s="106" t="n">
        <v>0.1632</v>
      </c>
      <c r="BZ882" s="106" t="n">
        <v>1</v>
      </c>
      <c r="CA882" s="106" t="n">
        <v>4.22</v>
      </c>
      <c r="CB882" s="81"/>
      <c r="CC882" s="106" t="n">
        <v>4.91</v>
      </c>
      <c r="CD882" s="106" t="n">
        <v>4.77</v>
      </c>
      <c r="CE882" s="106" t="n">
        <v>98.9</v>
      </c>
      <c r="CF882" s="106" t="n">
        <v>39.6</v>
      </c>
      <c r="CG882" s="106" t="n">
        <v>0.0762</v>
      </c>
      <c r="CH882" s="63" t="n">
        <v>83899.17582419</v>
      </c>
      <c r="CI882" s="63" t="n">
        <v>5614.22759219853</v>
      </c>
      <c r="CJ882" s="64" t="n">
        <v>365836.51682308</v>
      </c>
      <c r="CK882" s="65" t="n">
        <v>1.53462744532788</v>
      </c>
    </row>
    <row r="883" customFormat="false" ht="15" hidden="false" customHeight="false" outlineLevel="0" collapsed="false">
      <c r="A883" s="7" t="s">
        <v>902</v>
      </c>
      <c r="B883" s="66" t="n">
        <v>863</v>
      </c>
      <c r="C883" s="8" t="s">
        <v>969</v>
      </c>
      <c r="D883" s="109" t="n">
        <v>41535</v>
      </c>
      <c r="E883" s="4" t="s">
        <v>904</v>
      </c>
      <c r="F883" s="7" t="n">
        <v>1431</v>
      </c>
      <c r="G883" s="68" t="n">
        <v>2</v>
      </c>
      <c r="H883" s="68" t="n">
        <v>116</v>
      </c>
      <c r="I883" s="7" t="n">
        <v>4</v>
      </c>
      <c r="J883" s="8" t="n">
        <v>637</v>
      </c>
      <c r="K883" s="31" t="n">
        <v>368.237457729967</v>
      </c>
      <c r="L883" s="31" t="n">
        <v>929.50528128187</v>
      </c>
      <c r="M883" s="31" t="n">
        <v>166.783205123459</v>
      </c>
      <c r="N883" s="31" t="n">
        <v>477.375769618495</v>
      </c>
      <c r="O883" s="31" t="n">
        <v>114.843095544459</v>
      </c>
      <c r="P883" s="31" t="n">
        <v>37.020954433623</v>
      </c>
      <c r="Q883" s="31"/>
      <c r="R883" s="31" t="n">
        <v>140.010112593347</v>
      </c>
      <c r="S883" s="34" t="s">
        <v>905</v>
      </c>
      <c r="T883" s="35" t="n">
        <v>14.5166097150361</v>
      </c>
      <c r="U883" s="35" t="n">
        <v>8.68303388785328</v>
      </c>
      <c r="V883" s="35" t="n">
        <v>23.1996436028893</v>
      </c>
      <c r="W883" s="35" t="n">
        <v>21.5641912527428</v>
      </c>
      <c r="X883" s="35" t="n">
        <v>3.86931091781183</v>
      </c>
      <c r="Y883" s="35" t="n">
        <v>11.0749477198041</v>
      </c>
      <c r="Z883" s="35" t="n">
        <v>2.66431888688401</v>
      </c>
      <c r="AA883" s="53" t="n">
        <v>0.858872948698859</v>
      </c>
      <c r="AB883" s="101"/>
      <c r="AC883" s="71" t="n">
        <v>3.24818471296605</v>
      </c>
      <c r="AD883" s="38" t="n">
        <v>8.14307490461416</v>
      </c>
      <c r="AE883" s="38" t="n">
        <v>7.25303681753983</v>
      </c>
      <c r="AF883" s="38" t="n">
        <v>1.40060888359364</v>
      </c>
      <c r="AG883" s="38" t="n">
        <v>5.21156793895306</v>
      </c>
      <c r="AH883" s="38" t="n">
        <v>2.66446440042036</v>
      </c>
      <c r="AI883" s="38"/>
      <c r="AJ883" s="102" t="s">
        <v>906</v>
      </c>
      <c r="AK883" s="103" t="n">
        <v>649</v>
      </c>
      <c r="AL883" s="103" t="n">
        <v>664</v>
      </c>
      <c r="AM883" s="103" t="n">
        <v>638</v>
      </c>
      <c r="AN883" s="103" t="n">
        <v>529</v>
      </c>
      <c r="AO883" s="104" t="n">
        <v>25.47</v>
      </c>
      <c r="AP883" s="105" t="n">
        <v>1.198</v>
      </c>
      <c r="AQ883" s="105" t="n">
        <v>0.793</v>
      </c>
      <c r="AR883" s="105" t="n">
        <v>1.234</v>
      </c>
      <c r="AS883" s="77" t="n">
        <v>28.158</v>
      </c>
      <c r="AT883" s="78" t="n">
        <v>27.4</v>
      </c>
      <c r="AU883" s="78" t="n">
        <v>47.03</v>
      </c>
      <c r="AV883" s="78" t="n">
        <v>31.15</v>
      </c>
      <c r="AW883" s="78" t="n">
        <v>48.46</v>
      </c>
      <c r="AX883" s="78" t="n">
        <v>21.1914893617021</v>
      </c>
      <c r="AY883" s="48" t="n">
        <v>1.18105262602342</v>
      </c>
      <c r="AZ883" s="48" t="n">
        <v>22.2817993842768</v>
      </c>
      <c r="BA883" s="48" t="n">
        <v>0.917844218612551</v>
      </c>
      <c r="BB883" s="49" t="n">
        <f aca="false">AT883/V883</f>
        <v>1.18105262602342</v>
      </c>
      <c r="BC883" s="49" t="n">
        <f aca="false">AS883/V883</f>
        <v>1.21372554173604</v>
      </c>
      <c r="BD883" s="49" t="n">
        <f aca="false">SUM(AP883:AR883)/V883</f>
        <v>0.139010756165166</v>
      </c>
      <c r="BE883" s="53" t="n">
        <v>6.71</v>
      </c>
      <c r="BF883" s="51" t="n">
        <v>85.24</v>
      </c>
      <c r="BG883" s="51" t="n">
        <v>665.063350539653</v>
      </c>
      <c r="BH883" s="51" t="n">
        <v>158.962928202722</v>
      </c>
      <c r="BI883" s="51" t="n">
        <v>120.131393711872</v>
      </c>
      <c r="BJ883" s="51" t="n">
        <v>12.0835288596903</v>
      </c>
      <c r="BK883" s="51" t="n">
        <v>20.6475832942281</v>
      </c>
      <c r="BL883" s="51" t="n">
        <v>6.10042233693102</v>
      </c>
      <c r="BM883" s="51" t="n">
        <v>17.0107930549038</v>
      </c>
      <c r="BN883" s="52" t="n">
        <f aca="false">(BG883*0.5-BH883*0.25+BI883*0.5)/SUM(BG883:BI883)*1000</f>
        <v>373.726391650099</v>
      </c>
      <c r="BO883" s="93" t="n">
        <v>6.80867346938776</v>
      </c>
      <c r="BP883" s="94" t="s">
        <v>491</v>
      </c>
      <c r="BQ883" s="55" t="n">
        <v>439.5132</v>
      </c>
      <c r="BR883" s="56" t="n">
        <v>18.9448255121153</v>
      </c>
      <c r="BS883" s="56" t="n">
        <v>30.6952142151553</v>
      </c>
      <c r="BT883" s="56" t="n">
        <v>16.0406277372263</v>
      </c>
      <c r="BU883" s="55" t="n">
        <v>11407.815</v>
      </c>
      <c r="BV883" s="55" t="n">
        <v>491.723717625526</v>
      </c>
      <c r="BW883" s="55" t="n">
        <v>796.711737330897</v>
      </c>
      <c r="BX883" s="55" t="n">
        <v>416</v>
      </c>
      <c r="BY883" s="106" t="n">
        <v>0.2958</v>
      </c>
      <c r="BZ883" s="106" t="n">
        <v>3.14</v>
      </c>
      <c r="CA883" s="106" t="n">
        <v>3.71</v>
      </c>
      <c r="CB883" s="81"/>
      <c r="CC883" s="106" t="n">
        <v>6.49</v>
      </c>
      <c r="CD883" s="106" t="n">
        <v>7.21</v>
      </c>
      <c r="CE883" s="106" t="n">
        <v>103</v>
      </c>
      <c r="CF883" s="106" t="n">
        <v>41.7</v>
      </c>
      <c r="CG883" s="106" t="n">
        <v>0.2723</v>
      </c>
      <c r="CH883" s="63" t="n">
        <v>173962.43515983</v>
      </c>
      <c r="CI883" s="63" t="n">
        <v>6814.8148289086</v>
      </c>
      <c r="CJ883" s="64" t="n">
        <v>265395.506522638</v>
      </c>
      <c r="CK883" s="65" t="n">
        <v>2.56779585992248</v>
      </c>
    </row>
    <row r="884" customFormat="false" ht="15" hidden="false" customHeight="false" outlineLevel="0" collapsed="false">
      <c r="A884" s="7" t="s">
        <v>902</v>
      </c>
      <c r="B884" s="66" t="n">
        <v>864</v>
      </c>
      <c r="C884" s="8" t="s">
        <v>970</v>
      </c>
      <c r="D884" s="109" t="n">
        <v>41535</v>
      </c>
      <c r="E884" s="4" t="s">
        <v>904</v>
      </c>
      <c r="F884" s="7" t="n">
        <v>1499</v>
      </c>
      <c r="G884" s="68" t="n">
        <v>2</v>
      </c>
      <c r="H884" s="68" t="n">
        <v>112</v>
      </c>
      <c r="I884" s="7" t="n">
        <v>3</v>
      </c>
      <c r="J884" s="8" t="n">
        <v>665</v>
      </c>
      <c r="K884" s="31" t="n">
        <v>360.84124409598</v>
      </c>
      <c r="L884" s="31" t="n">
        <v>928.938874506783</v>
      </c>
      <c r="M884" s="31" t="n">
        <v>165.06677906151</v>
      </c>
      <c r="N884" s="31" t="n">
        <v>482.579151671422</v>
      </c>
      <c r="O884" s="31" t="n">
        <v>117.665176549363</v>
      </c>
      <c r="P884" s="31" t="n">
        <v>37.0276148590021</v>
      </c>
      <c r="Q884" s="31"/>
      <c r="R884" s="31" t="n">
        <v>138.162754670871</v>
      </c>
      <c r="S884" s="34" t="s">
        <v>905</v>
      </c>
      <c r="T884" s="35" t="n">
        <v>13.2233387802952</v>
      </c>
      <c r="U884" s="35" t="n">
        <v>7.75677756090825</v>
      </c>
      <c r="V884" s="35" t="n">
        <v>20.9801163412034</v>
      </c>
      <c r="W884" s="35" t="n">
        <v>19.4892456610189</v>
      </c>
      <c r="X884" s="35" t="n">
        <v>3.4631202287782</v>
      </c>
      <c r="Y884" s="35" t="n">
        <v>10.1245667459057</v>
      </c>
      <c r="Z884" s="35" t="n">
        <v>2.46862909331389</v>
      </c>
      <c r="AA884" s="53" t="n">
        <v>0.776843667579138</v>
      </c>
      <c r="AB884" s="101"/>
      <c r="AC884" s="71" t="n">
        <v>2.89867066701601</v>
      </c>
      <c r="AD884" s="38" t="n">
        <v>7.48990153380963</v>
      </c>
      <c r="AE884" s="38" t="n">
        <v>6.625566896808</v>
      </c>
      <c r="AF884" s="38" t="n">
        <v>1.35567217761954</v>
      </c>
      <c r="AG884" s="38" t="n">
        <v>4.71863796630007</v>
      </c>
      <c r="AH884" s="38" t="n">
        <v>2.46738970881535</v>
      </c>
      <c r="AI884" s="38"/>
      <c r="AJ884" s="102" t="s">
        <v>906</v>
      </c>
      <c r="AK884" s="103" t="n">
        <v>643</v>
      </c>
      <c r="AL884" s="103" t="n">
        <v>660</v>
      </c>
      <c r="AM884" s="103" t="n">
        <v>608</v>
      </c>
      <c r="AN884" s="103" t="n">
        <v>534</v>
      </c>
      <c r="AO884" s="104" t="n">
        <v>21.54</v>
      </c>
      <c r="AP884" s="105" t="n">
        <v>0.907</v>
      </c>
      <c r="AQ884" s="105" t="n">
        <v>0.8</v>
      </c>
      <c r="AR884" s="105" t="n">
        <v>0.874</v>
      </c>
      <c r="AS884" s="77" t="n">
        <v>22.221</v>
      </c>
      <c r="AT884" s="78" t="n">
        <v>21.97</v>
      </c>
      <c r="AU884" s="78" t="n">
        <v>42.09</v>
      </c>
      <c r="AV884" s="78" t="n">
        <v>37.14</v>
      </c>
      <c r="AW884" s="78" t="n">
        <v>40.56</v>
      </c>
      <c r="AX884" s="78" t="n">
        <v>10.5744680851064</v>
      </c>
      <c r="AY884" s="48" t="n">
        <v>1.04718199092407</v>
      </c>
      <c r="AZ884" s="48" t="n">
        <v>20.4629126834496</v>
      </c>
      <c r="BA884" s="48" t="n">
        <v>0.517203657753846</v>
      </c>
      <c r="BB884" s="49" t="n">
        <f aca="false">AT884/V884</f>
        <v>1.04718199092407</v>
      </c>
      <c r="BC884" s="49" t="n">
        <f aca="false">AS884/V884</f>
        <v>1.05914569960509</v>
      </c>
      <c r="BD884" s="49" t="n">
        <f aca="false">SUM(AP884:AR884)/V884</f>
        <v>0.123021243449022</v>
      </c>
      <c r="BE884" s="53" t="n">
        <v>6.58</v>
      </c>
      <c r="BF884" s="51" t="n">
        <v>79.18</v>
      </c>
      <c r="BG884" s="51" t="n">
        <v>684.768881030563</v>
      </c>
      <c r="BH884" s="51" t="n">
        <v>152.816367769639</v>
      </c>
      <c r="BI884" s="51" t="n">
        <v>105.455923212933</v>
      </c>
      <c r="BJ884" s="51" t="n">
        <v>14.2712806264208</v>
      </c>
      <c r="BK884" s="51" t="n">
        <v>20.0808284920434</v>
      </c>
      <c r="BL884" s="51" t="n">
        <v>7.07249305380147</v>
      </c>
      <c r="BM884" s="51" t="n">
        <v>15.4079312957818</v>
      </c>
      <c r="BN884" s="52" t="n">
        <f aca="false">(BG884*0.5-BH884*0.25+BI884*0.5)/SUM(BG884:BI884)*1000</f>
        <v>378.465247087184</v>
      </c>
      <c r="BO884" s="93" t="n">
        <v>9.83571428571429</v>
      </c>
      <c r="BP884" s="94" t="s">
        <v>491</v>
      </c>
      <c r="BQ884" s="55" t="n">
        <v>386.3237</v>
      </c>
      <c r="BR884" s="56" t="n">
        <v>18.413801607062</v>
      </c>
      <c r="BS884" s="56" t="n">
        <v>30.0339453652994</v>
      </c>
      <c r="BT884" s="56" t="n">
        <v>17.5841465634957</v>
      </c>
      <c r="BU884" s="55" t="n">
        <v>10964.432</v>
      </c>
      <c r="BV884" s="55" t="n">
        <v>522.610638648683</v>
      </c>
      <c r="BW884" s="55" t="n">
        <v>852.407324866531</v>
      </c>
      <c r="BX884" s="55" t="n">
        <v>499</v>
      </c>
      <c r="BY884" s="106" t="n">
        <v>0.1836</v>
      </c>
      <c r="BZ884" s="106" t="n">
        <v>1.71</v>
      </c>
      <c r="CA884" s="106" t="n">
        <v>4.13</v>
      </c>
      <c r="CB884" s="81"/>
      <c r="CC884" s="106" t="n">
        <v>5.67</v>
      </c>
      <c r="CD884" s="106" t="n">
        <v>5.71</v>
      </c>
      <c r="CE884" s="106" t="n">
        <v>102</v>
      </c>
      <c r="CF884" s="106" t="n">
        <v>37.1</v>
      </c>
      <c r="CG884" s="106" t="n">
        <v>0.2096</v>
      </c>
      <c r="CH884" s="63" t="n">
        <v>76288.1988470064</v>
      </c>
      <c r="CI884" s="63" t="n">
        <v>1858.72755794666</v>
      </c>
      <c r="CJ884" s="63" t="n">
        <v>69231.9294823576</v>
      </c>
      <c r="CK884" s="85" t="n">
        <v>2.68478370001275</v>
      </c>
    </row>
    <row r="885" customFormat="false" ht="15" hidden="false" customHeight="false" outlineLevel="0" collapsed="false">
      <c r="A885" s="7" t="s">
        <v>902</v>
      </c>
      <c r="B885" s="66" t="n">
        <v>865</v>
      </c>
      <c r="C885" s="8" t="s">
        <v>971</v>
      </c>
      <c r="D885" s="109" t="n">
        <v>41534</v>
      </c>
      <c r="E885" s="4" t="s">
        <v>904</v>
      </c>
      <c r="F885" s="7" t="n">
        <v>1528</v>
      </c>
      <c r="G885" s="68" t="n">
        <v>2</v>
      </c>
      <c r="H885" s="68" t="n">
        <v>154</v>
      </c>
      <c r="I885" s="7" t="n">
        <v>2</v>
      </c>
      <c r="J885" s="8" t="n">
        <v>725</v>
      </c>
      <c r="K885" s="31" t="n">
        <v>385.352983145989</v>
      </c>
      <c r="L885" s="31" t="n">
        <v>931.196602103183</v>
      </c>
      <c r="M885" s="31" t="n">
        <v>172.759041884741</v>
      </c>
      <c r="N885" s="31" t="n">
        <v>463.676680177087</v>
      </c>
      <c r="O885" s="31" t="n">
        <v>105.606428905407</v>
      </c>
      <c r="P885" s="31" t="n">
        <v>36.6897014650195</v>
      </c>
      <c r="Q885" s="31"/>
      <c r="R885" s="31" t="n">
        <v>142.909127155288</v>
      </c>
      <c r="S885" s="34" t="s">
        <v>905</v>
      </c>
      <c r="T885" s="35" t="n">
        <v>14.6216920287063</v>
      </c>
      <c r="U885" s="35" t="n">
        <v>8.92755645074594</v>
      </c>
      <c r="V885" s="35" t="n">
        <v>23.5492484794523</v>
      </c>
      <c r="W885" s="35" t="n">
        <v>21.9289801661495</v>
      </c>
      <c r="X885" s="35" t="n">
        <v>4.06834560441586</v>
      </c>
      <c r="Y885" s="35" t="n">
        <v>10.9192373556177</v>
      </c>
      <c r="Z885" s="35" t="n">
        <v>2.48695203532104</v>
      </c>
      <c r="AA885" s="53" t="n">
        <v>0.864014896436668</v>
      </c>
      <c r="AB885" s="101"/>
      <c r="AC885" s="71" t="n">
        <v>3.36540254536151</v>
      </c>
      <c r="AD885" s="38" t="n">
        <v>7.13542228927404</v>
      </c>
      <c r="AE885" s="38" t="n">
        <v>6.33554145064642</v>
      </c>
      <c r="AF885" s="38" t="n">
        <v>1.22015721146586</v>
      </c>
      <c r="AG885" s="38" t="n">
        <v>4.59521195429248</v>
      </c>
      <c r="AH885" s="38" t="n">
        <v>2.48568567628776</v>
      </c>
      <c r="AI885" s="38"/>
      <c r="AJ885" s="102" t="s">
        <v>906</v>
      </c>
      <c r="AK885" s="103" t="n">
        <v>697</v>
      </c>
      <c r="AL885" s="103" t="n">
        <v>711</v>
      </c>
      <c r="AM885" s="103" t="n">
        <v>700</v>
      </c>
      <c r="AN885" s="103" t="n">
        <v>579</v>
      </c>
      <c r="AO885" s="104" t="n">
        <v>25.15</v>
      </c>
      <c r="AP885" s="105" t="n">
        <v>1.389</v>
      </c>
      <c r="AQ885" s="105" t="n">
        <v>1.039</v>
      </c>
      <c r="AR885" s="105" t="n">
        <v>1.186</v>
      </c>
      <c r="AS885" s="77" t="n">
        <v>30.895</v>
      </c>
      <c r="AT885" s="78" t="n">
        <v>31.36</v>
      </c>
      <c r="AU885" s="78" t="n">
        <v>55.22</v>
      </c>
      <c r="AV885" s="78" t="n">
        <v>41.32</v>
      </c>
      <c r="AW885" s="78" t="n">
        <v>47.14</v>
      </c>
      <c r="AX885" s="78" t="n">
        <v>24.7446808510638</v>
      </c>
      <c r="AY885" s="48" t="n">
        <v>1.33167731562062</v>
      </c>
      <c r="AZ885" s="48" t="n">
        <v>24.8366416717814</v>
      </c>
      <c r="BA885" s="48" t="n">
        <v>-1.28739319232917</v>
      </c>
      <c r="BB885" s="49" t="n">
        <f aca="false">AT885/V885</f>
        <v>1.33167731562062</v>
      </c>
      <c r="BC885" s="49" t="n">
        <f aca="false">AS885/V885</f>
        <v>1.31193146256694</v>
      </c>
      <c r="BD885" s="49" t="n">
        <f aca="false">SUM(AP885:AR885)/V885</f>
        <v>0.153465619217249</v>
      </c>
      <c r="BE885" s="53" t="n">
        <v>6.83</v>
      </c>
      <c r="BF885" s="51" t="n">
        <v>86.72</v>
      </c>
      <c r="BG885" s="51" t="n">
        <v>645.641143911439</v>
      </c>
      <c r="BH885" s="51" t="n">
        <v>169.626383763838</v>
      </c>
      <c r="BI885" s="51" t="n">
        <v>146.217712177122</v>
      </c>
      <c r="BJ885" s="51" t="n">
        <v>10.4935424354244</v>
      </c>
      <c r="BK885" s="51" t="n">
        <v>15.2214022140221</v>
      </c>
      <c r="BL885" s="51" t="n">
        <v>4.72785977859779</v>
      </c>
      <c r="BM885" s="51" t="n">
        <v>8.18726937269373</v>
      </c>
      <c r="BN885" s="52" t="n">
        <f aca="false">(BG885*0.5-BH885*0.25+BI885*0.5)/SUM(BG885:BI885)*1000</f>
        <v>367.684096905733</v>
      </c>
      <c r="BO885" s="93" t="n">
        <v>7.27704081632653</v>
      </c>
      <c r="BP885" s="94" t="s">
        <v>491</v>
      </c>
      <c r="BQ885" s="55" t="n">
        <v>399.3184</v>
      </c>
      <c r="BR885" s="56" t="n">
        <v>16.9567364473827</v>
      </c>
      <c r="BS885" s="56" t="n">
        <v>25.6112801560185</v>
      </c>
      <c r="BT885" s="56" t="n">
        <v>12.7333673469388</v>
      </c>
      <c r="BU885" s="55" t="n">
        <v>12203.1755</v>
      </c>
      <c r="BV885" s="55" t="n">
        <v>518.198086475999</v>
      </c>
      <c r="BW885" s="55" t="n">
        <v>782.681054826326</v>
      </c>
      <c r="BX885" s="55" t="n">
        <v>389</v>
      </c>
      <c r="BY885" s="106" t="n">
        <v>0.1632</v>
      </c>
      <c r="BZ885" s="106" t="n">
        <v>0.99</v>
      </c>
      <c r="CA885" s="106" t="n">
        <v>2.91</v>
      </c>
      <c r="CB885" s="81"/>
      <c r="CC885" s="106" t="n">
        <v>6.43</v>
      </c>
      <c r="CD885" s="106" t="n">
        <v>8.53</v>
      </c>
      <c r="CE885" s="106" t="n">
        <v>102</v>
      </c>
      <c r="CF885" s="106" t="n">
        <v>39.8</v>
      </c>
      <c r="CG885" s="106" t="n">
        <v>0.0896</v>
      </c>
      <c r="CH885" s="63" t="n">
        <v>172648.268144287</v>
      </c>
      <c r="CI885" s="63" t="n">
        <v>7760.77413990641</v>
      </c>
      <c r="CJ885" s="64" t="n">
        <v>240043.926239739</v>
      </c>
      <c r="CK885" s="65" t="n">
        <v>3.23306415683082</v>
      </c>
    </row>
    <row r="886" customFormat="false" ht="15" hidden="false" customHeight="false" outlineLevel="0" collapsed="false">
      <c r="A886" s="7" t="s">
        <v>902</v>
      </c>
      <c r="B886" s="66" t="n">
        <v>866</v>
      </c>
      <c r="C886" s="8" t="s">
        <v>972</v>
      </c>
      <c r="D886" s="109" t="n">
        <v>41534</v>
      </c>
      <c r="E886" s="4" t="s">
        <v>904</v>
      </c>
      <c r="F886" s="7" t="n">
        <v>1552</v>
      </c>
      <c r="G886" s="68" t="n">
        <v>2</v>
      </c>
      <c r="H886" s="68" t="n">
        <v>151</v>
      </c>
      <c r="I886" s="7" t="n">
        <v>2</v>
      </c>
      <c r="J886" s="8" t="n">
        <v>657</v>
      </c>
      <c r="K886" s="31" t="n">
        <v>361.307249877665</v>
      </c>
      <c r="L886" s="31" t="n">
        <v>928.39626335886</v>
      </c>
      <c r="M886" s="31" t="n">
        <v>165.002843904776</v>
      </c>
      <c r="N886" s="31" t="n">
        <v>481.569385147922</v>
      </c>
      <c r="O886" s="31" t="n">
        <v>118.044726520449</v>
      </c>
      <c r="P886" s="31" t="n">
        <v>37.2998593186645</v>
      </c>
      <c r="Q886" s="31"/>
      <c r="R886" s="31" t="n">
        <v>138.716655698567</v>
      </c>
      <c r="S886" s="34" t="s">
        <v>905</v>
      </c>
      <c r="T886" s="35" t="n">
        <v>15.9654954416253</v>
      </c>
      <c r="U886" s="35" t="n">
        <v>9.48408407689119</v>
      </c>
      <c r="V886" s="35" t="n">
        <v>25.4495795185165</v>
      </c>
      <c r="W886" s="35" t="n">
        <v>23.6272945290449</v>
      </c>
      <c r="X886" s="35" t="n">
        <v>4.19925299673595</v>
      </c>
      <c r="Y886" s="35" t="n">
        <v>12.2557383610051</v>
      </c>
      <c r="Z886" s="35" t="n">
        <v>3.0041886543237</v>
      </c>
      <c r="AA886" s="53" t="n">
        <v>0.949265735759831</v>
      </c>
      <c r="AB886" s="101"/>
      <c r="AC886" s="71" t="n">
        <v>3.53028055974334</v>
      </c>
      <c r="AD886" s="38" t="n">
        <v>8.8055545134067</v>
      </c>
      <c r="AE886" s="38" t="n">
        <v>7.75593241540862</v>
      </c>
      <c r="AF886" s="38" t="n">
        <v>1.48813871276573</v>
      </c>
      <c r="AG886" s="38" t="n">
        <v>5.54749934344622</v>
      </c>
      <c r="AH886" s="38" t="n">
        <v>3.00024964952765</v>
      </c>
      <c r="AI886" s="38"/>
      <c r="AJ886" s="102" t="s">
        <v>906</v>
      </c>
      <c r="AK886" s="103" t="n">
        <v>654</v>
      </c>
      <c r="AL886" s="103" t="n">
        <v>671</v>
      </c>
      <c r="AM886" s="103" t="n">
        <v>645</v>
      </c>
      <c r="AN886" s="103" t="n">
        <v>547</v>
      </c>
      <c r="AO886" s="104" t="n">
        <v>27.33</v>
      </c>
      <c r="AP886" s="105" t="n">
        <v>1.185</v>
      </c>
      <c r="AQ886" s="105" t="n">
        <v>1.006</v>
      </c>
      <c r="AR886" s="105" t="n">
        <v>1.238</v>
      </c>
      <c r="AS886" s="77" t="n">
        <v>28.707</v>
      </c>
      <c r="AT886" s="78" t="n">
        <v>28.9</v>
      </c>
      <c r="AU886" s="78" t="n">
        <v>43.35</v>
      </c>
      <c r="AV886" s="78" t="n">
        <v>36.8</v>
      </c>
      <c r="AW886" s="78" t="n">
        <v>45.3</v>
      </c>
      <c r="AX886" s="78" t="n">
        <v>23.8085106382979</v>
      </c>
      <c r="AY886" s="48" t="n">
        <v>1.1355786832931</v>
      </c>
      <c r="AZ886" s="48" t="n">
        <v>23.0581302483788</v>
      </c>
      <c r="BA886" s="48" t="n">
        <v>2.39144927013765</v>
      </c>
      <c r="BB886" s="49" t="n">
        <f aca="false">AT886/V886</f>
        <v>1.1355786832931</v>
      </c>
      <c r="BC886" s="49" t="n">
        <f aca="false">AS886/V886</f>
        <v>1.12799506094447</v>
      </c>
      <c r="BD886" s="49" t="n">
        <f aca="false">SUM(AP886:AR886)/V886</f>
        <v>0.134737000173427</v>
      </c>
      <c r="BE886" s="53" t="n">
        <v>6.76</v>
      </c>
      <c r="BF886" s="51" t="n">
        <v>81.4</v>
      </c>
      <c r="BG886" s="51" t="n">
        <v>687.592137592138</v>
      </c>
      <c r="BH886" s="51" t="n">
        <v>147.665847665848</v>
      </c>
      <c r="BI886" s="51" t="n">
        <v>122.727272727273</v>
      </c>
      <c r="BJ886" s="51" t="n">
        <v>8.96805896805897</v>
      </c>
      <c r="BK886" s="51" t="n">
        <v>14.004914004914</v>
      </c>
      <c r="BL886" s="51" t="n">
        <v>5.03685503685504</v>
      </c>
      <c r="BM886" s="51" t="n">
        <v>14.004914004914</v>
      </c>
      <c r="BN886" s="52" t="n">
        <f aca="false">(BG886*0.5-BH886*0.25+BI886*0.5)/SUM(BG886:BI886)*1000</f>
        <v>384.393434213901</v>
      </c>
      <c r="BO886" s="93" t="n">
        <v>7.37244897959184</v>
      </c>
      <c r="BP886" s="94" t="s">
        <v>491</v>
      </c>
      <c r="BQ886" s="55" t="n">
        <v>410.5752</v>
      </c>
      <c r="BR886" s="56" t="n">
        <v>16.1328873705468</v>
      </c>
      <c r="BS886" s="56" t="n">
        <v>25.8974019734695</v>
      </c>
      <c r="BT886" s="56" t="n">
        <v>14.2067543252595</v>
      </c>
      <c r="BU886" s="55" t="n">
        <v>11786.3475</v>
      </c>
      <c r="BV886" s="55" t="n">
        <v>463.125431656918</v>
      </c>
      <c r="BW886" s="55" t="n">
        <v>743.434525530275</v>
      </c>
      <c r="BX886" s="55" t="n">
        <v>408</v>
      </c>
      <c r="BY886" s="106" t="n">
        <v>0.1632</v>
      </c>
      <c r="BZ886" s="106" t="n">
        <v>1.52</v>
      </c>
      <c r="CA886" s="106" t="n">
        <v>3.51</v>
      </c>
      <c r="CB886" s="81"/>
      <c r="CC886" s="106" t="n">
        <v>5.58</v>
      </c>
      <c r="CD886" s="106" t="n">
        <v>6.83</v>
      </c>
      <c r="CE886" s="106" t="n">
        <v>87.6</v>
      </c>
      <c r="CF886" s="106" t="n">
        <v>38.7</v>
      </c>
      <c r="CG886" s="106" t="n">
        <v>0.3526</v>
      </c>
      <c r="CH886" s="63" t="n">
        <v>137829.454031522</v>
      </c>
      <c r="CI886" s="63" t="n">
        <v>1399.25327871087</v>
      </c>
      <c r="CJ886" s="64" t="n">
        <v>175032.810624241</v>
      </c>
      <c r="CK886" s="65" t="n">
        <v>0.799423418798187</v>
      </c>
    </row>
    <row r="887" customFormat="false" ht="15" hidden="false" customHeight="false" outlineLevel="0" collapsed="false">
      <c r="A887" s="7" t="s">
        <v>902</v>
      </c>
      <c r="B887" s="66" t="n">
        <v>867</v>
      </c>
      <c r="C887" s="8" t="s">
        <v>973</v>
      </c>
      <c r="D887" s="109" t="n">
        <v>41535</v>
      </c>
      <c r="E887" s="4" t="s">
        <v>904</v>
      </c>
      <c r="F887" s="7" t="n">
        <v>1578</v>
      </c>
      <c r="G887" s="68" t="n">
        <v>2</v>
      </c>
      <c r="H887" s="68" t="n">
        <v>123</v>
      </c>
      <c r="I887" s="7" t="n">
        <v>1</v>
      </c>
      <c r="J887" s="8" t="n">
        <v>667</v>
      </c>
      <c r="K887" s="31" t="n">
        <v>410.357637163979</v>
      </c>
      <c r="L887" s="31" t="n">
        <v>929.21595665302</v>
      </c>
      <c r="M887" s="31" t="n">
        <v>188.759744431004</v>
      </c>
      <c r="N887" s="31" t="n">
        <v>437.816119295254</v>
      </c>
      <c r="O887" s="31" t="n">
        <v>90.4744210137181</v>
      </c>
      <c r="P887" s="31" t="n">
        <v>38.4872144889663</v>
      </c>
      <c r="Q887" s="31"/>
      <c r="R887" s="31" t="n">
        <v>138.441171787105</v>
      </c>
      <c r="S887" s="34" t="s">
        <v>905</v>
      </c>
      <c r="T887" s="35" t="n">
        <v>12.5175461059246</v>
      </c>
      <c r="U887" s="35" t="n">
        <v>8.0414395056386</v>
      </c>
      <c r="V887" s="35" t="n">
        <v>20.5589856115632</v>
      </c>
      <c r="W887" s="35" t="n">
        <v>19.1037374828644</v>
      </c>
      <c r="X887" s="35" t="n">
        <v>3.88070886979937</v>
      </c>
      <c r="Y887" s="35" t="n">
        <v>9.00105529710157</v>
      </c>
      <c r="Z887" s="35" t="n">
        <v>1.86006231983554</v>
      </c>
      <c r="AA887" s="53" t="n">
        <v>0.791258088907805</v>
      </c>
      <c r="AB887" s="101"/>
      <c r="AC887" s="71" t="n">
        <v>2.84621005881905</v>
      </c>
      <c r="AD887" s="38" t="n">
        <v>6.10601872663428</v>
      </c>
      <c r="AE887" s="38" t="n">
        <v>5.39253043842706</v>
      </c>
      <c r="AF887" s="38" t="n">
        <v>1.25783985768666</v>
      </c>
      <c r="AG887" s="38" t="n">
        <v>3.37052233710212</v>
      </c>
      <c r="AH887" s="38" t="n">
        <v>1.86109051122453</v>
      </c>
      <c r="AI887" s="38"/>
      <c r="AJ887" s="102" t="s">
        <v>906</v>
      </c>
      <c r="AK887" s="103" t="n">
        <v>703</v>
      </c>
      <c r="AL887" s="103" t="n">
        <v>718</v>
      </c>
      <c r="AM887" s="103" t="n">
        <v>676</v>
      </c>
      <c r="AN887" s="103" t="n">
        <v>626</v>
      </c>
      <c r="AO887" s="104" t="n">
        <v>23.83</v>
      </c>
      <c r="AP887" s="105" t="n">
        <v>1.053</v>
      </c>
      <c r="AQ887" s="105" t="n">
        <v>0.89</v>
      </c>
      <c r="AR887" s="105" t="n">
        <v>1.13</v>
      </c>
      <c r="AS887" s="77" t="n">
        <v>25.327</v>
      </c>
      <c r="AT887" s="78" t="n">
        <v>25.81</v>
      </c>
      <c r="AU887" s="78" t="n">
        <v>44.18</v>
      </c>
      <c r="AV887" s="78" t="n">
        <v>37.35</v>
      </c>
      <c r="AW887" s="78" t="n">
        <v>47.42</v>
      </c>
      <c r="AX887" s="78" t="n">
        <v>29.2765957446808</v>
      </c>
      <c r="AY887" s="48" t="n">
        <v>1.25541213402491</v>
      </c>
      <c r="AZ887" s="48" t="n">
        <v>21.7517803773454</v>
      </c>
      <c r="BA887" s="48" t="n">
        <v>-1.19279476578222</v>
      </c>
      <c r="BB887" s="49" t="n">
        <f aca="false">AT887/V887</f>
        <v>1.25541213402491</v>
      </c>
      <c r="BC887" s="49" t="n">
        <f aca="false">AS887/V887</f>
        <v>1.23191875701081</v>
      </c>
      <c r="BD887" s="49" t="n">
        <f aca="false">SUM(AP887:AR887)/V887</f>
        <v>0.149472355205678</v>
      </c>
      <c r="BE887" s="53" t="n">
        <v>6.57</v>
      </c>
      <c r="BF887" s="51" t="n">
        <v>99.4</v>
      </c>
      <c r="BG887" s="51" t="n">
        <v>661.971830985915</v>
      </c>
      <c r="BH887" s="51" t="n">
        <v>174.748490945674</v>
      </c>
      <c r="BI887" s="51" t="n">
        <v>121.12676056338</v>
      </c>
      <c r="BJ887" s="51" t="n">
        <v>11.3682092555332</v>
      </c>
      <c r="BK887" s="51" t="n">
        <v>15.79476861167</v>
      </c>
      <c r="BL887" s="51" t="n">
        <v>7.04225352112676</v>
      </c>
      <c r="BM887" s="51" t="n">
        <v>7.9476861167002</v>
      </c>
      <c r="BN887" s="52" t="n">
        <f aca="false">(BG887*0.5-BH887*0.25+BI887*0.5)/SUM(BG887:BI887)*1000</f>
        <v>363.170885411196</v>
      </c>
      <c r="BO887" s="93" t="n">
        <v>12.8627551020408</v>
      </c>
      <c r="BP887" s="94" t="s">
        <v>491</v>
      </c>
      <c r="BQ887" s="55" t="n">
        <v>391.1805</v>
      </c>
      <c r="BR887" s="56" t="n">
        <v>19.0272276750845</v>
      </c>
      <c r="BS887" s="56" t="n">
        <v>28.5190077790641</v>
      </c>
      <c r="BT887" s="56" t="n">
        <v>15.1561604029446</v>
      </c>
      <c r="BU887" s="55" t="n">
        <v>11430.4012</v>
      </c>
      <c r="BV887" s="55" t="n">
        <v>555.980796716501</v>
      </c>
      <c r="BW887" s="55" t="n">
        <v>833.333207408405</v>
      </c>
      <c r="BX887" s="55" t="n">
        <v>443</v>
      </c>
      <c r="BY887" s="106" t="n">
        <v>0.153</v>
      </c>
      <c r="BZ887" s="106" t="n">
        <v>1.06</v>
      </c>
      <c r="CA887" s="106" t="n">
        <v>3.58</v>
      </c>
      <c r="CB887" s="81"/>
      <c r="CC887" s="106" t="n">
        <v>6.97</v>
      </c>
      <c r="CD887" s="106" t="n">
        <v>5.15</v>
      </c>
      <c r="CE887" s="106" t="n">
        <v>106.1</v>
      </c>
      <c r="CF887" s="106" t="n">
        <v>38.3</v>
      </c>
      <c r="CG887" s="106" t="n">
        <v>0.5316</v>
      </c>
      <c r="CH887" s="63" t="n">
        <v>140062.06023723</v>
      </c>
      <c r="CI887" s="63" t="n">
        <v>11211.307531131</v>
      </c>
      <c r="CJ887" s="64" t="n">
        <v>336119.109539449</v>
      </c>
      <c r="CK887" s="65" t="n">
        <v>3.33551625389368</v>
      </c>
    </row>
    <row r="888" customFormat="false" ht="15" hidden="false" customHeight="false" outlineLevel="0" collapsed="false">
      <c r="A888" s="7" t="s">
        <v>902</v>
      </c>
      <c r="B888" s="66" t="n">
        <v>868</v>
      </c>
      <c r="C888" s="8" t="s">
        <v>974</v>
      </c>
      <c r="D888" s="109" t="n">
        <v>41534</v>
      </c>
      <c r="E888" s="4" t="s">
        <v>904</v>
      </c>
      <c r="F888" s="7" t="n">
        <v>1582</v>
      </c>
      <c r="G888" s="68" t="n">
        <v>2</v>
      </c>
      <c r="H888" s="68" t="n">
        <v>168</v>
      </c>
      <c r="I888" s="7" t="n">
        <v>1</v>
      </c>
      <c r="J888" s="8" t="n">
        <v>665</v>
      </c>
      <c r="K888" s="31" t="n">
        <v>364.572170387806</v>
      </c>
      <c r="L888" s="31" t="n">
        <v>928.449663845796</v>
      </c>
      <c r="M888" s="31" t="n">
        <v>165.240768857856</v>
      </c>
      <c r="N888" s="31" t="n">
        <v>479.739348335492</v>
      </c>
      <c r="O888" s="31" t="n">
        <v>117.67208986959</v>
      </c>
      <c r="P888" s="31" t="n">
        <v>37.4458416177534</v>
      </c>
      <c r="Q888" s="31"/>
      <c r="R888" s="31" t="n">
        <v>139.798868793382</v>
      </c>
      <c r="S888" s="34" t="s">
        <v>905</v>
      </c>
      <c r="T888" s="35" t="n">
        <v>12.904718165667</v>
      </c>
      <c r="U888" s="35" t="n">
        <v>7.79901482732394</v>
      </c>
      <c r="V888" s="35" t="n">
        <v>20.7037329929909</v>
      </c>
      <c r="W888" s="35" t="n">
        <v>19.2223739376955</v>
      </c>
      <c r="X888" s="35" t="n">
        <v>3.42110075798958</v>
      </c>
      <c r="Y888" s="35" t="n">
        <v>9.93239537416949</v>
      </c>
      <c r="Z888" s="35" t="n">
        <v>2.43625152938722</v>
      </c>
      <c r="AA888" s="53" t="n">
        <v>0.775268706551793</v>
      </c>
      <c r="AB888" s="101"/>
      <c r="AC888" s="71" t="n">
        <v>2.89435845222034</v>
      </c>
      <c r="AD888" s="38" t="n">
        <v>6.85293562067999</v>
      </c>
      <c r="AE888" s="38" t="n">
        <v>6.09465829425175</v>
      </c>
      <c r="AF888" s="38" t="n">
        <v>1.1649990555156</v>
      </c>
      <c r="AG888" s="38" t="n">
        <v>4.23511421358024</v>
      </c>
      <c r="AH888" s="38" t="n">
        <v>2.43285158770497</v>
      </c>
      <c r="AI888" s="38"/>
      <c r="AJ888" s="102" t="s">
        <v>906</v>
      </c>
      <c r="AK888" s="103" t="n">
        <v>669</v>
      </c>
      <c r="AL888" s="103" t="n">
        <v>682</v>
      </c>
      <c r="AM888" s="103" t="n">
        <v>659</v>
      </c>
      <c r="AN888" s="103" t="n">
        <v>573</v>
      </c>
      <c r="AO888" s="104" t="n">
        <v>21.27</v>
      </c>
      <c r="AP888" s="105" t="n">
        <v>0.993</v>
      </c>
      <c r="AQ888" s="105" t="n">
        <v>0.799</v>
      </c>
      <c r="AR888" s="105" t="n">
        <v>1.05</v>
      </c>
      <c r="AS888" s="77" t="n">
        <v>23.403</v>
      </c>
      <c r="AT888" s="78" t="n">
        <v>23.94</v>
      </c>
      <c r="AU888" s="78" t="n">
        <v>46.67</v>
      </c>
      <c r="AV888" s="78" t="n">
        <v>37.58</v>
      </c>
      <c r="AW888" s="78" t="n">
        <v>49.37</v>
      </c>
      <c r="AX888" s="78" t="n">
        <v>24.5744680851064</v>
      </c>
      <c r="AY888" s="48" t="n">
        <v>1.15631321211999</v>
      </c>
      <c r="AZ888" s="48" t="n">
        <v>21.2767986076015</v>
      </c>
      <c r="BA888" s="48" t="n">
        <v>-0.573065614610574</v>
      </c>
      <c r="BB888" s="49" t="n">
        <f aca="false">AT888/V888</f>
        <v>1.15631321211999</v>
      </c>
      <c r="BC888" s="49" t="n">
        <f aca="false">AS888/V888</f>
        <v>1.13037586062006</v>
      </c>
      <c r="BD888" s="49" t="n">
        <f aca="false">SUM(AP888:AR888)/V888</f>
        <v>0.137269931029449</v>
      </c>
      <c r="BE888" s="53" t="n">
        <v>6.7</v>
      </c>
      <c r="BF888" s="51" t="n">
        <v>94.73</v>
      </c>
      <c r="BG888" s="51" t="n">
        <v>675.393222843872</v>
      </c>
      <c r="BH888" s="51" t="n">
        <v>161.933917449594</v>
      </c>
      <c r="BI888" s="51" t="n">
        <v>115.486118441887</v>
      </c>
      <c r="BJ888" s="51" t="n">
        <v>9.39512298110419</v>
      </c>
      <c r="BK888" s="51" t="n">
        <v>16.678982370949</v>
      </c>
      <c r="BL888" s="51" t="n">
        <v>5.80597487596326</v>
      </c>
      <c r="BM888" s="51" t="n">
        <v>15.2010978570675</v>
      </c>
      <c r="BN888" s="52" t="n">
        <f aca="false">(BG888*0.5-BH888*0.25+BI888*0.5)/SUM(BG888:BI888)*1000</f>
        <v>372.534899180146</v>
      </c>
      <c r="BO888" s="93" t="n">
        <v>9.27193877551021</v>
      </c>
      <c r="BP888" s="94" t="s">
        <v>491</v>
      </c>
      <c r="BQ888" s="55" t="n">
        <v>376.2612</v>
      </c>
      <c r="BR888" s="56" t="n">
        <v>18.1735921791196</v>
      </c>
      <c r="BS888" s="56" t="n">
        <v>28.7010668445215</v>
      </c>
      <c r="BT888" s="56" t="n">
        <v>15.7168421052632</v>
      </c>
      <c r="BU888" s="55" t="n">
        <v>11628.3832</v>
      </c>
      <c r="BV888" s="55" t="n">
        <v>561.656354626323</v>
      </c>
      <c r="BW888" s="55" t="n">
        <v>887.008821310597</v>
      </c>
      <c r="BX888" s="55" t="n">
        <v>486</v>
      </c>
      <c r="BY888" s="106" t="n">
        <v>0.1224</v>
      </c>
      <c r="BZ888" s="106" t="n">
        <v>0.89</v>
      </c>
      <c r="CA888" s="106" t="n">
        <v>4.01</v>
      </c>
      <c r="CB888" s="81"/>
      <c r="CC888" s="106" t="n">
        <v>5.58</v>
      </c>
      <c r="CD888" s="106" t="n">
        <v>4.55</v>
      </c>
      <c r="CE888" s="106" t="n">
        <v>110.2</v>
      </c>
      <c r="CF888" s="106" t="n">
        <v>35.1</v>
      </c>
      <c r="CG888" s="106" t="n">
        <v>0.2884</v>
      </c>
      <c r="CH888" s="63"/>
      <c r="CI888" s="63"/>
      <c r="CJ888" s="64"/>
      <c r="CK888" s="65"/>
    </row>
    <row r="889" customFormat="false" ht="15" hidden="false" customHeight="false" outlineLevel="0" collapsed="false">
      <c r="A889" s="7" t="s">
        <v>902</v>
      </c>
      <c r="B889" s="66" t="n">
        <v>869</v>
      </c>
      <c r="C889" s="8" t="s">
        <v>975</v>
      </c>
      <c r="D889" s="109" t="n">
        <v>41535</v>
      </c>
      <c r="E889" s="4" t="s">
        <v>904</v>
      </c>
      <c r="F889" s="7" t="n">
        <v>1592</v>
      </c>
      <c r="G889" s="68" t="n">
        <v>2</v>
      </c>
      <c r="H889" s="68" t="n">
        <v>165</v>
      </c>
      <c r="I889" s="7" t="n">
        <v>1</v>
      </c>
      <c r="J889" s="8" t="n">
        <v>553</v>
      </c>
      <c r="K889" s="31" t="n">
        <v>362.421584023507</v>
      </c>
      <c r="L889" s="31" t="n">
        <v>928.418073609228</v>
      </c>
      <c r="M889" s="31" t="n">
        <v>165.08109134775</v>
      </c>
      <c r="N889" s="31" t="n">
        <v>480.950530091317</v>
      </c>
      <c r="O889" s="31" t="n">
        <v>117.917611608151</v>
      </c>
      <c r="P889" s="31" t="n">
        <v>37.3480599557554</v>
      </c>
      <c r="Q889" s="31"/>
      <c r="R889" s="31" t="n">
        <v>139.087969113509</v>
      </c>
      <c r="S889" s="34" t="s">
        <v>905</v>
      </c>
      <c r="T889" s="35" t="n">
        <v>12.7846724687323</v>
      </c>
      <c r="U889" s="35" t="n">
        <v>7.63911980815482</v>
      </c>
      <c r="V889" s="35" t="n">
        <v>20.4237922768872</v>
      </c>
      <c r="W889" s="35" t="n">
        <v>18.9618178815026</v>
      </c>
      <c r="X889" s="35" t="n">
        <v>3.37158191852828</v>
      </c>
      <c r="Y889" s="35" t="n">
        <v>9.82283372204383</v>
      </c>
      <c r="Z889" s="35" t="n">
        <v>2.40832480527154</v>
      </c>
      <c r="AA889" s="53" t="n">
        <v>0.762789018481076</v>
      </c>
      <c r="AB889" s="101"/>
      <c r="AC889" s="71" t="n">
        <v>2.8407037893884</v>
      </c>
      <c r="AD889" s="38" t="n">
        <v>6.41307077494257</v>
      </c>
      <c r="AE889" s="38" t="n">
        <v>5.68775247029656</v>
      </c>
      <c r="AF889" s="38" t="n">
        <v>1.06456974864047</v>
      </c>
      <c r="AG889" s="38" t="n">
        <v>3.97610388046439</v>
      </c>
      <c r="AH889" s="38" t="n">
        <v>2.408613425968</v>
      </c>
      <c r="AI889" s="38"/>
      <c r="AJ889" s="102" t="s">
        <v>906</v>
      </c>
      <c r="AK889" s="103" t="n">
        <v>686</v>
      </c>
      <c r="AL889" s="103" t="n">
        <v>700</v>
      </c>
      <c r="AM889" s="103" t="n">
        <v>684</v>
      </c>
      <c r="AN889" s="103" t="n">
        <v>595</v>
      </c>
      <c r="AO889" s="104" t="n">
        <v>21.71</v>
      </c>
      <c r="AP889" s="105" t="n">
        <v>1.083</v>
      </c>
      <c r="AQ889" s="105" t="n">
        <v>0.825</v>
      </c>
      <c r="AR889" s="105" t="n">
        <v>1.078</v>
      </c>
      <c r="AS889" s="77" t="n">
        <v>24.929</v>
      </c>
      <c r="AT889" s="78" t="n">
        <v>25.39</v>
      </c>
      <c r="AU889" s="78" t="n">
        <v>49.86</v>
      </c>
      <c r="AV889" s="78" t="n">
        <v>38.02</v>
      </c>
      <c r="AW889" s="78" t="n">
        <v>49.67</v>
      </c>
      <c r="AX889" s="78" t="n">
        <v>25.3191489361702</v>
      </c>
      <c r="AY889" s="48" t="n">
        <v>1.2431579628203</v>
      </c>
      <c r="AZ889" s="48" t="n">
        <v>20.2036164091456</v>
      </c>
      <c r="BA889" s="48" t="n">
        <v>0.220175867741553</v>
      </c>
      <c r="BB889" s="49" t="n">
        <f aca="false">AT889/V889</f>
        <v>1.2431579628203</v>
      </c>
      <c r="BC889" s="49" t="n">
        <f aca="false">AS889/V889</f>
        <v>1.22058624872577</v>
      </c>
      <c r="BD889" s="49" t="n">
        <f aca="false">SUM(AP889:AR889)/V889</f>
        <v>0.146202035328138</v>
      </c>
      <c r="BE889" s="53" t="n">
        <v>6.85</v>
      </c>
      <c r="BF889" s="51" t="n">
        <v>131.75</v>
      </c>
      <c r="BG889" s="51" t="n">
        <v>704.136622390892</v>
      </c>
      <c r="BH889" s="51" t="n">
        <v>142.011385199241</v>
      </c>
      <c r="BI889" s="51" t="n">
        <v>117.495256166983</v>
      </c>
      <c r="BJ889" s="51" t="n">
        <v>11.0056925996205</v>
      </c>
      <c r="BK889" s="51" t="n">
        <v>11.8406072106262</v>
      </c>
      <c r="BL889" s="51" t="n">
        <v>5.0853889943074</v>
      </c>
      <c r="BM889" s="51" t="n">
        <v>8.42504743833017</v>
      </c>
      <c r="BN889" s="52" t="n">
        <f aca="false">(BG889*0.5-BH889*0.25+BI889*0.5)/SUM(BG889:BI889)*1000</f>
        <v>389.473062381853</v>
      </c>
      <c r="BO889" s="93" t="n">
        <v>7.53724489795918</v>
      </c>
      <c r="BP889" s="94" t="s">
        <v>491</v>
      </c>
      <c r="BQ889" s="55" t="n">
        <v>377.6506</v>
      </c>
      <c r="BR889" s="56" t="n">
        <v>18.4907188087382</v>
      </c>
      <c r="BS889" s="56" t="n">
        <v>28.4519585893262</v>
      </c>
      <c r="BT889" s="56" t="n">
        <v>14.8739897597479</v>
      </c>
      <c r="BU889" s="55" t="n">
        <v>9692.4792</v>
      </c>
      <c r="BV889" s="55" t="n">
        <v>474.568046354869</v>
      </c>
      <c r="BW889" s="55" t="n">
        <v>730.225284499231</v>
      </c>
      <c r="BX889" s="55" t="n">
        <v>382</v>
      </c>
      <c r="BY889" s="106" t="n">
        <v>0.1938</v>
      </c>
      <c r="BZ889" s="106" t="n">
        <v>0.87</v>
      </c>
      <c r="CA889" s="106" t="n">
        <v>4.29</v>
      </c>
      <c r="CB889" s="81"/>
      <c r="CC889" s="106" t="n">
        <v>6.79</v>
      </c>
      <c r="CD889" s="106" t="n">
        <v>8.42</v>
      </c>
      <c r="CE889" s="106" t="n">
        <v>100.9</v>
      </c>
      <c r="CF889" s="106" t="n">
        <v>37.7</v>
      </c>
      <c r="CG889" s="106" t="n">
        <v>0.1292</v>
      </c>
      <c r="CH889" s="63"/>
      <c r="CI889" s="63"/>
      <c r="CJ889" s="64"/>
      <c r="CK889" s="65"/>
    </row>
    <row r="890" customFormat="false" ht="15" hidden="false" customHeight="false" outlineLevel="0" collapsed="false">
      <c r="A890" s="7" t="s">
        <v>902</v>
      </c>
      <c r="B890" s="66" t="n">
        <v>870</v>
      </c>
      <c r="C890" s="8" t="s">
        <v>976</v>
      </c>
      <c r="D890" s="109" t="n">
        <v>41535</v>
      </c>
      <c r="E890" s="4" t="s">
        <v>904</v>
      </c>
      <c r="F890" s="7" t="n">
        <v>1595</v>
      </c>
      <c r="G890" s="68" t="n">
        <v>2</v>
      </c>
      <c r="H890" s="68" t="n">
        <v>100</v>
      </c>
      <c r="I890" s="7" t="n">
        <v>1</v>
      </c>
      <c r="J890" s="8" t="n">
        <v>626</v>
      </c>
      <c r="K890" s="31" t="n">
        <v>407.990892162921</v>
      </c>
      <c r="L890" s="31" t="n">
        <v>932.499093676851</v>
      </c>
      <c r="M890" s="31" t="n">
        <v>177.163907821108</v>
      </c>
      <c r="N890" s="31" t="n">
        <v>428.70526251505</v>
      </c>
      <c r="O890" s="31" t="n">
        <v>88.3540143686594</v>
      </c>
      <c r="P890" s="31" t="n">
        <v>35.2895120168875</v>
      </c>
      <c r="Q890" s="31"/>
      <c r="R890" s="31" t="n">
        <v>164.625696606482</v>
      </c>
      <c r="S890" s="34" t="s">
        <v>905</v>
      </c>
      <c r="T890" s="35" t="n">
        <v>11.5205606360434</v>
      </c>
      <c r="U890" s="35" t="n">
        <v>7.44022200241288</v>
      </c>
      <c r="V890" s="35" t="n">
        <v>18.9607826384563</v>
      </c>
      <c r="W890" s="35" t="n">
        <v>17.6809126257642</v>
      </c>
      <c r="X890" s="35" t="n">
        <v>3.35916634757553</v>
      </c>
      <c r="Y890" s="35" t="n">
        <v>8.12858729851019</v>
      </c>
      <c r="Z890" s="35" t="n">
        <v>1.67526126167919</v>
      </c>
      <c r="AA890" s="53" t="n">
        <v>0.669116766769394</v>
      </c>
      <c r="AB890" s="101"/>
      <c r="AC890" s="71" t="n">
        <v>3.12143205005996</v>
      </c>
      <c r="AD890" s="38" t="n">
        <v>5.74511713945225</v>
      </c>
      <c r="AE890" s="38" t="n">
        <v>5.12981509381691</v>
      </c>
      <c r="AF890" s="38" t="n">
        <v>1.12029784219319</v>
      </c>
      <c r="AG890" s="38" t="n">
        <v>3.30344235518504</v>
      </c>
      <c r="AH890" s="38" t="n">
        <v>1.67309940192154</v>
      </c>
      <c r="AI890" s="38"/>
      <c r="AJ890" s="102" t="s">
        <v>906</v>
      </c>
      <c r="AK890" s="103" t="n">
        <v>697</v>
      </c>
      <c r="AL890" s="103" t="n">
        <v>709</v>
      </c>
      <c r="AM890" s="103" t="n">
        <v>666</v>
      </c>
      <c r="AN890" s="103" t="n">
        <v>593</v>
      </c>
      <c r="AO890" s="104" t="n">
        <v>25.73</v>
      </c>
      <c r="AP890" s="105" t="n">
        <v>1.092</v>
      </c>
      <c r="AQ890" s="105" t="n">
        <v>0.871</v>
      </c>
      <c r="AR890" s="105" t="n">
        <v>1.217</v>
      </c>
      <c r="AS890" s="77" t="n">
        <v>26.672</v>
      </c>
      <c r="AT890" s="78" t="n">
        <v>26.62</v>
      </c>
      <c r="AU890" s="78" t="n">
        <v>42.45</v>
      </c>
      <c r="AV890" s="78" t="n">
        <v>33.86</v>
      </c>
      <c r="AW890" s="78" t="n">
        <v>47.31</v>
      </c>
      <c r="AX890" s="78" t="n">
        <v>21.4255319148936</v>
      </c>
      <c r="AY890" s="48" t="n">
        <v>1.4039504859894</v>
      </c>
      <c r="AZ890" s="48" t="n">
        <v>21.3351852484439</v>
      </c>
      <c r="BA890" s="48" t="n">
        <v>-2.37440260998762</v>
      </c>
      <c r="BB890" s="49" t="n">
        <f aca="false">AT890/V890</f>
        <v>1.4039504859894</v>
      </c>
      <c r="BC890" s="49" t="n">
        <f aca="false">AS890/V890</f>
        <v>1.40669298881703</v>
      </c>
      <c r="BD890" s="49" t="n">
        <f aca="false">SUM(AP890:AR890)/V890</f>
        <v>0.167714595997231</v>
      </c>
      <c r="BE890" s="53" t="n">
        <v>6.89</v>
      </c>
      <c r="BF890" s="51" t="n">
        <v>112.61</v>
      </c>
      <c r="BG890" s="51" t="n">
        <v>715.03418879318</v>
      </c>
      <c r="BH890" s="51" t="n">
        <v>153.18355385845</v>
      </c>
      <c r="BI890" s="51" t="n">
        <v>102.122369238966</v>
      </c>
      <c r="BJ890" s="51" t="n">
        <v>10.7450492851434</v>
      </c>
      <c r="BK890" s="51" t="n">
        <v>8.96900808098748</v>
      </c>
      <c r="BL890" s="51" t="n">
        <v>4.44010301038984</v>
      </c>
      <c r="BM890" s="51" t="n">
        <v>5.41692567267561</v>
      </c>
      <c r="BN890" s="52" t="n">
        <f aca="false">(BG890*0.5-BH890*0.25+BI890*0.5)/SUM(BG890:BI890)*1000</f>
        <v>381.600622311705</v>
      </c>
      <c r="BO890" s="93" t="n">
        <v>2.56734693877551</v>
      </c>
      <c r="BP890" s="94" t="s">
        <v>491</v>
      </c>
      <c r="BQ890" s="55" t="n">
        <v>380.9983</v>
      </c>
      <c r="BR890" s="56" t="n">
        <v>20.0940175975257</v>
      </c>
      <c r="BS890" s="56" t="n">
        <v>30.3928988493241</v>
      </c>
      <c r="BT890" s="56" t="n">
        <v>14.312483095417</v>
      </c>
      <c r="BU890" s="55" t="n">
        <v>10607.5305</v>
      </c>
      <c r="BV890" s="55" t="n">
        <v>559.445815199939</v>
      </c>
      <c r="BW890" s="55" t="n">
        <v>846.181207442711</v>
      </c>
      <c r="BX890" s="55" t="n">
        <v>398</v>
      </c>
      <c r="BY890" s="106" t="n">
        <v>0.3264</v>
      </c>
      <c r="BZ890" s="106" t="n">
        <v>0.85</v>
      </c>
      <c r="CA890" s="106" t="n">
        <v>4.29</v>
      </c>
      <c r="CB890" s="81"/>
      <c r="CC890" s="106" t="n">
        <v>4.12</v>
      </c>
      <c r="CD890" s="106" t="n">
        <v>5.64</v>
      </c>
      <c r="CE890" s="106" t="n">
        <v>97.9</v>
      </c>
      <c r="CF890" s="106" t="n">
        <v>35.5</v>
      </c>
      <c r="CG890" s="106" t="n">
        <v>0.1542</v>
      </c>
      <c r="CH890" s="63"/>
      <c r="CI890" s="63"/>
      <c r="CJ890" s="64"/>
      <c r="CK890" s="65"/>
    </row>
    <row r="891" customFormat="false" ht="15" hidden="false" customHeight="false" outlineLevel="0" collapsed="false">
      <c r="A891" s="7" t="s">
        <v>902</v>
      </c>
      <c r="B891" s="66" t="n">
        <v>871</v>
      </c>
      <c r="C891" s="8" t="s">
        <v>977</v>
      </c>
      <c r="D891" s="109" t="n">
        <v>41534</v>
      </c>
      <c r="E891" s="4" t="s">
        <v>904</v>
      </c>
      <c r="F891" s="7" t="n">
        <v>1606</v>
      </c>
      <c r="G891" s="68" t="n">
        <v>2</v>
      </c>
      <c r="H891" s="68" t="n">
        <v>126</v>
      </c>
      <c r="I891" s="7" t="n">
        <v>1</v>
      </c>
      <c r="J891" s="8" t="n">
        <v>575</v>
      </c>
      <c r="K891" s="31" t="n">
        <v>410.469125712476</v>
      </c>
      <c r="L891" s="31" t="n">
        <v>929.228764131915</v>
      </c>
      <c r="M891" s="31" t="n">
        <v>188.714754195484</v>
      </c>
      <c r="N891" s="31" t="n">
        <v>437.837941385721</v>
      </c>
      <c r="O891" s="31" t="n">
        <v>90.5264012636006</v>
      </c>
      <c r="P891" s="31" t="n">
        <v>38.4922484971823</v>
      </c>
      <c r="Q891" s="31"/>
      <c r="R891" s="31" t="n">
        <v>138.495474880958</v>
      </c>
      <c r="S891" s="34" t="s">
        <v>905</v>
      </c>
      <c r="T891" s="35" t="n">
        <v>11.4115062239247</v>
      </c>
      <c r="U891" s="35" t="n">
        <v>7.33750926270297</v>
      </c>
      <c r="V891" s="35" t="n">
        <v>18.7490154866277</v>
      </c>
      <c r="W891" s="35" t="n">
        <v>17.4221244893292</v>
      </c>
      <c r="X891" s="35" t="n">
        <v>3.53821584896628</v>
      </c>
      <c r="Y891" s="35" t="n">
        <v>8.20903034367409</v>
      </c>
      <c r="Z891" s="35" t="n">
        <v>1.69728089923992</v>
      </c>
      <c r="AA891" s="53" t="n">
        <v>0.721691763188794</v>
      </c>
      <c r="AB891" s="101"/>
      <c r="AC891" s="71" t="n">
        <v>2.59665380337094</v>
      </c>
      <c r="AD891" s="38" t="n">
        <v>5.58720661501506</v>
      </c>
      <c r="AE891" s="38" t="n">
        <v>4.93769384601956</v>
      </c>
      <c r="AF891" s="38" t="n">
        <v>1.07833087669791</v>
      </c>
      <c r="AG891" s="38" t="n">
        <v>3.1902949771736</v>
      </c>
      <c r="AH891" s="38" t="n">
        <v>1.69979163338342</v>
      </c>
      <c r="AI891" s="38"/>
      <c r="AJ891" s="102" t="s">
        <v>906</v>
      </c>
      <c r="AK891" s="103" t="n">
        <v>702</v>
      </c>
      <c r="AL891" s="103" t="n">
        <v>717</v>
      </c>
      <c r="AM891" s="103" t="n">
        <v>696</v>
      </c>
      <c r="AN891" s="103" t="n">
        <v>612</v>
      </c>
      <c r="AO891" s="104" t="n">
        <v>20.75</v>
      </c>
      <c r="AP891" s="105" t="n">
        <v>0.994</v>
      </c>
      <c r="AQ891" s="105" t="n">
        <v>0.755</v>
      </c>
      <c r="AR891" s="105" t="n">
        <v>0.994</v>
      </c>
      <c r="AS891" s="77" t="n">
        <v>23.21</v>
      </c>
      <c r="AT891" s="78" t="n">
        <v>23.32</v>
      </c>
      <c r="AU891" s="78" t="n">
        <v>47.91</v>
      </c>
      <c r="AV891" s="78" t="n">
        <v>36.38</v>
      </c>
      <c r="AW891" s="78" t="n">
        <v>47.91</v>
      </c>
      <c r="AX891" s="78" t="n">
        <v>29.0851063829787</v>
      </c>
      <c r="AY891" s="48" t="n">
        <v>1.24379864194109</v>
      </c>
      <c r="AZ891" s="48" t="n">
        <v>19.6886456039267</v>
      </c>
      <c r="BA891" s="48" t="n">
        <v>-0.939630117298936</v>
      </c>
      <c r="BB891" s="49" t="n">
        <f aca="false">AT891/V891</f>
        <v>1.24379864194109</v>
      </c>
      <c r="BC891" s="49" t="n">
        <f aca="false">AS891/V891</f>
        <v>1.23793166721495</v>
      </c>
      <c r="BD891" s="49" t="n">
        <f aca="false">SUM(AP891:AR891)/V891</f>
        <v>0.146301015216312</v>
      </c>
      <c r="BE891" s="53" t="n">
        <v>6.96</v>
      </c>
      <c r="BF891" s="51" t="n">
        <v>132.32</v>
      </c>
      <c r="BG891" s="51"/>
      <c r="BH891" s="51"/>
      <c r="BI891" s="51"/>
      <c r="BJ891" s="51"/>
      <c r="BK891" s="51"/>
      <c r="BL891" s="51"/>
      <c r="BM891" s="51"/>
      <c r="BN891" s="52"/>
      <c r="BO891" s="93" t="n">
        <v>5.24744897959184</v>
      </c>
      <c r="BP891" s="94" t="s">
        <v>491</v>
      </c>
      <c r="BQ891" s="55" t="n">
        <v>406.6384</v>
      </c>
      <c r="BR891" s="56" t="n">
        <v>21.6885201406988</v>
      </c>
      <c r="BS891" s="56" t="n">
        <v>32.552782729869</v>
      </c>
      <c r="BT891" s="56" t="n">
        <v>17.4373241852487</v>
      </c>
      <c r="BU891" s="55" t="n">
        <v>11382.6546</v>
      </c>
      <c r="BV891" s="55" t="n">
        <v>607.106789586813</v>
      </c>
      <c r="BW891" s="55" t="n">
        <v>911.220096486077</v>
      </c>
      <c r="BX891" s="55" t="n">
        <v>488</v>
      </c>
      <c r="BY891" s="106" t="n">
        <v>0.1632</v>
      </c>
      <c r="BZ891" s="106" t="n">
        <v>1.51</v>
      </c>
      <c r="CA891" s="106" t="n">
        <v>4.27</v>
      </c>
      <c r="CB891" s="81"/>
      <c r="CC891" s="106" t="n">
        <v>6.5</v>
      </c>
      <c r="CD891" s="106" t="n">
        <v>4.96</v>
      </c>
      <c r="CE891" s="106" t="n">
        <v>100.9</v>
      </c>
      <c r="CF891" s="106" t="n">
        <v>37.4</v>
      </c>
      <c r="CG891" s="106" t="n">
        <v>0.2627</v>
      </c>
      <c r="CH891" s="63" t="n">
        <v>65106.7378173345</v>
      </c>
      <c r="CI891" s="63" t="n">
        <v>3606.7380730566</v>
      </c>
      <c r="CJ891" s="63" t="n">
        <v>187714.870097163</v>
      </c>
      <c r="CK891" s="85" t="n">
        <v>1.92139177423169</v>
      </c>
    </row>
    <row r="892" customFormat="false" ht="15" hidden="false" customHeight="false" outlineLevel="0" collapsed="false">
      <c r="A892" s="7" t="s">
        <v>902</v>
      </c>
      <c r="B892" s="66" t="n">
        <v>872</v>
      </c>
      <c r="C892" s="8" t="s">
        <v>978</v>
      </c>
      <c r="D892" s="109" t="n">
        <v>41535</v>
      </c>
      <c r="E892" s="4" t="s">
        <v>904</v>
      </c>
      <c r="F892" s="7" t="n">
        <v>1608</v>
      </c>
      <c r="G892" s="68" t="n">
        <v>2</v>
      </c>
      <c r="H892" s="68" t="n">
        <v>157</v>
      </c>
      <c r="I892" s="7" t="n">
        <v>1</v>
      </c>
      <c r="J892" s="8" t="n">
        <v>559</v>
      </c>
      <c r="K892" s="31" t="n">
        <v>365.391550445608</v>
      </c>
      <c r="L892" s="31" t="n">
        <v>928.302390198846</v>
      </c>
      <c r="M892" s="31" t="n">
        <v>168.817445547675</v>
      </c>
      <c r="N892" s="31" t="n">
        <v>479.233765337646</v>
      </c>
      <c r="O892" s="31" t="n">
        <v>115.437174733509</v>
      </c>
      <c r="P892" s="31" t="n">
        <v>37.6490375896114</v>
      </c>
      <c r="Q892" s="31"/>
      <c r="R892" s="31" t="n">
        <v>134.881777714203</v>
      </c>
      <c r="S892" s="34" t="s">
        <v>905</v>
      </c>
      <c r="T892" s="35" t="n">
        <v>12.0749592484111</v>
      </c>
      <c r="U892" s="35" t="n">
        <v>7.14837019383556</v>
      </c>
      <c r="V892" s="35" t="n">
        <v>19.2233294422466</v>
      </c>
      <c r="W892" s="35" t="n">
        <v>17.8450626688174</v>
      </c>
      <c r="X892" s="35" t="n">
        <v>3.24523337136149</v>
      </c>
      <c r="Y892" s="35" t="n">
        <v>9.21246855093389</v>
      </c>
      <c r="Z892" s="35" t="n">
        <v>2.21908683978443</v>
      </c>
      <c r="AA892" s="53" t="n">
        <v>0.723739852768628</v>
      </c>
      <c r="AB892" s="101"/>
      <c r="AC892" s="71" t="n">
        <v>2.592876848756</v>
      </c>
      <c r="AD892" s="38" t="n">
        <v>6.8435052814398</v>
      </c>
      <c r="AE892" s="38" t="n">
        <v>6.10509106157245</v>
      </c>
      <c r="AF892" s="38" t="n">
        <v>1.17708290840765</v>
      </c>
      <c r="AG892" s="38" t="n">
        <v>4.68780111778627</v>
      </c>
      <c r="AH892" s="38" t="n">
        <v>2.22064377980585</v>
      </c>
      <c r="AI892" s="38"/>
      <c r="AJ892" s="102" t="s">
        <v>906</v>
      </c>
      <c r="AK892" s="103" t="n">
        <v>644</v>
      </c>
      <c r="AL892" s="103" t="n">
        <v>658</v>
      </c>
      <c r="AM892" s="103" t="n">
        <v>638</v>
      </c>
      <c r="AN892" s="103" t="n">
        <v>492</v>
      </c>
      <c r="AO892" s="104" t="n">
        <v>18.88</v>
      </c>
      <c r="AP892" s="105" t="n">
        <v>0.765</v>
      </c>
      <c r="AQ892" s="105" t="n">
        <v>0.66</v>
      </c>
      <c r="AR892" s="105" t="n">
        <v>0.897</v>
      </c>
      <c r="AS892" s="77" t="n">
        <v>19.027</v>
      </c>
      <c r="AT892" s="78" t="n">
        <v>19.26</v>
      </c>
      <c r="AU892" s="78" t="n">
        <v>40.49</v>
      </c>
      <c r="AV892" s="78" t="n">
        <v>34.95</v>
      </c>
      <c r="AW892" s="78" t="n">
        <v>47.53</v>
      </c>
      <c r="AX892" s="78" t="n">
        <v>21.3191489361702</v>
      </c>
      <c r="AY892" s="48" t="n">
        <v>1.00190760699719</v>
      </c>
      <c r="AZ892" s="48" t="n">
        <v>18.0851407663724</v>
      </c>
      <c r="BA892" s="48" t="n">
        <v>1.13818867587425</v>
      </c>
      <c r="BB892" s="49" t="n">
        <f aca="false">AT892/V892</f>
        <v>1.00190760699719</v>
      </c>
      <c r="BC892" s="49" t="n">
        <f aca="false">AS892/V892</f>
        <v>0.989786917878275</v>
      </c>
      <c r="BD892" s="49" t="n">
        <f aca="false">SUM(AP892:AR892)/V892</f>
        <v>0.120790730189381</v>
      </c>
      <c r="BE892" s="53" t="n">
        <v>6.64</v>
      </c>
      <c r="BF892" s="51" t="n">
        <v>92.76</v>
      </c>
      <c r="BG892" s="51" t="n">
        <v>666.343251401466</v>
      </c>
      <c r="BH892" s="51" t="n">
        <v>164.187149633463</v>
      </c>
      <c r="BI892" s="51" t="n">
        <v>126.455368693402</v>
      </c>
      <c r="BJ892" s="51" t="n">
        <v>12.2897800776197</v>
      </c>
      <c r="BK892" s="51" t="n">
        <v>15.8473479948254</v>
      </c>
      <c r="BL892" s="51" t="n">
        <v>6.14489003880983</v>
      </c>
      <c r="BM892" s="51" t="n">
        <v>8.73221216041397</v>
      </c>
      <c r="BN892" s="52" t="n">
        <f aca="false">(BG892*0.5-BH892*0.25+BI892*0.5)/SUM(BG892:BI892)*1000</f>
        <v>371.324771882393</v>
      </c>
      <c r="BO892" s="93" t="n">
        <v>4.57091836734694</v>
      </c>
      <c r="BP892" s="94" t="s">
        <v>491</v>
      </c>
      <c r="BQ892" s="55" t="n">
        <v>278.8812</v>
      </c>
      <c r="BR892" s="56" t="n">
        <v>14.5074348768694</v>
      </c>
      <c r="BS892" s="56" t="n">
        <v>23.7506372943624</v>
      </c>
      <c r="BT892" s="56" t="n">
        <v>14.4798130841122</v>
      </c>
      <c r="BU892" s="55" t="n">
        <v>8918.8671</v>
      </c>
      <c r="BV892" s="55" t="n">
        <v>463.960581167549</v>
      </c>
      <c r="BW892" s="55" t="n">
        <v>759.566358609767</v>
      </c>
      <c r="BX892" s="55" t="n">
        <v>463</v>
      </c>
      <c r="BY892" s="106" t="n">
        <v>0.1428</v>
      </c>
      <c r="BZ892" s="106" t="n">
        <v>0.84</v>
      </c>
      <c r="CA892" s="106" t="n">
        <v>4.32</v>
      </c>
      <c r="CB892" s="81"/>
      <c r="CC892" s="106" t="n">
        <v>5.43</v>
      </c>
      <c r="CD892" s="106" t="n">
        <v>7.18</v>
      </c>
      <c r="CE892" s="106" t="n">
        <v>98.9</v>
      </c>
      <c r="CF892" s="106" t="n">
        <v>36.1</v>
      </c>
      <c r="CG892" s="106" t="n">
        <v>0.109</v>
      </c>
      <c r="CH892" s="63" t="n">
        <v>97474.2596235328</v>
      </c>
      <c r="CI892" s="63" t="n">
        <v>5849.25961993608</v>
      </c>
      <c r="CJ892" s="64" t="n">
        <v>732214.280112436</v>
      </c>
      <c r="CK892" s="65" t="n">
        <v>0.798845335143954</v>
      </c>
    </row>
    <row r="893" customFormat="false" ht="15" hidden="false" customHeight="false" outlineLevel="0" collapsed="false">
      <c r="A893" s="7" t="s">
        <v>902</v>
      </c>
      <c r="B893" s="66" t="n">
        <v>873</v>
      </c>
      <c r="C893" s="8" t="s">
        <v>979</v>
      </c>
      <c r="D893" s="109" t="n">
        <v>41534</v>
      </c>
      <c r="E893" s="4" t="s">
        <v>904</v>
      </c>
      <c r="F893" s="7" t="n">
        <v>1611</v>
      </c>
      <c r="G893" s="68" t="n">
        <v>2</v>
      </c>
      <c r="H893" s="68" t="n">
        <v>123</v>
      </c>
      <c r="I893" s="7" t="n">
        <v>1</v>
      </c>
      <c r="J893" s="8" t="n">
        <v>626</v>
      </c>
      <c r="K893" s="31" t="n">
        <v>371.492763750831</v>
      </c>
      <c r="L893" s="31" t="n">
        <v>928.661041934793</v>
      </c>
      <c r="M893" s="31" t="n">
        <v>165.819561500705</v>
      </c>
      <c r="N893" s="31" t="n">
        <v>476.303005778598</v>
      </c>
      <c r="O893" s="31" t="n">
        <v>116.929471734622</v>
      </c>
      <c r="P893" s="31" t="n">
        <v>37.739264296587</v>
      </c>
      <c r="Q893" s="31"/>
      <c r="R893" s="31" t="n">
        <v>141.693373978787</v>
      </c>
      <c r="S893" s="34" t="s">
        <v>905</v>
      </c>
      <c r="T893" s="35" t="n">
        <v>10.7637875986938</v>
      </c>
      <c r="U893" s="35" t="n">
        <v>6.73287075289815</v>
      </c>
      <c r="V893" s="35" t="n">
        <v>17.4966583515919</v>
      </c>
      <c r="W893" s="35" t="n">
        <v>16.2484649751665</v>
      </c>
      <c r="X893" s="35" t="n">
        <v>2.90128821558862</v>
      </c>
      <c r="Y893" s="35" t="n">
        <v>8.33371096394446</v>
      </c>
      <c r="Z893" s="35" t="n">
        <v>2.04587501817281</v>
      </c>
      <c r="AA893" s="53" t="n">
        <v>0.660311013837815</v>
      </c>
      <c r="AB893" s="101"/>
      <c r="AC893" s="71" t="n">
        <v>2.47916055519118</v>
      </c>
      <c r="AD893" s="38" t="n">
        <v>5.58143401415783</v>
      </c>
      <c r="AE893" s="38" t="n">
        <v>4.95380175926578</v>
      </c>
      <c r="AF893" s="38" t="n">
        <v>0.943262348392673</v>
      </c>
      <c r="AG893" s="38" t="n">
        <v>3.53862916497606</v>
      </c>
      <c r="AH893" s="38" t="n">
        <v>2.04720443686916</v>
      </c>
      <c r="AI893" s="38"/>
      <c r="AJ893" s="102" t="s">
        <v>906</v>
      </c>
      <c r="AK893" s="103" t="n">
        <v>681</v>
      </c>
      <c r="AL893" s="103" t="n">
        <v>695</v>
      </c>
      <c r="AM893" s="103" t="n">
        <v>675</v>
      </c>
      <c r="AN893" s="103" t="n">
        <v>576</v>
      </c>
      <c r="AO893" s="104" t="n">
        <v>15.5</v>
      </c>
      <c r="AP893" s="105" t="n">
        <v>0.675</v>
      </c>
      <c r="AQ893" s="105" t="n">
        <v>0.526</v>
      </c>
      <c r="AR893" s="105" t="n">
        <v>0.709</v>
      </c>
      <c r="AS893" s="77" t="n">
        <v>16.325</v>
      </c>
      <c r="AT893" s="78" t="n">
        <v>16.13</v>
      </c>
      <c r="AU893" s="78" t="n">
        <v>43.56</v>
      </c>
      <c r="AV893" s="78" t="n">
        <v>33.94</v>
      </c>
      <c r="AW893" s="78" t="n">
        <v>45.77</v>
      </c>
      <c r="AX893" s="78" t="n">
        <v>17.0425531914894</v>
      </c>
      <c r="AY893" s="48" t="n">
        <v>0.921890321904377</v>
      </c>
      <c r="AZ893" s="48" t="n">
        <v>17.8794074891002</v>
      </c>
      <c r="BA893" s="48" t="n">
        <v>-0.382749137508295</v>
      </c>
      <c r="BB893" s="49" t="n">
        <f aca="false">AT893/V893</f>
        <v>0.921890321904377</v>
      </c>
      <c r="BC893" s="49" t="n">
        <f aca="false">AS893/V893</f>
        <v>0.933035307197083</v>
      </c>
      <c r="BD893" s="49" t="n">
        <f aca="false">SUM(AP893:AR893)/V893</f>
        <v>0.10916370209779</v>
      </c>
      <c r="BE893" s="53" t="n">
        <v>6.71</v>
      </c>
      <c r="BF893" s="51" t="n">
        <v>94.02</v>
      </c>
      <c r="BG893" s="51" t="n">
        <v>685.386088066369</v>
      </c>
      <c r="BH893" s="51" t="n">
        <v>169.963837481387</v>
      </c>
      <c r="BI893" s="51" t="n">
        <v>107.955754094873</v>
      </c>
      <c r="BJ893" s="51" t="n">
        <v>8.4024675600936</v>
      </c>
      <c r="BK893" s="51" t="n">
        <v>14.0395660497766</v>
      </c>
      <c r="BL893" s="51" t="n">
        <v>3.72261221016805</v>
      </c>
      <c r="BM893" s="51" t="n">
        <v>10.3169538396086</v>
      </c>
      <c r="BN893" s="52" t="n">
        <f aca="false">(BG893*0.5-BH893*0.25+BI893*0.5)/SUM(BG893:BI893)*1000</f>
        <v>367.671414375621</v>
      </c>
      <c r="BO893" s="93" t="n">
        <v>5.42959183673469</v>
      </c>
      <c r="BP893" s="94" t="s">
        <v>491</v>
      </c>
      <c r="BQ893" s="55" t="n">
        <v>362.4417</v>
      </c>
      <c r="BR893" s="56" t="n">
        <v>20.7149098254538</v>
      </c>
      <c r="BS893" s="56" t="n">
        <v>32.0952686741733</v>
      </c>
      <c r="BT893" s="56" t="n">
        <v>22.4700371977681</v>
      </c>
      <c r="BU893" s="55" t="n">
        <v>10454.3343</v>
      </c>
      <c r="BV893" s="55" t="n">
        <v>597.50462573608</v>
      </c>
      <c r="BW893" s="55" t="n">
        <v>925.76176573536</v>
      </c>
      <c r="BX893" s="55" t="n">
        <v>648</v>
      </c>
      <c r="BY893" s="106" t="n">
        <v>0.1632</v>
      </c>
      <c r="BZ893" s="106" t="n">
        <v>1.18</v>
      </c>
      <c r="CA893" s="106" t="n">
        <v>4.6</v>
      </c>
      <c r="CB893" s="81"/>
      <c r="CC893" s="106" t="n">
        <v>5.47</v>
      </c>
      <c r="CD893" s="106" t="n">
        <v>5.99</v>
      </c>
      <c r="CE893" s="106" t="n">
        <v>102</v>
      </c>
      <c r="CF893" s="106" t="n">
        <v>35.9</v>
      </c>
      <c r="CG893" s="106" t="n">
        <v>0.2627</v>
      </c>
      <c r="CH893" s="63"/>
      <c r="CI893" s="63"/>
      <c r="CJ893" s="64"/>
      <c r="CK893" s="65"/>
    </row>
    <row r="894" customFormat="false" ht="15" hidden="false" customHeight="false" outlineLevel="0" collapsed="false">
      <c r="A894" s="7" t="s">
        <v>902</v>
      </c>
      <c r="B894" s="66" t="n">
        <v>874</v>
      </c>
      <c r="C894" s="8" t="s">
        <v>980</v>
      </c>
      <c r="D894" s="109" t="n">
        <v>41535</v>
      </c>
      <c r="E894" s="4" t="s">
        <v>904</v>
      </c>
      <c r="F894" s="7" t="n">
        <v>1613</v>
      </c>
      <c r="G894" s="68" t="n">
        <v>2</v>
      </c>
      <c r="H894" s="68" t="n">
        <v>112</v>
      </c>
      <c r="I894" s="7" t="n">
        <v>1</v>
      </c>
      <c r="J894" s="8" t="n">
        <v>596</v>
      </c>
      <c r="K894" s="31" t="n">
        <v>396.955865320836</v>
      </c>
      <c r="L894" s="31" t="n">
        <v>934.195515406478</v>
      </c>
      <c r="M894" s="31" t="n">
        <v>174.048960818884</v>
      </c>
      <c r="N894" s="31" t="n">
        <v>442.739063330074</v>
      </c>
      <c r="O894" s="31" t="n">
        <v>92.6817016794123</v>
      </c>
      <c r="P894" s="31" t="n">
        <v>34.3554978819537</v>
      </c>
      <c r="Q894" s="31"/>
      <c r="R894" s="31" t="n">
        <v>159.262611177321</v>
      </c>
      <c r="S894" s="34" t="s">
        <v>905</v>
      </c>
      <c r="T894" s="35" t="n">
        <v>12.7638307324136</v>
      </c>
      <c r="U894" s="35" t="n">
        <v>7.72960368075874</v>
      </c>
      <c r="V894" s="35" t="n">
        <v>20.4934344131723</v>
      </c>
      <c r="W894" s="35" t="n">
        <v>19.1448745240624</v>
      </c>
      <c r="X894" s="35" t="n">
        <v>3.56686096322259</v>
      </c>
      <c r="Y894" s="35" t="n">
        <v>9.0732439565042</v>
      </c>
      <c r="Z894" s="35" t="n">
        <v>1.89936637466824</v>
      </c>
      <c r="AA894" s="53" t="n">
        <v>0.704062142575697</v>
      </c>
      <c r="AB894" s="101"/>
      <c r="AC894" s="71" t="n">
        <v>3.26383787663299</v>
      </c>
      <c r="AD894" s="38" t="n">
        <v>6.59888588104148</v>
      </c>
      <c r="AE894" s="38" t="n">
        <v>5.91062208364886</v>
      </c>
      <c r="AF894" s="38" t="n">
        <v>1.28678274680309</v>
      </c>
      <c r="AG894" s="38" t="n">
        <v>3.95273264274385</v>
      </c>
      <c r="AH894" s="38" t="n">
        <v>1.89916302554429</v>
      </c>
      <c r="AI894" s="38"/>
      <c r="AJ894" s="102" t="s">
        <v>906</v>
      </c>
      <c r="AK894" s="103" t="n">
        <v>678</v>
      </c>
      <c r="AL894" s="103" t="n">
        <v>691</v>
      </c>
      <c r="AM894" s="103" t="n">
        <v>639</v>
      </c>
      <c r="AN894" s="103" t="n">
        <v>564</v>
      </c>
      <c r="AO894" s="104" t="n">
        <v>21.42</v>
      </c>
      <c r="AP894" s="105" t="n">
        <v>0.854</v>
      </c>
      <c r="AQ894" s="105" t="n">
        <v>0.774</v>
      </c>
      <c r="AR894" s="105" t="n">
        <v>1.058</v>
      </c>
      <c r="AS894" s="77" t="n">
        <v>21.378</v>
      </c>
      <c r="AT894" s="78" t="n">
        <v>22.1</v>
      </c>
      <c r="AU894" s="78" t="n">
        <v>39.89</v>
      </c>
      <c r="AV894" s="78" t="n">
        <v>36.13</v>
      </c>
      <c r="AW894" s="78" t="n">
        <v>49.39</v>
      </c>
      <c r="AX894" s="78" t="n">
        <v>18.6382978723404</v>
      </c>
      <c r="AY894" s="48" t="n">
        <v>1.07839416051197</v>
      </c>
      <c r="AZ894" s="48" t="n">
        <v>19.1795498353146</v>
      </c>
      <c r="BA894" s="48" t="n">
        <v>1.31388457785771</v>
      </c>
      <c r="BB894" s="49" t="n">
        <f aca="false">AT894/V894</f>
        <v>1.07839416051197</v>
      </c>
      <c r="BC894" s="49" t="n">
        <f aca="false">AS894/V894</f>
        <v>1.04316336486085</v>
      </c>
      <c r="BD894" s="49" t="n">
        <f aca="false">SUM(AP894:AR894)/V894</f>
        <v>0.131066367200685</v>
      </c>
      <c r="BE894" s="53" t="n">
        <v>6.88</v>
      </c>
      <c r="BF894" s="51" t="n">
        <v>117.49</v>
      </c>
      <c r="BG894" s="51" t="n">
        <v>662.609583794365</v>
      </c>
      <c r="BH894" s="51" t="n">
        <v>186.143501574602</v>
      </c>
      <c r="BI894" s="51" t="n">
        <v>114.733168780322</v>
      </c>
      <c r="BJ894" s="51" t="n">
        <v>9.7029534428462</v>
      </c>
      <c r="BK894" s="51" t="n">
        <v>14.9799982977275</v>
      </c>
      <c r="BL894" s="51" t="n">
        <v>4.42590858796493</v>
      </c>
      <c r="BM894" s="51" t="n">
        <v>7.4048855221721</v>
      </c>
      <c r="BN894" s="52" t="n">
        <f aca="false">(BG894*0.5-BH894*0.25+BI894*0.5)/SUM(BG894:BI894)*1000</f>
        <v>355.101590106007</v>
      </c>
      <c r="BO894" s="93" t="n">
        <v>4.25867346938776</v>
      </c>
      <c r="BP894" s="94" t="s">
        <v>491</v>
      </c>
      <c r="BQ894" s="55" t="n">
        <v>276.0636</v>
      </c>
      <c r="BR894" s="56" t="n">
        <v>13.4708314104032</v>
      </c>
      <c r="BS894" s="56" t="n">
        <v>20.8678917596297</v>
      </c>
      <c r="BT894" s="56" t="n">
        <v>12.4915656108597</v>
      </c>
      <c r="BU894" s="55" t="n">
        <v>9388.7316</v>
      </c>
      <c r="BV894" s="55" t="n">
        <v>458.133634934578</v>
      </c>
      <c r="BW894" s="55" t="n">
        <v>709.702527928403</v>
      </c>
      <c r="BX894" s="55" t="n">
        <v>425</v>
      </c>
      <c r="BY894" s="106" t="n">
        <v>0.1734</v>
      </c>
      <c r="BZ894" s="106" t="n">
        <v>1.15</v>
      </c>
      <c r="CA894" s="106" t="n">
        <v>4.32</v>
      </c>
      <c r="CB894" s="81"/>
      <c r="CC894" s="106" t="n">
        <v>4.99</v>
      </c>
      <c r="CD894" s="106" t="n">
        <v>6.58</v>
      </c>
      <c r="CE894" s="106" t="n">
        <v>100.9</v>
      </c>
      <c r="CF894" s="106" t="n">
        <v>37</v>
      </c>
      <c r="CG894" s="106" t="n">
        <v>0.5454</v>
      </c>
      <c r="CH894" s="63" t="n">
        <v>133110.967516836</v>
      </c>
      <c r="CI894" s="63" t="n">
        <v>3501.98484641498</v>
      </c>
      <c r="CJ894" s="63" t="n">
        <v>198713.362132143</v>
      </c>
      <c r="CK894" s="85" t="n">
        <v>1.76232982464772</v>
      </c>
    </row>
    <row r="895" customFormat="false" ht="15" hidden="false" customHeight="false" outlineLevel="0" collapsed="false">
      <c r="A895" s="7" t="s">
        <v>902</v>
      </c>
      <c r="B895" s="66" t="n">
        <v>875</v>
      </c>
      <c r="C895" s="8" t="s">
        <v>981</v>
      </c>
      <c r="D895" s="109" t="n">
        <v>41534</v>
      </c>
      <c r="E895" s="4" t="s">
        <v>904</v>
      </c>
      <c r="F895" s="7" t="n">
        <v>1615</v>
      </c>
      <c r="G895" s="68" t="n">
        <v>2</v>
      </c>
      <c r="H895" s="68" t="n">
        <v>151</v>
      </c>
      <c r="I895" s="7" t="n">
        <v>1</v>
      </c>
      <c r="J895" s="8" t="n">
        <v>535</v>
      </c>
      <c r="K895" s="31" t="n">
        <v>357.681016287047</v>
      </c>
      <c r="L895" s="31" t="n">
        <v>928.33695329637</v>
      </c>
      <c r="M895" s="31" t="n">
        <v>164.738588939233</v>
      </c>
      <c r="N895" s="31" t="n">
        <v>483.60194334978</v>
      </c>
      <c r="O895" s="31" t="n">
        <v>118.458601080716</v>
      </c>
      <c r="P895" s="31" t="n">
        <v>37.1377218592847</v>
      </c>
      <c r="Q895" s="31"/>
      <c r="R895" s="31" t="n">
        <v>137.514679275424</v>
      </c>
      <c r="S895" s="34" t="s">
        <v>905</v>
      </c>
      <c r="T895" s="35" t="n">
        <v>12.5505234153923</v>
      </c>
      <c r="U895" s="35" t="n">
        <v>7.31358578752685</v>
      </c>
      <c r="V895" s="35" t="n">
        <v>19.8641092029192</v>
      </c>
      <c r="W895" s="35" t="n">
        <v>18.4405866173844</v>
      </c>
      <c r="X895" s="35" t="n">
        <v>3.27238532062374</v>
      </c>
      <c r="Y895" s="35" t="n">
        <v>9.60632181344397</v>
      </c>
      <c r="Z895" s="35" t="n">
        <v>2.35307458789239</v>
      </c>
      <c r="AA895" s="53" t="n">
        <v>0.73770776256047</v>
      </c>
      <c r="AB895" s="101"/>
      <c r="AC895" s="71" t="n">
        <v>2.73160660613144</v>
      </c>
      <c r="AD895" s="38" t="n">
        <v>6.93257411181879</v>
      </c>
      <c r="AE895" s="38" t="n">
        <v>6.15404603906154</v>
      </c>
      <c r="AF895" s="38" t="n">
        <v>1.15080730256192</v>
      </c>
      <c r="AG895" s="38" t="n">
        <v>4.39525198689312</v>
      </c>
      <c r="AH895" s="38" t="n">
        <v>2.35301793674974</v>
      </c>
      <c r="AI895" s="38"/>
      <c r="AJ895" s="102" t="s">
        <v>906</v>
      </c>
      <c r="AK895" s="103" t="n">
        <v>651</v>
      </c>
      <c r="AL895" s="103" t="n">
        <v>666</v>
      </c>
      <c r="AM895" s="103" t="n">
        <v>648</v>
      </c>
      <c r="AN895" s="103" t="n">
        <v>542</v>
      </c>
      <c r="AO895" s="104" t="n">
        <v>24.54</v>
      </c>
      <c r="AP895" s="105" t="n">
        <v>0.949</v>
      </c>
      <c r="AQ895" s="105" t="n">
        <v>0.813</v>
      </c>
      <c r="AR895" s="105" t="n">
        <v>1.229</v>
      </c>
      <c r="AS895" s="77" t="n">
        <v>24.051</v>
      </c>
      <c r="AT895" s="78" t="n">
        <v>24.48</v>
      </c>
      <c r="AU895" s="78" t="n">
        <v>38.68</v>
      </c>
      <c r="AV895" s="78" t="n">
        <v>33.12</v>
      </c>
      <c r="AW895" s="78" t="n">
        <v>50.1</v>
      </c>
      <c r="AX895" s="78" t="n">
        <v>18.5744680851064</v>
      </c>
      <c r="AY895" s="48" t="n">
        <v>1.23237341025101</v>
      </c>
      <c r="AZ895" s="48" t="n">
        <v>19.560210975564</v>
      </c>
      <c r="BA895" s="48" t="n">
        <v>0.303898227355173</v>
      </c>
      <c r="BB895" s="49" t="n">
        <f aca="false">AT895/V895</f>
        <v>1.23237341025101</v>
      </c>
      <c r="BC895" s="49" t="n">
        <f aca="false">AS895/V895</f>
        <v>1.21077667034097</v>
      </c>
      <c r="BD895" s="49" t="n">
        <f aca="false">SUM(AP895:AR895)/V895</f>
        <v>0.150573074757385</v>
      </c>
      <c r="BE895" s="53" t="n">
        <v>6.64</v>
      </c>
      <c r="BF895" s="51" t="n">
        <v>109.43</v>
      </c>
      <c r="BG895" s="51" t="n">
        <v>672.941606506442</v>
      </c>
      <c r="BH895" s="51" t="n">
        <v>165.219775198757</v>
      </c>
      <c r="BI895" s="51" t="n">
        <v>118.523256876542</v>
      </c>
      <c r="BJ895" s="51" t="n">
        <v>8.13305309330166</v>
      </c>
      <c r="BK895" s="51" t="n">
        <v>15.5350452343964</v>
      </c>
      <c r="BL895" s="51" t="n">
        <v>4.93466142739651</v>
      </c>
      <c r="BM895" s="51" t="n">
        <v>14.7126016631637</v>
      </c>
      <c r="BN895" s="52" t="n">
        <f aca="false">(BG895*0.5-BH895*0.25+BI895*0.5)/SUM(BG895:BI895)*1000</f>
        <v>370.474734931703</v>
      </c>
      <c r="BO895" s="93" t="n">
        <v>6.53112244897959</v>
      </c>
      <c r="BP895" s="94" t="s">
        <v>491</v>
      </c>
      <c r="BQ895" s="55" t="n">
        <v>336.5547</v>
      </c>
      <c r="BR895" s="56" t="n">
        <v>16.9428538960378</v>
      </c>
      <c r="BS895" s="56" t="n">
        <v>27.4035418651484</v>
      </c>
      <c r="BT895" s="56" t="n">
        <v>13.7481495098039</v>
      </c>
      <c r="BU895" s="55" t="n">
        <v>8975.7741</v>
      </c>
      <c r="BV895" s="55" t="n">
        <v>451.858878156033</v>
      </c>
      <c r="BW895" s="55" t="n">
        <v>730.841082657483</v>
      </c>
      <c r="BX895" s="55" t="n">
        <v>367</v>
      </c>
      <c r="BY895" s="106" t="n">
        <v>0.1836</v>
      </c>
      <c r="BZ895" s="106" t="n">
        <v>2.16</v>
      </c>
      <c r="CA895" s="106" t="n">
        <v>3.59</v>
      </c>
      <c r="CB895" s="81"/>
      <c r="CC895" s="106" t="n">
        <v>4.96</v>
      </c>
      <c r="CD895" s="106" t="n">
        <v>7.28</v>
      </c>
      <c r="CE895" s="106" t="n">
        <v>93.7</v>
      </c>
      <c r="CF895" s="106" t="n">
        <v>38.5</v>
      </c>
      <c r="CG895" s="106" t="n">
        <v>0.2377</v>
      </c>
      <c r="CH895" s="63" t="n">
        <v>103097.766174172</v>
      </c>
      <c r="CI895" s="63" t="n">
        <v>7562.18212469519</v>
      </c>
      <c r="CJ895" s="64" t="n">
        <v>357788.817190323</v>
      </c>
      <c r="CK895" s="65" t="n">
        <v>2.11358817306818</v>
      </c>
    </row>
    <row r="896" customFormat="false" ht="15" hidden="false" customHeight="false" outlineLevel="0" collapsed="false">
      <c r="A896" s="7" t="s">
        <v>902</v>
      </c>
      <c r="B896" s="66" t="n">
        <v>876</v>
      </c>
      <c r="C896" s="8" t="s">
        <v>982</v>
      </c>
      <c r="D896" s="107" t="n">
        <v>41625</v>
      </c>
      <c r="E896" s="4" t="s">
        <v>904</v>
      </c>
      <c r="F896" s="7" t="n">
        <v>1280</v>
      </c>
      <c r="G896" s="68" t="n">
        <v>2</v>
      </c>
      <c r="H896" s="68" t="n">
        <v>128</v>
      </c>
      <c r="I896" s="7" t="n">
        <v>5</v>
      </c>
      <c r="J896" s="8" t="n">
        <v>691</v>
      </c>
      <c r="K896" s="31" t="n">
        <v>407</v>
      </c>
      <c r="L896" s="31" t="n">
        <v>938.327111772145</v>
      </c>
      <c r="M896" s="31" t="n">
        <v>164.913384279344</v>
      </c>
      <c r="N896" s="31" t="n">
        <v>357.375168113007</v>
      </c>
      <c r="O896" s="31" t="n">
        <v>63.2052360169266</v>
      </c>
      <c r="P896" s="31" t="n">
        <v>35.4149751233429</v>
      </c>
      <c r="Q896" s="31"/>
      <c r="R896" s="31" t="n">
        <v>158.418052383049</v>
      </c>
      <c r="S896" s="34" t="s">
        <v>905</v>
      </c>
      <c r="T896" s="35" t="n">
        <v>15.4481998086322</v>
      </c>
      <c r="U896" s="35" t="n">
        <v>9.60680010845278</v>
      </c>
      <c r="V896" s="35" t="n">
        <v>25.054999917085</v>
      </c>
      <c r="W896" s="35" t="n">
        <v>23.5097857076497</v>
      </c>
      <c r="X896" s="35" t="n">
        <v>4.13190482944517</v>
      </c>
      <c r="Y896" s="35" t="n">
        <v>8.95403480743963</v>
      </c>
      <c r="Z896" s="35" t="n">
        <v>1.58360718316343</v>
      </c>
      <c r="AA896" s="53" t="n">
        <v>0.887322198778924</v>
      </c>
      <c r="AB896" s="101"/>
      <c r="AC896" s="71" t="n">
        <v>3.96916428932205</v>
      </c>
      <c r="AD896" s="38" t="n">
        <v>6.28880497918833</v>
      </c>
      <c r="AE896" s="38" t="n">
        <v>5.53289062068989</v>
      </c>
      <c r="AF896" s="38" t="n">
        <v>1.28291621575442</v>
      </c>
      <c r="AG896" s="38" t="n">
        <v>3.25760097921956</v>
      </c>
      <c r="AH896" s="38" t="n">
        <v>1.58373866125668</v>
      </c>
      <c r="AI896" s="38"/>
      <c r="AJ896" s="102" t="s">
        <v>906</v>
      </c>
      <c r="AK896" s="103" t="n">
        <v>749</v>
      </c>
      <c r="AL896" s="103" t="n">
        <v>765</v>
      </c>
      <c r="AM896" s="103" t="n">
        <v>690</v>
      </c>
      <c r="AN896" s="103" t="n">
        <v>636</v>
      </c>
      <c r="AO896" s="104" t="n">
        <v>29.04</v>
      </c>
      <c r="AP896" s="105" t="n">
        <v>1.298</v>
      </c>
      <c r="AQ896" s="105" t="n">
        <v>1.057</v>
      </c>
      <c r="AR896" s="105" t="n">
        <v>1.424</v>
      </c>
      <c r="AS896" s="77" t="n">
        <v>31.086</v>
      </c>
      <c r="AT896" s="78" t="n">
        <v>31.67</v>
      </c>
      <c r="AU896" s="78" t="n">
        <v>44.69</v>
      </c>
      <c r="AV896" s="78" t="n">
        <v>36.38</v>
      </c>
      <c r="AW896" s="78" t="n">
        <v>49.03</v>
      </c>
      <c r="AX896" s="78" t="n">
        <v>24.6382978723404</v>
      </c>
      <c r="AY896" s="48" t="n">
        <v>1.26401916203577</v>
      </c>
      <c r="AZ896" s="48" t="n">
        <v>24.2468188966661</v>
      </c>
      <c r="BA896" s="48" t="n">
        <v>0.808181020418868</v>
      </c>
      <c r="BB896" s="49" t="n">
        <f aca="false">AT896/V896</f>
        <v>1.26401916203577</v>
      </c>
      <c r="BC896" s="49" t="n">
        <f aca="false">AS896/V896</f>
        <v>1.24071044114442</v>
      </c>
      <c r="BD896" s="49" t="n">
        <f aca="false">SUM(AP896:AR896)/V896</f>
        <v>0.15082817850752</v>
      </c>
      <c r="BE896" s="53" t="n">
        <v>6.68</v>
      </c>
      <c r="BF896" s="51" t="n">
        <v>87.59</v>
      </c>
      <c r="BG896" s="51" t="n">
        <v>634.547322753739</v>
      </c>
      <c r="BH896" s="51" t="n">
        <v>172.850782052746</v>
      </c>
      <c r="BI896" s="51" t="n">
        <v>156.296380865396</v>
      </c>
      <c r="BJ896" s="51" t="n">
        <v>9.13346272405526</v>
      </c>
      <c r="BK896" s="51" t="n">
        <v>15.4127183468432</v>
      </c>
      <c r="BL896" s="51" t="n">
        <v>3.19671195341934</v>
      </c>
      <c r="BM896" s="51" t="n">
        <v>8.44845301975111</v>
      </c>
      <c r="BN896" s="52" t="n">
        <f aca="false">(BG896*0.5-BH896*0.25+BI896*0.5)/SUM(BG896:BI896)*1000</f>
        <v>365.478023930814</v>
      </c>
      <c r="BO896" s="93" t="n">
        <v>2.35918367346939</v>
      </c>
      <c r="BP896" s="94" t="s">
        <v>491</v>
      </c>
      <c r="BQ896" s="55"/>
      <c r="BR896" s="56"/>
      <c r="BS896" s="56"/>
      <c r="BT896" s="56"/>
      <c r="BU896" s="55"/>
      <c r="BV896" s="55"/>
      <c r="BW896" s="55"/>
      <c r="BX896" s="55"/>
      <c r="BY896" s="106" t="n">
        <v>0.1938</v>
      </c>
      <c r="BZ896" s="106" t="n">
        <v>1.51</v>
      </c>
      <c r="CA896" s="106" t="n">
        <v>4.37</v>
      </c>
      <c r="CB896" s="81"/>
      <c r="CC896" s="106" t="n">
        <v>3.64</v>
      </c>
      <c r="CD896" s="106" t="n">
        <v>5.51</v>
      </c>
      <c r="CE896" s="106" t="n">
        <v>95.8</v>
      </c>
      <c r="CF896" s="106" t="n">
        <v>40.7</v>
      </c>
      <c r="CG896" s="106" t="n">
        <v>0.1736</v>
      </c>
      <c r="CH896" s="63" t="n">
        <v>84439.1697763341</v>
      </c>
      <c r="CI896" s="63" t="n">
        <v>10435.7821824562</v>
      </c>
      <c r="CJ896" s="64" t="n">
        <v>571904.330508247</v>
      </c>
      <c r="CK896" s="65" t="n">
        <v>1.82474264064097</v>
      </c>
    </row>
    <row r="897" customFormat="false" ht="15" hidden="false" customHeight="false" outlineLevel="0" collapsed="false">
      <c r="A897" s="7" t="s">
        <v>902</v>
      </c>
      <c r="B897" s="66" t="n">
        <v>877</v>
      </c>
      <c r="C897" s="8" t="s">
        <v>983</v>
      </c>
      <c r="D897" s="107" t="n">
        <v>41621</v>
      </c>
      <c r="E897" s="4" t="s">
        <v>904</v>
      </c>
      <c r="F897" s="7" t="n">
        <v>1481</v>
      </c>
      <c r="G897" s="68" t="n">
        <v>2</v>
      </c>
      <c r="H897" s="68" t="n">
        <v>113</v>
      </c>
      <c r="I897" s="7" t="n">
        <v>3</v>
      </c>
      <c r="J897" s="8" t="n">
        <v>615</v>
      </c>
      <c r="K897" s="31" t="n">
        <v>410.39946195381</v>
      </c>
      <c r="L897" s="31" t="n">
        <v>938.315139251444</v>
      </c>
      <c r="M897" s="31" t="n">
        <v>165.186272892197</v>
      </c>
      <c r="N897" s="31" t="n">
        <v>356.195104731327</v>
      </c>
      <c r="O897" s="31" t="n">
        <v>63.1823872470194</v>
      </c>
      <c r="P897" s="31" t="n">
        <v>35.5958752460738</v>
      </c>
      <c r="Q897" s="31"/>
      <c r="R897" s="31" t="n">
        <v>159.511339564752</v>
      </c>
      <c r="S897" s="34" t="s">
        <v>905</v>
      </c>
      <c r="T897" s="35" t="n">
        <v>12.2878682192485</v>
      </c>
      <c r="U897" s="35" t="n">
        <v>7.78920895571412</v>
      </c>
      <c r="V897" s="35" t="n">
        <v>20.0770771749626</v>
      </c>
      <c r="W897" s="35" t="n">
        <v>18.838625465187</v>
      </c>
      <c r="X897" s="35" t="n">
        <v>3.31645754910107</v>
      </c>
      <c r="Y897" s="35" t="n">
        <v>7.15135660703475</v>
      </c>
      <c r="Z897" s="35" t="n">
        <v>1.26851766485678</v>
      </c>
      <c r="AA897" s="53" t="n">
        <v>0.714661134425765</v>
      </c>
      <c r="AB897" s="101"/>
      <c r="AC897" s="71" t="n">
        <v>3.2025214747232</v>
      </c>
      <c r="AD897" s="38" t="n">
        <v>5.22004006549028</v>
      </c>
      <c r="AE897" s="38" t="n">
        <v>4.60668535779517</v>
      </c>
      <c r="AF897" s="38" t="n">
        <v>1.11708857401492</v>
      </c>
      <c r="AG897" s="38" t="n">
        <v>2.77706131484083</v>
      </c>
      <c r="AH897" s="38" t="n">
        <v>1.26629471748017</v>
      </c>
      <c r="AI897" s="38"/>
      <c r="AJ897" s="102" t="s">
        <v>906</v>
      </c>
      <c r="AK897" s="103" t="n">
        <v>740</v>
      </c>
      <c r="AL897" s="103" t="n">
        <v>755</v>
      </c>
      <c r="AM897" s="103" t="n">
        <v>663</v>
      </c>
      <c r="AN897" s="103" t="n">
        <v>611</v>
      </c>
      <c r="AO897" s="104" t="n">
        <v>24.19</v>
      </c>
      <c r="AP897" s="105" t="n">
        <v>0.907</v>
      </c>
      <c r="AQ897" s="105" t="n">
        <v>0.916</v>
      </c>
      <c r="AR897" s="105" t="n">
        <v>1.134</v>
      </c>
      <c r="AS897" s="77" t="n">
        <v>23.281</v>
      </c>
      <c r="AT897" s="78" t="n">
        <v>24.25</v>
      </c>
      <c r="AU897" s="78" t="n">
        <v>37.48</v>
      </c>
      <c r="AV897" s="78" t="n">
        <v>37.87</v>
      </c>
      <c r="AW897" s="78" t="n">
        <v>46.88</v>
      </c>
      <c r="AX897" s="78" t="n">
        <v>20.7659574468085</v>
      </c>
      <c r="AY897" s="48" t="n">
        <v>1.20784513545833</v>
      </c>
      <c r="AZ897" s="48" t="n">
        <v>20.155737806635</v>
      </c>
      <c r="BA897" s="48" t="n">
        <v>-0.0786606316724026</v>
      </c>
      <c r="BB897" s="49" t="n">
        <f aca="false">AT897/V897</f>
        <v>1.20784513545833</v>
      </c>
      <c r="BC897" s="49" t="n">
        <f aca="false">AS897/V897</f>
        <v>1.15958113808682</v>
      </c>
      <c r="BD897" s="49" t="n">
        <f aca="false">SUM(AP897:AR897)/V897</f>
        <v>0.147282394455681</v>
      </c>
      <c r="BE897" s="53" t="n">
        <v>7.35</v>
      </c>
      <c r="BF897" s="51" t="n">
        <v>56.86</v>
      </c>
      <c r="BG897" s="51" t="n">
        <v>677.277523742525</v>
      </c>
      <c r="BH897" s="51" t="n">
        <v>152.831516004221</v>
      </c>
      <c r="BI897" s="51" t="n">
        <v>126.626802673233</v>
      </c>
      <c r="BJ897" s="51" t="n">
        <v>18.4664087231797</v>
      </c>
      <c r="BK897" s="51" t="n">
        <v>13.5420330636651</v>
      </c>
      <c r="BL897" s="51" t="n">
        <v>6.85895181146676</v>
      </c>
      <c r="BM897" s="51" t="n">
        <v>4.39676398170946</v>
      </c>
      <c r="BN897" s="52" t="n">
        <f aca="false">(BG897*0.5-BH897*0.25+BI897*0.5)/SUM(BG897:BI897)*1000</f>
        <v>380.193014705882</v>
      </c>
      <c r="BO897" s="93" t="n">
        <v>5.34285714285714</v>
      </c>
      <c r="BP897" s="94" t="s">
        <v>491</v>
      </c>
      <c r="BQ897" s="55" t="n">
        <v>554.673666666667</v>
      </c>
      <c r="BR897" s="56" t="n">
        <v>27.6272119608316</v>
      </c>
      <c r="BS897" s="56" t="n">
        <v>38.9979146581264</v>
      </c>
      <c r="BT897" s="56" t="n">
        <v>22.8731408934708</v>
      </c>
      <c r="BU897" s="55" t="n">
        <v>13575.984</v>
      </c>
      <c r="BV897" s="55" t="n">
        <v>676.193246740622</v>
      </c>
      <c r="BW897" s="55" t="n">
        <v>954.498288360704</v>
      </c>
      <c r="BX897" s="55" t="n">
        <v>560</v>
      </c>
      <c r="BY897" s="106" t="n">
        <v>0.255</v>
      </c>
      <c r="BZ897" s="106" t="n">
        <v>0.6</v>
      </c>
      <c r="CA897" s="106" t="n">
        <v>4.38</v>
      </c>
      <c r="CB897" s="81"/>
      <c r="CC897" s="106" t="n">
        <v>4.5</v>
      </c>
      <c r="CD897" s="106" t="n">
        <v>6.3</v>
      </c>
      <c r="CE897" s="106" t="n">
        <v>94.8</v>
      </c>
      <c r="CF897" s="106" t="n">
        <v>39.4</v>
      </c>
      <c r="CG897" s="106" t="n">
        <v>0.1391</v>
      </c>
      <c r="CH897" s="63" t="n">
        <v>28326.791319515</v>
      </c>
      <c r="CI897" s="63" t="n">
        <v>3152.15173356588</v>
      </c>
      <c r="CJ897" s="63" t="n">
        <v>156589.250454478</v>
      </c>
      <c r="CK897" s="85" t="n">
        <v>2.01300646399239</v>
      </c>
    </row>
    <row r="898" customFormat="false" ht="15" hidden="false" customHeight="false" outlineLevel="0" collapsed="false">
      <c r="A898" s="7" t="s">
        <v>902</v>
      </c>
      <c r="B898" s="66" t="n">
        <v>878</v>
      </c>
      <c r="C898" s="8" t="s">
        <v>984</v>
      </c>
      <c r="D898" s="107" t="n">
        <v>41625</v>
      </c>
      <c r="E898" s="4" t="s">
        <v>904</v>
      </c>
      <c r="F898" s="7" t="n">
        <v>1496</v>
      </c>
      <c r="G898" s="68" t="n">
        <v>2</v>
      </c>
      <c r="H898" s="68" t="n">
        <v>150</v>
      </c>
      <c r="I898" s="7" t="n">
        <v>3</v>
      </c>
      <c r="J898" s="8" t="n">
        <v>638</v>
      </c>
      <c r="K898" s="31" t="n">
        <v>414.956802118963</v>
      </c>
      <c r="L898" s="31" t="n">
        <v>938.299088814577</v>
      </c>
      <c r="M898" s="31" t="n">
        <v>165.552109090061</v>
      </c>
      <c r="N898" s="31" t="n">
        <v>354.613104308958</v>
      </c>
      <c r="O898" s="31" t="n">
        <v>63.1517560417765</v>
      </c>
      <c r="P898" s="31" t="n">
        <v>35.8383910931121</v>
      </c>
      <c r="Q898" s="31"/>
      <c r="R898" s="31" t="n">
        <v>160.977007265383</v>
      </c>
      <c r="S898" s="34" t="s">
        <v>905</v>
      </c>
      <c r="T898" s="35" t="n">
        <v>14.5229711525297</v>
      </c>
      <c r="U898" s="35" t="n">
        <v>9.44420148149968</v>
      </c>
      <c r="V898" s="35" t="n">
        <v>23.9671726340294</v>
      </c>
      <c r="W898" s="35" t="n">
        <v>22.4883762439715</v>
      </c>
      <c r="X898" s="35" t="n">
        <v>3.96781597848917</v>
      </c>
      <c r="Y898" s="35" t="n">
        <v>8.49907348926189</v>
      </c>
      <c r="Z898" s="35" t="n">
        <v>1.51356903919537</v>
      </c>
      <c r="AA898" s="53" t="n">
        <v>0.858944906254479</v>
      </c>
      <c r="AB898" s="101"/>
      <c r="AC898" s="71" t="n">
        <v>3.85816372323884</v>
      </c>
      <c r="AD898" s="38" t="n">
        <v>6.18353053957959</v>
      </c>
      <c r="AE898" s="38" t="n">
        <v>5.47551629279773</v>
      </c>
      <c r="AF898" s="38" t="n">
        <v>1.31090847439087</v>
      </c>
      <c r="AG898" s="38" t="n">
        <v>3.48132769378331</v>
      </c>
      <c r="AH898" s="38" t="n">
        <v>1.51296499344634</v>
      </c>
      <c r="AI898" s="38"/>
      <c r="AJ898" s="102" t="s">
        <v>906</v>
      </c>
      <c r="AK898" s="103" t="n">
        <v>742</v>
      </c>
      <c r="AL898" s="103" t="n">
        <v>756</v>
      </c>
      <c r="AM898" s="103" t="n">
        <v>669</v>
      </c>
      <c r="AN898" s="103" t="n">
        <v>590</v>
      </c>
      <c r="AO898" s="104" t="n">
        <v>29.27</v>
      </c>
      <c r="AP898" s="105" t="n">
        <v>1.222</v>
      </c>
      <c r="AQ898" s="105" t="n">
        <v>1.091</v>
      </c>
      <c r="AR898" s="105" t="n">
        <v>1.41</v>
      </c>
      <c r="AS898" s="77" t="n">
        <v>30.038</v>
      </c>
      <c r="AT898" s="78" t="n">
        <v>30.92</v>
      </c>
      <c r="AU898" s="78" t="n">
        <v>41.73</v>
      </c>
      <c r="AV898" s="78" t="n">
        <v>37.26</v>
      </c>
      <c r="AW898" s="78" t="n">
        <v>48.16</v>
      </c>
      <c r="AX898" s="78" t="n">
        <v>18.8297872340426</v>
      </c>
      <c r="AY898" s="48" t="n">
        <v>1.29009793821482</v>
      </c>
      <c r="AZ898" s="48" t="n">
        <v>23.2729397303656</v>
      </c>
      <c r="BA898" s="48" t="n">
        <v>0.69423290366387</v>
      </c>
      <c r="BB898" s="49" t="n">
        <f aca="false">AT898/V898</f>
        <v>1.29009793821482</v>
      </c>
      <c r="BC898" s="49" t="n">
        <f aca="false">AS898/V898</f>
        <v>1.25329760246108</v>
      </c>
      <c r="BD898" s="49" t="n">
        <f aca="false">SUM(AP898:AR898)/V898</f>
        <v>0.155337471667975</v>
      </c>
      <c r="BE898" s="53" t="n">
        <v>6.7</v>
      </c>
      <c r="BF898" s="51" t="n">
        <v>110.64</v>
      </c>
      <c r="BG898" s="51" t="n">
        <v>606.561822125814</v>
      </c>
      <c r="BH898" s="51" t="n">
        <v>191.79320318149</v>
      </c>
      <c r="BI898" s="51" t="n">
        <v>161.7859725235</v>
      </c>
      <c r="BJ898" s="51" t="n">
        <v>10.4844540853218</v>
      </c>
      <c r="BK898" s="51" t="n">
        <v>18.7997107736804</v>
      </c>
      <c r="BL898" s="51" t="n">
        <v>2.89226319595083</v>
      </c>
      <c r="BM898" s="51" t="n">
        <v>7.59219088937093</v>
      </c>
      <c r="BN898" s="52" t="n">
        <f aca="false">(BG898*0.5-BH898*0.25+BI898*0.5)/SUM(BG898:BI898)*1000</f>
        <v>350.183563964982</v>
      </c>
      <c r="BO898" s="93" t="n">
        <v>1.60459183673469</v>
      </c>
      <c r="BP898" s="94" t="s">
        <v>491</v>
      </c>
      <c r="BQ898" s="55" t="n">
        <v>410.503</v>
      </c>
      <c r="BR898" s="56" t="n">
        <v>17.127719079269</v>
      </c>
      <c r="BS898" s="56" t="n">
        <v>24.1455132354853</v>
      </c>
      <c r="BT898" s="56" t="n">
        <v>13.2762936610608</v>
      </c>
      <c r="BU898" s="55" t="n">
        <v>12774.1078</v>
      </c>
      <c r="BV898" s="55" t="n">
        <v>532.983510197731</v>
      </c>
      <c r="BW898" s="55" t="n">
        <v>751.364518545335</v>
      </c>
      <c r="BX898" s="55" t="n">
        <v>413</v>
      </c>
      <c r="BY898" s="106" t="n">
        <v>0.1836</v>
      </c>
      <c r="BZ898" s="106" t="n">
        <v>1.14</v>
      </c>
      <c r="CA898" s="106" t="n">
        <v>4.01</v>
      </c>
      <c r="CB898" s="81"/>
      <c r="CC898" s="106" t="n">
        <v>3.07</v>
      </c>
      <c r="CD898" s="106" t="n">
        <v>4.38</v>
      </c>
      <c r="CE898" s="106" t="n">
        <v>95.8</v>
      </c>
      <c r="CF898" s="106" t="n">
        <v>40.3</v>
      </c>
      <c r="CG898" s="106" t="n">
        <v>0.094</v>
      </c>
      <c r="CH898" s="63" t="n">
        <v>89389.874450723</v>
      </c>
      <c r="CI898" s="63" t="n">
        <v>11379.5990120954</v>
      </c>
      <c r="CJ898" s="64" t="n">
        <v>524837.460132001</v>
      </c>
      <c r="CK898" s="65" t="n">
        <v>2.16821394746354</v>
      </c>
    </row>
    <row r="899" customFormat="false" ht="15" hidden="false" customHeight="false" outlineLevel="0" collapsed="false">
      <c r="A899" s="7" t="s">
        <v>902</v>
      </c>
      <c r="B899" s="66" t="n">
        <v>879</v>
      </c>
      <c r="C899" s="8" t="s">
        <v>985</v>
      </c>
      <c r="D899" s="107" t="n">
        <v>41624</v>
      </c>
      <c r="E899" s="4" t="s">
        <v>904</v>
      </c>
      <c r="F899" s="7" t="n">
        <v>1501</v>
      </c>
      <c r="G899" s="68" t="n">
        <v>2</v>
      </c>
      <c r="H899" s="68" t="n">
        <v>139</v>
      </c>
      <c r="I899" s="7" t="n">
        <v>3</v>
      </c>
      <c r="J899" s="8" t="n">
        <v>628</v>
      </c>
      <c r="K899" s="31" t="n">
        <v>415.104541597883</v>
      </c>
      <c r="L899" s="31" t="n">
        <v>938.298568492834</v>
      </c>
      <c r="M899" s="31" t="n">
        <v>165.563968737856</v>
      </c>
      <c r="N899" s="31" t="n">
        <v>354.561819149286</v>
      </c>
      <c r="O899" s="31" t="n">
        <v>63.1507630418824</v>
      </c>
      <c r="P899" s="31" t="n">
        <v>35.8462529519097</v>
      </c>
      <c r="Q899" s="31"/>
      <c r="R899" s="31" t="n">
        <v>161.024521160443</v>
      </c>
      <c r="S899" s="34" t="s">
        <v>905</v>
      </c>
      <c r="T899" s="35" t="n">
        <v>15.0037781788751</v>
      </c>
      <c r="U899" s="35" t="n">
        <v>9.7649268213489</v>
      </c>
      <c r="V899" s="35" t="n">
        <v>24.768705000224</v>
      </c>
      <c r="W899" s="35" t="n">
        <v>23.2404404451315</v>
      </c>
      <c r="X899" s="35" t="n">
        <v>4.10080510033428</v>
      </c>
      <c r="Y899" s="35" t="n">
        <v>8.78203710285144</v>
      </c>
      <c r="Z899" s="35" t="n">
        <v>1.56416262032344</v>
      </c>
      <c r="AA899" s="53" t="n">
        <v>0.88786526472926</v>
      </c>
      <c r="AB899" s="101"/>
      <c r="AC899" s="71" t="n">
        <v>3.98836886242534</v>
      </c>
      <c r="AD899" s="38" t="n">
        <v>6.71231905506071</v>
      </c>
      <c r="AE899" s="38" t="n">
        <v>5.9313407330044</v>
      </c>
      <c r="AF899" s="38" t="n">
        <v>1.44986091589311</v>
      </c>
      <c r="AG899" s="38" t="n">
        <v>3.44341967524614</v>
      </c>
      <c r="AH899" s="38" t="n">
        <v>1.56569962116266</v>
      </c>
      <c r="AI899" s="38"/>
      <c r="AJ899" s="102" t="s">
        <v>906</v>
      </c>
      <c r="AK899" s="103" t="n">
        <v>729</v>
      </c>
      <c r="AL899" s="103" t="n">
        <v>745</v>
      </c>
      <c r="AM899" s="103" t="n">
        <v>647</v>
      </c>
      <c r="AN899" s="103" t="n">
        <v>608</v>
      </c>
      <c r="AO899" s="104" t="n">
        <v>31.58</v>
      </c>
      <c r="AP899" s="105" t="n">
        <v>1.267</v>
      </c>
      <c r="AQ899" s="105" t="n">
        <v>1.108</v>
      </c>
      <c r="AR899" s="105" t="n">
        <v>1.519</v>
      </c>
      <c r="AS899" s="77" t="n">
        <v>31.637</v>
      </c>
      <c r="AT899" s="78" t="n">
        <v>32.21</v>
      </c>
      <c r="AU899" s="78" t="n">
        <v>40.12</v>
      </c>
      <c r="AV899" s="78" t="n">
        <v>35.1</v>
      </c>
      <c r="AW899" s="78" t="n">
        <v>48.11</v>
      </c>
      <c r="AX899" s="78" t="n">
        <v>20.7021276595745</v>
      </c>
      <c r="AY899" s="48" t="n">
        <v>1.30043133057254</v>
      </c>
      <c r="AZ899" s="48" t="n">
        <v>23.6513870483157</v>
      </c>
      <c r="BA899" s="48" t="n">
        <v>1.11731795190832</v>
      </c>
      <c r="BB899" s="49" t="n">
        <f aca="false">AT899/V899</f>
        <v>1.30043133057254</v>
      </c>
      <c r="BC899" s="49" t="n">
        <f aca="false">AS899/V899</f>
        <v>1.27729729914074</v>
      </c>
      <c r="BD899" s="49" t="n">
        <f aca="false">SUM(AP899:AR899)/V899</f>
        <v>0.157214517269465</v>
      </c>
      <c r="BE899" s="53" t="n">
        <v>6.85</v>
      </c>
      <c r="BF899" s="51" t="n">
        <v>84.47</v>
      </c>
      <c r="BG899" s="51" t="n">
        <v>633.124186101575</v>
      </c>
      <c r="BH899" s="51" t="n">
        <v>205.635136734935</v>
      </c>
      <c r="BI899" s="51" t="n">
        <v>121.344856161951</v>
      </c>
      <c r="BJ899" s="51" t="n">
        <v>13.9694566118148</v>
      </c>
      <c r="BK899" s="51" t="n">
        <v>16.3371611222919</v>
      </c>
      <c r="BL899" s="51" t="n">
        <v>4.97217947200189</v>
      </c>
      <c r="BM899" s="51" t="n">
        <v>4.61702379543033</v>
      </c>
      <c r="BN899" s="52" t="n">
        <f aca="false">(BG899*0.5-BH899*0.25+BI899*0.5)/SUM(BG899:BI899)*1000</f>
        <v>339.364981504316</v>
      </c>
      <c r="BO899" s="93" t="n">
        <v>2.75816326530612</v>
      </c>
      <c r="BP899" s="94" t="s">
        <v>491</v>
      </c>
      <c r="BQ899" s="55" t="n">
        <v>438.0496</v>
      </c>
      <c r="BR899" s="56" t="n">
        <v>17.6856077052086</v>
      </c>
      <c r="BS899" s="56" t="n">
        <v>25.3001246536887</v>
      </c>
      <c r="BT899" s="56" t="n">
        <v>13.5998013039429</v>
      </c>
      <c r="BU899" s="55" t="n">
        <v>12649.2513</v>
      </c>
      <c r="BV899" s="55" t="n">
        <v>510.694899062571</v>
      </c>
      <c r="BW899" s="55" t="n">
        <v>730.573968486296</v>
      </c>
      <c r="BX899" s="55" t="n">
        <v>393</v>
      </c>
      <c r="BY899" s="106" t="n">
        <v>0.1836</v>
      </c>
      <c r="BZ899" s="106" t="n">
        <v>0.85</v>
      </c>
      <c r="CA899" s="106" t="n">
        <v>4.64</v>
      </c>
      <c r="CB899" s="81"/>
      <c r="CC899" s="106" t="n">
        <v>3.43</v>
      </c>
      <c r="CD899" s="106" t="n">
        <v>6.01</v>
      </c>
      <c r="CE899" s="106" t="n">
        <v>96.8</v>
      </c>
      <c r="CF899" s="106" t="n">
        <v>39.3</v>
      </c>
      <c r="CG899" s="106" t="n">
        <v>0.193</v>
      </c>
      <c r="CH899" s="63" t="n">
        <v>84902.0270071317</v>
      </c>
      <c r="CI899" s="63" t="n">
        <v>10717.0398107432</v>
      </c>
      <c r="CJ899" s="64" t="n">
        <v>487424.607118075</v>
      </c>
      <c r="CK899" s="65" t="n">
        <v>2.19870717527133</v>
      </c>
    </row>
    <row r="900" customFormat="false" ht="15" hidden="false" customHeight="false" outlineLevel="0" collapsed="false">
      <c r="A900" s="7" t="s">
        <v>902</v>
      </c>
      <c r="B900" s="66" t="n">
        <v>880</v>
      </c>
      <c r="C900" s="8" t="s">
        <v>986</v>
      </c>
      <c r="D900" s="107" t="n">
        <v>41624</v>
      </c>
      <c r="E900" s="4" t="s">
        <v>904</v>
      </c>
      <c r="F900" s="7" t="n">
        <v>1504</v>
      </c>
      <c r="G900" s="68" t="n">
        <v>2</v>
      </c>
      <c r="H900" s="68" t="n">
        <v>137</v>
      </c>
      <c r="I900" s="7" t="n">
        <v>3</v>
      </c>
      <c r="J900" s="8" t="n">
        <v>603</v>
      </c>
      <c r="K900" s="31" t="n">
        <v>418.748771013217</v>
      </c>
      <c r="L900" s="31" t="n">
        <v>938.285733928804</v>
      </c>
      <c r="M900" s="31" t="n">
        <v>165.856505828602</v>
      </c>
      <c r="N900" s="31" t="n">
        <v>353.296789051609</v>
      </c>
      <c r="O900" s="31" t="n">
        <v>63.1262691188642</v>
      </c>
      <c r="P900" s="31" t="n">
        <v>36.0401782134513</v>
      </c>
      <c r="Q900" s="31"/>
      <c r="R900" s="31" t="n">
        <v>162.196527013459</v>
      </c>
      <c r="S900" s="34" t="s">
        <v>905</v>
      </c>
      <c r="T900" s="35" t="n">
        <v>14.2708723333108</v>
      </c>
      <c r="U900" s="35" t="n">
        <v>9.4786083303355</v>
      </c>
      <c r="V900" s="35" t="n">
        <v>23.7494806636463</v>
      </c>
      <c r="W900" s="35" t="n">
        <v>22.2837988949173</v>
      </c>
      <c r="X900" s="35" t="n">
        <v>3.93900587811632</v>
      </c>
      <c r="Y900" s="35" t="n">
        <v>8.39061526010952</v>
      </c>
      <c r="Z900" s="35" t="n">
        <v>1.4992161078066</v>
      </c>
      <c r="AA900" s="53" t="n">
        <v>0.855935515594729</v>
      </c>
      <c r="AB900" s="101"/>
      <c r="AC900" s="71" t="n">
        <v>3.85208328201672</v>
      </c>
      <c r="AD900" s="38" t="n">
        <v>5.81862276259335</v>
      </c>
      <c r="AE900" s="38" t="n">
        <v>5.14249879758</v>
      </c>
      <c r="AF900" s="38" t="n">
        <v>1.14626868423089</v>
      </c>
      <c r="AG900" s="38" t="n">
        <v>3.24097287876449</v>
      </c>
      <c r="AH900" s="38" t="n">
        <v>1.49942779918571</v>
      </c>
      <c r="AI900" s="38"/>
      <c r="AJ900" s="102" t="s">
        <v>906</v>
      </c>
      <c r="AK900" s="103" t="n">
        <v>755</v>
      </c>
      <c r="AL900" s="103" t="n">
        <v>769</v>
      </c>
      <c r="AM900" s="103" t="n">
        <v>709</v>
      </c>
      <c r="AN900" s="103" t="n">
        <v>614</v>
      </c>
      <c r="AO900" s="104" t="n">
        <v>28.03</v>
      </c>
      <c r="AP900" s="105" t="n">
        <v>1.093</v>
      </c>
      <c r="AQ900" s="105" t="n">
        <v>0.944</v>
      </c>
      <c r="AR900" s="105" t="n">
        <v>1.341</v>
      </c>
      <c r="AS900" s="77" t="n">
        <v>27.607</v>
      </c>
      <c r="AT900" s="78" t="n">
        <v>27.86</v>
      </c>
      <c r="AU900" s="78" t="n">
        <v>39</v>
      </c>
      <c r="AV900" s="78" t="n">
        <v>33.67</v>
      </c>
      <c r="AW900" s="78" t="n">
        <v>47.85</v>
      </c>
      <c r="AX900" s="78" t="n">
        <v>27.1914893617021</v>
      </c>
      <c r="AY900" s="48" t="n">
        <v>1.17307828303992</v>
      </c>
      <c r="AZ900" s="48" t="n">
        <v>21.7945990975538</v>
      </c>
      <c r="BA900" s="48" t="n">
        <v>1.95488156609247</v>
      </c>
      <c r="BB900" s="49" t="n">
        <f aca="false">AT900/V900</f>
        <v>1.17307828303992</v>
      </c>
      <c r="BC900" s="49" t="n">
        <f aca="false">AS900/V900</f>
        <v>1.16242541851698</v>
      </c>
      <c r="BD900" s="49" t="n">
        <f aca="false">SUM(AP900:AR900)/V900</f>
        <v>0.142234689163993</v>
      </c>
      <c r="BE900" s="53" t="n">
        <v>6.86</v>
      </c>
      <c r="BF900" s="51" t="n">
        <v>99.25</v>
      </c>
      <c r="BG900" s="51" t="n">
        <v>605.239294710328</v>
      </c>
      <c r="BH900" s="51" t="n">
        <v>201.309823677582</v>
      </c>
      <c r="BI900" s="51" t="n">
        <v>155.869017632242</v>
      </c>
      <c r="BJ900" s="51" t="n">
        <v>10.0755667506297</v>
      </c>
      <c r="BK900" s="51" t="n">
        <v>16.4231738035264</v>
      </c>
      <c r="BL900" s="51" t="n">
        <v>4.13098236775819</v>
      </c>
      <c r="BM900" s="51" t="n">
        <v>6.85138539042821</v>
      </c>
      <c r="BN900" s="52" t="n">
        <f aca="false">(BG900*0.5-BH900*0.25+BI900*0.5)/SUM(BG900:BI900)*1000</f>
        <v>343.121859296482</v>
      </c>
      <c r="BO900" s="93" t="n">
        <v>5.85459183673469</v>
      </c>
      <c r="BP900" s="94" t="s">
        <v>491</v>
      </c>
      <c r="BQ900" s="55" t="n">
        <v>407.7663</v>
      </c>
      <c r="BR900" s="56" t="n">
        <v>17.169482809962</v>
      </c>
      <c r="BS900" s="56" t="n">
        <v>23.7955507084081</v>
      </c>
      <c r="BT900" s="56" t="n">
        <v>14.6362634601579</v>
      </c>
      <c r="BU900" s="55" t="n">
        <v>12166.2358</v>
      </c>
      <c r="BV900" s="55" t="n">
        <v>512.273761784739</v>
      </c>
      <c r="BW900" s="55" t="n">
        <v>709.971081252547</v>
      </c>
      <c r="BX900" s="55" t="n">
        <v>437</v>
      </c>
      <c r="BY900" s="106" t="n">
        <v>0.1938</v>
      </c>
      <c r="BZ900" s="106" t="n">
        <v>1.51</v>
      </c>
      <c r="CA900" s="106" t="n">
        <v>3.78</v>
      </c>
      <c r="CB900" s="81"/>
      <c r="CC900" s="106" t="n">
        <v>5.04</v>
      </c>
      <c r="CD900" s="106" t="n">
        <v>6.8</v>
      </c>
      <c r="CE900" s="106" t="n">
        <v>81.4</v>
      </c>
      <c r="CF900" s="106" t="n">
        <v>38.5</v>
      </c>
      <c r="CG900" s="106" t="n">
        <v>0.606</v>
      </c>
      <c r="CH900" s="63" t="n">
        <v>112898.296695074</v>
      </c>
      <c r="CI900" s="63" t="n">
        <v>8601.02960785938</v>
      </c>
      <c r="CJ900" s="64" t="n">
        <v>448194.00119823</v>
      </c>
      <c r="CK900" s="65" t="n">
        <v>1.91904166161636</v>
      </c>
    </row>
    <row r="901" customFormat="false" ht="15" hidden="false" customHeight="false" outlineLevel="0" collapsed="false">
      <c r="A901" s="7" t="s">
        <v>902</v>
      </c>
      <c r="B901" s="66" t="n">
        <v>881</v>
      </c>
      <c r="C901" s="8" t="s">
        <v>987</v>
      </c>
      <c r="D901" s="107" t="n">
        <v>41621</v>
      </c>
      <c r="E901" s="4" t="s">
        <v>904</v>
      </c>
      <c r="F901" s="7" t="n">
        <v>1538</v>
      </c>
      <c r="G901" s="68" t="n">
        <v>2</v>
      </c>
      <c r="H901" s="68" t="n">
        <v>135</v>
      </c>
      <c r="I901" s="7" t="n">
        <v>2</v>
      </c>
      <c r="J901" s="8" t="n">
        <v>722</v>
      </c>
      <c r="K901" s="31" t="n">
        <v>419.994385320398</v>
      </c>
      <c r="L901" s="31" t="n">
        <v>938.281347016027</v>
      </c>
      <c r="M901" s="31" t="n">
        <v>165.956496346235</v>
      </c>
      <c r="N901" s="31" t="n">
        <v>352.864395969536</v>
      </c>
      <c r="O901" s="31" t="n">
        <v>63.1178969837779</v>
      </c>
      <c r="P901" s="31" t="n">
        <v>36.1064627561543</v>
      </c>
      <c r="Q901" s="31"/>
      <c r="R901" s="31" t="n">
        <v>162.597123982594</v>
      </c>
      <c r="S901" s="34" t="s">
        <v>905</v>
      </c>
      <c r="T901" s="35" t="n">
        <v>13.3300499358134</v>
      </c>
      <c r="U901" s="35" t="n">
        <v>8.91526239506297</v>
      </c>
      <c r="V901" s="35" t="n">
        <v>22.2453123308763</v>
      </c>
      <c r="W901" s="35" t="n">
        <v>20.8723616186069</v>
      </c>
      <c r="X901" s="35" t="n">
        <v>3.69175409455993</v>
      </c>
      <c r="Y901" s="35" t="n">
        <v>7.84957869878833</v>
      </c>
      <c r="Z901" s="35" t="n">
        <v>1.40407733207222</v>
      </c>
      <c r="AA901" s="53" t="n">
        <v>0.803199541173805</v>
      </c>
      <c r="AB901" s="101"/>
      <c r="AC901" s="71" t="n">
        <v>3.61702380709502</v>
      </c>
      <c r="AD901" s="38" t="n">
        <v>5.9172530800131</v>
      </c>
      <c r="AE901" s="38" t="n">
        <v>5.20037786936951</v>
      </c>
      <c r="AF901" s="38" t="n">
        <v>1.23078864064272</v>
      </c>
      <c r="AG901" s="38" t="n">
        <v>3.13022687932693</v>
      </c>
      <c r="AH901" s="38" t="n">
        <v>1.403923797067</v>
      </c>
      <c r="AI901" s="38"/>
      <c r="AJ901" s="102" t="s">
        <v>906</v>
      </c>
      <c r="AK901" s="103" t="n">
        <v>734</v>
      </c>
      <c r="AL901" s="103" t="n">
        <v>751</v>
      </c>
      <c r="AM901" s="103" t="n">
        <v>667</v>
      </c>
      <c r="AN901" s="103" t="n">
        <v>601</v>
      </c>
      <c r="AO901" s="104" t="n">
        <v>27.39</v>
      </c>
      <c r="AP901" s="105" t="n">
        <v>1.089</v>
      </c>
      <c r="AQ901" s="105" t="n">
        <v>1.055</v>
      </c>
      <c r="AR901" s="105" t="n">
        <v>1.285</v>
      </c>
      <c r="AS901" s="77" t="n">
        <v>27.291</v>
      </c>
      <c r="AT901" s="78" t="n">
        <v>28.37</v>
      </c>
      <c r="AU901" s="78" t="n">
        <v>39.76</v>
      </c>
      <c r="AV901" s="78" t="n">
        <v>38.52</v>
      </c>
      <c r="AW901" s="78" t="n">
        <v>46.93</v>
      </c>
      <c r="AX901" s="78" t="n">
        <v>17.2553191489362</v>
      </c>
      <c r="AY901" s="48" t="n">
        <v>1.27532486746085</v>
      </c>
      <c r="AZ901" s="48" t="n">
        <v>23.3469874544911</v>
      </c>
      <c r="BA901" s="48" t="n">
        <v>-1.10167512361475</v>
      </c>
      <c r="BB901" s="49" t="n">
        <f aca="false">AT901/V901</f>
        <v>1.27532486746085</v>
      </c>
      <c r="BC901" s="49" t="n">
        <f aca="false">AS901/V901</f>
        <v>1.22682026640374</v>
      </c>
      <c r="BD901" s="49" t="n">
        <f aca="false">SUM(AP901:AR901)/V901</f>
        <v>0.154144835055455</v>
      </c>
      <c r="BE901" s="53" t="n">
        <v>6.96</v>
      </c>
      <c r="BF901" s="51" t="n">
        <v>55.94</v>
      </c>
      <c r="BG901" s="51" t="n">
        <v>686.449767608152</v>
      </c>
      <c r="BH901" s="51" t="n">
        <v>157.668930997497</v>
      </c>
      <c r="BI901" s="51" t="n">
        <v>110.117983553808</v>
      </c>
      <c r="BJ901" s="51" t="n">
        <v>17.8762960314623</v>
      </c>
      <c r="BK901" s="51" t="n">
        <v>15.1948516267429</v>
      </c>
      <c r="BL901" s="51" t="n">
        <v>6.61422953164104</v>
      </c>
      <c r="BM901" s="51" t="n">
        <v>5.89917769038255</v>
      </c>
      <c r="BN901" s="52" t="n">
        <f aca="false">(BG901*0.5-BH901*0.25+BI901*0.5)/SUM(BG901:BI901)*1000</f>
        <v>376.077182465343</v>
      </c>
      <c r="BO901" s="93" t="n">
        <v>2.68877551020408</v>
      </c>
      <c r="BP901" s="94" t="s">
        <v>491</v>
      </c>
      <c r="BQ901" s="55" t="n">
        <v>469.5311</v>
      </c>
      <c r="BR901" s="56" t="n">
        <v>21.1069682014891</v>
      </c>
      <c r="BS901" s="56" t="n">
        <v>29.9538627978923</v>
      </c>
      <c r="BT901" s="56" t="n">
        <v>16.5502678886147</v>
      </c>
      <c r="BU901" s="55" t="n">
        <v>13542.1133</v>
      </c>
      <c r="BV901" s="55" t="n">
        <v>608.762560784712</v>
      </c>
      <c r="BW901" s="55" t="n">
        <v>863.922759923066</v>
      </c>
      <c r="BX901" s="55" t="n">
        <v>477</v>
      </c>
      <c r="BY901" s="106" t="n">
        <v>0.2652</v>
      </c>
      <c r="BZ901" s="106" t="n">
        <v>0.45</v>
      </c>
      <c r="CA901" s="106" t="n">
        <v>4.32</v>
      </c>
      <c r="CB901" s="81"/>
      <c r="CC901" s="106" t="n">
        <v>3.67</v>
      </c>
      <c r="CD901" s="106" t="n">
        <v>6.91</v>
      </c>
      <c r="CE901" s="106" t="n">
        <v>96.8</v>
      </c>
      <c r="CF901" s="106" t="n">
        <v>39.3</v>
      </c>
      <c r="CG901" s="106" t="n">
        <v>0.1249</v>
      </c>
      <c r="CH901" s="63" t="n">
        <v>139635.497590689</v>
      </c>
      <c r="CI901" s="63" t="n">
        <v>12428.9719869992</v>
      </c>
      <c r="CJ901" s="64" t="n">
        <v>362236.421321741</v>
      </c>
      <c r="CK901" s="65" t="n">
        <v>3.43117678273431</v>
      </c>
    </row>
    <row r="902" customFormat="false" ht="15" hidden="false" customHeight="false" outlineLevel="0" collapsed="false">
      <c r="A902" s="7" t="s">
        <v>902</v>
      </c>
      <c r="B902" s="66" t="n">
        <v>882</v>
      </c>
      <c r="C902" s="8" t="s">
        <v>988</v>
      </c>
      <c r="D902" s="107" t="n">
        <v>41624</v>
      </c>
      <c r="E902" s="4" t="s">
        <v>904</v>
      </c>
      <c r="F902" s="7" t="n">
        <v>1548</v>
      </c>
      <c r="G902" s="68" t="n">
        <v>2</v>
      </c>
      <c r="H902" s="68" t="n">
        <v>163</v>
      </c>
      <c r="I902" s="7" t="n">
        <v>2</v>
      </c>
      <c r="J902" s="8" t="n">
        <v>617</v>
      </c>
      <c r="K902" s="31" t="n">
        <v>411.483152135534</v>
      </c>
      <c r="L902" s="31" t="n">
        <v>938.311322617132</v>
      </c>
      <c r="M902" s="31" t="n">
        <v>165.273265102867</v>
      </c>
      <c r="N902" s="31" t="n">
        <v>355.818920759301</v>
      </c>
      <c r="O902" s="31" t="n">
        <v>63.1751034509512</v>
      </c>
      <c r="P902" s="31" t="n">
        <v>35.6535431033817</v>
      </c>
      <c r="Q902" s="31"/>
      <c r="R902" s="31" t="n">
        <v>159.859860772141</v>
      </c>
      <c r="S902" s="34" t="s">
        <v>905</v>
      </c>
      <c r="T902" s="35" t="n">
        <v>12.5763524350557</v>
      </c>
      <c r="U902" s="35" t="n">
        <v>8.02074915962365</v>
      </c>
      <c r="V902" s="35" t="n">
        <v>20.5971015946794</v>
      </c>
      <c r="W902" s="35" t="n">
        <v>19.3264936393831</v>
      </c>
      <c r="X902" s="35" t="n">
        <v>3.40415023220814</v>
      </c>
      <c r="Y902" s="35" t="n">
        <v>7.32883846018849</v>
      </c>
      <c r="Z902" s="35" t="n">
        <v>1.30122402403362</v>
      </c>
      <c r="AA902" s="53" t="n">
        <v>0.734359649510634</v>
      </c>
      <c r="AB902" s="101"/>
      <c r="AC902" s="71" t="n">
        <v>3.2926497932351</v>
      </c>
      <c r="AD902" s="38" t="n">
        <v>4.7991246715603</v>
      </c>
      <c r="AE902" s="38" t="n">
        <v>4.21507119903141</v>
      </c>
      <c r="AF902" s="38" t="n">
        <v>0.907034562924896</v>
      </c>
      <c r="AG902" s="38" t="n">
        <v>2.82188530687745</v>
      </c>
      <c r="AH902" s="38" t="n">
        <v>1.29949203888999</v>
      </c>
      <c r="AI902" s="38"/>
      <c r="AJ902" s="102" t="s">
        <v>906</v>
      </c>
      <c r="AK902" s="103" t="n">
        <v>767</v>
      </c>
      <c r="AL902" s="103" t="n">
        <v>782</v>
      </c>
      <c r="AM902" s="103" t="n">
        <v>733</v>
      </c>
      <c r="AN902" s="103" t="n">
        <v>614</v>
      </c>
      <c r="AO902" s="104" t="n">
        <v>18.74</v>
      </c>
      <c r="AP902" s="105" t="n">
        <v>0.936</v>
      </c>
      <c r="AQ902" s="105" t="n">
        <v>0.747</v>
      </c>
      <c r="AR902" s="105" t="n">
        <v>0.821</v>
      </c>
      <c r="AS902" s="77" t="n">
        <v>21.536</v>
      </c>
      <c r="AT902" s="78" t="n">
        <v>21.62</v>
      </c>
      <c r="AU902" s="78" t="n">
        <v>49.95</v>
      </c>
      <c r="AV902" s="78" t="n">
        <v>39.84</v>
      </c>
      <c r="AW902" s="78" t="n">
        <v>43.83</v>
      </c>
      <c r="AX902" s="78" t="n">
        <v>19.2553191489362</v>
      </c>
      <c r="AY902" s="48" t="n">
        <v>1.04966224983737</v>
      </c>
      <c r="AZ902" s="48" t="n">
        <v>19.8820050440739</v>
      </c>
      <c r="BA902" s="48" t="n">
        <v>0.71509655060547</v>
      </c>
      <c r="BB902" s="49" t="n">
        <f aca="false">AT902/V902</f>
        <v>1.04966224983737</v>
      </c>
      <c r="BC902" s="49" t="n">
        <f aca="false">AS902/V902</f>
        <v>1.04558400612847</v>
      </c>
      <c r="BD902" s="49" t="n">
        <f aca="false">SUM(AP902:AR902)/V902</f>
        <v>0.121570502941386</v>
      </c>
      <c r="BE902" s="53" t="n">
        <v>7.29</v>
      </c>
      <c r="BF902" s="51" t="n">
        <v>88.99</v>
      </c>
      <c r="BG902" s="51" t="n">
        <v>636.251264186987</v>
      </c>
      <c r="BH902" s="51" t="n">
        <v>197.6626587257</v>
      </c>
      <c r="BI902" s="51" t="n">
        <v>125.519721317002</v>
      </c>
      <c r="BJ902" s="51" t="n">
        <v>12.698055961344</v>
      </c>
      <c r="BK902" s="51" t="n">
        <v>16.7434543207102</v>
      </c>
      <c r="BL902" s="51" t="n">
        <v>4.04539835936622</v>
      </c>
      <c r="BM902" s="51" t="n">
        <v>7.19181930553995</v>
      </c>
      <c r="BN902" s="52" t="n">
        <f aca="false">(BG902*0.5-BH902*0.25+BI902*0.5)/SUM(BG902:BI902)*1000</f>
        <v>345.484891075193</v>
      </c>
      <c r="BO902" s="93" t="n">
        <v>1.85612244897959</v>
      </c>
      <c r="BP902" s="94" t="s">
        <v>491</v>
      </c>
      <c r="BQ902" s="55" t="n">
        <v>409.6312</v>
      </c>
      <c r="BR902" s="56" t="n">
        <v>19.8878079091388</v>
      </c>
      <c r="BS902" s="56" t="n">
        <v>27.1039886340883</v>
      </c>
      <c r="BT902" s="56" t="n">
        <v>18.9468640148011</v>
      </c>
      <c r="BU902" s="55" t="n">
        <v>11326.8536</v>
      </c>
      <c r="BV902" s="55" t="n">
        <v>549.924636140356</v>
      </c>
      <c r="BW902" s="55" t="n">
        <v>749.461738349966</v>
      </c>
      <c r="BX902" s="55" t="n">
        <v>524</v>
      </c>
      <c r="BY902" s="106" t="n">
        <v>0.153</v>
      </c>
      <c r="BZ902" s="106" t="n">
        <v>1.06</v>
      </c>
      <c r="CA902" s="106" t="n">
        <v>4.18</v>
      </c>
      <c r="CB902" s="81"/>
      <c r="CC902" s="106" t="n">
        <v>3.36</v>
      </c>
      <c r="CD902" s="106" t="n">
        <v>5.62</v>
      </c>
      <c r="CE902" s="106" t="n">
        <v>96.8</v>
      </c>
      <c r="CF902" s="106" t="n">
        <v>40.5</v>
      </c>
      <c r="CG902" s="106" t="n">
        <v>0.0944</v>
      </c>
      <c r="CH902" s="63" t="n">
        <v>87391.541202399</v>
      </c>
      <c r="CI902" s="63" t="n">
        <v>11798.2228563414</v>
      </c>
      <c r="CJ902" s="64" t="n">
        <v>556481.071499719</v>
      </c>
      <c r="CK902" s="65" t="n">
        <v>2.12014809857686</v>
      </c>
    </row>
    <row r="903" customFormat="false" ht="15" hidden="false" customHeight="false" outlineLevel="0" collapsed="false">
      <c r="A903" s="7" t="s">
        <v>902</v>
      </c>
      <c r="B903" s="66" t="n">
        <v>883</v>
      </c>
      <c r="C903" s="8" t="s">
        <v>989</v>
      </c>
      <c r="D903" s="107" t="n">
        <v>41624</v>
      </c>
      <c r="E903" s="4" t="s">
        <v>904</v>
      </c>
      <c r="F903" s="7" t="n">
        <v>1555</v>
      </c>
      <c r="G903" s="68" t="n">
        <v>2</v>
      </c>
      <c r="H903" s="68" t="n">
        <v>179</v>
      </c>
      <c r="I903" s="7" t="n">
        <v>2</v>
      </c>
      <c r="J903" s="8" t="n">
        <v>667</v>
      </c>
      <c r="K903" s="31" t="n">
        <v>417.475933438502</v>
      </c>
      <c r="L903" s="31" t="n">
        <v>938.290216718851</v>
      </c>
      <c r="M903" s="31" t="n">
        <v>165.754329988757</v>
      </c>
      <c r="N903" s="31" t="n">
        <v>353.738632211838</v>
      </c>
      <c r="O903" s="31" t="n">
        <v>63.1348242294284</v>
      </c>
      <c r="P903" s="31" t="n">
        <v>35.9724450025459</v>
      </c>
      <c r="Q903" s="31"/>
      <c r="R903" s="31" t="n">
        <v>161.787174879582</v>
      </c>
      <c r="S903" s="34" t="s">
        <v>905</v>
      </c>
      <c r="T903" s="35" t="n">
        <v>13.7406851258813</v>
      </c>
      <c r="U903" s="35" t="n">
        <v>9.06199984747473</v>
      </c>
      <c r="V903" s="35" t="n">
        <v>22.802684973356</v>
      </c>
      <c r="W903" s="35" t="n">
        <v>21.3955362254219</v>
      </c>
      <c r="X903" s="35" t="n">
        <v>3.77964376970333</v>
      </c>
      <c r="Y903" s="35" t="n">
        <v>8.06619059323239</v>
      </c>
      <c r="Z903" s="35" t="n">
        <v>1.43964350775186</v>
      </c>
      <c r="AA903" s="53" t="n">
        <v>0.820268331114429</v>
      </c>
      <c r="AB903" s="101"/>
      <c r="AC903" s="71" t="n">
        <v>3.68918198150836</v>
      </c>
      <c r="AD903" s="38" t="n">
        <v>5.8602900381525</v>
      </c>
      <c r="AE903" s="38" t="n">
        <v>5.14855781301888</v>
      </c>
      <c r="AF903" s="38" t="n">
        <v>1.20721974785941</v>
      </c>
      <c r="AG903" s="38" t="n">
        <v>3.04149052980115</v>
      </c>
      <c r="AH903" s="38" t="n">
        <v>1.44137916938459</v>
      </c>
      <c r="AI903" s="38"/>
      <c r="AJ903" s="102" t="s">
        <v>906</v>
      </c>
      <c r="AK903" s="103" t="n">
        <v>743</v>
      </c>
      <c r="AL903" s="103" t="n">
        <v>760</v>
      </c>
      <c r="AM903" s="103" t="n">
        <v>681</v>
      </c>
      <c r="AN903" s="103" t="n">
        <v>623</v>
      </c>
      <c r="AO903" s="104" t="n">
        <v>23.28</v>
      </c>
      <c r="AP903" s="105" t="n">
        <v>1.074</v>
      </c>
      <c r="AQ903" s="105" t="n">
        <v>0.858</v>
      </c>
      <c r="AR903" s="105" t="n">
        <v>1.083</v>
      </c>
      <c r="AS903" s="77" t="n">
        <v>25.422</v>
      </c>
      <c r="AT903" s="78" t="n">
        <v>25.56</v>
      </c>
      <c r="AU903" s="78" t="n">
        <v>46.12</v>
      </c>
      <c r="AV903" s="78" t="n">
        <v>36.83</v>
      </c>
      <c r="AW903" s="78" t="n">
        <v>46.54</v>
      </c>
      <c r="AX903" s="78" t="n">
        <v>23.4893617021277</v>
      </c>
      <c r="AY903" s="48" t="n">
        <v>1.12092062973574</v>
      </c>
      <c r="AZ903" s="48" t="n">
        <v>22.0810560722517</v>
      </c>
      <c r="BA903" s="48" t="n">
        <v>0.721628901104325</v>
      </c>
      <c r="BB903" s="49" t="n">
        <f aca="false">AT903/V903</f>
        <v>1.12092062973574</v>
      </c>
      <c r="BC903" s="49" t="n">
        <f aca="false">AS903/V903</f>
        <v>1.1148687108428</v>
      </c>
      <c r="BD903" s="49" t="n">
        <f aca="false">SUM(AP903:AR903)/V903</f>
        <v>0.132221271465308</v>
      </c>
      <c r="BE903" s="53" t="n">
        <v>7.23</v>
      </c>
      <c r="BF903" s="51" t="n">
        <v>81.61</v>
      </c>
      <c r="BG903" s="51" t="n">
        <v>646.61193481191</v>
      </c>
      <c r="BH903" s="51" t="n">
        <v>188.089694890332</v>
      </c>
      <c r="BI903" s="51" t="n">
        <v>129.028305354736</v>
      </c>
      <c r="BJ903" s="51" t="n">
        <v>12.2534003185884</v>
      </c>
      <c r="BK903" s="51" t="n">
        <v>14.5815463791202</v>
      </c>
      <c r="BL903" s="51" t="n">
        <v>4.90136012743536</v>
      </c>
      <c r="BM903" s="51" t="n">
        <v>4.6562921210636</v>
      </c>
      <c r="BN903" s="52" t="n">
        <f aca="false">(BG903*0.5-BH903*0.25+BI903*0.5)/SUM(BG903:BI903)*1000</f>
        <v>353.623649078195</v>
      </c>
      <c r="BO903" s="93" t="n">
        <v>3.4780612244898</v>
      </c>
      <c r="BP903" s="94" t="s">
        <v>491</v>
      </c>
      <c r="BQ903" s="55" t="n">
        <v>546.6085</v>
      </c>
      <c r="BR903" s="56" t="n">
        <v>23.9712341173282</v>
      </c>
      <c r="BS903" s="56" t="n">
        <v>33.6155029230698</v>
      </c>
      <c r="BT903" s="56" t="n">
        <v>21.3853090766823</v>
      </c>
      <c r="BU903" s="55" t="n">
        <v>13407.685125</v>
      </c>
      <c r="BV903" s="55" t="n">
        <v>587.987122598339</v>
      </c>
      <c r="BW903" s="55" t="n">
        <v>824.550072878553</v>
      </c>
      <c r="BX903" s="55" t="n">
        <v>524</v>
      </c>
      <c r="BY903" s="106" t="n">
        <v>0.153</v>
      </c>
      <c r="BZ903" s="106" t="n">
        <v>1.31</v>
      </c>
      <c r="CA903" s="106" t="n">
        <v>4.53</v>
      </c>
      <c r="CB903" s="81"/>
      <c r="CC903" s="106" t="n">
        <v>4.67</v>
      </c>
      <c r="CD903" s="106" t="n">
        <v>3.85</v>
      </c>
      <c r="CE903" s="106" t="n">
        <v>85.5</v>
      </c>
      <c r="CF903" s="106" t="n">
        <v>37.8</v>
      </c>
      <c r="CG903" s="106" t="n">
        <v>0.3565</v>
      </c>
      <c r="CH903" s="63" t="n">
        <v>114836.944568069</v>
      </c>
      <c r="CI903" s="63" t="n">
        <v>13161.6267105885</v>
      </c>
      <c r="CJ903" s="63" t="n">
        <v>424876.623842289</v>
      </c>
      <c r="CK903" s="85" t="n">
        <v>3.09775261146728</v>
      </c>
    </row>
    <row r="904" customFormat="false" ht="15" hidden="false" customHeight="false" outlineLevel="0" collapsed="false">
      <c r="A904" s="7" t="s">
        <v>902</v>
      </c>
      <c r="B904" s="66" t="n">
        <v>884</v>
      </c>
      <c r="C904" s="8" t="s">
        <v>990</v>
      </c>
      <c r="D904" s="107" t="n">
        <v>41621</v>
      </c>
      <c r="E904" s="4" t="s">
        <v>904</v>
      </c>
      <c r="F904" s="7" t="n">
        <v>1557</v>
      </c>
      <c r="G904" s="68" t="n">
        <v>2</v>
      </c>
      <c r="H904" s="68" t="n">
        <v>158</v>
      </c>
      <c r="I904" s="7" t="n">
        <v>2</v>
      </c>
      <c r="J904" s="8" t="n">
        <v>588</v>
      </c>
      <c r="K904" s="31" t="n">
        <v>408.310852367129</v>
      </c>
      <c r="L904" s="31" t="n">
        <v>938.322495098297</v>
      </c>
      <c r="M904" s="31" t="n">
        <v>165.018611720916</v>
      </c>
      <c r="N904" s="31" t="n">
        <v>356.920128786709</v>
      </c>
      <c r="O904" s="31" t="n">
        <v>63.1964253979152</v>
      </c>
      <c r="P904" s="31" t="n">
        <v>35.4847312663202</v>
      </c>
      <c r="Q904" s="31"/>
      <c r="R904" s="31" t="n">
        <v>158.839630300249</v>
      </c>
      <c r="S904" s="34" t="s">
        <v>905</v>
      </c>
      <c r="T904" s="35" t="n">
        <v>14.1227317900585</v>
      </c>
      <c r="U904" s="35" t="n">
        <v>8.84770390130087</v>
      </c>
      <c r="V904" s="35" t="n">
        <v>22.9704356913593</v>
      </c>
      <c r="W904" s="35" t="n">
        <v>21.5536765314112</v>
      </c>
      <c r="X904" s="35" t="n">
        <v>3.79054940841269</v>
      </c>
      <c r="Y904" s="35" t="n">
        <v>8.1986108652468</v>
      </c>
      <c r="Z904" s="35" t="n">
        <v>1.4516494255266</v>
      </c>
      <c r="AA904" s="53" t="n">
        <v>0.815099737578175</v>
      </c>
      <c r="AB904" s="101"/>
      <c r="AC904" s="71" t="n">
        <v>3.64861551305115</v>
      </c>
      <c r="AD904" s="38" t="n">
        <v>5.85746110129663</v>
      </c>
      <c r="AE904" s="38" t="n">
        <v>5.18209583631713</v>
      </c>
      <c r="AF904" s="38" t="n">
        <v>1.16563475915803</v>
      </c>
      <c r="AG904" s="38" t="n">
        <v>2.99316262276258</v>
      </c>
      <c r="AH904" s="38" t="n">
        <v>1.44962475187922</v>
      </c>
      <c r="AI904" s="38"/>
      <c r="AJ904" s="102" t="s">
        <v>906</v>
      </c>
      <c r="AK904" s="103" t="n">
        <v>745</v>
      </c>
      <c r="AL904" s="103" t="n">
        <v>759</v>
      </c>
      <c r="AM904" s="103" t="n">
        <v>692</v>
      </c>
      <c r="AN904" s="103" t="n">
        <v>634</v>
      </c>
      <c r="AO904" s="104" t="n">
        <v>29.37</v>
      </c>
      <c r="AP904" s="105" t="n">
        <v>1.268</v>
      </c>
      <c r="AQ904" s="105" t="n">
        <v>1.103</v>
      </c>
      <c r="AR904" s="105" t="n">
        <v>1.417</v>
      </c>
      <c r="AS904" s="77" t="n">
        <v>30.768</v>
      </c>
      <c r="AT904" s="78" t="n">
        <v>31.62</v>
      </c>
      <c r="AU904" s="78" t="n">
        <v>43.16</v>
      </c>
      <c r="AV904" s="78" t="n">
        <v>37.56</v>
      </c>
      <c r="AW904" s="78" t="n">
        <v>48.23</v>
      </c>
      <c r="AX904" s="78" t="n">
        <v>19.7659574468085</v>
      </c>
      <c r="AY904" s="48" t="n">
        <v>1.37655203518383</v>
      </c>
      <c r="AZ904" s="48" t="n">
        <v>22.8552091143981</v>
      </c>
      <c r="BA904" s="48" t="n">
        <v>0.115226576961227</v>
      </c>
      <c r="BB904" s="49" t="n">
        <f aca="false">AT904/V904</f>
        <v>1.37655203518383</v>
      </c>
      <c r="BC904" s="49" t="n">
        <f aca="false">AS904/V904</f>
        <v>1.3394608797766</v>
      </c>
      <c r="BD904" s="49" t="n">
        <f aca="false">SUM(AP904:AR904)/V904</f>
        <v>0.164907625214306</v>
      </c>
      <c r="BE904" s="53" t="n">
        <v>7.13</v>
      </c>
      <c r="BF904" s="51" t="n">
        <v>46.26</v>
      </c>
      <c r="BG904" s="51" t="n">
        <v>675.745784695201</v>
      </c>
      <c r="BH904" s="51" t="n">
        <v>145.91439688716</v>
      </c>
      <c r="BI904" s="51" t="n">
        <v>132.511889321228</v>
      </c>
      <c r="BJ904" s="51" t="n">
        <v>17.9420665801989</v>
      </c>
      <c r="BK904" s="51" t="n">
        <v>14.9156939040208</v>
      </c>
      <c r="BL904" s="51" t="n">
        <v>7.13359273670558</v>
      </c>
      <c r="BM904" s="51" t="n">
        <v>5.62040639861652</v>
      </c>
      <c r="BN904" s="52" t="n">
        <f aca="false">(BG904*0.5-BH904*0.25+BI904*0.5)/SUM(BG904:BI904)*1000</f>
        <v>385.308110557318</v>
      </c>
      <c r="BO904" s="93" t="n">
        <v>4.88316326530612</v>
      </c>
      <c r="BP904" s="94" t="s">
        <v>491</v>
      </c>
      <c r="BQ904" s="55" t="n">
        <v>435.35</v>
      </c>
      <c r="BR904" s="56" t="n">
        <v>18.9526226602556</v>
      </c>
      <c r="BS904" s="56" t="n">
        <v>26.6118711523849</v>
      </c>
      <c r="BT904" s="56" t="n">
        <v>13.7681846932321</v>
      </c>
      <c r="BU904" s="55" t="n">
        <v>11250.3845</v>
      </c>
      <c r="BV904" s="55" t="n">
        <v>489.776713474878</v>
      </c>
      <c r="BW904" s="55" t="n">
        <v>687.708241021679</v>
      </c>
      <c r="BX904" s="55" t="n">
        <v>356</v>
      </c>
      <c r="BY904" s="106" t="n">
        <v>0.3468</v>
      </c>
      <c r="BZ904" s="106" t="n">
        <v>0.87</v>
      </c>
      <c r="CA904" s="106" t="n">
        <v>4.59</v>
      </c>
      <c r="CB904" s="81"/>
      <c r="CC904" s="106" t="n">
        <v>4.93</v>
      </c>
      <c r="CD904" s="106" t="n">
        <v>7.72</v>
      </c>
      <c r="CE904" s="106" t="n">
        <v>82.4</v>
      </c>
      <c r="CF904" s="106" t="n">
        <v>40.9</v>
      </c>
      <c r="CG904" s="106" t="n">
        <v>0.1288</v>
      </c>
      <c r="CH904" s="63" t="n">
        <v>154673.928650275</v>
      </c>
      <c r="CI904" s="63" t="n">
        <v>8999.14932588769</v>
      </c>
      <c r="CJ904" s="64" t="n">
        <v>363763.438211598</v>
      </c>
      <c r="CK904" s="65" t="n">
        <v>2.47390154715136</v>
      </c>
    </row>
    <row r="905" customFormat="false" ht="15" hidden="false" customHeight="false" outlineLevel="0" collapsed="false">
      <c r="A905" s="7" t="s">
        <v>902</v>
      </c>
      <c r="B905" s="66" t="n">
        <v>885</v>
      </c>
      <c r="C905" s="8" t="s">
        <v>991</v>
      </c>
      <c r="D905" s="107" t="n">
        <v>41621</v>
      </c>
      <c r="E905" s="4" t="s">
        <v>904</v>
      </c>
      <c r="F905" s="7" t="n">
        <v>1602</v>
      </c>
      <c r="G905" s="68" t="n">
        <v>2</v>
      </c>
      <c r="H905" s="68" t="n">
        <v>140</v>
      </c>
      <c r="I905" s="7" t="n">
        <v>1</v>
      </c>
      <c r="J905" s="8" t="n">
        <v>609</v>
      </c>
      <c r="K905" s="31" t="n">
        <v>422.930655690005</v>
      </c>
      <c r="L905" s="31" t="n">
        <v>938.271005803723</v>
      </c>
      <c r="M905" s="31" t="n">
        <v>166.192202690065</v>
      </c>
      <c r="N905" s="31" t="n">
        <v>351.845121393451</v>
      </c>
      <c r="O905" s="31" t="n">
        <v>63.0981614588706</v>
      </c>
      <c r="P905" s="31" t="n">
        <v>36.2627144446421</v>
      </c>
      <c r="Q905" s="31"/>
      <c r="R905" s="31" t="n">
        <v>163.541445996114</v>
      </c>
      <c r="S905" s="34" t="s">
        <v>905</v>
      </c>
      <c r="T905" s="35" t="n">
        <v>12.6023420040474</v>
      </c>
      <c r="U905" s="35" t="n">
        <v>8.56700134015604</v>
      </c>
      <c r="V905" s="35" t="n">
        <v>21.1693433442034</v>
      </c>
      <c r="W905" s="35" t="n">
        <v>19.8625810717701</v>
      </c>
      <c r="X905" s="35" t="n">
        <v>3.51817979987544</v>
      </c>
      <c r="Y905" s="35" t="n">
        <v>7.44833017876089</v>
      </c>
      <c r="Z905" s="35" t="n">
        <v>1.33574664431082</v>
      </c>
      <c r="AA905" s="53" t="n">
        <v>0.767657852671433</v>
      </c>
      <c r="AB905" s="101"/>
      <c r="AC905" s="71" t="n">
        <v>3.46206502129923</v>
      </c>
      <c r="AD905" s="38" t="n">
        <v>5.92741613637696</v>
      </c>
      <c r="AE905" s="38" t="n">
        <v>5.22590643663674</v>
      </c>
      <c r="AF905" s="38" t="n">
        <v>1.31588638227568</v>
      </c>
      <c r="AG905" s="38" t="n">
        <v>2.56657118705122</v>
      </c>
      <c r="AH905" s="38" t="n">
        <v>1.33445644949092</v>
      </c>
      <c r="AI905" s="38"/>
      <c r="AJ905" s="102" t="s">
        <v>906</v>
      </c>
      <c r="AK905" s="103" t="n">
        <v>720</v>
      </c>
      <c r="AL905" s="103" t="n">
        <v>737</v>
      </c>
      <c r="AM905" s="103" t="n">
        <v>626</v>
      </c>
      <c r="AN905" s="103" t="n">
        <v>655</v>
      </c>
      <c r="AO905" s="104" t="n">
        <v>26.68</v>
      </c>
      <c r="AP905" s="105" t="n">
        <v>1.056</v>
      </c>
      <c r="AQ905" s="105" t="n">
        <v>1.031</v>
      </c>
      <c r="AR905" s="105" t="n">
        <v>1.26</v>
      </c>
      <c r="AS905" s="77" t="n">
        <v>26.512</v>
      </c>
      <c r="AT905" s="78" t="n">
        <v>27.64</v>
      </c>
      <c r="AU905" s="78" t="n">
        <v>39.57</v>
      </c>
      <c r="AV905" s="78" t="n">
        <v>38.66</v>
      </c>
      <c r="AW905" s="78" t="n">
        <v>47.22</v>
      </c>
      <c r="AX905" s="78" t="n">
        <v>17.3404255319149</v>
      </c>
      <c r="AY905" s="48" t="n">
        <v>1.30566166132727</v>
      </c>
      <c r="AZ905" s="48" t="n">
        <v>21.4985395362105</v>
      </c>
      <c r="BA905" s="48" t="n">
        <v>-0.329196192007075</v>
      </c>
      <c r="BB905" s="49" t="n">
        <f aca="false">AT905/V905</f>
        <v>1.30566166132727</v>
      </c>
      <c r="BC905" s="49" t="n">
        <f aca="false">AS905/V905</f>
        <v>1.2523770609663</v>
      </c>
      <c r="BD905" s="49" t="n">
        <f aca="false">SUM(AP905:AR905)/V905</f>
        <v>0.158105990610071</v>
      </c>
      <c r="BE905" s="53" t="n">
        <v>7.02</v>
      </c>
      <c r="BF905" s="51" t="n">
        <v>94.38</v>
      </c>
      <c r="BG905" s="51" t="n">
        <v>636.681500317864</v>
      </c>
      <c r="BH905" s="51" t="n">
        <v>184.890866709049</v>
      </c>
      <c r="BI905" s="51" t="n">
        <v>139.012502648866</v>
      </c>
      <c r="BJ905" s="51" t="n">
        <v>11.8669209578301</v>
      </c>
      <c r="BK905" s="51" t="n">
        <v>16.4229709684255</v>
      </c>
      <c r="BL905" s="51" t="n">
        <v>4.45009535918627</v>
      </c>
      <c r="BM905" s="51" t="n">
        <v>6.56918838737021</v>
      </c>
      <c r="BN905" s="52" t="n">
        <f aca="false">(BG905*0.5-BH905*0.25+BI905*0.5)/SUM(BG905:BI905)*1000</f>
        <v>355.641958967571</v>
      </c>
      <c r="BO905" s="93" t="n">
        <v>2.39387755102041</v>
      </c>
      <c r="BP905" s="94" t="s">
        <v>491</v>
      </c>
      <c r="BQ905" s="55" t="n">
        <v>422.6905</v>
      </c>
      <c r="BR905" s="56" t="n">
        <v>19.9671049369484</v>
      </c>
      <c r="BS905" s="56" t="n">
        <v>28.8748220496529</v>
      </c>
      <c r="BT905" s="56" t="n">
        <v>15.2927098408104</v>
      </c>
      <c r="BU905" s="55" t="n">
        <v>12302.572</v>
      </c>
      <c r="BV905" s="55" t="n">
        <v>581.150383361735</v>
      </c>
      <c r="BW905" s="55" t="n">
        <v>840.412967059924</v>
      </c>
      <c r="BX905" s="55" t="n">
        <v>445</v>
      </c>
      <c r="BY905" s="106" t="n">
        <v>0.1122</v>
      </c>
      <c r="BZ905" s="106" t="n">
        <v>1.14</v>
      </c>
      <c r="CA905" s="106" t="n">
        <v>3.99</v>
      </c>
      <c r="CB905" s="81"/>
      <c r="CC905" s="106" t="n">
        <v>3.97</v>
      </c>
      <c r="CD905" s="106" t="n">
        <v>5.42</v>
      </c>
      <c r="CE905" s="106" t="n">
        <v>99.9</v>
      </c>
      <c r="CF905" s="106" t="n">
        <v>35.7</v>
      </c>
      <c r="CG905" s="106" t="n">
        <v>0.1284</v>
      </c>
      <c r="CH905" s="63" t="n">
        <v>92286.6946640804</v>
      </c>
      <c r="CI905" s="63" t="n">
        <v>11041.586137563</v>
      </c>
      <c r="CJ905" s="64" t="n">
        <v>389849.08337572</v>
      </c>
      <c r="CK905" s="65" t="n">
        <v>2.83227192480573</v>
      </c>
    </row>
    <row r="906" customFormat="false" ht="15" hidden="false" customHeight="false" outlineLevel="0" collapsed="false">
      <c r="A906" s="7" t="s">
        <v>902</v>
      </c>
      <c r="B906" s="66" t="n">
        <v>886</v>
      </c>
      <c r="C906" s="8" t="s">
        <v>992</v>
      </c>
      <c r="D906" s="107" t="n">
        <v>41621</v>
      </c>
      <c r="E906" s="4" t="s">
        <v>904</v>
      </c>
      <c r="F906" s="7" t="n">
        <v>1603</v>
      </c>
      <c r="G906" s="68" t="n">
        <v>2</v>
      </c>
      <c r="H906" s="68" t="n">
        <v>164</v>
      </c>
      <c r="I906" s="7" t="n">
        <v>1</v>
      </c>
      <c r="J906" s="8" t="n">
        <v>594</v>
      </c>
      <c r="K906" s="31" t="n">
        <v>419.434363073493</v>
      </c>
      <c r="L906" s="31" t="n">
        <v>938.283319351072</v>
      </c>
      <c r="M906" s="31" t="n">
        <v>165.911541086785</v>
      </c>
      <c r="N906" s="31" t="n">
        <v>353.058797835324</v>
      </c>
      <c r="O906" s="31" t="n">
        <v>63.1216610557505</v>
      </c>
      <c r="P906" s="31" t="n">
        <v>36.0766615421464</v>
      </c>
      <c r="Q906" s="31"/>
      <c r="R906" s="31" t="n">
        <v>162.417017497412</v>
      </c>
      <c r="S906" s="34" t="s">
        <v>905</v>
      </c>
      <c r="T906" s="35" t="n">
        <v>12.9791907544262</v>
      </c>
      <c r="U906" s="35" t="n">
        <v>8.6536229578757</v>
      </c>
      <c r="V906" s="35" t="n">
        <v>21.6328137123019</v>
      </c>
      <c r="W906" s="35" t="n">
        <v>20.297708256882</v>
      </c>
      <c r="X906" s="35" t="n">
        <v>3.58913346105134</v>
      </c>
      <c r="Y906" s="35" t="n">
        <v>7.63765520306082</v>
      </c>
      <c r="Z906" s="35" t="n">
        <v>1.36549913483011</v>
      </c>
      <c r="AA906" s="53" t="n">
        <v>0.780439698503019</v>
      </c>
      <c r="AB906" s="101"/>
      <c r="AC906" s="71" t="n">
        <v>3.5135370832292</v>
      </c>
      <c r="AD906" s="38" t="n">
        <v>5.47310186921238</v>
      </c>
      <c r="AE906" s="38" t="n">
        <v>4.86887142285133</v>
      </c>
      <c r="AF906" s="38" t="n">
        <v>1.07272796636563</v>
      </c>
      <c r="AG906" s="38" t="n">
        <v>2.84053987012122</v>
      </c>
      <c r="AH906" s="38" t="n">
        <v>1.36585001295184</v>
      </c>
      <c r="AI906" s="38"/>
      <c r="AJ906" s="102" t="s">
        <v>906</v>
      </c>
      <c r="AK906" s="103" t="n">
        <v>747</v>
      </c>
      <c r="AL906" s="103" t="n">
        <v>760</v>
      </c>
      <c r="AM906" s="103" t="n">
        <v>701</v>
      </c>
      <c r="AN906" s="103" t="n">
        <v>628</v>
      </c>
      <c r="AO906" s="104" t="n">
        <v>28.13</v>
      </c>
      <c r="AP906" s="105" t="n">
        <v>1.12</v>
      </c>
      <c r="AQ906" s="105" t="n">
        <v>1.044</v>
      </c>
      <c r="AR906" s="105" t="n">
        <v>1.365</v>
      </c>
      <c r="AS906" s="77" t="n">
        <v>28.052</v>
      </c>
      <c r="AT906" s="78" t="n">
        <v>29.08</v>
      </c>
      <c r="AU906" s="78" t="n">
        <v>39.8</v>
      </c>
      <c r="AV906" s="78" t="n">
        <v>37.11</v>
      </c>
      <c r="AW906" s="78" t="n">
        <v>48.53</v>
      </c>
      <c r="AX906" s="78" t="n">
        <v>25.6595744680851</v>
      </c>
      <c r="AY906" s="48" t="n">
        <v>1.34425416807723</v>
      </c>
      <c r="AZ906" s="48" t="n">
        <v>21.9609109656795</v>
      </c>
      <c r="BA906" s="48" t="n">
        <v>-0.328097253377592</v>
      </c>
      <c r="BB906" s="49" t="n">
        <f aca="false">AT906/V906</f>
        <v>1.34425416807723</v>
      </c>
      <c r="BC906" s="49" t="n">
        <f aca="false">AS906/V906</f>
        <v>1.29673376626212</v>
      </c>
      <c r="BD906" s="49" t="n">
        <f aca="false">SUM(AP906:AR906)/V906</f>
        <v>0.163131807398368</v>
      </c>
      <c r="BE906" s="53" t="n">
        <v>7.45</v>
      </c>
      <c r="BF906" s="51" t="n">
        <v>64.11</v>
      </c>
      <c r="BG906" s="51" t="n">
        <v>626.111371080955</v>
      </c>
      <c r="BH906" s="51" t="n">
        <v>167.992512868507</v>
      </c>
      <c r="BI906" s="51" t="n">
        <v>155.825924192794</v>
      </c>
      <c r="BJ906" s="51" t="n">
        <v>17.1580096708782</v>
      </c>
      <c r="BK906" s="51" t="n">
        <v>19.4977382623616</v>
      </c>
      <c r="BL906" s="51" t="n">
        <v>7.33114958664795</v>
      </c>
      <c r="BM906" s="51" t="n">
        <v>6.08329433785681</v>
      </c>
      <c r="BN906" s="52" t="n">
        <f aca="false">(BG906*0.5-BH906*0.25+BI906*0.5)/SUM(BG906:BI906)*1000</f>
        <v>367.364532019704</v>
      </c>
      <c r="BO906" s="93" t="n">
        <v>6.18418367346939</v>
      </c>
      <c r="BP906" s="94" t="s">
        <v>491</v>
      </c>
      <c r="BQ906" s="55" t="n">
        <v>432.658</v>
      </c>
      <c r="BR906" s="56" t="n">
        <v>20.0000797748266</v>
      </c>
      <c r="BS906" s="56" t="n">
        <v>28.0468531176294</v>
      </c>
      <c r="BT906" s="56" t="n">
        <v>14.8781980742779</v>
      </c>
      <c r="BU906" s="55" t="n">
        <v>12404.7235</v>
      </c>
      <c r="BV906" s="55" t="n">
        <v>573.421639226978</v>
      </c>
      <c r="BW906" s="55" t="n">
        <v>804.130417025239</v>
      </c>
      <c r="BX906" s="55" t="n">
        <v>427</v>
      </c>
      <c r="BY906" s="106" t="n">
        <v>0.255</v>
      </c>
      <c r="BZ906" s="106" t="n">
        <v>0.69</v>
      </c>
      <c r="CA906" s="106" t="n">
        <v>4.28</v>
      </c>
      <c r="CB906" s="81"/>
      <c r="CC906" s="106" t="n">
        <v>4.6</v>
      </c>
      <c r="CD906" s="106" t="n">
        <v>4.32</v>
      </c>
      <c r="CE906" s="106" t="n">
        <v>98.9</v>
      </c>
      <c r="CF906" s="106" t="n">
        <v>36.4</v>
      </c>
      <c r="CG906" s="106" t="n">
        <v>0.1645</v>
      </c>
      <c r="CH906" s="63" t="n">
        <v>85920.231981603</v>
      </c>
      <c r="CI906" s="63" t="n">
        <v>5139.14896255167</v>
      </c>
      <c r="CJ906" s="64" t="n">
        <v>609483.46204059</v>
      </c>
      <c r="CK906" s="65" t="n">
        <v>0.843197442198918</v>
      </c>
    </row>
    <row r="907" customFormat="false" ht="15" hidden="false" customHeight="false" outlineLevel="0" collapsed="false">
      <c r="A907" s="7" t="s">
        <v>902</v>
      </c>
      <c r="B907" s="66" t="n">
        <v>887</v>
      </c>
      <c r="C907" s="8" t="s">
        <v>993</v>
      </c>
      <c r="D907" s="107" t="n">
        <v>41624</v>
      </c>
      <c r="E907" s="4" t="s">
        <v>904</v>
      </c>
      <c r="F907" s="7" t="n">
        <v>1609</v>
      </c>
      <c r="G907" s="68" t="n">
        <v>2</v>
      </c>
      <c r="H907" s="68" t="n">
        <v>178</v>
      </c>
      <c r="I907" s="7" t="n">
        <v>1</v>
      </c>
      <c r="J907" s="8" t="n">
        <v>565</v>
      </c>
      <c r="K907" s="31" t="n">
        <v>413.116359476512</v>
      </c>
      <c r="L907" s="31" t="n">
        <v>938.305570645507</v>
      </c>
      <c r="M907" s="31" t="n">
        <v>165.404369286952</v>
      </c>
      <c r="N907" s="31" t="n">
        <v>355.251981577758</v>
      </c>
      <c r="O907" s="31" t="n">
        <v>63.1641261906519</v>
      </c>
      <c r="P907" s="31" t="n">
        <v>35.7404531533962</v>
      </c>
      <c r="Q907" s="31"/>
      <c r="R907" s="31" t="n">
        <v>160.385109966048</v>
      </c>
      <c r="S907" s="34" t="s">
        <v>905</v>
      </c>
      <c r="T907" s="35" t="n">
        <v>12.9791907544262</v>
      </c>
      <c r="U907" s="35" t="n">
        <v>8.3538179578757</v>
      </c>
      <c r="V907" s="35" t="n">
        <v>21.3330087123019</v>
      </c>
      <c r="W907" s="35" t="n">
        <v>20.016880913382</v>
      </c>
      <c r="X907" s="35" t="n">
        <v>3.52857285105134</v>
      </c>
      <c r="Y907" s="35" t="n">
        <v>7.57859361806082</v>
      </c>
      <c r="Z907" s="35" t="n">
        <v>1.34748085433011</v>
      </c>
      <c r="AA907" s="53" t="n">
        <v>0.762451398503018</v>
      </c>
      <c r="AB907" s="101"/>
      <c r="AC907" s="71" t="n">
        <v>3.4214969482292</v>
      </c>
      <c r="AD907" s="38" t="n">
        <v>5.33325217807547</v>
      </c>
      <c r="AE907" s="38" t="n">
        <v>4.67859547321671</v>
      </c>
      <c r="AF907" s="38" t="n">
        <v>1.17864873135468</v>
      </c>
      <c r="AG907" s="38" t="n">
        <v>2.72529186299657</v>
      </c>
      <c r="AH907" s="38" t="n">
        <v>1.34729427710199</v>
      </c>
      <c r="AI907" s="38"/>
      <c r="AJ907" s="102" t="s">
        <v>906</v>
      </c>
      <c r="AK907" s="103" t="n">
        <v>750</v>
      </c>
      <c r="AL907" s="103" t="n">
        <v>766</v>
      </c>
      <c r="AM907" s="103" t="n">
        <v>666</v>
      </c>
      <c r="AN907" s="103" t="n">
        <v>640</v>
      </c>
      <c r="AO907" s="104" t="n">
        <v>23.93</v>
      </c>
      <c r="AP907" s="105" t="n">
        <v>1.255</v>
      </c>
      <c r="AQ907" s="105" t="n">
        <v>0.977</v>
      </c>
      <c r="AR907" s="105" t="n">
        <v>1.122</v>
      </c>
      <c r="AS907" s="77" t="n">
        <v>28.397</v>
      </c>
      <c r="AT907" s="78" t="n">
        <v>28.9</v>
      </c>
      <c r="AU907" s="78" t="n">
        <v>52.44</v>
      </c>
      <c r="AV907" s="78" t="n">
        <v>40.81</v>
      </c>
      <c r="AW907" s="78" t="n">
        <v>46.88</v>
      </c>
      <c r="AX907" s="78" t="n">
        <v>23.063829787234</v>
      </c>
      <c r="AY907" s="48" t="n">
        <v>1.35470811406619</v>
      </c>
      <c r="AZ907" s="48" t="n">
        <v>21.6999820016624</v>
      </c>
      <c r="BA907" s="48" t="n">
        <v>-0.366973289360555</v>
      </c>
      <c r="BB907" s="49" t="n">
        <f aca="false">AT907/V907</f>
        <v>1.35470811406619</v>
      </c>
      <c r="BC907" s="49" t="n">
        <f aca="false">AS907/V907</f>
        <v>1.33112963028157</v>
      </c>
      <c r="BD907" s="49" t="n">
        <f aca="false">SUM(AP907:AR907)/V907</f>
        <v>0.157221142372941</v>
      </c>
      <c r="BE907" s="53" t="n">
        <v>6.71</v>
      </c>
      <c r="BF907" s="51" t="n">
        <v>86.12</v>
      </c>
      <c r="BG907" s="51" t="n">
        <v>623.084068741291</v>
      </c>
      <c r="BH907" s="51" t="n">
        <v>209.47515095216</v>
      </c>
      <c r="BI907" s="51" t="n">
        <v>123.664653971203</v>
      </c>
      <c r="BJ907" s="51" t="n">
        <v>11.7278216442174</v>
      </c>
      <c r="BK907" s="51" t="n">
        <v>18.578727357176</v>
      </c>
      <c r="BL907" s="51" t="n">
        <v>4.99303297724106</v>
      </c>
      <c r="BM907" s="51" t="n">
        <v>8.47654435671156</v>
      </c>
      <c r="BN907" s="52" t="n">
        <f aca="false">(BG907*0.5-BH907*0.25+BI907*0.5)/SUM(BG907:BI907)*1000</f>
        <v>335.701275045537</v>
      </c>
      <c r="BO907" s="93" t="n">
        <v>6.40102040816327</v>
      </c>
      <c r="BP907" s="94" t="s">
        <v>491</v>
      </c>
      <c r="BQ907" s="55" t="n">
        <v>496.744</v>
      </c>
      <c r="BR907" s="56" t="n">
        <v>23.2852293222731</v>
      </c>
      <c r="BS907" s="56" t="n">
        <v>32.3971983659682</v>
      </c>
      <c r="BT907" s="56" t="n">
        <v>17.1883737024221</v>
      </c>
      <c r="BU907" s="55" t="n">
        <v>11424.4985</v>
      </c>
      <c r="BV907" s="55" t="n">
        <v>535.531516162179</v>
      </c>
      <c r="BW907" s="55" t="n">
        <v>745.09555049725</v>
      </c>
      <c r="BX907" s="55" t="n">
        <v>395</v>
      </c>
      <c r="BY907" s="106" t="n">
        <v>0.1734</v>
      </c>
      <c r="BZ907" s="106" t="n">
        <v>1.13</v>
      </c>
      <c r="CA907" s="106" t="n">
        <v>4.23</v>
      </c>
      <c r="CB907" s="81"/>
      <c r="CC907" s="106" t="n">
        <v>3.68</v>
      </c>
      <c r="CD907" s="106" t="n">
        <v>7.81</v>
      </c>
      <c r="CE907" s="106" t="n">
        <v>91.7</v>
      </c>
      <c r="CF907" s="106" t="n">
        <v>39</v>
      </c>
      <c r="CG907" s="106" t="n">
        <v>0.0801</v>
      </c>
      <c r="CH907" s="63" t="n">
        <v>96168.6217961539</v>
      </c>
      <c r="CI907" s="63" t="n">
        <v>5263.48427392837</v>
      </c>
      <c r="CJ907" s="64" t="n">
        <v>595684.462085673</v>
      </c>
      <c r="CK907" s="65" t="n">
        <v>0.883602747585408</v>
      </c>
    </row>
    <row r="908" customFormat="false" ht="15" hidden="false" customHeight="false" outlineLevel="0" collapsed="false">
      <c r="A908" s="7" t="s">
        <v>902</v>
      </c>
      <c r="B908" s="66" t="n">
        <v>888</v>
      </c>
      <c r="C908" s="8" t="s">
        <v>994</v>
      </c>
      <c r="D908" s="107" t="n">
        <v>41624</v>
      </c>
      <c r="E908" s="4" t="s">
        <v>904</v>
      </c>
      <c r="F908" s="7" t="n">
        <v>1616</v>
      </c>
      <c r="G908" s="68" t="n">
        <v>2</v>
      </c>
      <c r="H908" s="68" t="n">
        <v>161</v>
      </c>
      <c r="I908" s="7" t="n">
        <v>1</v>
      </c>
      <c r="J908" s="8" t="n">
        <v>622</v>
      </c>
      <c r="K908" s="31" t="n">
        <v>418.169797354996</v>
      </c>
      <c r="L908" s="31" t="n">
        <v>938.287773008577</v>
      </c>
      <c r="M908" s="31" t="n">
        <v>165.810029262423</v>
      </c>
      <c r="N908" s="31" t="n">
        <v>353.497769566263</v>
      </c>
      <c r="O908" s="31" t="n">
        <v>63.1301605687697</v>
      </c>
      <c r="P908" s="31" t="n">
        <v>36.0093685126065</v>
      </c>
      <c r="Q908" s="31"/>
      <c r="R908" s="31" t="n">
        <v>162.010325641689</v>
      </c>
      <c r="S908" s="34" t="s">
        <v>905</v>
      </c>
      <c r="T908" s="35" t="n">
        <v>13.9486016778144</v>
      </c>
      <c r="U908" s="35" t="n">
        <v>9.23474729173386</v>
      </c>
      <c r="V908" s="35" t="n">
        <v>23.1833489695483</v>
      </c>
      <c r="W908" s="35" t="n">
        <v>21.7526528755181</v>
      </c>
      <c r="X908" s="35" t="n">
        <v>3.84403177104176</v>
      </c>
      <c r="Y908" s="35" t="n">
        <v>8.19526215181165</v>
      </c>
      <c r="Z908" s="35" t="n">
        <v>1.46356854296941</v>
      </c>
      <c r="AA908" s="53" t="n">
        <v>0.834817756400821</v>
      </c>
      <c r="AB908" s="101"/>
      <c r="AC908" s="71" t="n">
        <v>3.75594191602144</v>
      </c>
      <c r="AD908" s="38" t="n">
        <v>5.86538728929572</v>
      </c>
      <c r="AE908" s="38" t="n">
        <v>5.18294947818616</v>
      </c>
      <c r="AF908" s="38" t="n">
        <v>1.20240439430562</v>
      </c>
      <c r="AG908" s="38" t="n">
        <v>2.97961674296223</v>
      </c>
      <c r="AH908" s="38" t="n">
        <v>1.46333059383351</v>
      </c>
      <c r="AI908" s="38"/>
      <c r="AJ908" s="102" t="s">
        <v>906</v>
      </c>
      <c r="AK908" s="103" t="n">
        <v>747</v>
      </c>
      <c r="AL908" s="103" t="n">
        <v>762</v>
      </c>
      <c r="AM908" s="103" t="n">
        <v>687</v>
      </c>
      <c r="AN908" s="103" t="n">
        <v>636</v>
      </c>
      <c r="AO908" s="104" t="n">
        <v>27.33</v>
      </c>
      <c r="AP908" s="105" t="n">
        <v>1.425</v>
      </c>
      <c r="AQ908" s="105" t="n">
        <v>1</v>
      </c>
      <c r="AR908" s="105" t="n">
        <v>1.302</v>
      </c>
      <c r="AS908" s="77" t="n">
        <v>32.307</v>
      </c>
      <c r="AT908" s="78" t="n">
        <v>32.12</v>
      </c>
      <c r="AU908" s="78" t="n">
        <v>52.14</v>
      </c>
      <c r="AV908" s="78" t="n">
        <v>36.57</v>
      </c>
      <c r="AW908" s="78" t="n">
        <v>47.65</v>
      </c>
      <c r="AX908" s="78" t="n">
        <v>21.0851063829787</v>
      </c>
      <c r="AY908" s="48" t="n">
        <v>1.38547713888059</v>
      </c>
      <c r="AZ908" s="48" t="n">
        <v>23.9308393919965</v>
      </c>
      <c r="BA908" s="48" t="n">
        <v>-0.747490422448205</v>
      </c>
      <c r="BB908" s="49" t="n">
        <f aca="false">AT908/V908</f>
        <v>1.38547713888059</v>
      </c>
      <c r="BC908" s="49" t="n">
        <f aca="false">AS908/V908</f>
        <v>1.39354327290832</v>
      </c>
      <c r="BD908" s="49" t="n">
        <f aca="false">SUM(AP908:AR908)/V908</f>
        <v>0.160761933269239</v>
      </c>
      <c r="BE908" s="53" t="n">
        <v>7.31</v>
      </c>
      <c r="BF908" s="51" t="n">
        <v>96.24</v>
      </c>
      <c r="BG908" s="51" t="n">
        <v>619.804655029094</v>
      </c>
      <c r="BH908" s="51" t="n">
        <v>187.551953449709</v>
      </c>
      <c r="BI908" s="51" t="n">
        <v>152.11970074813</v>
      </c>
      <c r="BJ908" s="51" t="n">
        <v>11.949293433084</v>
      </c>
      <c r="BK908" s="51" t="n">
        <v>16.5211970074813</v>
      </c>
      <c r="BL908" s="51" t="n">
        <v>4.57190357439734</v>
      </c>
      <c r="BM908" s="51" t="n">
        <v>7.48129675810474</v>
      </c>
      <c r="BN908" s="52" t="n">
        <f aca="false">(BG908*0.5-BH908*0.25+BI908*0.5)/SUM(BG908:BI908)*1000</f>
        <v>353.395061728395</v>
      </c>
      <c r="BO908" s="93" t="n">
        <v>6.39234693877551</v>
      </c>
      <c r="BP908" s="94" t="s">
        <v>491</v>
      </c>
      <c r="BQ908" s="55" t="n">
        <v>392.7481</v>
      </c>
      <c r="BR908" s="56" t="n">
        <v>16.9409562231876</v>
      </c>
      <c r="BS908" s="56" t="n">
        <v>23.6944641657168</v>
      </c>
      <c r="BT908" s="56" t="n">
        <v>12.2275249066003</v>
      </c>
      <c r="BU908" s="55" t="n">
        <v>11062.0095</v>
      </c>
      <c r="BV908" s="55" t="n">
        <v>477.153215203296</v>
      </c>
      <c r="BW908" s="55" t="n">
        <v>667.370224575419</v>
      </c>
      <c r="BX908" s="55" t="n">
        <v>344</v>
      </c>
      <c r="BY908" s="106" t="n">
        <v>0.1734</v>
      </c>
      <c r="BZ908" s="106" t="n">
        <v>1.2</v>
      </c>
      <c r="CA908" s="106" t="n">
        <v>3.9</v>
      </c>
      <c r="CB908" s="81"/>
      <c r="CC908" s="106" t="n">
        <v>4.45</v>
      </c>
      <c r="CD908" s="106" t="n">
        <v>5.94</v>
      </c>
      <c r="CE908" s="106" t="n">
        <v>85.5</v>
      </c>
      <c r="CF908" s="106" t="n">
        <v>36.2</v>
      </c>
      <c r="CG908" s="106" t="n">
        <v>0.0892</v>
      </c>
      <c r="CH908" s="63" t="n">
        <v>104334.85299425</v>
      </c>
      <c r="CI908" s="63" t="n">
        <v>3488.92731858443</v>
      </c>
      <c r="CJ908" s="64" t="n">
        <v>651969.586697533</v>
      </c>
      <c r="CK908" s="65" t="n">
        <v>0.535136513998626</v>
      </c>
    </row>
    <row r="909" customFormat="false" ht="15" hidden="false" customHeight="false" outlineLevel="0" collapsed="false">
      <c r="A909" s="7" t="s">
        <v>902</v>
      </c>
      <c r="B909" s="66" t="n">
        <v>889</v>
      </c>
      <c r="C909" s="8" t="s">
        <v>995</v>
      </c>
      <c r="D909" s="107" t="n">
        <v>41621</v>
      </c>
      <c r="E909" s="4" t="s">
        <v>904</v>
      </c>
      <c r="F909" s="7" t="n">
        <v>1617</v>
      </c>
      <c r="G909" s="68" t="n">
        <v>2</v>
      </c>
      <c r="H909" s="68" t="n">
        <v>139</v>
      </c>
      <c r="I909" s="7" t="n">
        <v>1</v>
      </c>
      <c r="J909" s="8" t="n">
        <v>548</v>
      </c>
      <c r="K909" s="31" t="n">
        <v>421.411458163811</v>
      </c>
      <c r="L909" s="31" t="n">
        <v>938.276356245669</v>
      </c>
      <c r="M909" s="31" t="n">
        <v>166.070250536694</v>
      </c>
      <c r="N909" s="31" t="n">
        <v>352.372484074534</v>
      </c>
      <c r="O909" s="31" t="n">
        <v>63.1083724261329</v>
      </c>
      <c r="P909" s="31" t="n">
        <v>36.1818713516247</v>
      </c>
      <c r="Q909" s="31"/>
      <c r="R909" s="31" t="n">
        <v>163.052863036684</v>
      </c>
      <c r="S909" s="34" t="s">
        <v>905</v>
      </c>
      <c r="T909" s="35" t="n">
        <v>11.5653582012808</v>
      </c>
      <c r="U909" s="35" t="n">
        <v>7.79612533691367</v>
      </c>
      <c r="V909" s="35" t="n">
        <v>19.3614835381945</v>
      </c>
      <c r="W909" s="35" t="n">
        <v>18.1664222257276</v>
      </c>
      <c r="X909" s="35" t="n">
        <v>3.21536642195003</v>
      </c>
      <c r="Y909" s="35" t="n">
        <v>6.8224540497218</v>
      </c>
      <c r="Z909" s="35" t="n">
        <v>1.22187171385082</v>
      </c>
      <c r="AA909" s="53" t="n">
        <v>0.700534706555553</v>
      </c>
      <c r="AB909" s="101"/>
      <c r="AC909" s="71" t="n">
        <v>3.15694532354023</v>
      </c>
      <c r="AD909" s="38" t="n">
        <v>4.66611753270488</v>
      </c>
      <c r="AE909" s="38" t="n">
        <v>4.13021393407372</v>
      </c>
      <c r="AF909" s="38" t="n">
        <v>0.93788962407368</v>
      </c>
      <c r="AG909" s="38" t="n">
        <v>2.65502087610908</v>
      </c>
      <c r="AH909" s="38" t="n">
        <v>1.22322885647537</v>
      </c>
      <c r="AI909" s="38"/>
      <c r="AJ909" s="102" t="s">
        <v>906</v>
      </c>
      <c r="AK909" s="103" t="n">
        <v>759</v>
      </c>
      <c r="AL909" s="103" t="n">
        <v>773</v>
      </c>
      <c r="AM909" s="103" t="n">
        <v>709</v>
      </c>
      <c r="AN909" s="103" t="n">
        <v>611</v>
      </c>
      <c r="AO909" s="104" t="n">
        <v>25</v>
      </c>
      <c r="AP909" s="105" t="n">
        <v>1.023</v>
      </c>
      <c r="AQ909" s="105" t="n">
        <v>0.974</v>
      </c>
      <c r="AR909" s="105" t="n">
        <v>1.179</v>
      </c>
      <c r="AS909" s="77" t="n">
        <v>25.345</v>
      </c>
      <c r="AT909" s="78" t="n">
        <v>26.36</v>
      </c>
      <c r="AU909" s="78" t="n">
        <v>40.91</v>
      </c>
      <c r="AV909" s="78" t="n">
        <v>38.97</v>
      </c>
      <c r="AW909" s="78" t="n">
        <v>47.17</v>
      </c>
      <c r="AX909" s="78" t="n">
        <v>21.4893617021277</v>
      </c>
      <c r="AY909" s="48" t="n">
        <v>1.36146592010883</v>
      </c>
      <c r="AZ909" s="48" t="n">
        <v>20.1694612362913</v>
      </c>
      <c r="BA909" s="48" t="n">
        <v>-0.807977698096753</v>
      </c>
      <c r="BB909" s="49" t="n">
        <f aca="false">AT909/V909</f>
        <v>1.36146592010883</v>
      </c>
      <c r="BC909" s="49" t="n">
        <f aca="false">AS909/V909</f>
        <v>1.30904225133378</v>
      </c>
      <c r="BD909" s="49" t="n">
        <f aca="false">SUM(AP909:AR909)/V909</f>
        <v>0.164037016777908</v>
      </c>
      <c r="BE909" s="53" t="n">
        <v>7.56</v>
      </c>
      <c r="BF909" s="51" t="n">
        <v>54.41</v>
      </c>
      <c r="BG909" s="51" t="n">
        <v>689.027752251424</v>
      </c>
      <c r="BH909" s="51" t="n">
        <v>160.632236721191</v>
      </c>
      <c r="BI909" s="51" t="n">
        <v>103.657415916192</v>
      </c>
      <c r="BJ909" s="51" t="n">
        <v>18.5627641977578</v>
      </c>
      <c r="BK909" s="51" t="n">
        <v>15.0707590516449</v>
      </c>
      <c r="BL909" s="51" t="n">
        <v>7.71916927035471</v>
      </c>
      <c r="BM909" s="51" t="n">
        <v>5.3299025914354</v>
      </c>
      <c r="BN909" s="52" t="n">
        <f aca="false">(BG909*0.5-BH909*0.25+BI909*0.5)/SUM(BG909:BI909)*1000</f>
        <v>373.626373626374</v>
      </c>
      <c r="BO909" s="93" t="n">
        <v>3.23520408163265</v>
      </c>
      <c r="BP909" s="94" t="s">
        <v>491</v>
      </c>
      <c r="BQ909" s="55" t="n">
        <v>373.099</v>
      </c>
      <c r="BR909" s="56" t="n">
        <v>19.2701659076891</v>
      </c>
      <c r="BS909" s="56" t="n">
        <v>26.5689986793676</v>
      </c>
      <c r="BT909" s="56" t="n">
        <v>14.1539833080425</v>
      </c>
      <c r="BU909" s="55" t="n">
        <v>10951.5142</v>
      </c>
      <c r="BV909" s="55" t="n">
        <v>565.634042370559</v>
      </c>
      <c r="BW909" s="55" t="n">
        <v>779.87549234084</v>
      </c>
      <c r="BX909" s="55" t="n">
        <v>415</v>
      </c>
      <c r="BY909" s="106" t="n">
        <v>0.204</v>
      </c>
      <c r="BZ909" s="106" t="n">
        <v>0.68</v>
      </c>
      <c r="CA909" s="106" t="n">
        <v>4.13</v>
      </c>
      <c r="CB909" s="81"/>
      <c r="CC909" s="106" t="n">
        <v>3.23</v>
      </c>
      <c r="CD909" s="106" t="n">
        <v>6.47</v>
      </c>
      <c r="CE909" s="106" t="n">
        <v>98.9</v>
      </c>
      <c r="CF909" s="106" t="n">
        <v>39.9</v>
      </c>
      <c r="CG909" s="106" t="n">
        <v>0.0999</v>
      </c>
      <c r="CH909" s="63" t="n">
        <v>145864.976141731</v>
      </c>
      <c r="CI909" s="63" t="n">
        <v>5770.10994439921</v>
      </c>
      <c r="CJ909" s="64" t="n">
        <v>515661.562063444</v>
      </c>
      <c r="CK909" s="65" t="n">
        <v>1.11897228122062</v>
      </c>
    </row>
    <row r="910" customFormat="false" ht="15" hidden="false" customHeight="false" outlineLevel="0" collapsed="false">
      <c r="A910" s="7" t="s">
        <v>902</v>
      </c>
      <c r="B910" s="66" t="n">
        <v>890</v>
      </c>
      <c r="C910" s="8" t="s">
        <v>996</v>
      </c>
      <c r="D910" s="107" t="n">
        <v>41625</v>
      </c>
      <c r="E910" s="4" t="s">
        <v>904</v>
      </c>
      <c r="F910" s="7" t="n">
        <v>1618</v>
      </c>
      <c r="G910" s="68" t="n">
        <v>2</v>
      </c>
      <c r="H910" s="68" t="n">
        <v>101</v>
      </c>
      <c r="I910" s="7" t="n">
        <v>1</v>
      </c>
      <c r="J910" s="8" t="n">
        <v>598</v>
      </c>
      <c r="K910" s="31" t="n">
        <v>407</v>
      </c>
      <c r="L910" s="31" t="n">
        <v>938.327111772145</v>
      </c>
      <c r="M910" s="31" t="n">
        <v>164.913384279344</v>
      </c>
      <c r="N910" s="31" t="n">
        <v>357.375168113007</v>
      </c>
      <c r="O910" s="31" t="n">
        <v>63.2052360169266</v>
      </c>
      <c r="P910" s="31" t="n">
        <v>35.4149751233429</v>
      </c>
      <c r="Q910" s="31"/>
      <c r="R910" s="31" t="n">
        <v>158.418052383049</v>
      </c>
      <c r="S910" s="34" t="s">
        <v>905</v>
      </c>
      <c r="T910" s="35" t="n">
        <v>12.9532011854345</v>
      </c>
      <c r="U910" s="35" t="n">
        <v>8.05523077734331</v>
      </c>
      <c r="V910" s="35" t="n">
        <v>21.0084319627778</v>
      </c>
      <c r="W910" s="35" t="n">
        <v>19.712781286495</v>
      </c>
      <c r="X910" s="35" t="n">
        <v>3.46457161338403</v>
      </c>
      <c r="Y910" s="35" t="n">
        <v>7.50789190448841</v>
      </c>
      <c r="Z910" s="35" t="n">
        <v>1.32784290055292</v>
      </c>
      <c r="AA910" s="53" t="n">
        <v>0.74401309534222</v>
      </c>
      <c r="AB910" s="101"/>
      <c r="AC910" s="71" t="n">
        <v>3.32811487516506</v>
      </c>
      <c r="AD910" s="38" t="n">
        <v>5.46219231032224</v>
      </c>
      <c r="AE910" s="38" t="n">
        <v>4.90122516005215</v>
      </c>
      <c r="AF910" s="38" t="n">
        <v>1.07605188513348</v>
      </c>
      <c r="AG910" s="38" t="n">
        <v>2.74202053978176</v>
      </c>
      <c r="AH910" s="38" t="n">
        <v>1.33022630302198</v>
      </c>
      <c r="AI910" s="38"/>
      <c r="AJ910" s="102" t="s">
        <v>906</v>
      </c>
      <c r="AK910" s="103" t="n">
        <v>740</v>
      </c>
      <c r="AL910" s="103" t="n">
        <v>752</v>
      </c>
      <c r="AM910" s="103" t="n">
        <v>690</v>
      </c>
      <c r="AN910" s="103" t="n">
        <v>635</v>
      </c>
      <c r="AO910" s="104" t="n">
        <v>25.02</v>
      </c>
      <c r="AP910" s="105" t="n">
        <v>1.105</v>
      </c>
      <c r="AQ910" s="105" t="n">
        <v>0.94</v>
      </c>
      <c r="AR910" s="105" t="n">
        <v>1.201</v>
      </c>
      <c r="AS910" s="77" t="n">
        <v>26.583</v>
      </c>
      <c r="AT910" s="78" t="n">
        <v>27.22</v>
      </c>
      <c r="AU910" s="78" t="n">
        <v>44.18</v>
      </c>
      <c r="AV910" s="78" t="n">
        <v>37.57</v>
      </c>
      <c r="AW910" s="78" t="n">
        <v>48</v>
      </c>
      <c r="AX910" s="78" t="n">
        <v>21.4468085106383</v>
      </c>
      <c r="AY910" s="48" t="n">
        <v>1.29567023603797</v>
      </c>
      <c r="AZ910" s="48" t="n">
        <v>20.9260193635231</v>
      </c>
      <c r="BA910" s="48" t="n">
        <v>0.0824125992546989</v>
      </c>
      <c r="BB910" s="49" t="n">
        <f aca="false">AT910/V910</f>
        <v>1.29567023603797</v>
      </c>
      <c r="BC910" s="49" t="n">
        <f aca="false">AS910/V910</f>
        <v>1.26534907731805</v>
      </c>
      <c r="BD910" s="49" t="n">
        <f aca="false">SUM(AP910:AR910)/V910</f>
        <v>0.154509389646556</v>
      </c>
      <c r="BE910" s="53" t="n">
        <v>6.52</v>
      </c>
      <c r="BF910" s="51" t="n">
        <v>96.68</v>
      </c>
      <c r="BG910" s="51" t="n">
        <v>608.709143566405</v>
      </c>
      <c r="BH910" s="51" t="n">
        <v>223.314025651634</v>
      </c>
      <c r="BI910" s="51" t="n">
        <v>127.84443525031</v>
      </c>
      <c r="BJ910" s="51" t="n">
        <v>14.0670252378982</v>
      </c>
      <c r="BK910" s="51" t="n">
        <v>16.4460074472487</v>
      </c>
      <c r="BL910" s="51" t="n">
        <v>4.44766239139429</v>
      </c>
      <c r="BM910" s="51" t="n">
        <v>5.27513446421183</v>
      </c>
      <c r="BN910" s="52" t="n">
        <f aca="false">(BG910*0.5-BH910*0.25+BI910*0.5)/SUM(BG910:BI910)*1000</f>
        <v>325.511853448276</v>
      </c>
      <c r="BO910" s="93" t="n">
        <v>2.975</v>
      </c>
      <c r="BP910" s="94" t="s">
        <v>491</v>
      </c>
      <c r="BQ910" s="55"/>
      <c r="BR910" s="56"/>
      <c r="BS910" s="56"/>
      <c r="BT910" s="56"/>
      <c r="BU910" s="55"/>
      <c r="BV910" s="55"/>
      <c r="BW910" s="55"/>
      <c r="BX910" s="55"/>
      <c r="BY910" s="106" t="n">
        <v>0.1428</v>
      </c>
      <c r="BZ910" s="106" t="n">
        <v>0.91</v>
      </c>
      <c r="CA910" s="106" t="n">
        <v>4.05</v>
      </c>
      <c r="CB910" s="81"/>
      <c r="CC910" s="106" t="n">
        <v>2.93</v>
      </c>
      <c r="CD910" s="106" t="n">
        <v>5.16</v>
      </c>
      <c r="CE910" s="106" t="n">
        <v>95.8</v>
      </c>
      <c r="CF910" s="106" t="n">
        <v>39.5</v>
      </c>
      <c r="CG910" s="106" t="n">
        <v>0.1237</v>
      </c>
      <c r="CH910" s="63" t="n">
        <v>74652.3798437904</v>
      </c>
      <c r="CI910" s="63" t="n">
        <v>5191.65881297636</v>
      </c>
      <c r="CJ910" s="64" t="n">
        <v>547683.5484708</v>
      </c>
      <c r="CK910" s="65" t="n">
        <v>0.947930392919801</v>
      </c>
    </row>
    <row r="911" customFormat="false" ht="15" hidden="false" customHeight="false" outlineLevel="0" collapsed="false">
      <c r="A911" s="7" t="s">
        <v>902</v>
      </c>
      <c r="B911" s="66" t="n">
        <v>891</v>
      </c>
      <c r="C911" s="8" t="s">
        <v>997</v>
      </c>
      <c r="D911" s="107" t="n">
        <v>41624</v>
      </c>
      <c r="E911" s="4" t="s">
        <v>904</v>
      </c>
      <c r="F911" s="7" t="n">
        <v>1619</v>
      </c>
      <c r="G911" s="68" t="n">
        <v>2</v>
      </c>
      <c r="H911" s="68" t="n">
        <v>143</v>
      </c>
      <c r="I911" s="7" t="n">
        <v>1</v>
      </c>
      <c r="J911" s="8" t="n">
        <v>595</v>
      </c>
      <c r="K911" s="31" t="n">
        <v>423.32571455604</v>
      </c>
      <c r="L911" s="31" t="n">
        <v>938.269614451057</v>
      </c>
      <c r="M911" s="31" t="n">
        <v>166.223915669181</v>
      </c>
      <c r="N911" s="31" t="n">
        <v>351.70798366173</v>
      </c>
      <c r="O911" s="31" t="n">
        <v>63.0955061536334</v>
      </c>
      <c r="P911" s="31" t="n">
        <v>36.2837372412854</v>
      </c>
      <c r="Q911" s="31"/>
      <c r="R911" s="31" t="n">
        <v>163.668499276934</v>
      </c>
      <c r="S911" s="34" t="s">
        <v>905</v>
      </c>
      <c r="T911" s="35" t="n">
        <v>9.94620805310152</v>
      </c>
      <c r="U911" s="35" t="n">
        <v>6.77618648974575</v>
      </c>
      <c r="V911" s="35" t="n">
        <v>16.7223945428473</v>
      </c>
      <c r="W911" s="35" t="n">
        <v>15.6901146804158</v>
      </c>
      <c r="X911" s="35" t="n">
        <v>2.77966190027703</v>
      </c>
      <c r="Y911" s="35" t="n">
        <v>5.88139966666074</v>
      </c>
      <c r="Z911" s="35" t="n">
        <v>1.05510794778171</v>
      </c>
      <c r="AA911" s="53" t="n">
        <v>0.606750969637776</v>
      </c>
      <c r="AB911" s="101"/>
      <c r="AC911" s="71" t="n">
        <v>2.7369292191446</v>
      </c>
      <c r="AD911" s="38" t="n">
        <v>4.0300970848262</v>
      </c>
      <c r="AE911" s="38" t="n">
        <v>3.52391689097203</v>
      </c>
      <c r="AF911" s="38" t="n">
        <v>0.814079611134891</v>
      </c>
      <c r="AG911" s="38" t="n">
        <v>2.32939611502954</v>
      </c>
      <c r="AH911" s="38" t="n">
        <v>1.05636160428533</v>
      </c>
      <c r="AI911" s="38"/>
      <c r="AJ911" s="102" t="s">
        <v>906</v>
      </c>
      <c r="AK911" s="103" t="n">
        <v>759</v>
      </c>
      <c r="AL911" s="103" t="n">
        <v>776</v>
      </c>
      <c r="AM911" s="103" t="n">
        <v>707</v>
      </c>
      <c r="AN911" s="103" t="n">
        <v>604</v>
      </c>
      <c r="AO911" s="104" t="n">
        <v>10.6</v>
      </c>
      <c r="AP911" s="105" t="n">
        <v>0.525</v>
      </c>
      <c r="AQ911" s="105" t="n">
        <v>0.443</v>
      </c>
      <c r="AR911" s="105" t="n">
        <v>0.481</v>
      </c>
      <c r="AS911" s="77" t="n">
        <v>12.115</v>
      </c>
      <c r="AT911" s="78" t="n">
        <v>12.43</v>
      </c>
      <c r="AU911" s="78" t="n">
        <v>49.55</v>
      </c>
      <c r="AV911" s="78" t="n">
        <v>41.82</v>
      </c>
      <c r="AW911" s="78" t="n">
        <v>45.4</v>
      </c>
      <c r="AX911" s="78" t="n">
        <v>19.531914893617</v>
      </c>
      <c r="AY911" s="48" t="n">
        <v>0.743314599362609</v>
      </c>
      <c r="AZ911" s="48" t="n">
        <v>16.0103071026538</v>
      </c>
      <c r="BA911" s="48" t="n">
        <v>0.712087440193439</v>
      </c>
      <c r="BB911" s="49" t="n">
        <f aca="false">AT911/V911</f>
        <v>0.743314599362609</v>
      </c>
      <c r="BC911" s="49" t="n">
        <f aca="false">AS911/V911</f>
        <v>0.724477584173613</v>
      </c>
      <c r="BD911" s="49" t="n">
        <f aca="false">SUM(AP911:AR911)/V911</f>
        <v>0.0866502698693822</v>
      </c>
      <c r="BE911" s="53" t="n">
        <v>7.31</v>
      </c>
      <c r="BF911" s="51" t="n">
        <v>62.38</v>
      </c>
      <c r="BG911" s="51" t="n">
        <v>685.15549855723</v>
      </c>
      <c r="BH911" s="51" t="n">
        <v>170.246873998076</v>
      </c>
      <c r="BI911" s="51" t="n">
        <v>105.803142032703</v>
      </c>
      <c r="BJ911" s="51" t="n">
        <v>16.3513946777813</v>
      </c>
      <c r="BK911" s="51" t="n">
        <v>13.7864700224431</v>
      </c>
      <c r="BL911" s="51" t="n">
        <v>4.16800256492466</v>
      </c>
      <c r="BM911" s="51" t="n">
        <v>4.48861814684194</v>
      </c>
      <c r="BN911" s="52" t="n">
        <f aca="false">(BG911*0.5-BH911*0.25+BI911*0.5)/SUM(BG911:BI911)*1000</f>
        <v>367.16144096064</v>
      </c>
      <c r="BO911" s="93" t="n">
        <v>2.01224489795918</v>
      </c>
      <c r="BP911" s="94" t="s">
        <v>491</v>
      </c>
      <c r="BQ911" s="55" t="n">
        <v>326.1901</v>
      </c>
      <c r="BR911" s="56" t="n">
        <v>19.5061837085719</v>
      </c>
      <c r="BS911" s="56" t="n">
        <v>26.7906306341395</v>
      </c>
      <c r="BT911" s="56" t="n">
        <v>26.2421641190668</v>
      </c>
      <c r="BU911" s="55" t="n">
        <v>10048.5774</v>
      </c>
      <c r="BV911" s="55" t="n">
        <v>600.905413052709</v>
      </c>
      <c r="BW911" s="55" t="n">
        <v>825.309307431348</v>
      </c>
      <c r="BX911" s="55" t="n">
        <v>343</v>
      </c>
      <c r="BY911" s="81"/>
      <c r="BZ911" s="81"/>
      <c r="CA911" s="81"/>
      <c r="CB911" s="81"/>
      <c r="CC911" s="81"/>
      <c r="CD911" s="81"/>
      <c r="CE911" s="81"/>
      <c r="CF911" s="81"/>
      <c r="CG911" s="81"/>
      <c r="CH911" s="63" t="n">
        <v>62737.619085223</v>
      </c>
      <c r="CI911" s="63" t="n">
        <v>8142.77467106455</v>
      </c>
      <c r="CJ911" s="64" t="n">
        <v>793642.828779415</v>
      </c>
      <c r="CK911" s="65" t="n">
        <v>1.02599990522031</v>
      </c>
    </row>
    <row r="912" customFormat="false" ht="15" hidden="false" customHeight="false" outlineLevel="0" collapsed="false">
      <c r="A912" s="7" t="s">
        <v>902</v>
      </c>
      <c r="B912" s="66" t="n">
        <v>892</v>
      </c>
      <c r="C912" s="8" t="s">
        <v>998</v>
      </c>
      <c r="D912" s="107" t="n">
        <v>41621</v>
      </c>
      <c r="E912" s="4" t="s">
        <v>904</v>
      </c>
      <c r="F912" s="7" t="n">
        <v>1625</v>
      </c>
      <c r="G912" s="68" t="n">
        <v>2</v>
      </c>
      <c r="H912" s="68" t="n">
        <v>147</v>
      </c>
      <c r="I912" s="7" t="n">
        <v>1</v>
      </c>
      <c r="J912" s="8" t="n">
        <v>566</v>
      </c>
      <c r="K912" s="31" t="n">
        <v>413.452079402309</v>
      </c>
      <c r="L912" s="31" t="n">
        <v>938.30438827788</v>
      </c>
      <c r="M912" s="31" t="n">
        <v>165.431318888419</v>
      </c>
      <c r="N912" s="31" t="n">
        <v>355.135442314687</v>
      </c>
      <c r="O912" s="31" t="n">
        <v>63.161869719645</v>
      </c>
      <c r="P912" s="31" t="n">
        <v>35.7583182675246</v>
      </c>
      <c r="Q912" s="31"/>
      <c r="R912" s="31" t="n">
        <v>160.493079490786</v>
      </c>
      <c r="S912" s="34" t="s">
        <v>905</v>
      </c>
      <c r="T912" s="35" t="n">
        <v>12.8622376939638</v>
      </c>
      <c r="U912" s="35" t="n">
        <v>8.29412314547994</v>
      </c>
      <c r="V912" s="35" t="n">
        <v>21.1563608394437</v>
      </c>
      <c r="W912" s="35" t="n">
        <v>19.8511062156404</v>
      </c>
      <c r="X912" s="35" t="n">
        <v>3.49992467654847</v>
      </c>
      <c r="Y912" s="35" t="n">
        <v>7.51337356448498</v>
      </c>
      <c r="Z912" s="35" t="n">
        <v>1.33627530708274</v>
      </c>
      <c r="AA912" s="53" t="n">
        <v>0.756515884279423</v>
      </c>
      <c r="AB912" s="101"/>
      <c r="AC912" s="71" t="n">
        <v>3.39544950194059</v>
      </c>
      <c r="AD912" s="38" t="n">
        <v>5.83915559168647</v>
      </c>
      <c r="AE912" s="38" t="n">
        <v>5.27012987927662</v>
      </c>
      <c r="AF912" s="38" t="n">
        <v>1.15615280715392</v>
      </c>
      <c r="AG912" s="38" t="n">
        <v>2.849507928743</v>
      </c>
      <c r="AH912" s="38" t="n">
        <v>1.33759524787325</v>
      </c>
      <c r="AI912" s="38"/>
      <c r="AJ912" s="102" t="s">
        <v>906</v>
      </c>
      <c r="AK912" s="103" t="n">
        <v>724</v>
      </c>
      <c r="AL912" s="103" t="n">
        <v>735</v>
      </c>
      <c r="AM912" s="103" t="n">
        <v>670</v>
      </c>
      <c r="AN912" s="103" t="n">
        <v>621</v>
      </c>
      <c r="AO912" s="104" t="n">
        <v>25.18</v>
      </c>
      <c r="AP912" s="105" t="n">
        <v>1.112</v>
      </c>
      <c r="AQ912" s="105" t="n">
        <v>1.01</v>
      </c>
      <c r="AR912" s="105" t="n">
        <v>1.203</v>
      </c>
      <c r="AS912" s="77" t="n">
        <v>26.752</v>
      </c>
      <c r="AT912" s="78" t="n">
        <v>27.85</v>
      </c>
      <c r="AU912" s="78" t="n">
        <v>44.17</v>
      </c>
      <c r="AV912" s="78" t="n">
        <v>40.11</v>
      </c>
      <c r="AW912" s="78" t="n">
        <v>47.76</v>
      </c>
      <c r="AX912" s="78" t="n">
        <v>21.2765957446808</v>
      </c>
      <c r="AY912" s="48" t="n">
        <v>1.31638896742944</v>
      </c>
      <c r="AZ912" s="48" t="n">
        <v>20.9987878403845</v>
      </c>
      <c r="BA912" s="48" t="n">
        <v>0.157572999059244</v>
      </c>
      <c r="BB912" s="49" t="n">
        <f aca="false">AT912/V912</f>
        <v>1.31638896742944</v>
      </c>
      <c r="BC912" s="49" t="n">
        <f aca="false">AS912/V912</f>
        <v>1.2644896824658</v>
      </c>
      <c r="BD912" s="49" t="n">
        <f aca="false">SUM(AP912:AR912)/V912</f>
        <v>0.157163135249655</v>
      </c>
      <c r="BE912" s="53" t="n">
        <v>7.24</v>
      </c>
      <c r="BF912" s="51" t="n">
        <v>70.73</v>
      </c>
      <c r="BG912" s="51" t="n">
        <v>678.212922380885</v>
      </c>
      <c r="BH912" s="51" t="n">
        <v>156.510674395589</v>
      </c>
      <c r="BI912" s="51" t="n">
        <v>118.761487346246</v>
      </c>
      <c r="BJ912" s="51" t="n">
        <v>17.5314576558745</v>
      </c>
      <c r="BK912" s="51" t="n">
        <v>16.117630425562</v>
      </c>
      <c r="BL912" s="51" t="n">
        <v>7.63466704368726</v>
      </c>
      <c r="BM912" s="51" t="n">
        <v>5.08977802912484</v>
      </c>
      <c r="BN912" s="52" t="n">
        <f aca="false">(BG912*0.5-BH912*0.25+BI912*0.5)/SUM(BG912:BI912)*1000</f>
        <v>376.890569395018</v>
      </c>
      <c r="BO912" s="93" t="n">
        <v>5.36020408163265</v>
      </c>
      <c r="BP912" s="94" t="s">
        <v>491</v>
      </c>
      <c r="BQ912" s="55" t="n">
        <v>338.6945</v>
      </c>
      <c r="BR912" s="56" t="n">
        <v>16.0091096276133</v>
      </c>
      <c r="BS912" s="56" t="n">
        <v>23.2132576659305</v>
      </c>
      <c r="BT912" s="56" t="n">
        <v>12.1613824057451</v>
      </c>
      <c r="BU912" s="55" t="n">
        <v>8894.976</v>
      </c>
      <c r="BV912" s="55" t="n">
        <v>420.439794324943</v>
      </c>
      <c r="BW912" s="55" t="n">
        <v>609.638980911317</v>
      </c>
      <c r="BX912" s="55" t="n">
        <v>319</v>
      </c>
      <c r="BY912" s="106" t="n">
        <v>0.255</v>
      </c>
      <c r="BZ912" s="106" t="n">
        <v>0.7</v>
      </c>
      <c r="CA912" s="106" t="n">
        <v>4.57</v>
      </c>
      <c r="CB912" s="81"/>
      <c r="CC912" s="106" t="n">
        <v>4.27</v>
      </c>
      <c r="CD912" s="106" t="n">
        <v>7.74</v>
      </c>
      <c r="CE912" s="106" t="n">
        <v>99.9</v>
      </c>
      <c r="CF912" s="106" t="n">
        <v>38.3</v>
      </c>
      <c r="CG912" s="106" t="n">
        <v>0.1296</v>
      </c>
      <c r="CH912" s="63" t="n">
        <v>118451.456731292</v>
      </c>
      <c r="CI912" s="63" t="n">
        <v>3114.76855411754</v>
      </c>
      <c r="CJ912" s="63" t="n">
        <v>348940.897394613</v>
      </c>
      <c r="CK912" s="85" t="n">
        <v>0.89263499273778</v>
      </c>
    </row>
    <row r="913" customFormat="false" ht="15" hidden="false" customHeight="false" outlineLevel="0" collapsed="false">
      <c r="A913" s="7" t="s">
        <v>902</v>
      </c>
      <c r="B913" s="66" t="n">
        <v>893</v>
      </c>
      <c r="C913" s="8" t="s">
        <v>999</v>
      </c>
      <c r="D913" s="107" t="n">
        <v>41625</v>
      </c>
      <c r="E913" s="4" t="s">
        <v>904</v>
      </c>
      <c r="F913" s="7" t="n">
        <v>1629</v>
      </c>
      <c r="G913" s="68" t="n">
        <v>2</v>
      </c>
      <c r="H913" s="68" t="n">
        <v>103</v>
      </c>
      <c r="I913" s="7" t="n">
        <v>1</v>
      </c>
      <c r="J913" s="8" t="n">
        <v>593</v>
      </c>
      <c r="K913" s="31" t="n">
        <v>419.290363349065</v>
      </c>
      <c r="L913" s="31" t="n">
        <v>938.283826501822</v>
      </c>
      <c r="M913" s="31" t="n">
        <v>165.899981644266</v>
      </c>
      <c r="N913" s="31" t="n">
        <v>353.10878480505</v>
      </c>
      <c r="O913" s="31" t="n">
        <v>63.1226289196699</v>
      </c>
      <c r="P913" s="31" t="n">
        <v>36.0689986919141</v>
      </c>
      <c r="Q913" s="31"/>
      <c r="R913" s="31" t="n">
        <v>162.370706329638</v>
      </c>
      <c r="S913" s="34" t="s">
        <v>905</v>
      </c>
      <c r="T913" s="35" t="n">
        <v>13.5275706601498</v>
      </c>
      <c r="U913" s="35" t="n">
        <v>9.01202496710913</v>
      </c>
      <c r="V913" s="35" t="n">
        <v>22.539595627259</v>
      </c>
      <c r="W913" s="35" t="n">
        <v>21.1485380329483</v>
      </c>
      <c r="X913" s="35" t="n">
        <v>3.73931850083144</v>
      </c>
      <c r="Y913" s="35" t="n">
        <v>7.95892922193864</v>
      </c>
      <c r="Z913" s="35" t="n">
        <v>1.42275853077888</v>
      </c>
      <c r="AA913" s="53" t="n">
        <v>0.812980645195877</v>
      </c>
      <c r="AB913" s="101"/>
      <c r="AC913" s="71" t="n">
        <v>3.65977006238245</v>
      </c>
      <c r="AD913" s="38" t="n">
        <v>6.1533096062417</v>
      </c>
      <c r="AE913" s="38" t="n">
        <v>5.44690966344515</v>
      </c>
      <c r="AF913" s="38" t="n">
        <v>1.19989537321713</v>
      </c>
      <c r="AG913" s="38" t="n">
        <v>3.16895444721447</v>
      </c>
      <c r="AH913" s="38" t="n">
        <v>1.42104076701635</v>
      </c>
      <c r="AI913" s="38"/>
      <c r="AJ913" s="102" t="s">
        <v>906</v>
      </c>
      <c r="AK913" s="103" t="n">
        <v>727</v>
      </c>
      <c r="AL913" s="103" t="n">
        <v>742</v>
      </c>
      <c r="AM913" s="103" t="n">
        <v>679</v>
      </c>
      <c r="AN913" s="103" t="n">
        <v>601</v>
      </c>
      <c r="AO913" s="104" t="n">
        <v>27.38</v>
      </c>
      <c r="AP913" s="105" t="n">
        <v>1.217</v>
      </c>
      <c r="AQ913" s="105" t="n">
        <v>1.063</v>
      </c>
      <c r="AR913" s="105" t="n">
        <v>1.257</v>
      </c>
      <c r="AS913" s="77" t="n">
        <v>29.207</v>
      </c>
      <c r="AT913" s="78" t="n">
        <v>29.84</v>
      </c>
      <c r="AU913" s="78" t="n">
        <v>44.46</v>
      </c>
      <c r="AV913" s="78" t="n">
        <v>38.82</v>
      </c>
      <c r="AW913" s="78" t="n">
        <v>45.91</v>
      </c>
      <c r="AX913" s="78" t="n">
        <v>18.7021276595745</v>
      </c>
      <c r="AY913" s="48" t="n">
        <v>1.32389242883808</v>
      </c>
      <c r="AZ913" s="48" t="n">
        <v>21.8378995854216</v>
      </c>
      <c r="BA913" s="48" t="n">
        <v>0.701696041837327</v>
      </c>
      <c r="BB913" s="49" t="n">
        <f aca="false">AT913/V913</f>
        <v>1.32389242883808</v>
      </c>
      <c r="BC913" s="49" t="n">
        <f aca="false">AS913/V913</f>
        <v>1.29580851773035</v>
      </c>
      <c r="BD913" s="49" t="n">
        <f aca="false">SUM(AP913:AR913)/V913</f>
        <v>0.156923844530841</v>
      </c>
      <c r="BE913" s="53" t="n">
        <v>7.78</v>
      </c>
      <c r="BF913" s="51" t="n">
        <v>65</v>
      </c>
      <c r="BG913" s="51" t="n">
        <v>648</v>
      </c>
      <c r="BH913" s="51" t="n">
        <v>188.461538461538</v>
      </c>
      <c r="BI913" s="51" t="n">
        <v>118.153846153846</v>
      </c>
      <c r="BJ913" s="51" t="n">
        <v>16.7692307692308</v>
      </c>
      <c r="BK913" s="51" t="n">
        <v>16.4615384615385</v>
      </c>
      <c r="BL913" s="51" t="n">
        <v>5.23076923076923</v>
      </c>
      <c r="BM913" s="51" t="n">
        <v>6.92307692307692</v>
      </c>
      <c r="BN913" s="52" t="n">
        <f aca="false">(BG913*0.5-BH913*0.25+BI913*0.5)/SUM(BG913:BI913)*1000</f>
        <v>351.933924254633</v>
      </c>
      <c r="BO913" s="93" t="n">
        <v>3.10510204081633</v>
      </c>
      <c r="BP913" s="94" t="s">
        <v>491</v>
      </c>
      <c r="BQ913" s="55" t="n">
        <v>414.3283</v>
      </c>
      <c r="BR913" s="56" t="n">
        <v>18.3822419377799</v>
      </c>
      <c r="BS913" s="56" t="n">
        <v>26.4034296101237</v>
      </c>
      <c r="BT913" s="56" t="n">
        <v>13.8849966487936</v>
      </c>
      <c r="BU913" s="55" t="n">
        <v>11668.4134</v>
      </c>
      <c r="BV913" s="55" t="n">
        <v>517.685125898552</v>
      </c>
      <c r="BW913" s="55" t="n">
        <v>743.57974550308</v>
      </c>
      <c r="BX913" s="55" t="n">
        <v>391</v>
      </c>
      <c r="BY913" s="106" t="n">
        <v>0.1428</v>
      </c>
      <c r="BZ913" s="106" t="n">
        <v>0.97</v>
      </c>
      <c r="CA913" s="106" t="n">
        <v>4.25</v>
      </c>
      <c r="CB913" s="81"/>
      <c r="CC913" s="106" t="n">
        <v>2.63</v>
      </c>
      <c r="CD913" s="106" t="n">
        <v>4.09</v>
      </c>
      <c r="CE913" s="106" t="n">
        <v>97.9</v>
      </c>
      <c r="CF913" s="106" t="n">
        <v>36.3</v>
      </c>
      <c r="CG913" s="106" t="n">
        <v>0.8836</v>
      </c>
      <c r="CH913" s="63" t="n">
        <v>58775.2587655341</v>
      </c>
      <c r="CI913" s="63" t="n">
        <v>8484.64415961824</v>
      </c>
      <c r="CJ913" s="64" t="n">
        <v>665578.857157857</v>
      </c>
      <c r="CK913" s="65" t="n">
        <v>1.2747766952588</v>
      </c>
    </row>
    <row r="914" customFormat="false" ht="15" hidden="false" customHeight="false" outlineLevel="0" collapsed="false">
      <c r="A914" s="7" t="s">
        <v>902</v>
      </c>
      <c r="B914" s="66" t="n">
        <v>894</v>
      </c>
      <c r="C914" s="8" t="s">
        <v>1000</v>
      </c>
      <c r="D914" s="107" t="n">
        <v>41621</v>
      </c>
      <c r="E914" s="4" t="s">
        <v>904</v>
      </c>
      <c r="F914" s="7" t="n">
        <v>1630</v>
      </c>
      <c r="G914" s="68" t="n">
        <v>2</v>
      </c>
      <c r="H914" s="68" t="n">
        <v>162</v>
      </c>
      <c r="I914" s="7" t="n">
        <v>1</v>
      </c>
      <c r="J914" s="8" t="n">
        <v>595</v>
      </c>
      <c r="K914" s="31" t="n">
        <v>417.953069725253</v>
      </c>
      <c r="L914" s="31" t="n">
        <v>938.288536298788</v>
      </c>
      <c r="M914" s="31" t="n">
        <v>165.792631655669</v>
      </c>
      <c r="N914" s="31" t="n">
        <v>353.5730027482</v>
      </c>
      <c r="O914" s="31" t="n">
        <v>63.1316172580375</v>
      </c>
      <c r="P914" s="31" t="n">
        <v>35.9978354949254</v>
      </c>
      <c r="Q914" s="31"/>
      <c r="R914" s="31" t="n">
        <v>161.940624747037</v>
      </c>
      <c r="S914" s="34" t="s">
        <v>905</v>
      </c>
      <c r="T914" s="35" t="n">
        <v>12.7972637714847</v>
      </c>
      <c r="U914" s="35" t="n">
        <v>8.46227769414897</v>
      </c>
      <c r="V914" s="35" t="n">
        <v>21.2595414656337</v>
      </c>
      <c r="W914" s="35" t="n">
        <v>19.9475840441728</v>
      </c>
      <c r="X914" s="35" t="n">
        <v>3.52467532738021</v>
      </c>
      <c r="Y914" s="35" t="n">
        <v>7.51679991305396</v>
      </c>
      <c r="Z914" s="35" t="n">
        <v>1.34214923488976</v>
      </c>
      <c r="AA914" s="53" t="n">
        <v>0.765297476377426</v>
      </c>
      <c r="AB914" s="101"/>
      <c r="AC914" s="71" t="n">
        <v>3.44278342678025</v>
      </c>
      <c r="AD914" s="38" t="n">
        <v>5.27236628347715</v>
      </c>
      <c r="AE914" s="38" t="n">
        <v>4.65312686348276</v>
      </c>
      <c r="AF914" s="38" t="n">
        <v>1.01229432642761</v>
      </c>
      <c r="AG914" s="38" t="n">
        <v>3.10015137468456</v>
      </c>
      <c r="AH914" s="38" t="n">
        <v>1.34164817126479</v>
      </c>
      <c r="AI914" s="38"/>
      <c r="AJ914" s="102" t="s">
        <v>906</v>
      </c>
      <c r="AK914" s="103" t="n">
        <v>752</v>
      </c>
      <c r="AL914" s="103" t="n">
        <v>767</v>
      </c>
      <c r="AM914" s="103" t="n">
        <v>713</v>
      </c>
      <c r="AN914" s="103" t="n">
        <v>587</v>
      </c>
      <c r="AO914" s="104" t="n">
        <v>23.86</v>
      </c>
      <c r="AP914" s="105" t="n">
        <v>1.104</v>
      </c>
      <c r="AQ914" s="105" t="n">
        <v>0.917</v>
      </c>
      <c r="AR914" s="105" t="n">
        <v>1.141</v>
      </c>
      <c r="AS914" s="77" t="n">
        <v>26.104</v>
      </c>
      <c r="AT914" s="78" t="n">
        <v>26.69</v>
      </c>
      <c r="AU914" s="78" t="n">
        <v>46.25</v>
      </c>
      <c r="AV914" s="78" t="n">
        <v>38.42</v>
      </c>
      <c r="AW914" s="78" t="n">
        <v>47.84</v>
      </c>
      <c r="AX914" s="78" t="n">
        <v>21.8936170212766</v>
      </c>
      <c r="AY914" s="48" t="n">
        <v>1.25543629636344</v>
      </c>
      <c r="AZ914" s="48" t="n">
        <v>21.2482337268783</v>
      </c>
      <c r="BA914" s="48" t="n">
        <v>0.011307738755356</v>
      </c>
      <c r="BB914" s="49" t="n">
        <f aca="false">AT914/V914</f>
        <v>1.25543629636344</v>
      </c>
      <c r="BC914" s="49" t="n">
        <f aca="false">AS914/V914</f>
        <v>1.22787220233313</v>
      </c>
      <c r="BD914" s="49" t="n">
        <f aca="false">SUM(AP914:AR914)/V914</f>
        <v>0.148733217276178</v>
      </c>
      <c r="BE914" s="53" t="n">
        <v>6.75</v>
      </c>
      <c r="BF914" s="51" t="n">
        <v>69.5</v>
      </c>
      <c r="BG914" s="51" t="n">
        <v>669.496402877698</v>
      </c>
      <c r="BH914" s="51" t="n">
        <v>155.395683453237</v>
      </c>
      <c r="BI914" s="51" t="n">
        <v>137.985611510791</v>
      </c>
      <c r="BJ914" s="51" t="n">
        <v>13.2374100719424</v>
      </c>
      <c r="BK914" s="51" t="n">
        <v>14.3884892086331</v>
      </c>
      <c r="BL914" s="51" t="n">
        <v>4.60431654676259</v>
      </c>
      <c r="BM914" s="51" t="n">
        <v>4.89208633093525</v>
      </c>
      <c r="BN914" s="52" t="n">
        <f aca="false">(BG914*0.5-BH914*0.25+BI914*0.5)/SUM(BG914:BI914)*1000</f>
        <v>378.95995218171</v>
      </c>
      <c r="BO914" s="93" t="n">
        <v>3.59081632653061</v>
      </c>
      <c r="BP914" s="94" t="s">
        <v>491</v>
      </c>
      <c r="BQ914" s="55" t="n">
        <v>384.3158</v>
      </c>
      <c r="BR914" s="56" t="n">
        <v>18.0773325060304</v>
      </c>
      <c r="BS914" s="56" t="n">
        <v>25.1190130795542</v>
      </c>
      <c r="BT914" s="56" t="n">
        <v>14.399243162233</v>
      </c>
      <c r="BU914" s="55" t="n">
        <v>12009.7839</v>
      </c>
      <c r="BV914" s="55" t="n">
        <v>564.912649664339</v>
      </c>
      <c r="BW914" s="55" t="n">
        <v>784.963612910838</v>
      </c>
      <c r="BX914" s="55" t="n">
        <v>450</v>
      </c>
      <c r="BY914" s="106" t="n">
        <v>0.1122</v>
      </c>
      <c r="BZ914" s="106" t="n">
        <v>0.81</v>
      </c>
      <c r="CA914" s="106" t="n">
        <v>4.37</v>
      </c>
      <c r="CB914" s="81"/>
      <c r="CC914" s="106" t="n">
        <v>3.53</v>
      </c>
      <c r="CD914" s="106" t="n">
        <v>4.83</v>
      </c>
      <c r="CE914" s="106" t="n">
        <v>93.7</v>
      </c>
      <c r="CF914" s="106" t="n">
        <v>38.1</v>
      </c>
      <c r="CG914" s="106" t="n">
        <v>0.4674</v>
      </c>
      <c r="CH914" s="63" t="n">
        <v>128970.775124548</v>
      </c>
      <c r="CI914" s="63" t="n">
        <v>4611.03577638607</v>
      </c>
      <c r="CJ914" s="64" t="n">
        <v>519684.249470874</v>
      </c>
      <c r="CK914" s="65" t="n">
        <v>0.887276414684661</v>
      </c>
    </row>
    <row r="915" customFormat="false" ht="15" hidden="false" customHeight="false" outlineLevel="0" collapsed="false">
      <c r="A915" s="7" t="s">
        <v>902</v>
      </c>
      <c r="B915" s="66" t="n">
        <v>895</v>
      </c>
      <c r="C915" s="8" t="s">
        <v>1001</v>
      </c>
      <c r="D915" s="107" t="n">
        <v>41625</v>
      </c>
      <c r="E915" s="4" t="s">
        <v>904</v>
      </c>
      <c r="F915" s="7" t="n">
        <v>1631</v>
      </c>
      <c r="G915" s="68" t="n">
        <v>2</v>
      </c>
      <c r="H915" s="68" t="n">
        <v>126</v>
      </c>
      <c r="I915" s="7" t="n">
        <v>1</v>
      </c>
      <c r="J915" s="8" t="n">
        <v>585</v>
      </c>
      <c r="K915" s="31" t="n">
        <v>416.010446865756</v>
      </c>
      <c r="L915" s="31" t="n">
        <v>938.295377996891</v>
      </c>
      <c r="M915" s="31" t="n">
        <v>165.636689431685</v>
      </c>
      <c r="N915" s="31" t="n">
        <v>354.247350080823</v>
      </c>
      <c r="O915" s="31" t="n">
        <v>63.1446741897921</v>
      </c>
      <c r="P915" s="31" t="n">
        <v>35.8944601024434</v>
      </c>
      <c r="Q915" s="31"/>
      <c r="R915" s="31" t="n">
        <v>161.315865682212</v>
      </c>
      <c r="S915" s="34" t="s">
        <v>905</v>
      </c>
      <c r="T915" s="35" t="n">
        <v>12.121534977702</v>
      </c>
      <c r="U915" s="35" t="n">
        <v>7.92909100030682</v>
      </c>
      <c r="V915" s="35" t="n">
        <v>20.0506259780088</v>
      </c>
      <c r="W915" s="35" t="n">
        <v>18.8134096811101</v>
      </c>
      <c r="X915" s="35" t="n">
        <v>3.32111930803033</v>
      </c>
      <c r="Y915" s="35" t="n">
        <v>7.10288112017134</v>
      </c>
      <c r="Z915" s="35" t="n">
        <v>1.26609024468275</v>
      </c>
      <c r="AA915" s="53" t="n">
        <v>0.719706394196652</v>
      </c>
      <c r="AB915" s="101"/>
      <c r="AC915" s="71" t="n">
        <v>3.23448408711273</v>
      </c>
      <c r="AD915" s="38" t="n">
        <v>4.93245399059017</v>
      </c>
      <c r="AE915" s="38" t="n">
        <v>4.36596164977089</v>
      </c>
      <c r="AF915" s="38" t="n">
        <v>0.976625890136853</v>
      </c>
      <c r="AG915" s="38" t="n">
        <v>2.60433570703161</v>
      </c>
      <c r="AH915" s="38" t="n">
        <v>1.26679836534615</v>
      </c>
      <c r="AI915" s="38"/>
      <c r="AJ915" s="102" t="s">
        <v>906</v>
      </c>
      <c r="AK915" s="103" t="n">
        <v>754</v>
      </c>
      <c r="AL915" s="103" t="n">
        <v>768</v>
      </c>
      <c r="AM915" s="103" t="n">
        <v>706</v>
      </c>
      <c r="AN915" s="103" t="n">
        <v>634</v>
      </c>
      <c r="AO915" s="104" t="n">
        <v>25.72</v>
      </c>
      <c r="AP915" s="105" t="n">
        <v>0.995</v>
      </c>
      <c r="AQ915" s="105" t="n">
        <v>0.965</v>
      </c>
      <c r="AR915" s="105" t="n">
        <v>1.244</v>
      </c>
      <c r="AS915" s="77" t="n">
        <v>25.213</v>
      </c>
      <c r="AT915" s="78" t="n">
        <v>26.29</v>
      </c>
      <c r="AU915" s="78" t="n">
        <v>38.68</v>
      </c>
      <c r="AV915" s="78" t="n">
        <v>37.53</v>
      </c>
      <c r="AW915" s="78" t="n">
        <v>48.35</v>
      </c>
      <c r="AX915" s="78" t="n">
        <v>22.5106382978723</v>
      </c>
      <c r="AY915" s="48" t="n">
        <v>1.31118100895376</v>
      </c>
      <c r="AZ915" s="48" t="n">
        <v>20.5677706528065</v>
      </c>
      <c r="BA915" s="48" t="n">
        <v>-0.517144674797741</v>
      </c>
      <c r="BB915" s="49" t="n">
        <f aca="false">AT915/V915</f>
        <v>1.31118100895376</v>
      </c>
      <c r="BC915" s="49" t="n">
        <f aca="false">AS915/V915</f>
        <v>1.25746697522826</v>
      </c>
      <c r="BD915" s="49" t="n">
        <f aca="false">SUM(AP915:AR915)/V915</f>
        <v>0.159795509801744</v>
      </c>
      <c r="BE915" s="53" t="n">
        <v>6.63</v>
      </c>
      <c r="BF915" s="51" t="n">
        <v>69.79</v>
      </c>
      <c r="BG915" s="51" t="n">
        <v>674.165353202464</v>
      </c>
      <c r="BH915" s="51" t="n">
        <v>153.603668147299</v>
      </c>
      <c r="BI915" s="51" t="n">
        <v>133.543487605674</v>
      </c>
      <c r="BJ915" s="51" t="n">
        <v>15.1884224100874</v>
      </c>
      <c r="BK915" s="51" t="n">
        <v>14.4719873907437</v>
      </c>
      <c r="BL915" s="51" t="n">
        <v>4.15532311219372</v>
      </c>
      <c r="BM915" s="51" t="n">
        <v>4.87175813153747</v>
      </c>
      <c r="BN915" s="52" t="n">
        <f aca="false">(BG915*0.5-BH915*0.25+BI915*0.5)/SUM(BG915:BI915)*1000</f>
        <v>380.160977791027</v>
      </c>
      <c r="BO915" s="93" t="n">
        <v>3.4</v>
      </c>
      <c r="BP915" s="94" t="s">
        <v>491</v>
      </c>
      <c r="BQ915" s="55" t="n">
        <v>399.5318</v>
      </c>
      <c r="BR915" s="56" t="n">
        <v>19.9261509559951</v>
      </c>
      <c r="BS915" s="56" t="n">
        <v>27.6517498281562</v>
      </c>
      <c r="BT915" s="56" t="n">
        <v>15.1971015595283</v>
      </c>
      <c r="BU915" s="55" t="n">
        <v>11747.37</v>
      </c>
      <c r="BV915" s="55" t="n">
        <v>585.885448807649</v>
      </c>
      <c r="BW915" s="55" t="n">
        <v>813.040004271968</v>
      </c>
      <c r="BX915" s="55" t="n">
        <v>447</v>
      </c>
      <c r="BY915" s="106" t="n">
        <v>0.1122</v>
      </c>
      <c r="BZ915" s="106" t="n">
        <v>0.87</v>
      </c>
      <c r="CA915" s="106" t="n">
        <v>3.93</v>
      </c>
      <c r="CB915" s="81"/>
      <c r="CC915" s="106" t="n">
        <v>4.05</v>
      </c>
      <c r="CD915" s="106" t="n">
        <v>5.51</v>
      </c>
      <c r="CE915" s="106" t="n">
        <v>92.7</v>
      </c>
      <c r="CF915" s="106" t="n">
        <v>35.2</v>
      </c>
      <c r="CG915" s="106" t="n">
        <v>0.1542</v>
      </c>
      <c r="CH915" s="63" t="n">
        <v>11869.1934067892</v>
      </c>
      <c r="CI915" s="63" t="n">
        <v>2400.01799294974</v>
      </c>
      <c r="CJ915" s="63" t="n">
        <v>223856.479869145</v>
      </c>
      <c r="CK915" s="85" t="n">
        <v>1.07212352948312</v>
      </c>
    </row>
    <row r="916" customFormat="false" ht="15" hidden="false" customHeight="false" outlineLevel="0" collapsed="false">
      <c r="A916" s="7" t="s">
        <v>902</v>
      </c>
      <c r="B916" s="66" t="n">
        <v>896</v>
      </c>
      <c r="C916" s="8" t="s">
        <v>1002</v>
      </c>
      <c r="D916" s="107" t="n">
        <v>41624</v>
      </c>
      <c r="E916" s="4" t="s">
        <v>904</v>
      </c>
      <c r="F916" s="7" t="n">
        <v>1632</v>
      </c>
      <c r="G916" s="68" t="n">
        <v>2</v>
      </c>
      <c r="H916" s="68" t="n">
        <v>105</v>
      </c>
      <c r="I916" s="7" t="n">
        <v>1</v>
      </c>
      <c r="J916" s="8" t="n">
        <v>469</v>
      </c>
      <c r="K916" s="31" t="n">
        <v>425.71380881821</v>
      </c>
      <c r="L916" s="31" t="n">
        <v>938.261203853033</v>
      </c>
      <c r="M916" s="31" t="n">
        <v>166.415617691272</v>
      </c>
      <c r="N916" s="31" t="n">
        <v>350.878998772628</v>
      </c>
      <c r="O916" s="31" t="n">
        <v>63.0794550793591</v>
      </c>
      <c r="P916" s="31" t="n">
        <v>36.4108181002535</v>
      </c>
      <c r="Q916" s="31"/>
      <c r="R916" s="31" t="n">
        <v>164.436524594176</v>
      </c>
      <c r="S916" s="34" t="s">
        <v>905</v>
      </c>
      <c r="T916" s="35" t="n">
        <v>9.58235408721853</v>
      </c>
      <c r="U916" s="35" t="n">
        <v>6.61509096229229</v>
      </c>
      <c r="V916" s="35" t="n">
        <v>16.1974450495108</v>
      </c>
      <c r="W916" s="35" t="n">
        <v>15.1974342914974</v>
      </c>
      <c r="X916" s="35" t="n">
        <v>2.69550782293478</v>
      </c>
      <c r="Y916" s="35" t="n">
        <v>5.68334330164702</v>
      </c>
      <c r="Z916" s="35" t="n">
        <v>1.02172600740101</v>
      </c>
      <c r="AA916" s="53" t="n">
        <v>0.58976222538659</v>
      </c>
      <c r="AB916" s="101"/>
      <c r="AC916" s="71" t="n">
        <v>2.6634515712467</v>
      </c>
      <c r="AD916" s="38" t="n">
        <v>4.27612549307086</v>
      </c>
      <c r="AE916" s="38" t="n">
        <v>3.8078897515796</v>
      </c>
      <c r="AF916" s="38" t="n">
        <v>0.863777349600313</v>
      </c>
      <c r="AG916" s="38" t="n">
        <v>2.00122673075716</v>
      </c>
      <c r="AH916" s="38" t="n">
        <v>1.02262337865076</v>
      </c>
      <c r="AI916" s="38"/>
      <c r="AJ916" s="102" t="s">
        <v>906</v>
      </c>
      <c r="AK916" s="103" t="n">
        <v>736</v>
      </c>
      <c r="AL916" s="103" t="n">
        <v>750</v>
      </c>
      <c r="AM916" s="103" t="n">
        <v>680</v>
      </c>
      <c r="AN916" s="103" t="n">
        <v>648</v>
      </c>
      <c r="AO916" s="104" t="n">
        <v>21.34</v>
      </c>
      <c r="AP916" s="105" t="n">
        <v>0.863</v>
      </c>
      <c r="AQ916" s="105" t="n">
        <v>0.771</v>
      </c>
      <c r="AR916" s="105" t="n">
        <v>1.042</v>
      </c>
      <c r="AS916" s="77" t="n">
        <v>21.481</v>
      </c>
      <c r="AT916" s="78" t="n">
        <v>22.1</v>
      </c>
      <c r="AU916" s="78" t="n">
        <v>40.43</v>
      </c>
      <c r="AV916" s="78" t="n">
        <v>36.13</v>
      </c>
      <c r="AW916" s="78" t="n">
        <v>48.83</v>
      </c>
      <c r="AX916" s="78" t="n">
        <v>23.7234042553191</v>
      </c>
      <c r="AY916" s="48" t="n">
        <v>1.36441271647762</v>
      </c>
      <c r="AZ916" s="48" t="n">
        <v>17.2541470399438</v>
      </c>
      <c r="BA916" s="48" t="n">
        <v>-1.05670199043298</v>
      </c>
      <c r="BB916" s="49" t="n">
        <f aca="false">AT916/V916</f>
        <v>1.36441271647762</v>
      </c>
      <c r="BC916" s="49" t="n">
        <f aca="false">AS916/V916</f>
        <v>1.32619681278985</v>
      </c>
      <c r="BD916" s="49" t="n">
        <f aca="false">SUM(AP916:AR916)/V916</f>
        <v>0.16521124114453</v>
      </c>
      <c r="BE916" s="53" t="n">
        <v>7.36</v>
      </c>
      <c r="BF916" s="51" t="n">
        <v>77.14</v>
      </c>
      <c r="BG916" s="51" t="n">
        <v>620.819289603319</v>
      </c>
      <c r="BH916" s="51" t="n">
        <v>204.692766398755</v>
      </c>
      <c r="BI916" s="51" t="n">
        <v>130.152968628468</v>
      </c>
      <c r="BJ916" s="51" t="n">
        <v>12.9634430904848</v>
      </c>
      <c r="BK916" s="51" t="n">
        <v>19.0562613430127</v>
      </c>
      <c r="BL916" s="51" t="n">
        <v>4.27793621986</v>
      </c>
      <c r="BM916" s="51" t="n">
        <v>8.0373347161006</v>
      </c>
      <c r="BN916" s="52" t="n">
        <f aca="false">(BG916*0.5-BH916*0.25+BI916*0.5)/SUM(BG916:BI916)*1000</f>
        <v>339.35838307108</v>
      </c>
      <c r="BO916" s="93" t="n">
        <v>4.20663265306122</v>
      </c>
      <c r="BP916" s="94" t="s">
        <v>491</v>
      </c>
      <c r="BQ916" s="55" t="n">
        <v>319.117222222222</v>
      </c>
      <c r="BR916" s="56" t="n">
        <v>19.7017011785979</v>
      </c>
      <c r="BS916" s="56" t="n">
        <v>27.9974646686041</v>
      </c>
      <c r="BT916" s="56" t="n">
        <v>14.4396933132227</v>
      </c>
      <c r="BU916" s="55" t="n">
        <v>9513.35611111111</v>
      </c>
      <c r="BV916" s="55" t="n">
        <v>587.336835039821</v>
      </c>
      <c r="BW916" s="55" t="n">
        <v>834.645807411814</v>
      </c>
      <c r="BX916" s="55" t="n">
        <v>431</v>
      </c>
      <c r="BY916" s="106" t="n">
        <v>0.2142</v>
      </c>
      <c r="BZ916" s="106" t="n">
        <v>0.64</v>
      </c>
      <c r="CA916" s="106" t="n">
        <v>4.55</v>
      </c>
      <c r="CB916" s="81"/>
      <c r="CC916" s="106" t="n">
        <v>5.19</v>
      </c>
      <c r="CD916" s="106" t="n">
        <v>5.93</v>
      </c>
      <c r="CE916" s="106" t="n">
        <v>102</v>
      </c>
      <c r="CF916" s="106" t="n">
        <v>37.4</v>
      </c>
      <c r="CG916" s="106" t="n">
        <v>0.1043</v>
      </c>
      <c r="CH916" s="63" t="n">
        <v>126811.29965157</v>
      </c>
      <c r="CI916" s="63" t="n">
        <v>3666.39473336702</v>
      </c>
      <c r="CJ916" s="64" t="n">
        <v>388291.852365988</v>
      </c>
      <c r="CK916" s="65" t="n">
        <v>0.944236844277439</v>
      </c>
    </row>
    <row r="917" customFormat="false" ht="15" hidden="false" customHeight="false" outlineLevel="0" collapsed="false">
      <c r="A917" s="7" t="s">
        <v>902</v>
      </c>
      <c r="B917" s="66" t="n">
        <v>897</v>
      </c>
      <c r="C917" s="8" t="s">
        <v>1003</v>
      </c>
      <c r="D917" s="107" t="n">
        <v>41621</v>
      </c>
      <c r="E917" s="4" t="s">
        <v>904</v>
      </c>
      <c r="F917" s="7" t="n">
        <v>1638</v>
      </c>
      <c r="G917" s="68" t="n">
        <v>2</v>
      </c>
      <c r="H917" s="68" t="n">
        <v>108</v>
      </c>
      <c r="I917" s="7" t="n">
        <v>1</v>
      </c>
      <c r="J917" s="8" t="n">
        <v>548</v>
      </c>
      <c r="K917" s="31" t="n">
        <v>421.346711199917</v>
      </c>
      <c r="L917" s="31" t="n">
        <v>938.276584277156</v>
      </c>
      <c r="M917" s="31" t="n">
        <v>166.065053035029</v>
      </c>
      <c r="N917" s="31" t="n">
        <v>352.394959843407</v>
      </c>
      <c r="O917" s="31" t="n">
        <v>63.108807609259</v>
      </c>
      <c r="P917" s="31" t="n">
        <v>36.1784258847026</v>
      </c>
      <c r="Q917" s="31"/>
      <c r="R917" s="31" t="n">
        <v>163.032040028031</v>
      </c>
      <c r="S917" s="34" t="s">
        <v>905</v>
      </c>
      <c r="T917" s="35" t="n">
        <v>13.2910655823259</v>
      </c>
      <c r="U917" s="35" t="n">
        <v>8.95619412426438</v>
      </c>
      <c r="V917" s="35" t="n">
        <v>22.2472597065903</v>
      </c>
      <c r="W917" s="35" t="n">
        <v>20.8740828470263</v>
      </c>
      <c r="X917" s="35" t="n">
        <v>3.69449236305898</v>
      </c>
      <c r="Y917" s="35" t="n">
        <v>7.83982219092972</v>
      </c>
      <c r="Z917" s="35" t="n">
        <v>1.40399803265643</v>
      </c>
      <c r="AA917" s="53" t="n">
        <v>0.804870836432607</v>
      </c>
      <c r="AB917" s="101"/>
      <c r="AC917" s="71" t="n">
        <v>3.62701613499882</v>
      </c>
      <c r="AD917" s="38" t="n">
        <v>5.40608410870144</v>
      </c>
      <c r="AE917" s="38" t="n">
        <v>4.77438318059968</v>
      </c>
      <c r="AF917" s="38" t="n">
        <v>1.09743507406639</v>
      </c>
      <c r="AG917" s="38" t="n">
        <v>2.85981849350306</v>
      </c>
      <c r="AH917" s="38" t="n">
        <v>1.4024590383709</v>
      </c>
      <c r="AI917" s="38"/>
      <c r="AJ917" s="102" t="s">
        <v>906</v>
      </c>
      <c r="AK917" s="103" t="n">
        <v>757</v>
      </c>
      <c r="AL917" s="103" t="n">
        <v>771</v>
      </c>
      <c r="AM917" s="103" t="n">
        <v>703</v>
      </c>
      <c r="AN917" s="103" t="n">
        <v>635</v>
      </c>
      <c r="AO917" s="104" t="n">
        <v>29.83</v>
      </c>
      <c r="AP917" s="105" t="n">
        <v>1.353</v>
      </c>
      <c r="AQ917" s="105" t="n">
        <v>1.08</v>
      </c>
      <c r="AR917" s="105" t="n">
        <v>1.379</v>
      </c>
      <c r="AS917" s="77" t="n">
        <v>32.227</v>
      </c>
      <c r="AT917" s="78" t="n">
        <v>32.29</v>
      </c>
      <c r="AU917" s="78" t="n">
        <v>45.36</v>
      </c>
      <c r="AV917" s="78" t="n">
        <v>36.2</v>
      </c>
      <c r="AW917" s="78" t="n">
        <v>46.22</v>
      </c>
      <c r="AX917" s="78" t="n">
        <v>21.5531914893617</v>
      </c>
      <c r="AY917" s="48" t="n">
        <v>1.45141471020967</v>
      </c>
      <c r="AZ917" s="48" t="n">
        <v>22.3656933355395</v>
      </c>
      <c r="BA917" s="48" t="n">
        <v>-0.118433628949258</v>
      </c>
      <c r="BB917" s="49" t="n">
        <f aca="false">AT917/V917</f>
        <v>1.45141471020967</v>
      </c>
      <c r="BC917" s="49" t="n">
        <f aca="false">AS917/V917</f>
        <v>1.44858290077197</v>
      </c>
      <c r="BD917" s="49" t="n">
        <f aca="false">SUM(AP917:AR917)/V917</f>
        <v>0.171346945658695</v>
      </c>
      <c r="BE917" s="53" t="n">
        <v>7.34</v>
      </c>
      <c r="BF917" s="51" t="n">
        <v>78.67</v>
      </c>
      <c r="BG917" s="51" t="n">
        <v>638.23566798017</v>
      </c>
      <c r="BH917" s="51" t="n">
        <v>184.441337231473</v>
      </c>
      <c r="BI917" s="51" t="n">
        <v>132.706241260964</v>
      </c>
      <c r="BJ917" s="51" t="n">
        <v>15.6349307232744</v>
      </c>
      <c r="BK917" s="51" t="n">
        <v>18.1771958815304</v>
      </c>
      <c r="BL917" s="51" t="n">
        <v>5.21164357442481</v>
      </c>
      <c r="BM917" s="51" t="n">
        <v>5.59298334816321</v>
      </c>
      <c r="BN917" s="52" t="n">
        <f aca="false">(BG917*0.5-BH917*0.25+BI917*0.5)/SUM(BG917:BI917)*1000</f>
        <v>355.208887706227</v>
      </c>
      <c r="BO917" s="93" t="n">
        <v>4.63163265306122</v>
      </c>
      <c r="BP917" s="94" t="s">
        <v>491</v>
      </c>
      <c r="BQ917" s="55" t="n">
        <v>385.0583</v>
      </c>
      <c r="BR917" s="56" t="n">
        <v>17.3081226667181</v>
      </c>
      <c r="BS917" s="56" t="n">
        <v>23.9257030506395</v>
      </c>
      <c r="BT917" s="56" t="n">
        <v>11.925001548467</v>
      </c>
      <c r="BU917" s="55" t="n">
        <v>11179.4835</v>
      </c>
      <c r="BV917" s="55" t="n">
        <v>502.510585458231</v>
      </c>
      <c r="BW917" s="55" t="n">
        <v>694.640272604237</v>
      </c>
      <c r="BX917" s="55" t="n">
        <v>346</v>
      </c>
      <c r="BY917" s="106" t="n">
        <v>0.663</v>
      </c>
      <c r="BZ917" s="106" t="n">
        <v>0.83</v>
      </c>
      <c r="CA917" s="106" t="n">
        <v>3.87</v>
      </c>
      <c r="CB917" s="81"/>
      <c r="CC917" s="106" t="n">
        <v>4.14</v>
      </c>
      <c r="CD917" s="106" t="n">
        <v>9.51</v>
      </c>
      <c r="CE917" s="106" t="n">
        <v>92.7</v>
      </c>
      <c r="CF917" s="106" t="n">
        <v>38.7</v>
      </c>
      <c r="CG917" s="106" t="n">
        <v>0.0888</v>
      </c>
      <c r="CH917" s="63" t="n">
        <v>129242.084116746</v>
      </c>
      <c r="CI917" s="63" t="n">
        <v>4582.4939008554</v>
      </c>
      <c r="CJ917" s="64" t="n">
        <v>522641.990719617</v>
      </c>
      <c r="CK917" s="65" t="n">
        <v>0.876794054481891</v>
      </c>
    </row>
    <row r="918" customFormat="false" ht="15" hidden="false" customHeight="false" outlineLevel="0" collapsed="false">
      <c r="A918" s="7" t="s">
        <v>902</v>
      </c>
      <c r="B918" s="66" t="n">
        <v>898</v>
      </c>
      <c r="C918" s="8" t="s">
        <v>1004</v>
      </c>
      <c r="D918" s="107" t="n">
        <v>41625</v>
      </c>
      <c r="E918" s="4" t="s">
        <v>904</v>
      </c>
      <c r="F918" s="7" t="n">
        <v>1647</v>
      </c>
      <c r="G918" s="68" t="n">
        <v>2</v>
      </c>
      <c r="H918" s="68" t="n">
        <v>104</v>
      </c>
      <c r="I918" s="7" t="n">
        <v>1</v>
      </c>
      <c r="J918" s="8" t="n">
        <v>501</v>
      </c>
      <c r="K918" s="31" t="n">
        <v>418.980919467472</v>
      </c>
      <c r="L918" s="31" t="n">
        <v>938.284916328191</v>
      </c>
      <c r="M918" s="31" t="n">
        <v>165.875141327548</v>
      </c>
      <c r="N918" s="31" t="n">
        <v>353.216202801873</v>
      </c>
      <c r="O918" s="31" t="n">
        <v>63.1247087817615</v>
      </c>
      <c r="P918" s="31" t="n">
        <v>36.0525318401243</v>
      </c>
      <c r="Q918" s="31"/>
      <c r="R918" s="31" t="n">
        <v>162.271187336986</v>
      </c>
      <c r="S918" s="34" t="s">
        <v>905</v>
      </c>
      <c r="T918" s="35" t="n">
        <v>11.0689574335405</v>
      </c>
      <c r="U918" s="35" t="n">
        <v>7.36142268874501</v>
      </c>
      <c r="V918" s="35" t="n">
        <v>18.4303801222855</v>
      </c>
      <c r="W918" s="35" t="n">
        <v>17.2929476709354</v>
      </c>
      <c r="X918" s="35" t="n">
        <v>3.05714190750454</v>
      </c>
      <c r="Y918" s="35" t="n">
        <v>6.50990888298879</v>
      </c>
      <c r="Z918" s="35" t="n">
        <v>1.16341237795644</v>
      </c>
      <c r="AA918" s="53" t="n">
        <v>0.664461866184293</v>
      </c>
      <c r="AB918" s="101"/>
      <c r="AC918" s="71" t="n">
        <v>2.99071966551525</v>
      </c>
      <c r="AD918" s="38" t="n">
        <v>5.04992415350623</v>
      </c>
      <c r="AE918" s="38" t="n">
        <v>4.55427409783959</v>
      </c>
      <c r="AF918" s="38" t="n">
        <v>1.02513460316176</v>
      </c>
      <c r="AG918" s="38" t="n">
        <v>2.44416329029701</v>
      </c>
      <c r="AH918" s="38" t="n">
        <v>1.16411610085233</v>
      </c>
      <c r="AI918" s="38"/>
      <c r="AJ918" s="102" t="s">
        <v>906</v>
      </c>
      <c r="AK918" s="103" t="n">
        <v>726</v>
      </c>
      <c r="AL918" s="103" t="n">
        <v>737</v>
      </c>
      <c r="AM918" s="103" t="n">
        <v>665</v>
      </c>
      <c r="AN918" s="103" t="n">
        <v>625</v>
      </c>
      <c r="AO918" s="104" t="n">
        <v>22.74</v>
      </c>
      <c r="AP918" s="105" t="n">
        <v>1.081</v>
      </c>
      <c r="AQ918" s="105" t="n">
        <v>0.841</v>
      </c>
      <c r="AR918" s="105" t="n">
        <v>1.098</v>
      </c>
      <c r="AS918" s="77" t="n">
        <v>25.311</v>
      </c>
      <c r="AT918" s="78" t="n">
        <v>25.6</v>
      </c>
      <c r="AU918" s="78" t="n">
        <v>47.54</v>
      </c>
      <c r="AV918" s="78" t="n">
        <v>36.98</v>
      </c>
      <c r="AW918" s="78" t="n">
        <v>48.29</v>
      </c>
      <c r="AX918" s="78" t="n">
        <v>22.0851063829787</v>
      </c>
      <c r="AY918" s="48" t="n">
        <v>1.38901096071509</v>
      </c>
      <c r="AZ918" s="48" t="n">
        <v>19.1055440705389</v>
      </c>
      <c r="BA918" s="48" t="n">
        <v>-0.675163948253445</v>
      </c>
      <c r="BB918" s="49" t="n">
        <f aca="false">AT918/V918</f>
        <v>1.38901096071509</v>
      </c>
      <c r="BC918" s="49" t="n">
        <f aca="false">AS918/V918</f>
        <v>1.37333032916639</v>
      </c>
      <c r="BD918" s="49" t="n">
        <f aca="false">SUM(AP918:AR918)/V918</f>
        <v>0.163859886771858</v>
      </c>
      <c r="BE918" s="53" t="n">
        <v>6.42</v>
      </c>
      <c r="BF918" s="51" t="n">
        <v>116.63</v>
      </c>
      <c r="BG918" s="51" t="n">
        <v>604.13272742862</v>
      </c>
      <c r="BH918" s="51" t="n">
        <v>204.578581840007</v>
      </c>
      <c r="BI918" s="51" t="n">
        <v>145.760096030181</v>
      </c>
      <c r="BJ918" s="51" t="n">
        <v>12.5182200120038</v>
      </c>
      <c r="BK918" s="51" t="n">
        <v>18.4343650861699</v>
      </c>
      <c r="BL918" s="51" t="n">
        <v>4.71576781274115</v>
      </c>
      <c r="BM918" s="51" t="n">
        <v>9.94598302323587</v>
      </c>
      <c r="BN918" s="52" t="n">
        <f aca="false">(BG918*0.5-BH918*0.25+BI918*0.5)/SUM(BG918:BI918)*1000</f>
        <v>339.247215235358</v>
      </c>
      <c r="BO918" s="93" t="n">
        <v>5.16938775510204</v>
      </c>
      <c r="BP918" s="94" t="s">
        <v>491</v>
      </c>
      <c r="BQ918" s="55" t="n">
        <v>362.8707</v>
      </c>
      <c r="BR918" s="56" t="n">
        <v>19.6887257664983</v>
      </c>
      <c r="BS918" s="56" t="n">
        <v>28.4718303568006</v>
      </c>
      <c r="BT918" s="56" t="n">
        <v>14.17463671875</v>
      </c>
      <c r="BU918" s="55" t="n">
        <v>10080.5645</v>
      </c>
      <c r="BV918" s="55" t="n">
        <v>546.953694558414</v>
      </c>
      <c r="BW918" s="55" t="n">
        <v>790.948738337888</v>
      </c>
      <c r="BX918" s="55" t="n">
        <v>394</v>
      </c>
      <c r="BY918" s="106" t="n">
        <v>0.1224</v>
      </c>
      <c r="BZ918" s="106" t="n">
        <v>1.16</v>
      </c>
      <c r="CA918" s="106" t="n">
        <v>4.29</v>
      </c>
      <c r="CB918" s="81"/>
      <c r="CC918" s="106" t="n">
        <v>3.36</v>
      </c>
      <c r="CD918" s="106" t="n">
        <v>5.66</v>
      </c>
      <c r="CE918" s="106" t="n">
        <v>103</v>
      </c>
      <c r="CF918" s="106" t="n">
        <v>38.1</v>
      </c>
      <c r="CG918" s="106" t="n">
        <v>0.5561</v>
      </c>
      <c r="CH918" s="63" t="n">
        <v>136570.670715949</v>
      </c>
      <c r="CI918" s="63" t="n">
        <v>4108.59788436841</v>
      </c>
      <c r="CJ918" s="64" t="n">
        <v>575813.566353489</v>
      </c>
      <c r="CK918" s="65" t="n">
        <v>0.713529191468574</v>
      </c>
    </row>
    <row r="919" customFormat="false" ht="15" hidden="false" customHeight="false" outlineLevel="0" collapsed="false">
      <c r="A919" s="7" t="s">
        <v>902</v>
      </c>
      <c r="B919" s="66" t="n">
        <v>899</v>
      </c>
      <c r="C919" s="8" t="s">
        <v>1005</v>
      </c>
      <c r="D919" s="107" t="n">
        <v>41624</v>
      </c>
      <c r="E919" s="4" t="s">
        <v>904</v>
      </c>
      <c r="F919" s="7" t="n">
        <v>1648</v>
      </c>
      <c r="G919" s="68" t="n">
        <v>2</v>
      </c>
      <c r="H919" s="68" t="n">
        <v>113</v>
      </c>
      <c r="I919" s="7" t="n">
        <v>1</v>
      </c>
      <c r="J919" s="8" t="n">
        <v>576</v>
      </c>
      <c r="K919" s="31" t="n">
        <v>421.225071853826</v>
      </c>
      <c r="L919" s="31" t="n">
        <v>938.277012677182</v>
      </c>
      <c r="M919" s="31" t="n">
        <v>166.055288550863</v>
      </c>
      <c r="N919" s="31" t="n">
        <v>352.437184801369</v>
      </c>
      <c r="O919" s="31" t="n">
        <v>63.1096251825892</v>
      </c>
      <c r="P919" s="31" t="n">
        <v>36.1719529272359</v>
      </c>
      <c r="Q919" s="31"/>
      <c r="R919" s="31" t="n">
        <v>162.992920090912</v>
      </c>
      <c r="S919" s="34" t="s">
        <v>905</v>
      </c>
      <c r="T919" s="35" t="n">
        <v>12.818055426678</v>
      </c>
      <c r="U919" s="35" t="n">
        <v>8.63162743857488</v>
      </c>
      <c r="V919" s="35" t="n">
        <v>21.4496828652529</v>
      </c>
      <c r="W919" s="35" t="n">
        <v>20.1257443616824</v>
      </c>
      <c r="X919" s="35" t="n">
        <v>3.56183327751406</v>
      </c>
      <c r="Y919" s="35" t="n">
        <v>7.55966584391189</v>
      </c>
      <c r="Z919" s="35" t="n">
        <v>1.35368144591152</v>
      </c>
      <c r="AA919" s="53" t="n">
        <v>0.775876918906065</v>
      </c>
      <c r="AB919" s="101"/>
      <c r="AC919" s="71" t="n">
        <v>3.49614644523156</v>
      </c>
      <c r="AD919" s="38" t="n">
        <v>6.22040803092334</v>
      </c>
      <c r="AE919" s="38" t="n">
        <v>5.52589947427075</v>
      </c>
      <c r="AF919" s="38" t="n">
        <v>1.36848976680313</v>
      </c>
      <c r="AG919" s="38" t="n">
        <v>2.93603259059581</v>
      </c>
      <c r="AH919" s="38" t="n">
        <v>1.35286786517631</v>
      </c>
      <c r="AI919" s="38"/>
      <c r="AJ919" s="102" t="s">
        <v>906</v>
      </c>
      <c r="AK919" s="103" t="n">
        <v>710</v>
      </c>
      <c r="AL919" s="103" t="n">
        <v>725</v>
      </c>
      <c r="AM919" s="103" t="n">
        <v>616</v>
      </c>
      <c r="AN919" s="103" t="n">
        <v>611</v>
      </c>
      <c r="AO919" s="104" t="n">
        <v>27.4</v>
      </c>
      <c r="AP919" s="105" t="n">
        <v>1.126</v>
      </c>
      <c r="AQ919" s="105" t="n">
        <v>1.023</v>
      </c>
      <c r="AR919" s="105" t="n">
        <v>1.326</v>
      </c>
      <c r="AS919" s="77" t="n">
        <v>27.85</v>
      </c>
      <c r="AT919" s="78" t="n">
        <v>28.78</v>
      </c>
      <c r="AU919" s="78" t="n">
        <v>41.08</v>
      </c>
      <c r="AV919" s="78" t="n">
        <v>37.33</v>
      </c>
      <c r="AW919" s="78" t="n">
        <v>48.38</v>
      </c>
      <c r="AX919" s="78" t="n">
        <v>18.1276595744681</v>
      </c>
      <c r="AY919" s="48" t="n">
        <v>1.34174477920239</v>
      </c>
      <c r="AZ919" s="48" t="n">
        <v>21.2571096287254</v>
      </c>
      <c r="BA919" s="48" t="n">
        <v>0.192573236527526</v>
      </c>
      <c r="BB919" s="49" t="n">
        <f aca="false">AT919/V919</f>
        <v>1.34174477920239</v>
      </c>
      <c r="BC919" s="49" t="n">
        <f aca="false">AS919/V919</f>
        <v>1.29838749481538</v>
      </c>
      <c r="BD919" s="49" t="n">
        <f aca="false">SUM(AP919:AR919)/V919</f>
        <v>0.162007057252547</v>
      </c>
      <c r="BE919" s="53" t="n">
        <v>6.61</v>
      </c>
      <c r="BF919" s="51" t="n">
        <v>109.02</v>
      </c>
      <c r="BG919" s="51" t="n">
        <v>648.963492937076</v>
      </c>
      <c r="BH919" s="51" t="n">
        <v>170.060539350578</v>
      </c>
      <c r="BI919" s="51" t="n">
        <v>140.157769216658</v>
      </c>
      <c r="BJ919" s="51" t="n">
        <v>13.4837644468905</v>
      </c>
      <c r="BK919" s="51" t="n">
        <v>15.9603742432581</v>
      </c>
      <c r="BL919" s="51" t="n">
        <v>4.40286186020914</v>
      </c>
      <c r="BM919" s="51" t="n">
        <v>6.87947165657678</v>
      </c>
      <c r="BN919" s="52" t="n">
        <f aca="false">(BG919*0.5-BH919*0.25+BI919*0.5)/SUM(BG919:BI919)*1000</f>
        <v>367.026871951803</v>
      </c>
      <c r="BO919" s="93" t="n">
        <v>2.30714285714286</v>
      </c>
      <c r="BP919" s="94" t="s">
        <v>491</v>
      </c>
      <c r="BQ919" s="55" t="n">
        <v>393.757875</v>
      </c>
      <c r="BR919" s="56" t="n">
        <v>18.3572818989255</v>
      </c>
      <c r="BS919" s="56" t="n">
        <v>26.9860483460611</v>
      </c>
      <c r="BT919" s="56" t="n">
        <v>13.6816495830438</v>
      </c>
      <c r="BU919" s="55" t="n">
        <v>11122.497375</v>
      </c>
      <c r="BV919" s="55" t="n">
        <v>518.539012668469</v>
      </c>
      <c r="BW919" s="55" t="n">
        <v>762.276187849417</v>
      </c>
      <c r="BX919" s="55" t="n">
        <v>387</v>
      </c>
      <c r="BY919" s="106" t="n">
        <v>0.1428</v>
      </c>
      <c r="BZ919" s="106" t="n">
        <v>1.02</v>
      </c>
      <c r="CA919" s="106" t="n">
        <v>4.11</v>
      </c>
      <c r="CB919" s="81"/>
      <c r="CC919" s="106" t="n">
        <v>3.48</v>
      </c>
      <c r="CD919" s="106" t="n">
        <v>6.48</v>
      </c>
      <c r="CE919" s="106" t="n">
        <v>84.5</v>
      </c>
      <c r="CF919" s="106" t="n">
        <v>38.4</v>
      </c>
      <c r="CG919" s="106" t="n">
        <v>0.1831</v>
      </c>
      <c r="CH919" s="63" t="n">
        <v>111728.923469713</v>
      </c>
      <c r="CI919" s="63" t="n">
        <v>3095.13026165687</v>
      </c>
      <c r="CJ919" s="64" t="n">
        <v>507262.070692257</v>
      </c>
      <c r="CK919" s="65" t="n">
        <v>0.610163944927515</v>
      </c>
    </row>
    <row r="920" s="1" customFormat="true" ht="15" hidden="false" customHeight="false" outlineLevel="0" collapsed="false">
      <c r="A920" s="7"/>
      <c r="B920" s="66"/>
      <c r="C920" s="8"/>
      <c r="D920" s="7"/>
      <c r="E920" s="4"/>
      <c r="F920" s="7"/>
      <c r="G920" s="68"/>
      <c r="H920" s="68"/>
      <c r="I920" s="7"/>
      <c r="J920" s="8"/>
      <c r="K920" s="32"/>
      <c r="L920" s="32"/>
      <c r="M920" s="32"/>
      <c r="N920" s="32"/>
      <c r="O920" s="33"/>
      <c r="P920" s="33"/>
      <c r="Q920" s="33"/>
      <c r="R920" s="32"/>
      <c r="S920" s="34"/>
      <c r="T920" s="35"/>
      <c r="U920" s="35"/>
      <c r="V920" s="35"/>
      <c r="W920" s="35"/>
      <c r="X920" s="35"/>
      <c r="Y920" s="35"/>
      <c r="Z920" s="35"/>
      <c r="AA920" s="35"/>
      <c r="AB920" s="35"/>
      <c r="AC920" s="71"/>
      <c r="AD920" s="38"/>
      <c r="AE920" s="38"/>
      <c r="AF920" s="38"/>
      <c r="AG920" s="38"/>
      <c r="AH920" s="38"/>
      <c r="AI920" s="38"/>
      <c r="AJ920" s="102"/>
      <c r="AK920" s="103"/>
      <c r="AL920" s="103"/>
      <c r="AM920" s="103"/>
      <c r="AN920" s="103"/>
      <c r="AO920" s="104"/>
      <c r="AP920" s="105"/>
      <c r="AQ920" s="105"/>
      <c r="AR920" s="105"/>
      <c r="AS920" s="77"/>
      <c r="AT920" s="78"/>
      <c r="AU920" s="78"/>
      <c r="AV920" s="78"/>
      <c r="AW920" s="78"/>
      <c r="AX920" s="78"/>
      <c r="AY920" s="48"/>
      <c r="AZ920" s="48"/>
      <c r="BA920" s="48"/>
      <c r="BB920" s="49"/>
      <c r="BC920" s="49"/>
      <c r="BD920" s="49"/>
      <c r="BE920" s="53"/>
      <c r="BF920" s="51"/>
      <c r="BG920" s="51"/>
      <c r="BH920" s="51"/>
      <c r="BI920" s="51"/>
      <c r="BJ920" s="51"/>
      <c r="BK920" s="51"/>
      <c r="BL920" s="51"/>
      <c r="BM920" s="51"/>
      <c r="BN920" s="52"/>
      <c r="BO920" s="93"/>
      <c r="BP920" s="94"/>
      <c r="BQ920" s="55"/>
      <c r="BR920" s="56"/>
      <c r="BS920" s="56"/>
      <c r="BT920" s="56"/>
      <c r="BU920" s="55"/>
      <c r="BV920" s="55"/>
      <c r="BW920" s="55"/>
      <c r="BX920" s="55"/>
      <c r="BY920" s="106"/>
      <c r="BZ920" s="106"/>
      <c r="CA920" s="106"/>
      <c r="CB920" s="81"/>
      <c r="CC920" s="106"/>
      <c r="CD920" s="106"/>
      <c r="CE920" s="106"/>
      <c r="CF920" s="106"/>
      <c r="CG920" s="106"/>
    </row>
    <row r="921" customFormat="false" ht="15" hidden="false" customHeight="false" outlineLevel="0" collapsed="false">
      <c r="A921" s="7" t="s">
        <v>1006</v>
      </c>
      <c r="B921" s="66" t="n">
        <v>900</v>
      </c>
      <c r="C921" s="8" t="s">
        <v>1007</v>
      </c>
      <c r="D921" s="110" t="n">
        <v>41304</v>
      </c>
      <c r="E921" s="4" t="s">
        <v>1008</v>
      </c>
      <c r="F921" s="7" t="n">
        <v>4299</v>
      </c>
      <c r="G921" s="68" t="n">
        <v>2</v>
      </c>
      <c r="H921" s="68" t="n">
        <v>150</v>
      </c>
      <c r="I921" s="7" t="n">
        <v>2</v>
      </c>
      <c r="J921" s="8" t="n">
        <v>692</v>
      </c>
      <c r="K921" s="32" t="n">
        <v>547</v>
      </c>
      <c r="L921" s="32" t="n">
        <v>922</v>
      </c>
      <c r="M921" s="32" t="n">
        <v>157</v>
      </c>
      <c r="N921" s="32" t="n">
        <v>402</v>
      </c>
      <c r="O921" s="33" t="n">
        <v>65.6</v>
      </c>
      <c r="P921" s="33"/>
      <c r="Q921" s="33"/>
      <c r="R921" s="32" t="n">
        <v>165</v>
      </c>
      <c r="S921" s="34" t="s">
        <v>1009</v>
      </c>
      <c r="T921" s="35" t="n">
        <v>12.9</v>
      </c>
      <c r="U921" s="35" t="n">
        <v>10.6</v>
      </c>
      <c r="V921" s="35" t="n">
        <v>23.5</v>
      </c>
      <c r="W921" s="35" t="n">
        <v>21.7</v>
      </c>
      <c r="X921" s="35" t="n">
        <v>3.69</v>
      </c>
      <c r="Y921" s="35" t="n">
        <v>9.45</v>
      </c>
      <c r="Z921" s="35" t="n">
        <v>1.54</v>
      </c>
      <c r="AA921" s="35"/>
      <c r="AB921" s="35"/>
      <c r="AC921" s="71" t="n">
        <v>3.88</v>
      </c>
      <c r="AD921" s="38" t="n">
        <v>6.77</v>
      </c>
      <c r="AE921" s="38" t="n">
        <v>5.95</v>
      </c>
      <c r="AF921" s="38" t="n">
        <v>1.22</v>
      </c>
      <c r="AG921" s="38" t="n">
        <v>3.71</v>
      </c>
      <c r="AH921" s="38"/>
      <c r="AI921" s="38"/>
      <c r="AJ921" s="102" t="s">
        <v>1010</v>
      </c>
      <c r="AK921" s="111" t="n">
        <v>712</v>
      </c>
      <c r="AL921" s="111" t="n">
        <v>726</v>
      </c>
      <c r="AM921" s="111" t="n">
        <v>671</v>
      </c>
      <c r="AN921" s="111" t="n">
        <v>608</v>
      </c>
      <c r="AO921" s="104" t="n">
        <v>35.4</v>
      </c>
      <c r="AP921" s="105" t="n">
        <v>1.44</v>
      </c>
      <c r="AQ921" s="105" t="n">
        <v>1.28</v>
      </c>
      <c r="AR921" s="105" t="n">
        <v>1.66</v>
      </c>
      <c r="AS921" s="77" t="n">
        <v>35.76</v>
      </c>
      <c r="AT921" s="78" t="n">
        <v>36.4</v>
      </c>
      <c r="AU921" s="78" t="n">
        <v>40.7</v>
      </c>
      <c r="AV921" s="78" t="n">
        <v>36.3</v>
      </c>
      <c r="AW921" s="78" t="n">
        <v>47</v>
      </c>
      <c r="AX921" s="78"/>
      <c r="AY921" s="48" t="n">
        <v>1.54893617021277</v>
      </c>
      <c r="AZ921" s="48" t="n">
        <v>26.1501794970395</v>
      </c>
      <c r="BA921" s="48" t="n">
        <v>-2.65017949703946</v>
      </c>
      <c r="BB921" s="49" t="n">
        <f aca="false">AT921/V921</f>
        <v>1.54893617021277</v>
      </c>
      <c r="BC921" s="49" t="n">
        <f aca="false">AS921/V921</f>
        <v>1.52170212765957</v>
      </c>
      <c r="BD921" s="49" t="n">
        <f aca="false">SUM(AP921:AR921)/V921</f>
        <v>0.186382978723404</v>
      </c>
      <c r="BE921" s="53" t="n">
        <v>6.68</v>
      </c>
      <c r="BF921" s="51" t="n">
        <v>142.5</v>
      </c>
      <c r="BG921" s="51" t="n">
        <v>664.39298245614</v>
      </c>
      <c r="BH921" s="51" t="n">
        <v>177.578947368421</v>
      </c>
      <c r="BI921" s="51" t="n">
        <v>93.6771929824561</v>
      </c>
      <c r="BJ921" s="51" t="n">
        <v>12.0561403508772</v>
      </c>
      <c r="BK921" s="51" t="n">
        <v>20.3087719298246</v>
      </c>
      <c r="BL921" s="51" t="n">
        <v>18.3859649122807</v>
      </c>
      <c r="BM921" s="51" t="n">
        <v>13.6842105263158</v>
      </c>
      <c r="BN921" s="52" t="n">
        <f aca="false">(BG921*0.5-BH921*0.25+BI921*0.5)/SUM(BG921:BI921)*1000</f>
        <v>357.65581639541</v>
      </c>
      <c r="BO921" s="93" t="n">
        <v>4.44</v>
      </c>
      <c r="BP921" s="94" t="s">
        <v>1011</v>
      </c>
      <c r="BQ921" s="55" t="n">
        <v>490.352941176471</v>
      </c>
      <c r="BR921" s="56" t="n">
        <v>20.8660826032541</v>
      </c>
      <c r="BS921" s="56" t="n">
        <v>31.1252200160256</v>
      </c>
      <c r="BT921" s="56" t="n">
        <v>13.4712346477052</v>
      </c>
      <c r="BU921" s="55" t="n">
        <v>15097</v>
      </c>
      <c r="BV921" s="55" t="n">
        <v>642</v>
      </c>
      <c r="BW921" s="55" t="n">
        <v>1012</v>
      </c>
      <c r="BX921" s="55" t="n">
        <v>414</v>
      </c>
      <c r="BY921" s="81" t="n">
        <v>0.25771</v>
      </c>
      <c r="BZ921" s="81" t="n">
        <v>0.682643357986745</v>
      </c>
      <c r="CA921" s="81" t="n">
        <v>3.36</v>
      </c>
      <c r="CB921" s="81"/>
      <c r="CC921" s="81" t="n">
        <v>3.47</v>
      </c>
      <c r="CD921" s="81" t="n">
        <v>9.28</v>
      </c>
      <c r="CE921" s="81" t="n">
        <v>78.65</v>
      </c>
      <c r="CF921" s="81" t="n">
        <v>32.99</v>
      </c>
      <c r="CG921" s="81" t="n">
        <v>0.05</v>
      </c>
      <c r="CH921" s="63" t="n">
        <v>23442.9720201816</v>
      </c>
      <c r="CI921" s="63" t="n">
        <v>9503.17434500666</v>
      </c>
      <c r="CJ921" s="64" t="n">
        <v>1034642.71216336</v>
      </c>
      <c r="CK921" s="65" t="n">
        <v>0.918498166882776</v>
      </c>
    </row>
    <row r="922" customFormat="false" ht="15" hidden="false" customHeight="false" outlineLevel="0" collapsed="false">
      <c r="A922" s="7" t="s">
        <v>1006</v>
      </c>
      <c r="B922" s="66" t="n">
        <v>901</v>
      </c>
      <c r="C922" s="8" t="s">
        <v>1012</v>
      </c>
      <c r="D922" s="110" t="n">
        <v>41318</v>
      </c>
      <c r="E922" s="4" t="s">
        <v>1008</v>
      </c>
      <c r="F922" s="7" t="n">
        <v>3253</v>
      </c>
      <c r="G922" s="68" t="n">
        <v>2</v>
      </c>
      <c r="H922" s="68" t="n">
        <v>152</v>
      </c>
      <c r="I922" s="7" t="n">
        <v>4</v>
      </c>
      <c r="J922" s="8" t="n">
        <v>737</v>
      </c>
      <c r="K922" s="32" t="n">
        <v>552</v>
      </c>
      <c r="L922" s="32" t="n">
        <v>921</v>
      </c>
      <c r="M922" s="32" t="n">
        <v>156</v>
      </c>
      <c r="N922" s="32" t="n">
        <v>385</v>
      </c>
      <c r="O922" s="33" t="n">
        <v>66.5</v>
      </c>
      <c r="P922" s="33"/>
      <c r="Q922" s="33"/>
      <c r="R922" s="32" t="n">
        <v>168</v>
      </c>
      <c r="S922" s="34" t="s">
        <v>1009</v>
      </c>
      <c r="T922" s="35" t="n">
        <v>15.7</v>
      </c>
      <c r="U922" s="35" t="n">
        <v>12.8</v>
      </c>
      <c r="V922" s="35" t="n">
        <v>28.5</v>
      </c>
      <c r="W922" s="35" t="n">
        <v>26.3</v>
      </c>
      <c r="X922" s="35" t="n">
        <v>4.46</v>
      </c>
      <c r="Y922" s="35" t="n">
        <v>10.99</v>
      </c>
      <c r="Z922" s="35" t="n">
        <v>1.9</v>
      </c>
      <c r="AA922" s="35"/>
      <c r="AB922" s="35"/>
      <c r="AC922" s="71" t="n">
        <v>4.78</v>
      </c>
      <c r="AD922" s="38" t="n">
        <v>9.06</v>
      </c>
      <c r="AE922" s="38" t="n">
        <v>8.02</v>
      </c>
      <c r="AF922" s="38" t="n">
        <v>1.5</v>
      </c>
      <c r="AG922" s="38" t="n">
        <v>5.07</v>
      </c>
      <c r="AH922" s="38"/>
      <c r="AI922" s="38"/>
      <c r="AJ922" s="102" t="s">
        <v>1010</v>
      </c>
      <c r="AK922" s="111" t="n">
        <v>682</v>
      </c>
      <c r="AL922" s="111" t="n">
        <v>695</v>
      </c>
      <c r="AM922" s="111" t="n">
        <v>663</v>
      </c>
      <c r="AN922" s="111" t="n">
        <v>539</v>
      </c>
      <c r="AO922" s="104" t="n">
        <v>42.9</v>
      </c>
      <c r="AP922" s="105" t="n">
        <v>1.6</v>
      </c>
      <c r="AQ922" s="105" t="n">
        <v>1.32</v>
      </c>
      <c r="AR922" s="105" t="n">
        <v>1.89</v>
      </c>
      <c r="AS922" s="77" t="n">
        <v>41.16</v>
      </c>
      <c r="AT922" s="78" t="n">
        <v>39.9</v>
      </c>
      <c r="AU922" s="78" t="n">
        <v>37.2</v>
      </c>
      <c r="AV922" s="78" t="n">
        <v>31</v>
      </c>
      <c r="AW922" s="78" t="n">
        <v>44.2</v>
      </c>
      <c r="AX922" s="78"/>
      <c r="AY922" s="48" t="n">
        <v>1.4</v>
      </c>
      <c r="AZ922" s="48" t="n">
        <v>28.7820898636928</v>
      </c>
      <c r="BA922" s="48" t="n">
        <v>-0.282089863692764</v>
      </c>
      <c r="BB922" s="49" t="n">
        <f aca="false">AT922/V922</f>
        <v>1.4</v>
      </c>
      <c r="BC922" s="49" t="n">
        <f aca="false">AS922/V922</f>
        <v>1.44421052631579</v>
      </c>
      <c r="BD922" s="49" t="n">
        <f aca="false">SUM(AP922:AR922)/V922</f>
        <v>0.168771929824561</v>
      </c>
      <c r="BE922" s="53" t="n">
        <v>6.64</v>
      </c>
      <c r="BF922" s="51" t="n">
        <v>137.8</v>
      </c>
      <c r="BG922" s="51" t="n">
        <v>628.258345428157</v>
      </c>
      <c r="BH922" s="51" t="n">
        <v>178.606676342525</v>
      </c>
      <c r="BI922" s="51" t="n">
        <v>132.808417997097</v>
      </c>
      <c r="BJ922" s="51" t="n">
        <v>11.6618287373004</v>
      </c>
      <c r="BK922" s="51" t="n">
        <v>20.5805515239477</v>
      </c>
      <c r="BL922" s="51" t="n">
        <v>14.2235123367199</v>
      </c>
      <c r="BM922" s="51" t="n">
        <v>13.9912917271408</v>
      </c>
      <c r="BN922" s="52" t="n">
        <f aca="false">(BG922*0.5-BH922*0.25+BI922*0.5)/SUM(BG922:BI922)*1000</f>
        <v>357.44514893387</v>
      </c>
      <c r="BO922" s="93" t="n">
        <v>8.5</v>
      </c>
      <c r="BP922" s="94" t="s">
        <v>1011</v>
      </c>
      <c r="BQ922" s="55" t="n">
        <v>604.235294117647</v>
      </c>
      <c r="BR922" s="56" t="n">
        <v>21.2012383900929</v>
      </c>
      <c r="BS922" s="56" t="n">
        <v>33.0571597296084</v>
      </c>
      <c r="BT922" s="56" t="n">
        <v>15.1437417072092</v>
      </c>
      <c r="BU922" s="55" t="n">
        <v>18399</v>
      </c>
      <c r="BV922" s="55" t="n">
        <v>645</v>
      </c>
      <c r="BW922" s="55" t="n">
        <v>1068</v>
      </c>
      <c r="BX922" s="55" t="n">
        <v>461</v>
      </c>
      <c r="BY922" s="81" t="n">
        <v>0.26494</v>
      </c>
      <c r="BZ922" s="81" t="n">
        <v>1.61780808759965</v>
      </c>
      <c r="CA922" s="81" t="n">
        <v>3.54</v>
      </c>
      <c r="CB922" s="81"/>
      <c r="CC922" s="81" t="n">
        <v>4.52</v>
      </c>
      <c r="CD922" s="81" t="n">
        <v>7.23</v>
      </c>
      <c r="CE922" s="81" t="n">
        <v>78.62</v>
      </c>
      <c r="CF922" s="81" t="n">
        <v>36.19</v>
      </c>
      <c r="CG922" s="81" t="n">
        <v>0.05</v>
      </c>
      <c r="CH922" s="63" t="n">
        <v>47376.3299920164</v>
      </c>
      <c r="CI922" s="63" t="n">
        <v>3873.15170842189</v>
      </c>
      <c r="CJ922" s="64" t="n">
        <v>825780.776883479</v>
      </c>
      <c r="CK922" s="65" t="n">
        <v>0.469029047035859</v>
      </c>
    </row>
    <row r="923" customFormat="false" ht="15" hidden="false" customHeight="false" outlineLevel="0" collapsed="false">
      <c r="A923" s="7" t="s">
        <v>1006</v>
      </c>
      <c r="B923" s="66" t="n">
        <v>902</v>
      </c>
      <c r="C923" s="8" t="s">
        <v>1013</v>
      </c>
      <c r="D923" s="110" t="n">
        <v>41318</v>
      </c>
      <c r="E923" s="4" t="s">
        <v>1008</v>
      </c>
      <c r="F923" s="7" t="n">
        <v>4204</v>
      </c>
      <c r="G923" s="68" t="n">
        <v>2</v>
      </c>
      <c r="H923" s="68" t="n">
        <v>152</v>
      </c>
      <c r="I923" s="7" t="n">
        <v>5</v>
      </c>
      <c r="J923" s="8" t="n">
        <v>784</v>
      </c>
      <c r="K923" s="32" t="n">
        <v>552</v>
      </c>
      <c r="L923" s="32" t="n">
        <v>921</v>
      </c>
      <c r="M923" s="32" t="n">
        <v>156</v>
      </c>
      <c r="N923" s="32" t="n">
        <v>385</v>
      </c>
      <c r="O923" s="33" t="n">
        <v>66.5</v>
      </c>
      <c r="P923" s="33"/>
      <c r="Q923" s="33"/>
      <c r="R923" s="32" t="n">
        <v>168</v>
      </c>
      <c r="S923" s="34" t="s">
        <v>1009</v>
      </c>
      <c r="T923" s="35" t="n">
        <v>13.8</v>
      </c>
      <c r="U923" s="35" t="n">
        <v>11.3</v>
      </c>
      <c r="V923" s="35" t="n">
        <v>25</v>
      </c>
      <c r="W923" s="35" t="n">
        <v>23</v>
      </c>
      <c r="X923" s="35" t="n">
        <v>3.91</v>
      </c>
      <c r="Y923" s="35" t="n">
        <v>9.64</v>
      </c>
      <c r="Z923" s="35" t="n">
        <v>1.66</v>
      </c>
      <c r="AA923" s="35"/>
      <c r="AB923" s="35"/>
      <c r="AC923" s="71" t="n">
        <v>4.19</v>
      </c>
      <c r="AD923" s="38" t="n">
        <v>7.16</v>
      </c>
      <c r="AE923" s="38" t="n">
        <v>6.32</v>
      </c>
      <c r="AF923" s="38" t="n">
        <v>1.3</v>
      </c>
      <c r="AG923" s="38" t="n">
        <v>3.91</v>
      </c>
      <c r="AH923" s="38"/>
      <c r="AI923" s="38"/>
      <c r="AJ923" s="102" t="s">
        <v>1010</v>
      </c>
      <c r="AK923" s="111" t="n">
        <v>713</v>
      </c>
      <c r="AL923" s="111" t="n">
        <v>726</v>
      </c>
      <c r="AM923" s="111" t="n">
        <v>668</v>
      </c>
      <c r="AN923" s="111" t="n">
        <v>594</v>
      </c>
      <c r="AO923" s="104" t="n">
        <v>38.7</v>
      </c>
      <c r="AP923" s="105" t="n">
        <v>1.59</v>
      </c>
      <c r="AQ923" s="105" t="n">
        <v>1.29</v>
      </c>
      <c r="AR923" s="105" t="n">
        <v>1.66</v>
      </c>
      <c r="AS923" s="77" t="n">
        <v>39.33</v>
      </c>
      <c r="AT923" s="78" t="n">
        <v>38.1</v>
      </c>
      <c r="AU923" s="78" t="n">
        <v>40.9</v>
      </c>
      <c r="AV923" s="78" t="n">
        <v>33</v>
      </c>
      <c r="AW923" s="78" t="n">
        <v>42.6</v>
      </c>
      <c r="AX923" s="78"/>
      <c r="AY923" s="48" t="n">
        <v>1.524</v>
      </c>
      <c r="AZ923" s="48" t="n">
        <v>28.7513688687365</v>
      </c>
      <c r="BA923" s="48" t="n">
        <v>-3.75136886873654</v>
      </c>
      <c r="BB923" s="49" t="n">
        <f aca="false">AT923/V923</f>
        <v>1.524</v>
      </c>
      <c r="BC923" s="49" t="n">
        <f aca="false">AS923/V923</f>
        <v>1.5732</v>
      </c>
      <c r="BD923" s="49" t="n">
        <f aca="false">SUM(AP923:AR923)/V923</f>
        <v>0.1816</v>
      </c>
      <c r="BE923" s="53" t="n">
        <v>6.57</v>
      </c>
      <c r="BF923" s="51" t="n">
        <v>139.3</v>
      </c>
      <c r="BG923" s="51" t="n">
        <v>636.410624551328</v>
      </c>
      <c r="BH923" s="51" t="n">
        <v>170.222541277818</v>
      </c>
      <c r="BI923" s="51" t="n">
        <v>136.008614501077</v>
      </c>
      <c r="BJ923" s="51" t="n">
        <v>11.8664752333094</v>
      </c>
      <c r="BK923" s="51" t="n">
        <v>19.0954773869347</v>
      </c>
      <c r="BL923" s="51" t="n">
        <v>12.943287867911</v>
      </c>
      <c r="BM923" s="51" t="n">
        <v>13.2089016511127</v>
      </c>
      <c r="BN923" s="52" t="n">
        <f aca="false">(BG923*0.5-BH923*0.25+BI923*0.5)/SUM(BG923:BI923)*1000</f>
        <v>364.564770390679</v>
      </c>
      <c r="BO923" s="93" t="n">
        <v>7.04</v>
      </c>
      <c r="BP923" s="94" t="s">
        <v>1011</v>
      </c>
      <c r="BQ923" s="55" t="n">
        <v>539.294117647059</v>
      </c>
      <c r="BR923" s="56" t="n">
        <v>21.5717647058824</v>
      </c>
      <c r="BS923" s="56" t="n">
        <v>32.2969288326182</v>
      </c>
      <c r="BT923" s="56" t="n">
        <v>14.154701250579</v>
      </c>
      <c r="BU923" s="55" t="n">
        <v>16092</v>
      </c>
      <c r="BV923" s="55" t="n">
        <v>644</v>
      </c>
      <c r="BW923" s="55" t="n">
        <v>1014</v>
      </c>
      <c r="BX923" s="55" t="n">
        <v>422</v>
      </c>
      <c r="BY923" s="81" t="n">
        <v>0.20167</v>
      </c>
      <c r="BZ923" s="81" t="n">
        <v>1.07213524157142</v>
      </c>
      <c r="CA923" s="81" t="n">
        <v>3.12</v>
      </c>
      <c r="CB923" s="81"/>
      <c r="CC923" s="81" t="n">
        <v>4.46</v>
      </c>
      <c r="CD923" s="81" t="n">
        <v>8.26</v>
      </c>
      <c r="CE923" s="81" t="n">
        <v>78.82</v>
      </c>
      <c r="CF923" s="81" t="n">
        <v>33.39</v>
      </c>
      <c r="CG923" s="81" t="n">
        <v>0.1316</v>
      </c>
      <c r="CH923" s="63" t="n">
        <v>51075.037144684</v>
      </c>
      <c r="CI923" s="63" t="n">
        <v>5598.35135508287</v>
      </c>
      <c r="CJ923" s="64" t="n">
        <v>971671.54782929</v>
      </c>
      <c r="CK923" s="65" t="n">
        <v>0.576156764864584</v>
      </c>
    </row>
    <row r="924" customFormat="false" ht="15" hidden="false" customHeight="false" outlineLevel="0" collapsed="false">
      <c r="A924" s="7" t="s">
        <v>1006</v>
      </c>
      <c r="B924" s="66" t="n">
        <v>903</v>
      </c>
      <c r="C924" s="8" t="s">
        <v>1014</v>
      </c>
      <c r="D924" s="110" t="n">
        <v>41326</v>
      </c>
      <c r="E924" s="4" t="s">
        <v>1008</v>
      </c>
      <c r="F924" s="7" t="n">
        <v>4290</v>
      </c>
      <c r="G924" s="68" t="n">
        <v>2</v>
      </c>
      <c r="H924" s="68" t="n">
        <v>100</v>
      </c>
      <c r="I924" s="7" t="n">
        <v>3</v>
      </c>
      <c r="J924" s="8" t="n">
        <v>664</v>
      </c>
      <c r="K924" s="32" t="n">
        <v>555</v>
      </c>
      <c r="L924" s="32" t="n">
        <v>922</v>
      </c>
      <c r="M924" s="32" t="n">
        <v>161</v>
      </c>
      <c r="N924" s="32" t="n">
        <v>380</v>
      </c>
      <c r="O924" s="33" t="n">
        <v>65</v>
      </c>
      <c r="P924" s="33"/>
      <c r="Q924" s="33"/>
      <c r="R924" s="32" t="n">
        <v>168</v>
      </c>
      <c r="S924" s="34" t="s">
        <v>1009</v>
      </c>
      <c r="T924" s="35" t="n">
        <v>14.6</v>
      </c>
      <c r="U924" s="35" t="n">
        <v>11.9</v>
      </c>
      <c r="V924" s="35" t="n">
        <v>26.5</v>
      </c>
      <c r="W924" s="35" t="n">
        <v>24.4</v>
      </c>
      <c r="X924" s="35" t="n">
        <v>4.27</v>
      </c>
      <c r="Y924" s="35" t="n">
        <v>10.07</v>
      </c>
      <c r="Z924" s="35" t="n">
        <v>1.72</v>
      </c>
      <c r="AA924" s="35"/>
      <c r="AB924" s="35"/>
      <c r="AC924" s="71" t="n">
        <v>4.44</v>
      </c>
      <c r="AD924" s="38" t="n">
        <v>7.79</v>
      </c>
      <c r="AE924" s="38" t="n">
        <v>6.9</v>
      </c>
      <c r="AF924" s="38" t="n">
        <v>1.24</v>
      </c>
      <c r="AG924" s="38" t="n">
        <v>4.35</v>
      </c>
      <c r="AH924" s="38"/>
      <c r="AI924" s="38"/>
      <c r="AJ924" s="102" t="s">
        <v>1010</v>
      </c>
      <c r="AK924" s="111" t="n">
        <v>706</v>
      </c>
      <c r="AL924" s="111" t="n">
        <v>718</v>
      </c>
      <c r="AM924" s="111" t="n">
        <v>709</v>
      </c>
      <c r="AN924" s="111" t="n">
        <v>568</v>
      </c>
      <c r="AO924" s="104" t="n">
        <v>42</v>
      </c>
      <c r="AP924" s="105" t="n">
        <v>1.75</v>
      </c>
      <c r="AQ924" s="105" t="n">
        <v>1.4</v>
      </c>
      <c r="AR924" s="105" t="n">
        <v>1.89</v>
      </c>
      <c r="AS924" s="77" t="n">
        <v>43.05</v>
      </c>
      <c r="AT924" s="78" t="n">
        <v>42.8</v>
      </c>
      <c r="AU924" s="78" t="n">
        <v>42</v>
      </c>
      <c r="AV924" s="78" t="n">
        <v>33.7</v>
      </c>
      <c r="AW924" s="78" t="n">
        <v>45.4</v>
      </c>
      <c r="AX924" s="78"/>
      <c r="AY924" s="48" t="n">
        <v>1.61509433962264</v>
      </c>
      <c r="AZ924" s="48" t="n">
        <v>27.7639365480024</v>
      </c>
      <c r="BA924" s="48" t="n">
        <v>-1.26393654800239</v>
      </c>
      <c r="BB924" s="49" t="n">
        <f aca="false">AT924/V924</f>
        <v>1.61509433962264</v>
      </c>
      <c r="BC924" s="49" t="n">
        <f aca="false">AS924/V924</f>
        <v>1.62452830188679</v>
      </c>
      <c r="BD924" s="49" t="n">
        <f aca="false">SUM(AP924:AR924)/V924</f>
        <v>0.190188679245283</v>
      </c>
      <c r="BE924" s="53" t="n">
        <v>6.42</v>
      </c>
      <c r="BF924" s="51" t="n">
        <v>132.1</v>
      </c>
      <c r="BG924" s="51" t="n">
        <v>633.36109008327</v>
      </c>
      <c r="BH924" s="51" t="n">
        <v>186.177138531416</v>
      </c>
      <c r="BI924" s="51" t="n">
        <v>122.23315669947</v>
      </c>
      <c r="BJ924" s="51" t="n">
        <v>11.5972747918244</v>
      </c>
      <c r="BK924" s="51" t="n">
        <v>20.5071915215746</v>
      </c>
      <c r="BL924" s="51" t="n">
        <v>12.8993186979561</v>
      </c>
      <c r="BM924" s="51" t="n">
        <v>13.4065102195307</v>
      </c>
      <c r="BN924" s="52" t="n">
        <f aca="false">(BG924*0.5-BH924*0.25+BI924*0.5)/SUM(BG924:BI924)*1000</f>
        <v>351.733811330461</v>
      </c>
      <c r="BO924" s="93" t="n">
        <v>6.98</v>
      </c>
      <c r="BP924" s="94" t="s">
        <v>1011</v>
      </c>
      <c r="BQ924" s="55" t="n">
        <v>530.823529411765</v>
      </c>
      <c r="BR924" s="56" t="n">
        <v>20.031076581576</v>
      </c>
      <c r="BS924" s="56" t="n">
        <v>30.2995301961142</v>
      </c>
      <c r="BT924" s="56" t="n">
        <v>12.4024189114898</v>
      </c>
      <c r="BU924" s="55" t="n">
        <v>16132</v>
      </c>
      <c r="BV924" s="55" t="n">
        <v>609</v>
      </c>
      <c r="BW924" s="55" t="n">
        <v>970</v>
      </c>
      <c r="BX924" s="55" t="n">
        <v>377</v>
      </c>
      <c r="BY924" s="81" t="n">
        <v>0.0984</v>
      </c>
      <c r="BZ924" s="81" t="n">
        <v>1.64124483719143</v>
      </c>
      <c r="CA924" s="81" t="n">
        <v>2.76</v>
      </c>
      <c r="CB924" s="81"/>
      <c r="CC924" s="81" t="n">
        <v>5.1</v>
      </c>
      <c r="CD924" s="81" t="n">
        <v>8.42</v>
      </c>
      <c r="CE924" s="81" t="n">
        <v>60.54</v>
      </c>
      <c r="CF924" s="81" t="n">
        <v>33.98</v>
      </c>
      <c r="CG924" s="81" t="n">
        <v>0.01</v>
      </c>
      <c r="CH924" s="63" t="n">
        <v>103314.97435617</v>
      </c>
      <c r="CI924" s="63" t="n">
        <v>3714.66829401923</v>
      </c>
      <c r="CJ924" s="64" t="n">
        <v>773122.014554824</v>
      </c>
      <c r="CK924" s="65" t="n">
        <v>0.480476331560446</v>
      </c>
    </row>
    <row r="925" customFormat="false" ht="15" hidden="false" customHeight="false" outlineLevel="0" collapsed="false">
      <c r="A925" s="7" t="s">
        <v>1006</v>
      </c>
      <c r="B925" s="66" t="n">
        <v>904</v>
      </c>
      <c r="C925" s="8" t="s">
        <v>1015</v>
      </c>
      <c r="D925" s="110" t="n">
        <v>41333</v>
      </c>
      <c r="E925" s="4" t="s">
        <v>1008</v>
      </c>
      <c r="F925" s="7" t="n">
        <v>3461</v>
      </c>
      <c r="G925" s="68" t="n">
        <v>2</v>
      </c>
      <c r="H925" s="68" t="n">
        <v>98</v>
      </c>
      <c r="I925" s="7" t="n">
        <v>2</v>
      </c>
      <c r="J925" s="8" t="n">
        <v>678</v>
      </c>
      <c r="K925" s="32" t="n">
        <v>555</v>
      </c>
      <c r="L925" s="32" t="n">
        <v>923</v>
      </c>
      <c r="M925" s="32" t="n">
        <v>160</v>
      </c>
      <c r="N925" s="32" t="n">
        <v>376</v>
      </c>
      <c r="O925" s="33" t="n">
        <v>63.6</v>
      </c>
      <c r="P925" s="33"/>
      <c r="Q925" s="33"/>
      <c r="R925" s="32" t="n">
        <v>168</v>
      </c>
      <c r="S925" s="34" t="s">
        <v>1009</v>
      </c>
      <c r="T925" s="35" t="n">
        <v>13.1</v>
      </c>
      <c r="U925" s="35" t="n">
        <v>10.7</v>
      </c>
      <c r="V925" s="35" t="n">
        <v>23.9</v>
      </c>
      <c r="W925" s="35" t="n">
        <v>22</v>
      </c>
      <c r="X925" s="35" t="n">
        <v>3.83</v>
      </c>
      <c r="Y925" s="35" t="n">
        <v>8.98</v>
      </c>
      <c r="Z925" s="35" t="n">
        <v>1.52</v>
      </c>
      <c r="AA925" s="35"/>
      <c r="AB925" s="35"/>
      <c r="AC925" s="71" t="n">
        <v>4</v>
      </c>
      <c r="AD925" s="38" t="n">
        <v>6.86</v>
      </c>
      <c r="AE925" s="38" t="n">
        <v>6</v>
      </c>
      <c r="AF925" s="38" t="n">
        <v>1.33</v>
      </c>
      <c r="AG925" s="38" t="n">
        <v>3.57</v>
      </c>
      <c r="AH925" s="38"/>
      <c r="AI925" s="38"/>
      <c r="AJ925" s="102" t="s">
        <v>1010</v>
      </c>
      <c r="AK925" s="111" t="n">
        <v>713</v>
      </c>
      <c r="AL925" s="111" t="n">
        <v>728</v>
      </c>
      <c r="AM925" s="111" t="n">
        <v>653</v>
      </c>
      <c r="AN925" s="111" t="n">
        <v>603</v>
      </c>
      <c r="AO925" s="104" t="n">
        <v>32.5</v>
      </c>
      <c r="AP925" s="105" t="n">
        <v>1.4</v>
      </c>
      <c r="AQ925" s="105" t="n">
        <v>1.21</v>
      </c>
      <c r="AR925" s="105" t="n">
        <v>1.46</v>
      </c>
      <c r="AS925" s="77" t="n">
        <v>34</v>
      </c>
      <c r="AT925" s="78" t="n">
        <v>33.7</v>
      </c>
      <c r="AU925" s="78" t="n">
        <v>42.3</v>
      </c>
      <c r="AV925" s="78" t="n">
        <v>36.7</v>
      </c>
      <c r="AW925" s="78" t="n">
        <v>44.2</v>
      </c>
      <c r="AX925" s="78"/>
      <c r="AY925" s="48" t="n">
        <v>1.41004184100418</v>
      </c>
      <c r="AZ925" s="48" t="n">
        <v>24.6520475032621</v>
      </c>
      <c r="BA925" s="48" t="n">
        <v>-0.752047503262098</v>
      </c>
      <c r="BB925" s="49" t="n">
        <f aca="false">AT925/V925</f>
        <v>1.41004184100418</v>
      </c>
      <c r="BC925" s="49" t="n">
        <f aca="false">AS925/V925</f>
        <v>1.42259414225941</v>
      </c>
      <c r="BD925" s="49" t="n">
        <f aca="false">SUM(AP925:AR925)/V925</f>
        <v>0.170292887029289</v>
      </c>
      <c r="BE925" s="53" t="n">
        <v>6.41</v>
      </c>
      <c r="BF925" s="51" t="n">
        <v>144.6</v>
      </c>
      <c r="BG925" s="51" t="n">
        <v>666.562932226833</v>
      </c>
      <c r="BH925" s="51" t="n">
        <v>177.828492392808</v>
      </c>
      <c r="BI925" s="51" t="n">
        <v>101.908713692946</v>
      </c>
      <c r="BJ925" s="51" t="n">
        <v>10.7952973720609</v>
      </c>
      <c r="BK925" s="51" t="n">
        <v>17.2268326417704</v>
      </c>
      <c r="BL925" s="51" t="n">
        <v>13.0982019363762</v>
      </c>
      <c r="BM925" s="51" t="n">
        <v>12.2821576763485</v>
      </c>
      <c r="BN925" s="52" t="n">
        <f aca="false">(BG925*0.5-BH925*0.25+BI925*0.5)/SUM(BG925:BI925)*1000</f>
        <v>359.060181970987</v>
      </c>
      <c r="BO925" s="93" t="n">
        <v>2.14</v>
      </c>
      <c r="BP925" s="94" t="s">
        <v>1011</v>
      </c>
      <c r="BQ925" s="55" t="n">
        <v>495.058823529412</v>
      </c>
      <c r="BR925" s="56" t="n">
        <v>20.7137583066699</v>
      </c>
      <c r="BS925" s="56" t="n">
        <v>30.9102662043839</v>
      </c>
      <c r="BT925" s="56" t="n">
        <v>14.6901728050271</v>
      </c>
      <c r="BU925" s="55" t="n">
        <v>15266</v>
      </c>
      <c r="BV925" s="55" t="n">
        <v>639</v>
      </c>
      <c r="BW925" s="55" t="n">
        <v>1006</v>
      </c>
      <c r="BX925" s="55" t="n">
        <v>453</v>
      </c>
      <c r="BY925" s="81" t="n">
        <v>0.15</v>
      </c>
      <c r="BZ925" s="81" t="n">
        <v>0.948419940447603</v>
      </c>
      <c r="CA925" s="81" t="n">
        <v>3.35</v>
      </c>
      <c r="CB925" s="81"/>
      <c r="CC925" s="81" t="n">
        <v>3.8</v>
      </c>
      <c r="CD925" s="81" t="n">
        <v>7.28</v>
      </c>
      <c r="CE925" s="81" t="n">
        <v>62.08</v>
      </c>
      <c r="CF925" s="81" t="n">
        <v>33.17</v>
      </c>
      <c r="CG925" s="81" t="n">
        <v>0.01</v>
      </c>
      <c r="CH925" s="63" t="n">
        <v>56216.5263784776</v>
      </c>
      <c r="CI925" s="63" t="n">
        <v>773.3822660393</v>
      </c>
      <c r="CJ925" s="64" t="n">
        <v>260170.621119693</v>
      </c>
      <c r="CK925" s="65" t="n">
        <v>0.297259645501442</v>
      </c>
    </row>
    <row r="926" customFormat="false" ht="15" hidden="false" customHeight="false" outlineLevel="0" collapsed="false">
      <c r="A926" s="7" t="s">
        <v>1006</v>
      </c>
      <c r="B926" s="66" t="n">
        <v>905</v>
      </c>
      <c r="C926" s="8" t="s">
        <v>1016</v>
      </c>
      <c r="D926" s="110" t="n">
        <v>41333</v>
      </c>
      <c r="E926" s="4" t="s">
        <v>1008</v>
      </c>
      <c r="F926" s="7" t="n">
        <v>173</v>
      </c>
      <c r="G926" s="68" t="n">
        <v>2</v>
      </c>
      <c r="H926" s="68" t="n">
        <v>98</v>
      </c>
      <c r="I926" s="7" t="n">
        <v>2</v>
      </c>
      <c r="J926" s="8" t="n">
        <v>741</v>
      </c>
      <c r="K926" s="32" t="n">
        <v>555</v>
      </c>
      <c r="L926" s="32" t="n">
        <v>923</v>
      </c>
      <c r="M926" s="32" t="n">
        <v>160</v>
      </c>
      <c r="N926" s="32" t="n">
        <v>376</v>
      </c>
      <c r="O926" s="33" t="n">
        <v>63.6</v>
      </c>
      <c r="P926" s="33"/>
      <c r="Q926" s="33"/>
      <c r="R926" s="32" t="n">
        <v>168</v>
      </c>
      <c r="S926" s="34" t="s">
        <v>1009</v>
      </c>
      <c r="T926" s="35" t="n">
        <v>16.3</v>
      </c>
      <c r="U926" s="35" t="n">
        <v>13.4</v>
      </c>
      <c r="V926" s="35" t="n">
        <v>29.7</v>
      </c>
      <c r="W926" s="35" t="n">
        <v>27.4</v>
      </c>
      <c r="X926" s="35" t="n">
        <v>4.76</v>
      </c>
      <c r="Y926" s="35" t="n">
        <v>11.17</v>
      </c>
      <c r="Z926" s="35" t="n">
        <v>1.89</v>
      </c>
      <c r="AA926" s="35"/>
      <c r="AB926" s="35"/>
      <c r="AC926" s="71" t="n">
        <v>4.98</v>
      </c>
      <c r="AD926" s="38" t="n">
        <v>8.97</v>
      </c>
      <c r="AE926" s="38" t="n">
        <v>7.86</v>
      </c>
      <c r="AF926" s="38" t="n">
        <v>1.74</v>
      </c>
      <c r="AG926" s="38" t="n">
        <v>4.46</v>
      </c>
      <c r="AH926" s="38"/>
      <c r="AI926" s="38"/>
      <c r="AJ926" s="102" t="s">
        <v>1010</v>
      </c>
      <c r="AK926" s="111" t="n">
        <v>698</v>
      </c>
      <c r="AL926" s="111" t="n">
        <v>713</v>
      </c>
      <c r="AM926" s="111" t="n">
        <v>635</v>
      </c>
      <c r="AN926" s="111" t="n">
        <v>601</v>
      </c>
      <c r="AO926" s="104" t="n">
        <v>36.9</v>
      </c>
      <c r="AP926" s="105" t="n">
        <v>1.86</v>
      </c>
      <c r="AQ926" s="105" t="n">
        <v>1.36</v>
      </c>
      <c r="AR926" s="105" t="n">
        <v>1.67</v>
      </c>
      <c r="AS926" s="77" t="n">
        <v>42.66</v>
      </c>
      <c r="AT926" s="78" t="n">
        <v>41.4</v>
      </c>
      <c r="AU926" s="78" t="n">
        <v>48.7</v>
      </c>
      <c r="AV926" s="78" t="n">
        <v>37</v>
      </c>
      <c r="AW926" s="78" t="n">
        <v>45.3</v>
      </c>
      <c r="AX926" s="78"/>
      <c r="AY926" s="48" t="n">
        <v>1.39393939393939</v>
      </c>
      <c r="AZ926" s="48" t="n">
        <v>28.6217691946554</v>
      </c>
      <c r="BA926" s="48" t="n">
        <v>1.07823080534459</v>
      </c>
      <c r="BB926" s="49" t="n">
        <f aca="false">AT926/V926</f>
        <v>1.39393939393939</v>
      </c>
      <c r="BC926" s="49" t="n">
        <f aca="false">AS926/V926</f>
        <v>1.43636363636364</v>
      </c>
      <c r="BD926" s="49" t="n">
        <f aca="false">SUM(AP926:AR926)/V926</f>
        <v>0.164646464646465</v>
      </c>
      <c r="BE926" s="53" t="n">
        <v>6.4</v>
      </c>
      <c r="BF926" s="51" t="n">
        <v>148.6</v>
      </c>
      <c r="BG926" s="51" t="n">
        <v>648.815612382234</v>
      </c>
      <c r="BH926" s="51" t="n">
        <v>187.382234185734</v>
      </c>
      <c r="BI926" s="51" t="n">
        <v>104.172274562584</v>
      </c>
      <c r="BJ926" s="51" t="n">
        <v>11.2987886944818</v>
      </c>
      <c r="BK926" s="51" t="n">
        <v>19.4952893674293</v>
      </c>
      <c r="BL926" s="51" t="n">
        <v>15.6123822341857</v>
      </c>
      <c r="BM926" s="51" t="n">
        <v>13.3580080753701</v>
      </c>
      <c r="BN926" s="52" t="n">
        <f aca="false">(BG926*0.5-BH926*0.25+BI926*0.5)/SUM(BG926:BI926)*1000</f>
        <v>350.551742892106</v>
      </c>
      <c r="BO926" s="93" t="n">
        <v>6.88</v>
      </c>
      <c r="BP926" s="94" t="s">
        <v>1011</v>
      </c>
      <c r="BQ926" s="55" t="n">
        <v>589.176470588235</v>
      </c>
      <c r="BR926" s="56" t="n">
        <v>19.8375916022975</v>
      </c>
      <c r="BS926" s="56" t="n">
        <v>30.1581920019367</v>
      </c>
      <c r="BT926" s="56" t="n">
        <v>14.2313157146917</v>
      </c>
      <c r="BU926" s="55" t="n">
        <v>18401</v>
      </c>
      <c r="BV926" s="55" t="n">
        <v>619</v>
      </c>
      <c r="BW926" s="55" t="n">
        <v>998</v>
      </c>
      <c r="BX926" s="55" t="n">
        <v>444</v>
      </c>
      <c r="BY926" s="81" t="n">
        <v>0.1287</v>
      </c>
      <c r="BZ926" s="81" t="n">
        <v>0.848</v>
      </c>
      <c r="CA926" s="81" t="n">
        <v>4.06</v>
      </c>
      <c r="CB926" s="81"/>
      <c r="CC926" s="81" t="n">
        <v>4.4847</v>
      </c>
      <c r="CD926" s="81" t="n">
        <v>7.67</v>
      </c>
      <c r="CE926" s="81" t="n">
        <v>97.97</v>
      </c>
      <c r="CF926" s="81" t="n">
        <v>38.26</v>
      </c>
      <c r="CG926" s="81" t="n">
        <v>0.0593</v>
      </c>
      <c r="CH926" s="63" t="n">
        <v>48522.6825787267</v>
      </c>
      <c r="CI926" s="63" t="n">
        <v>2446.16376744906</v>
      </c>
      <c r="CJ926" s="64" t="n">
        <v>969941.386528944</v>
      </c>
      <c r="CK926" s="65" t="n">
        <v>0.252197071021267</v>
      </c>
    </row>
    <row r="927" customFormat="false" ht="15" hidden="false" customHeight="false" outlineLevel="0" collapsed="false">
      <c r="A927" s="7" t="s">
        <v>1006</v>
      </c>
      <c r="B927" s="66" t="n">
        <v>906</v>
      </c>
      <c r="C927" s="8" t="s">
        <v>1017</v>
      </c>
      <c r="D927" s="110" t="n">
        <v>41339</v>
      </c>
      <c r="E927" s="4" t="s">
        <v>1008</v>
      </c>
      <c r="F927" s="7" t="n">
        <v>4097</v>
      </c>
      <c r="G927" s="68" t="n">
        <v>2</v>
      </c>
      <c r="H927" s="68" t="n">
        <v>101</v>
      </c>
      <c r="I927" s="7" t="n">
        <v>6</v>
      </c>
      <c r="J927" s="8" t="n">
        <v>799</v>
      </c>
      <c r="K927" s="32" t="n">
        <v>562</v>
      </c>
      <c r="L927" s="32" t="n">
        <v>922</v>
      </c>
      <c r="M927" s="32" t="n">
        <v>158</v>
      </c>
      <c r="N927" s="32" t="n">
        <v>389</v>
      </c>
      <c r="O927" s="33" t="n">
        <v>67.4</v>
      </c>
      <c r="P927" s="33"/>
      <c r="Q927" s="33"/>
      <c r="R927" s="32" t="n">
        <v>168</v>
      </c>
      <c r="S927" s="34" t="s">
        <v>1009</v>
      </c>
      <c r="T927" s="35" t="n">
        <v>16.5</v>
      </c>
      <c r="U927" s="35" t="n">
        <v>13.5</v>
      </c>
      <c r="V927" s="35" t="n">
        <v>30</v>
      </c>
      <c r="W927" s="35" t="n">
        <v>27.6</v>
      </c>
      <c r="X927" s="35" t="n">
        <v>4.74</v>
      </c>
      <c r="Y927" s="35" t="n">
        <v>11.64</v>
      </c>
      <c r="Z927" s="35" t="n">
        <v>2.02</v>
      </c>
      <c r="AA927" s="35"/>
      <c r="AB927" s="35"/>
      <c r="AC927" s="71" t="n">
        <v>5.02</v>
      </c>
      <c r="AD927" s="38" t="n">
        <v>8.53</v>
      </c>
      <c r="AE927" s="38" t="n">
        <v>7.49</v>
      </c>
      <c r="AF927" s="38" t="n">
        <v>1.39</v>
      </c>
      <c r="AG927" s="38" t="n">
        <v>4.71</v>
      </c>
      <c r="AH927" s="38"/>
      <c r="AI927" s="38"/>
      <c r="AJ927" s="102" t="s">
        <v>1010</v>
      </c>
      <c r="AK927" s="111" t="n">
        <v>715</v>
      </c>
      <c r="AL927" s="111" t="n">
        <v>729</v>
      </c>
      <c r="AM927" s="111" t="n">
        <v>706</v>
      </c>
      <c r="AN927" s="111" t="n">
        <v>595</v>
      </c>
      <c r="AO927" s="104" t="n">
        <v>40.4</v>
      </c>
      <c r="AP927" s="105" t="n">
        <v>1.74</v>
      </c>
      <c r="AQ927" s="105" t="n">
        <v>1.52</v>
      </c>
      <c r="AR927" s="105" t="n">
        <v>1.83</v>
      </c>
      <c r="AS927" s="77" t="n">
        <v>42.26</v>
      </c>
      <c r="AT927" s="78" t="n">
        <v>42.8</v>
      </c>
      <c r="AU927" s="78" t="n">
        <v>43</v>
      </c>
      <c r="AV927" s="78" t="n">
        <v>37.6</v>
      </c>
      <c r="AW927" s="78" t="n">
        <v>45.3</v>
      </c>
      <c r="AX927" s="78"/>
      <c r="AY927" s="48" t="n">
        <v>1.42666666666667</v>
      </c>
      <c r="AZ927" s="48" t="n">
        <v>29.3308958680447</v>
      </c>
      <c r="BA927" s="48" t="n">
        <v>0.669104131955301</v>
      </c>
      <c r="BB927" s="49" t="n">
        <f aca="false">AT927/V927</f>
        <v>1.42666666666667</v>
      </c>
      <c r="BC927" s="49" t="n">
        <f aca="false">AS927/V927</f>
        <v>1.40866666666667</v>
      </c>
      <c r="BD927" s="49" t="n">
        <f aca="false">SUM(AP927:AR927)/V927</f>
        <v>0.169666666666667</v>
      </c>
      <c r="BE927" s="53" t="n">
        <v>6.74</v>
      </c>
      <c r="BF927" s="51" t="n">
        <v>120.7</v>
      </c>
      <c r="BG927" s="51" t="n">
        <v>644.366197183099</v>
      </c>
      <c r="BH927" s="51" t="n">
        <v>172.568351284176</v>
      </c>
      <c r="BI927" s="51" t="n">
        <v>125.517812758906</v>
      </c>
      <c r="BJ927" s="51" t="n">
        <v>11.8889809444905</v>
      </c>
      <c r="BK927" s="51" t="n">
        <v>18.6164043082022</v>
      </c>
      <c r="BL927" s="51" t="n">
        <v>13.5542667771334</v>
      </c>
      <c r="BM927" s="51" t="n">
        <v>13.0737365368683</v>
      </c>
      <c r="BN927" s="52" t="n">
        <f aca="false">(BG927*0.5-BH927*0.25+BI927*0.5)/SUM(BG927:BI927)*1000</f>
        <v>362.670763225909</v>
      </c>
      <c r="BO927" s="93" t="n">
        <v>4.09</v>
      </c>
      <c r="BP927" s="94" t="s">
        <v>1011</v>
      </c>
      <c r="BQ927" s="55" t="n">
        <v>529.882352941177</v>
      </c>
      <c r="BR927" s="56" t="n">
        <v>17.6627450980392</v>
      </c>
      <c r="BS927" s="56" t="n">
        <v>26.3355774706853</v>
      </c>
      <c r="BT927" s="56" t="n">
        <v>12.3804288070368</v>
      </c>
      <c r="BU927" s="55" t="n">
        <v>16736</v>
      </c>
      <c r="BV927" s="55" t="n">
        <v>558</v>
      </c>
      <c r="BW927" s="55" t="n">
        <v>876</v>
      </c>
      <c r="BX927" s="55" t="n">
        <v>391</v>
      </c>
      <c r="BY927" s="81" t="n">
        <v>0.1782</v>
      </c>
      <c r="BZ927" s="81" t="n">
        <v>0.8208</v>
      </c>
      <c r="CA927" s="81" t="n">
        <v>4.93</v>
      </c>
      <c r="CB927" s="81"/>
      <c r="CC927" s="81" t="n">
        <v>3.73</v>
      </c>
      <c r="CD927" s="81" t="n">
        <v>7.36</v>
      </c>
      <c r="CE927" s="81" t="n">
        <v>95.68</v>
      </c>
      <c r="CF927" s="81" t="n">
        <v>42.23</v>
      </c>
      <c r="CG927" s="81" t="n">
        <v>0.2552</v>
      </c>
      <c r="CH927" s="63" t="n">
        <v>55657.6488819578</v>
      </c>
      <c r="CI927" s="63" t="n">
        <v>3011.93303693934</v>
      </c>
      <c r="CJ927" s="64" t="n">
        <v>843018.461220305</v>
      </c>
      <c r="CK927" s="65" t="n">
        <v>0.357279606021847</v>
      </c>
    </row>
    <row r="928" customFormat="false" ht="15" hidden="false" customHeight="false" outlineLevel="0" collapsed="false">
      <c r="A928" s="7" t="s">
        <v>1006</v>
      </c>
      <c r="B928" s="66" t="n">
        <v>907</v>
      </c>
      <c r="C928" s="8" t="s">
        <v>1018</v>
      </c>
      <c r="D928" s="110" t="n">
        <v>41333</v>
      </c>
      <c r="E928" s="4" t="s">
        <v>1008</v>
      </c>
      <c r="F928" s="7" t="n">
        <v>4298</v>
      </c>
      <c r="G928" s="68" t="n">
        <v>2</v>
      </c>
      <c r="H928" s="68" t="n">
        <v>172</v>
      </c>
      <c r="I928" s="7" t="n">
        <v>3</v>
      </c>
      <c r="J928" s="8" t="n">
        <v>607</v>
      </c>
      <c r="K928" s="32" t="n">
        <v>562</v>
      </c>
      <c r="L928" s="32" t="n">
        <v>922</v>
      </c>
      <c r="M928" s="32" t="n">
        <v>158</v>
      </c>
      <c r="N928" s="32" t="n">
        <v>389</v>
      </c>
      <c r="O928" s="33" t="n">
        <v>67.4</v>
      </c>
      <c r="P928" s="33"/>
      <c r="Q928" s="33"/>
      <c r="R928" s="32" t="n">
        <v>168</v>
      </c>
      <c r="S928" s="34" t="s">
        <v>1009</v>
      </c>
      <c r="T928" s="35" t="n">
        <v>12.8</v>
      </c>
      <c r="U928" s="35" t="n">
        <v>10.5</v>
      </c>
      <c r="V928" s="35" t="n">
        <v>23.2</v>
      </c>
      <c r="W928" s="35" t="n">
        <v>21.4</v>
      </c>
      <c r="X928" s="35" t="n">
        <v>3.67</v>
      </c>
      <c r="Y928" s="35" t="n">
        <v>9.03</v>
      </c>
      <c r="Z928" s="35" t="n">
        <v>1.57</v>
      </c>
      <c r="AA928" s="35"/>
      <c r="AB928" s="35"/>
      <c r="AC928" s="71" t="n">
        <v>3.9</v>
      </c>
      <c r="AD928" s="38" t="n">
        <v>6.68</v>
      </c>
      <c r="AE928" s="38" t="n">
        <v>5.8</v>
      </c>
      <c r="AF928" s="38" t="n">
        <v>1.16</v>
      </c>
      <c r="AG928" s="38" t="n">
        <v>3.48</v>
      </c>
      <c r="AH928" s="38"/>
      <c r="AI928" s="38"/>
      <c r="AJ928" s="102" t="s">
        <v>1010</v>
      </c>
      <c r="AK928" s="111" t="n">
        <v>713</v>
      </c>
      <c r="AL928" s="111" t="n">
        <v>729</v>
      </c>
      <c r="AM928" s="111" t="n">
        <v>683</v>
      </c>
      <c r="AN928" s="111" t="n">
        <v>614</v>
      </c>
      <c r="AO928" s="104" t="n">
        <v>15.5</v>
      </c>
      <c r="AP928" s="105" t="n">
        <v>0.88</v>
      </c>
      <c r="AQ928" s="105" t="n">
        <v>0.74</v>
      </c>
      <c r="AR928" s="105" t="n">
        <v>0.74</v>
      </c>
      <c r="AS928" s="77" t="n">
        <v>19.4</v>
      </c>
      <c r="AT928" s="78" t="n">
        <v>20.4</v>
      </c>
      <c r="AU928" s="78" t="n">
        <v>56.6</v>
      </c>
      <c r="AV928" s="78" t="n">
        <v>47.6</v>
      </c>
      <c r="AW928" s="78" t="n">
        <v>47.5</v>
      </c>
      <c r="AX928" s="78"/>
      <c r="AY928" s="48" t="n">
        <v>0.879310344827586</v>
      </c>
      <c r="AZ928" s="48" t="n">
        <v>18.9703289827272</v>
      </c>
      <c r="BA928" s="48" t="n">
        <v>4.22967101727284</v>
      </c>
      <c r="BB928" s="49" t="n">
        <f aca="false">AT928/V928</f>
        <v>0.879310344827586</v>
      </c>
      <c r="BC928" s="49" t="n">
        <f aca="false">AS928/V928</f>
        <v>0.836206896551724</v>
      </c>
      <c r="BD928" s="49" t="n">
        <f aca="false">SUM(AP928:AR928)/V928</f>
        <v>0.101724137931034</v>
      </c>
      <c r="BE928" s="53" t="n">
        <v>6.69</v>
      </c>
      <c r="BF928" s="51" t="n">
        <v>134.9</v>
      </c>
      <c r="BG928" s="51" t="n">
        <v>642.023721275019</v>
      </c>
      <c r="BH928" s="51" t="n">
        <v>174.343958487769</v>
      </c>
      <c r="BI928" s="51" t="n">
        <v>124.381022979985</v>
      </c>
      <c r="BJ928" s="51" t="n">
        <v>13.3876945885841</v>
      </c>
      <c r="BK928" s="51" t="n">
        <v>20.5930318754633</v>
      </c>
      <c r="BL928" s="51" t="n">
        <v>14.936990363232</v>
      </c>
      <c r="BM928" s="51" t="n">
        <v>10.4966641957005</v>
      </c>
      <c r="BN928" s="52" t="n">
        <f aca="false">(BG928*0.5-BH928*0.25+BI928*0.5)/SUM(BG928:BI928)*1000</f>
        <v>361.006485063866</v>
      </c>
      <c r="BO928" s="93" t="n">
        <v>8.32</v>
      </c>
      <c r="BP928" s="94" t="s">
        <v>1011</v>
      </c>
      <c r="BQ928" s="55" t="n">
        <v>439.529411764706</v>
      </c>
      <c r="BR928" s="56" t="n">
        <v>18.9452332657201</v>
      </c>
      <c r="BS928" s="56" t="n">
        <v>28.1738786818908</v>
      </c>
      <c r="BT928" s="56" t="n">
        <v>21.5455594002307</v>
      </c>
      <c r="BU928" s="55" t="n">
        <v>14026</v>
      </c>
      <c r="BV928" s="55" t="n">
        <v>604</v>
      </c>
      <c r="BW928" s="55" t="n">
        <v>951</v>
      </c>
      <c r="BX928" s="55" t="n">
        <v>689</v>
      </c>
      <c r="BY928" s="81" t="n">
        <v>0.15007</v>
      </c>
      <c r="BZ928" s="81" t="n">
        <v>1.55931226587263</v>
      </c>
      <c r="CA928" s="81" t="n">
        <v>3.54</v>
      </c>
      <c r="CB928" s="81"/>
      <c r="CC928" s="81" t="n">
        <v>5.09</v>
      </c>
      <c r="CD928" s="81" t="n">
        <v>7.62</v>
      </c>
      <c r="CE928" s="81" t="n">
        <v>67.81</v>
      </c>
      <c r="CF928" s="81" t="n">
        <v>31.66</v>
      </c>
      <c r="CG928" s="81" t="n">
        <v>0.01</v>
      </c>
      <c r="CH928" s="63" t="n">
        <v>6627.38161982154</v>
      </c>
      <c r="CI928" s="63" t="n">
        <v>270.729908705097</v>
      </c>
      <c r="CJ928" s="64" t="n">
        <v>54691.1976279715</v>
      </c>
      <c r="CK928" s="65" t="n">
        <v>0.495015506054002</v>
      </c>
    </row>
    <row r="929" customFormat="false" ht="15" hidden="false" customHeight="false" outlineLevel="0" collapsed="false">
      <c r="A929" s="7" t="s">
        <v>1006</v>
      </c>
      <c r="B929" s="66" t="n">
        <v>908</v>
      </c>
      <c r="C929" s="8" t="s">
        <v>1019</v>
      </c>
      <c r="D929" s="110" t="n">
        <v>41339</v>
      </c>
      <c r="E929" s="4" t="s">
        <v>1008</v>
      </c>
      <c r="F929" s="7" t="n">
        <v>950</v>
      </c>
      <c r="G929" s="68" t="n">
        <v>2</v>
      </c>
      <c r="H929" s="68" t="n">
        <v>97</v>
      </c>
      <c r="I929" s="7" t="n">
        <v>2</v>
      </c>
      <c r="J929" s="8" t="n">
        <v>627</v>
      </c>
      <c r="K929" s="32" t="n">
        <v>560</v>
      </c>
      <c r="L929" s="32" t="n">
        <v>924</v>
      </c>
      <c r="M929" s="32" t="n">
        <v>160</v>
      </c>
      <c r="N929" s="32" t="n">
        <v>384</v>
      </c>
      <c r="O929" s="33" t="n">
        <v>65.3</v>
      </c>
      <c r="P929" s="33"/>
      <c r="Q929" s="33"/>
      <c r="R929" s="32" t="n">
        <v>169</v>
      </c>
      <c r="S929" s="34" t="s">
        <v>1009</v>
      </c>
      <c r="T929" s="35" t="n">
        <v>15.1</v>
      </c>
      <c r="U929" s="35" t="n">
        <v>12.3</v>
      </c>
      <c r="V929" s="35" t="n">
        <v>27.4</v>
      </c>
      <c r="W929" s="35" t="n">
        <v>25.3</v>
      </c>
      <c r="X929" s="35" t="n">
        <v>4.37</v>
      </c>
      <c r="Y929" s="35" t="n">
        <v>10.51</v>
      </c>
      <c r="Z929" s="35" t="n">
        <v>1.79</v>
      </c>
      <c r="AA929" s="35"/>
      <c r="AB929" s="35"/>
      <c r="AC929" s="71" t="n">
        <v>4.62</v>
      </c>
      <c r="AD929" s="38" t="n">
        <v>8.47</v>
      </c>
      <c r="AE929" s="38" t="n">
        <v>7.56</v>
      </c>
      <c r="AF929" s="38" t="n">
        <v>1.57</v>
      </c>
      <c r="AG929" s="38" t="n">
        <v>4.56</v>
      </c>
      <c r="AH929" s="38"/>
      <c r="AI929" s="38"/>
      <c r="AJ929" s="102" t="s">
        <v>1010</v>
      </c>
      <c r="AK929" s="111" t="n">
        <v>691</v>
      </c>
      <c r="AL929" s="111" t="n">
        <v>701</v>
      </c>
      <c r="AM929" s="111" t="n">
        <v>640</v>
      </c>
      <c r="AN929" s="111" t="n">
        <v>566</v>
      </c>
      <c r="AO929" s="104" t="n">
        <v>41.1</v>
      </c>
      <c r="AP929" s="105" t="n">
        <v>1.43</v>
      </c>
      <c r="AQ929" s="105" t="n">
        <v>1.39</v>
      </c>
      <c r="AR929" s="105" t="n">
        <v>1.73</v>
      </c>
      <c r="AS929" s="77" t="n">
        <v>37.89</v>
      </c>
      <c r="AT929" s="78" t="n">
        <v>37.7</v>
      </c>
      <c r="AU929" s="78" t="n">
        <v>35</v>
      </c>
      <c r="AV929" s="78" t="n">
        <v>33.9</v>
      </c>
      <c r="AW929" s="78" t="n">
        <v>42.2</v>
      </c>
      <c r="AX929" s="78"/>
      <c r="AY929" s="48" t="n">
        <v>1.37591240875912</v>
      </c>
      <c r="AZ929" s="48" t="n">
        <v>25.3179419520104</v>
      </c>
      <c r="BA929" s="48" t="n">
        <v>2.08205804798962</v>
      </c>
      <c r="BB929" s="49" t="n">
        <f aca="false">AT929/V929</f>
        <v>1.37591240875912</v>
      </c>
      <c r="BC929" s="49" t="n">
        <f aca="false">AS929/V929</f>
        <v>1.38284671532847</v>
      </c>
      <c r="BD929" s="49" t="n">
        <f aca="false">SUM(AP929:AR929)/V929</f>
        <v>0.166058394160584</v>
      </c>
      <c r="BE929" s="53" t="n">
        <v>6.62</v>
      </c>
      <c r="BF929" s="51" t="n">
        <v>131.3</v>
      </c>
      <c r="BG929" s="51" t="n">
        <v>665.491241431835</v>
      </c>
      <c r="BH929" s="51" t="n">
        <v>178.781416603199</v>
      </c>
      <c r="BI929" s="51" t="n">
        <v>101.264280274181</v>
      </c>
      <c r="BJ929" s="51" t="n">
        <v>11.1424219345011</v>
      </c>
      <c r="BK929" s="51" t="n">
        <v>17.0753998476771</v>
      </c>
      <c r="BL929" s="51" t="n">
        <v>15.5597867479056</v>
      </c>
      <c r="BM929" s="51" t="n">
        <v>10.8530083777609</v>
      </c>
      <c r="BN929" s="52" t="n">
        <f aca="false">(BG929*0.5-BH929*0.25+BI929*0.5)/SUM(BG929:BI929)*1000</f>
        <v>358.190561341614</v>
      </c>
      <c r="BO929" s="93" t="n">
        <v>0.54</v>
      </c>
      <c r="BP929" s="94" t="s">
        <v>1011</v>
      </c>
      <c r="BQ929" s="55" t="n">
        <v>480.941176470588</v>
      </c>
      <c r="BR929" s="56" t="n">
        <v>17.5525976814083</v>
      </c>
      <c r="BS929" s="56" t="n">
        <v>27.1177356160081</v>
      </c>
      <c r="BT929" s="56" t="n">
        <v>12.7570603838352</v>
      </c>
      <c r="BU929" s="55" t="n">
        <v>15545</v>
      </c>
      <c r="BV929" s="55" t="n">
        <v>568</v>
      </c>
      <c r="BW929" s="55" t="n">
        <v>923</v>
      </c>
      <c r="BX929" s="55" t="n">
        <v>413</v>
      </c>
      <c r="BY929" s="81" t="n">
        <v>0.15252</v>
      </c>
      <c r="BZ929" s="81" t="n">
        <v>1.52530976851407</v>
      </c>
      <c r="CA929" s="81" t="n">
        <v>2.95</v>
      </c>
      <c r="CB929" s="81"/>
      <c r="CC929" s="81" t="n">
        <v>3.86</v>
      </c>
      <c r="CD929" s="81" t="n">
        <v>9.35</v>
      </c>
      <c r="CE929" s="81" t="n">
        <v>61.29</v>
      </c>
      <c r="CF929" s="81" t="n">
        <v>33.91</v>
      </c>
      <c r="CG929" s="81" t="n">
        <v>0.01</v>
      </c>
      <c r="CH929" s="63" t="n">
        <v>69101.5055718129</v>
      </c>
      <c r="CI929" s="63" t="n">
        <v>9804.02341810746</v>
      </c>
      <c r="CJ929" s="64" t="n">
        <v>1197191.87380511</v>
      </c>
      <c r="CK929" s="65" t="n">
        <v>0.818918306465504</v>
      </c>
    </row>
    <row r="930" customFormat="false" ht="15" hidden="false" customHeight="false" outlineLevel="0" collapsed="false">
      <c r="A930" s="7" t="s">
        <v>1006</v>
      </c>
      <c r="B930" s="66" t="n">
        <v>909</v>
      </c>
      <c r="C930" s="8" t="s">
        <v>1020</v>
      </c>
      <c r="D930" s="110" t="n">
        <v>41339</v>
      </c>
      <c r="E930" s="4" t="s">
        <v>1008</v>
      </c>
      <c r="F930" s="7" t="n">
        <v>504</v>
      </c>
      <c r="G930" s="68" t="n">
        <v>2</v>
      </c>
      <c r="H930" s="68" t="n">
        <v>182</v>
      </c>
      <c r="I930" s="7" t="n">
        <v>3</v>
      </c>
      <c r="J930" s="8" t="n">
        <v>756</v>
      </c>
      <c r="K930" s="32" t="n">
        <v>560</v>
      </c>
      <c r="L930" s="32" t="n">
        <v>924</v>
      </c>
      <c r="M930" s="32" t="n">
        <v>160</v>
      </c>
      <c r="N930" s="32" t="n">
        <v>384</v>
      </c>
      <c r="O930" s="33" t="n">
        <v>65.3</v>
      </c>
      <c r="P930" s="33"/>
      <c r="Q930" s="33"/>
      <c r="R930" s="32" t="n">
        <v>169</v>
      </c>
      <c r="S930" s="34" t="s">
        <v>1009</v>
      </c>
      <c r="T930" s="35" t="n">
        <v>14.1</v>
      </c>
      <c r="U930" s="35" t="n">
        <v>11.6</v>
      </c>
      <c r="V930" s="35" t="n">
        <v>25.7</v>
      </c>
      <c r="W930" s="35" t="n">
        <v>23.7</v>
      </c>
      <c r="X930" s="35" t="n">
        <v>4.1</v>
      </c>
      <c r="Y930" s="35" t="n">
        <v>9.87</v>
      </c>
      <c r="Z930" s="35" t="n">
        <v>1.68</v>
      </c>
      <c r="AA930" s="35"/>
      <c r="AB930" s="35"/>
      <c r="AC930" s="71" t="n">
        <v>4.34</v>
      </c>
      <c r="AD930" s="38" t="n">
        <v>7.25</v>
      </c>
      <c r="AE930" s="38" t="n">
        <v>6.37</v>
      </c>
      <c r="AF930" s="38" t="n">
        <v>1.35</v>
      </c>
      <c r="AG930" s="38" t="n">
        <v>3.77</v>
      </c>
      <c r="AH930" s="38"/>
      <c r="AI930" s="38"/>
      <c r="AJ930" s="102" t="s">
        <v>1010</v>
      </c>
      <c r="AK930" s="111" t="n">
        <v>718</v>
      </c>
      <c r="AL930" s="111" t="n">
        <v>732</v>
      </c>
      <c r="AM930" s="111" t="n">
        <v>671</v>
      </c>
      <c r="AN930" s="111" t="n">
        <v>618</v>
      </c>
      <c r="AO930" s="104" t="n">
        <v>39.9</v>
      </c>
      <c r="AP930" s="105" t="n">
        <v>1.33</v>
      </c>
      <c r="AQ930" s="105" t="n">
        <v>1.2</v>
      </c>
      <c r="AR930" s="105" t="n">
        <v>1.71</v>
      </c>
      <c r="AS930" s="77" t="n">
        <v>35.91</v>
      </c>
      <c r="AT930" s="78" t="n">
        <v>35.5</v>
      </c>
      <c r="AU930" s="78" t="n">
        <v>34.6</v>
      </c>
      <c r="AV930" s="78" t="n">
        <v>30.3</v>
      </c>
      <c r="AW930" s="78" t="n">
        <v>43.3</v>
      </c>
      <c r="AX930" s="78"/>
      <c r="AY930" s="48" t="n">
        <v>1.38132295719844</v>
      </c>
      <c r="AZ930" s="48" t="n">
        <v>27.2230028984641</v>
      </c>
      <c r="BA930" s="48" t="n">
        <v>-1.52300289846412</v>
      </c>
      <c r="BB930" s="49" t="n">
        <f aca="false">AT930/V930</f>
        <v>1.38132295719844</v>
      </c>
      <c r="BC930" s="49" t="n">
        <f aca="false">AS930/V930</f>
        <v>1.39727626459144</v>
      </c>
      <c r="BD930" s="49" t="n">
        <f aca="false">SUM(AP930:AR930)/V930</f>
        <v>0.164980544747082</v>
      </c>
      <c r="BE930" s="53" t="n">
        <v>6.79</v>
      </c>
      <c r="BF930" s="51" t="n">
        <v>129.1</v>
      </c>
      <c r="BG930" s="51" t="n">
        <v>661.611154144075</v>
      </c>
      <c r="BH930" s="51" t="n">
        <v>171.959721146398</v>
      </c>
      <c r="BI930" s="51" t="n">
        <v>111.781564678544</v>
      </c>
      <c r="BJ930" s="51" t="n">
        <v>13.0054221533695</v>
      </c>
      <c r="BK930" s="51" t="n">
        <v>16.3129357087529</v>
      </c>
      <c r="BL930" s="51" t="n">
        <v>15.6312935708753</v>
      </c>
      <c r="BM930" s="51" t="n">
        <v>9.8295894655306</v>
      </c>
      <c r="BN930" s="52" t="n">
        <f aca="false">(BG930*0.5-BH930*0.25+BI930*0.5)/SUM(BG930:BI930)*1000</f>
        <v>363.574910893523</v>
      </c>
      <c r="BO930" s="93" t="n">
        <v>2.22</v>
      </c>
      <c r="BP930" s="94" t="s">
        <v>1011</v>
      </c>
      <c r="BQ930" s="55" t="n">
        <v>485.647058823529</v>
      </c>
      <c r="BR930" s="56" t="n">
        <v>18.8967727168688</v>
      </c>
      <c r="BS930" s="56" t="n">
        <v>27.9937665043191</v>
      </c>
      <c r="BT930" s="56" t="n">
        <v>13.6801988400994</v>
      </c>
      <c r="BU930" s="55" t="n">
        <v>14704</v>
      </c>
      <c r="BV930" s="55" t="n">
        <v>572</v>
      </c>
      <c r="BW930" s="55" t="n">
        <v>891</v>
      </c>
      <c r="BX930" s="55" t="n">
        <v>414</v>
      </c>
      <c r="BY930" s="81" t="n">
        <v>0.22397</v>
      </c>
      <c r="BZ930" s="81" t="n">
        <v>1.11727980021132</v>
      </c>
      <c r="CA930" s="81" t="n">
        <v>3.3</v>
      </c>
      <c r="CB930" s="81"/>
      <c r="CC930" s="81" t="n">
        <v>4.39</v>
      </c>
      <c r="CD930" s="81" t="n">
        <v>7.39</v>
      </c>
      <c r="CE930" s="81" t="n">
        <v>94.72</v>
      </c>
      <c r="CF930" s="81" t="n">
        <v>36.56</v>
      </c>
      <c r="CG930" s="81" t="n">
        <v>0.01</v>
      </c>
      <c r="CH930" s="63" t="n">
        <v>67370.5695625671</v>
      </c>
      <c r="CI930" s="63" t="n">
        <v>3017.17363932155</v>
      </c>
      <c r="CJ930" s="64" t="n">
        <v>730811.076740006</v>
      </c>
      <c r="CK930" s="65" t="n">
        <v>0.412852751600389</v>
      </c>
    </row>
    <row r="931" customFormat="false" ht="15" hidden="false" customHeight="false" outlineLevel="0" collapsed="false">
      <c r="A931" s="7" t="s">
        <v>1006</v>
      </c>
      <c r="B931" s="66" t="n">
        <v>910</v>
      </c>
      <c r="C931" s="8" t="s">
        <v>1021</v>
      </c>
      <c r="D931" s="110" t="n">
        <v>41339</v>
      </c>
      <c r="E931" s="4" t="s">
        <v>1008</v>
      </c>
      <c r="F931" s="7" t="n">
        <v>812</v>
      </c>
      <c r="G931" s="68" t="n">
        <v>2</v>
      </c>
      <c r="H931" s="68" t="n">
        <v>178</v>
      </c>
      <c r="I931" s="7" t="n">
        <v>2</v>
      </c>
      <c r="J931" s="8" t="n">
        <v>794</v>
      </c>
      <c r="K931" s="32" t="n">
        <v>560</v>
      </c>
      <c r="L931" s="32" t="n">
        <v>924</v>
      </c>
      <c r="M931" s="32" t="n">
        <v>160</v>
      </c>
      <c r="N931" s="32" t="n">
        <v>384</v>
      </c>
      <c r="O931" s="33" t="n">
        <v>65.3</v>
      </c>
      <c r="P931" s="33"/>
      <c r="Q931" s="33"/>
      <c r="R931" s="32" t="n">
        <v>169</v>
      </c>
      <c r="S931" s="34" t="s">
        <v>1009</v>
      </c>
      <c r="T931" s="35" t="n">
        <v>14.5</v>
      </c>
      <c r="U931" s="35" t="n">
        <v>11.9</v>
      </c>
      <c r="V931" s="35" t="n">
        <v>26.4</v>
      </c>
      <c r="W931" s="35" t="n">
        <v>24.4</v>
      </c>
      <c r="X931" s="35" t="n">
        <v>4.22</v>
      </c>
      <c r="Y931" s="35" t="n">
        <v>10.15</v>
      </c>
      <c r="Z931" s="35" t="n">
        <v>1.73</v>
      </c>
      <c r="AA931" s="35"/>
      <c r="AB931" s="35"/>
      <c r="AC931" s="71" t="n">
        <v>4.46</v>
      </c>
      <c r="AD931" s="38" t="n">
        <v>7.49</v>
      </c>
      <c r="AE931" s="38" t="n">
        <v>6.56</v>
      </c>
      <c r="AF931" s="38" t="n">
        <v>1.4</v>
      </c>
      <c r="AG931" s="38" t="n">
        <v>3.9</v>
      </c>
      <c r="AH931" s="38"/>
      <c r="AI931" s="38"/>
      <c r="AJ931" s="102" t="s">
        <v>1010</v>
      </c>
      <c r="AK931" s="111" t="n">
        <v>717</v>
      </c>
      <c r="AL931" s="111" t="n">
        <v>732</v>
      </c>
      <c r="AM931" s="111" t="n">
        <v>668</v>
      </c>
      <c r="AN931" s="111" t="n">
        <v>615</v>
      </c>
      <c r="AO931" s="104" t="n">
        <v>38.5</v>
      </c>
      <c r="AP931" s="105" t="n">
        <v>1.62</v>
      </c>
      <c r="AQ931" s="105" t="n">
        <v>1.34</v>
      </c>
      <c r="AR931" s="105" t="n">
        <v>1.77</v>
      </c>
      <c r="AS931" s="77" t="n">
        <v>39.7</v>
      </c>
      <c r="AT931" s="78" t="n">
        <v>40</v>
      </c>
      <c r="AU931" s="78" t="n">
        <v>42.4</v>
      </c>
      <c r="AV931" s="78" t="n">
        <v>35.2</v>
      </c>
      <c r="AW931" s="78" t="n">
        <v>46.6</v>
      </c>
      <c r="AX931" s="78"/>
      <c r="AY931" s="48" t="n">
        <v>1.51515151515152</v>
      </c>
      <c r="AZ931" s="48" t="n">
        <v>29.1378957374763</v>
      </c>
      <c r="BA931" s="48" t="n">
        <v>-2.73789573747634</v>
      </c>
      <c r="BB931" s="49" t="n">
        <f aca="false">AT931/V931</f>
        <v>1.51515151515152</v>
      </c>
      <c r="BC931" s="49" t="n">
        <f aca="false">AS931/V931</f>
        <v>1.50378787878788</v>
      </c>
      <c r="BD931" s="49" t="n">
        <f aca="false">SUM(AP931:AR931)/V931</f>
        <v>0.179166666666667</v>
      </c>
      <c r="BE931" s="53" t="n">
        <v>6.51</v>
      </c>
      <c r="BF931" s="51" t="n">
        <v>130.7</v>
      </c>
      <c r="BG931" s="51" t="n">
        <v>681.836266258608</v>
      </c>
      <c r="BH931" s="51" t="n">
        <v>157.674062739097</v>
      </c>
      <c r="BI931" s="51" t="n">
        <v>111.208875286917</v>
      </c>
      <c r="BJ931" s="51" t="n">
        <v>11.9433817903596</v>
      </c>
      <c r="BK931" s="51" t="n">
        <v>14.0244835501148</v>
      </c>
      <c r="BL931" s="51" t="n">
        <v>14.5447589900536</v>
      </c>
      <c r="BM931" s="51" t="n">
        <v>9.00535577658761</v>
      </c>
      <c r="BN931" s="52" t="n">
        <f aca="false">(BG931*0.5-BH931*0.25+BI931*0.5)/SUM(BG931:BI931)*1000</f>
        <v>375.614643607304</v>
      </c>
      <c r="BO931" s="93" t="n">
        <v>0.66</v>
      </c>
      <c r="BP931" s="94" t="s">
        <v>1011</v>
      </c>
      <c r="BQ931" s="55" t="n">
        <v>541.176470588235</v>
      </c>
      <c r="BR931" s="56" t="n">
        <v>20.4991087344028</v>
      </c>
      <c r="BS931" s="56" t="n">
        <v>30.2996769790959</v>
      </c>
      <c r="BT931" s="56" t="n">
        <v>13.5294117647059</v>
      </c>
      <c r="BU931" s="55" t="n">
        <v>16020</v>
      </c>
      <c r="BV931" s="55" t="n">
        <v>606</v>
      </c>
      <c r="BW931" s="55" t="n">
        <v>945</v>
      </c>
      <c r="BX931" s="55" t="n">
        <v>400</v>
      </c>
      <c r="BY931" s="81" t="n">
        <v>0.23871</v>
      </c>
      <c r="BZ931" s="81" t="n">
        <v>0.808759965421189</v>
      </c>
      <c r="CA931" s="81" t="n">
        <v>3.4</v>
      </c>
      <c r="CB931" s="81"/>
      <c r="CC931" s="81" t="n">
        <v>3.62</v>
      </c>
      <c r="CD931" s="81" t="n">
        <v>7.5</v>
      </c>
      <c r="CE931" s="81" t="n">
        <v>78.9</v>
      </c>
      <c r="CF931" s="81" t="n">
        <v>34.73</v>
      </c>
      <c r="CG931" s="81" t="n">
        <v>0.01</v>
      </c>
      <c r="CH931" s="63" t="n">
        <v>68585.8840408968</v>
      </c>
      <c r="CI931" s="63" t="n">
        <v>3041.12015676255</v>
      </c>
      <c r="CJ931" s="64" t="n">
        <v>638524.503464565</v>
      </c>
      <c r="CK931" s="65" t="n">
        <v>0.476273054559655</v>
      </c>
    </row>
    <row r="932" customFormat="false" ht="15" hidden="false" customHeight="false" outlineLevel="0" collapsed="false">
      <c r="A932" s="7" t="s">
        <v>1006</v>
      </c>
      <c r="B932" s="66" t="n">
        <v>911</v>
      </c>
      <c r="C932" s="8" t="s">
        <v>1022</v>
      </c>
      <c r="D932" s="110" t="n">
        <v>41346</v>
      </c>
      <c r="E932" s="4" t="s">
        <v>1008</v>
      </c>
      <c r="F932" s="7" t="n">
        <v>307</v>
      </c>
      <c r="G932" s="68" t="n">
        <v>2</v>
      </c>
      <c r="H932" s="68" t="n">
        <v>100</v>
      </c>
      <c r="I932" s="7" t="n">
        <v>4</v>
      </c>
      <c r="J932" s="8" t="n">
        <v>781</v>
      </c>
      <c r="K932" s="32" t="n">
        <v>558</v>
      </c>
      <c r="L932" s="32" t="n">
        <v>924</v>
      </c>
      <c r="M932" s="32" t="n">
        <v>159</v>
      </c>
      <c r="N932" s="32" t="n">
        <v>389</v>
      </c>
      <c r="O932" s="33" t="n">
        <v>65.2</v>
      </c>
      <c r="P932" s="33"/>
      <c r="Q932" s="33"/>
      <c r="R932" s="32" t="n">
        <v>169</v>
      </c>
      <c r="S932" s="34" t="s">
        <v>1009</v>
      </c>
      <c r="T932" s="35" t="n">
        <v>17.7</v>
      </c>
      <c r="U932" s="35" t="n">
        <v>14.5</v>
      </c>
      <c r="V932" s="35" t="n">
        <v>32.2</v>
      </c>
      <c r="W932" s="35" t="n">
        <v>29.8</v>
      </c>
      <c r="X932" s="35" t="n">
        <v>5.14</v>
      </c>
      <c r="Y932" s="35" t="n">
        <v>12.54</v>
      </c>
      <c r="Z932" s="35" t="n">
        <v>2.1</v>
      </c>
      <c r="AA932" s="35"/>
      <c r="AB932" s="35"/>
      <c r="AC932" s="71" t="n">
        <v>5.44</v>
      </c>
      <c r="AD932" s="38" t="n">
        <v>8.24</v>
      </c>
      <c r="AE932" s="38" t="n">
        <v>7.19</v>
      </c>
      <c r="AF932" s="38" t="n">
        <v>1.54</v>
      </c>
      <c r="AG932" s="38" t="n">
        <v>4.38</v>
      </c>
      <c r="AH932" s="38"/>
      <c r="AI932" s="38"/>
      <c r="AJ932" s="102" t="s">
        <v>1010</v>
      </c>
      <c r="AK932" s="111" t="n">
        <v>744</v>
      </c>
      <c r="AL932" s="111" t="n">
        <v>759</v>
      </c>
      <c r="AM932" s="111" t="n">
        <v>701</v>
      </c>
      <c r="AN932" s="111" t="n">
        <v>651</v>
      </c>
      <c r="AO932" s="104" t="n">
        <v>45.4</v>
      </c>
      <c r="AP932" s="105" t="n">
        <v>1.88</v>
      </c>
      <c r="AQ932" s="105" t="n">
        <v>1.58</v>
      </c>
      <c r="AR932" s="105" t="n">
        <v>2.05</v>
      </c>
      <c r="AS932" s="77" t="n">
        <v>46.36</v>
      </c>
      <c r="AT932" s="78" t="n">
        <v>46.2</v>
      </c>
      <c r="AU932" s="78" t="n">
        <v>41.3</v>
      </c>
      <c r="AV932" s="78" t="n">
        <v>34.8</v>
      </c>
      <c r="AW932" s="78" t="n">
        <v>45.1</v>
      </c>
      <c r="AX932" s="78"/>
      <c r="AY932" s="48" t="n">
        <v>1.43478260869565</v>
      </c>
      <c r="AZ932" s="48" t="n">
        <v>30.5428448192565</v>
      </c>
      <c r="BA932" s="48" t="n">
        <v>1.65715518074346</v>
      </c>
      <c r="BB932" s="49" t="n">
        <f aca="false">AT932/V932</f>
        <v>1.43478260869565</v>
      </c>
      <c r="BC932" s="49" t="n">
        <f aca="false">AS932/V932</f>
        <v>1.43975155279503</v>
      </c>
      <c r="BD932" s="49" t="n">
        <f aca="false">SUM(AP932:AR932)/V932</f>
        <v>0.17111801242236</v>
      </c>
      <c r="BE932" s="53" t="n">
        <v>6.16</v>
      </c>
      <c r="BF932" s="51" t="n">
        <v>165.7</v>
      </c>
      <c r="BG932" s="51" t="n">
        <v>654.333132166566</v>
      </c>
      <c r="BH932" s="51" t="n">
        <v>168.943874471937</v>
      </c>
      <c r="BI932" s="51" t="n">
        <v>119.674109837055</v>
      </c>
      <c r="BJ932" s="51" t="n">
        <v>10.5069402534701</v>
      </c>
      <c r="BK932" s="51" t="n">
        <v>17.0609535304768</v>
      </c>
      <c r="BL932" s="51" t="n">
        <v>17.1997585998793</v>
      </c>
      <c r="BM932" s="51" t="n">
        <v>11.985515992758</v>
      </c>
      <c r="BN932" s="52" t="n">
        <f aca="false">(BG932*0.5-BH932*0.25+BI932*0.5)/SUM(BG932:BI932)*1000</f>
        <v>365.626220023424</v>
      </c>
      <c r="BO932" s="93" t="n">
        <v>9.38</v>
      </c>
      <c r="BP932" s="94" t="s">
        <v>1011</v>
      </c>
      <c r="BQ932" s="55" t="n">
        <v>659.764705882353</v>
      </c>
      <c r="BR932" s="56" t="n">
        <v>20.4895871392035</v>
      </c>
      <c r="BS932" s="56" t="n">
        <v>29.1696379854433</v>
      </c>
      <c r="BT932" s="56" t="n">
        <v>14.2806213394449</v>
      </c>
      <c r="BU932" s="55" t="n">
        <v>19196</v>
      </c>
      <c r="BV932" s="55" t="n">
        <v>596</v>
      </c>
      <c r="BW932" s="55" t="n">
        <v>891</v>
      </c>
      <c r="BX932" s="55" t="n">
        <v>416</v>
      </c>
      <c r="BY932" s="81" t="n">
        <v>0.1287</v>
      </c>
      <c r="BZ932" s="81" t="n">
        <v>0.9434</v>
      </c>
      <c r="CA932" s="81" t="n">
        <v>3.76</v>
      </c>
      <c r="CB932" s="81"/>
      <c r="CC932" s="81" t="n">
        <v>3.9798</v>
      </c>
      <c r="CD932" s="81" t="n">
        <v>8.2</v>
      </c>
      <c r="CE932" s="81" t="n">
        <v>94.94</v>
      </c>
      <c r="CF932" s="81" t="n">
        <v>38.9</v>
      </c>
      <c r="CG932" s="81" t="n">
        <v>0.0314</v>
      </c>
      <c r="CH932" s="63" t="n">
        <v>48809.4936464075</v>
      </c>
      <c r="CI932" s="63" t="n">
        <v>9216.95600355448</v>
      </c>
      <c r="CJ932" s="64" t="n">
        <v>736642.567082668</v>
      </c>
      <c r="CK932" s="65" t="n">
        <v>1.25121143081053</v>
      </c>
    </row>
    <row r="933" customFormat="false" ht="15" hidden="false" customHeight="false" outlineLevel="0" collapsed="false">
      <c r="A933" s="7" t="s">
        <v>1006</v>
      </c>
      <c r="B933" s="66" t="n">
        <v>912</v>
      </c>
      <c r="C933" s="8" t="s">
        <v>1023</v>
      </c>
      <c r="D933" s="110" t="n">
        <v>41346</v>
      </c>
      <c r="E933" s="4" t="s">
        <v>1008</v>
      </c>
      <c r="F933" s="7" t="n">
        <v>405</v>
      </c>
      <c r="G933" s="68" t="n">
        <v>2</v>
      </c>
      <c r="H933" s="68" t="n">
        <v>185</v>
      </c>
      <c r="I933" s="7" t="n">
        <v>2</v>
      </c>
      <c r="J933" s="8" t="n">
        <v>559</v>
      </c>
      <c r="K933" s="32" t="n">
        <v>558</v>
      </c>
      <c r="L933" s="32" t="n">
        <v>924</v>
      </c>
      <c r="M933" s="32" t="n">
        <v>159</v>
      </c>
      <c r="N933" s="32" t="n">
        <v>389</v>
      </c>
      <c r="O933" s="33" t="n">
        <v>65.2</v>
      </c>
      <c r="P933" s="33"/>
      <c r="Q933" s="33"/>
      <c r="R933" s="32" t="n">
        <v>169</v>
      </c>
      <c r="S933" s="34" t="s">
        <v>1009</v>
      </c>
      <c r="T933" s="35" t="n">
        <v>13.4</v>
      </c>
      <c r="U933" s="35" t="n">
        <v>10.9</v>
      </c>
      <c r="V933" s="35" t="n">
        <v>24.3</v>
      </c>
      <c r="W933" s="35" t="n">
        <v>22.5</v>
      </c>
      <c r="X933" s="35" t="n">
        <v>3.88</v>
      </c>
      <c r="Y933" s="35" t="n">
        <v>9.46</v>
      </c>
      <c r="Z933" s="35" t="n">
        <v>1.58</v>
      </c>
      <c r="AA933" s="35"/>
      <c r="AB933" s="35"/>
      <c r="AC933" s="71" t="n">
        <v>4.1</v>
      </c>
      <c r="AD933" s="38" t="n">
        <v>6.65</v>
      </c>
      <c r="AE933" s="38" t="n">
        <v>5.8</v>
      </c>
      <c r="AF933" s="38" t="n">
        <v>1.18</v>
      </c>
      <c r="AG933" s="38" t="n">
        <v>3.69</v>
      </c>
      <c r="AH933" s="38"/>
      <c r="AI933" s="38"/>
      <c r="AJ933" s="102" t="s">
        <v>1010</v>
      </c>
      <c r="AK933" s="111" t="n">
        <v>726</v>
      </c>
      <c r="AL933" s="111" t="n">
        <v>742</v>
      </c>
      <c r="AM933" s="111" t="n">
        <v>696</v>
      </c>
      <c r="AN933" s="111" t="n">
        <v>610</v>
      </c>
      <c r="AO933" s="104" t="n">
        <v>28.6</v>
      </c>
      <c r="AP933" s="105" t="n">
        <v>1.39</v>
      </c>
      <c r="AQ933" s="105" t="n">
        <v>1.06</v>
      </c>
      <c r="AR933" s="105" t="n">
        <v>1.35</v>
      </c>
      <c r="AS933" s="77" t="n">
        <v>32.29</v>
      </c>
      <c r="AT933" s="78" t="n">
        <v>32.4</v>
      </c>
      <c r="AU933" s="78" t="n">
        <v>48.6</v>
      </c>
      <c r="AV933" s="78" t="n">
        <v>37.1</v>
      </c>
      <c r="AW933" s="78" t="n">
        <v>47.4</v>
      </c>
      <c r="AX933" s="78"/>
      <c r="AY933" s="48" t="n">
        <v>1.33333333333333</v>
      </c>
      <c r="AZ933" s="48" t="n">
        <v>23.0687673868422</v>
      </c>
      <c r="BA933" s="48" t="n">
        <v>1.23123261315777</v>
      </c>
      <c r="BB933" s="49" t="n">
        <f aca="false">AT933/V933</f>
        <v>1.33333333333333</v>
      </c>
      <c r="BC933" s="49" t="n">
        <f aca="false">AS933/V933</f>
        <v>1.32880658436214</v>
      </c>
      <c r="BD933" s="49" t="n">
        <f aca="false">SUM(AP933:AR933)/V933</f>
        <v>0.156378600823045</v>
      </c>
      <c r="BE933" s="53" t="n">
        <v>6.57</v>
      </c>
      <c r="BF933" s="51" t="n">
        <v>145</v>
      </c>
      <c r="BG933" s="51" t="n">
        <v>618.779310344828</v>
      </c>
      <c r="BH933" s="51" t="n">
        <v>184.662068965517</v>
      </c>
      <c r="BI933" s="51" t="n">
        <v>141.620689655172</v>
      </c>
      <c r="BJ933" s="51" t="n">
        <v>10.4137931034483</v>
      </c>
      <c r="BK933" s="51" t="n">
        <v>19.551724137931</v>
      </c>
      <c r="BL933" s="51" t="n">
        <v>11.7931034482759</v>
      </c>
      <c r="BM933" s="51" t="n">
        <v>12.951724137931</v>
      </c>
      <c r="BN933" s="52" t="n">
        <f aca="false">(BG933*0.5-BH933*0.25+BI933*0.5)/SUM(BG933:BI933)*1000</f>
        <v>353.452427864618</v>
      </c>
      <c r="BO933" s="93" t="n">
        <v>9.78</v>
      </c>
      <c r="BP933" s="94" t="s">
        <v>1011</v>
      </c>
      <c r="BQ933" s="55" t="n">
        <v>465.882352941177</v>
      </c>
      <c r="BR933" s="56" t="n">
        <v>19.1721132897603</v>
      </c>
      <c r="BS933" s="56" t="n">
        <v>27.9055018233709</v>
      </c>
      <c r="BT933" s="56" t="n">
        <v>14.3790849673203</v>
      </c>
      <c r="BU933" s="55" t="n">
        <v>14433</v>
      </c>
      <c r="BV933" s="55" t="n">
        <v>594</v>
      </c>
      <c r="BW933" s="55" t="n">
        <v>913</v>
      </c>
      <c r="BX933" s="55" t="n">
        <v>445</v>
      </c>
      <c r="BY933" s="81" t="n">
        <v>0.16315</v>
      </c>
      <c r="BZ933" s="81" t="n">
        <v>1.26385553741235</v>
      </c>
      <c r="CA933" s="81" t="n">
        <v>3.04</v>
      </c>
      <c r="CB933" s="81"/>
      <c r="CC933" s="81" t="n">
        <v>5.72</v>
      </c>
      <c r="CD933" s="81" t="n">
        <v>8.84</v>
      </c>
      <c r="CE933" s="81" t="n">
        <v>59.95</v>
      </c>
      <c r="CF933" s="81" t="n">
        <v>34.56</v>
      </c>
      <c r="CG933" s="81" t="n">
        <v>0.01</v>
      </c>
      <c r="CH933" s="63" t="n">
        <v>89155.0000374872</v>
      </c>
      <c r="CI933" s="63" t="n">
        <v>15024.0516897638</v>
      </c>
      <c r="CJ933" s="64" t="n">
        <v>651678.97710229</v>
      </c>
      <c r="CK933" s="65" t="n">
        <v>2.30543752639815</v>
      </c>
    </row>
    <row r="934" customFormat="false" ht="15" hidden="false" customHeight="false" outlineLevel="0" collapsed="false">
      <c r="A934" s="7" t="s">
        <v>1006</v>
      </c>
      <c r="B934" s="66" t="n">
        <v>913</v>
      </c>
      <c r="C934" s="8" t="s">
        <v>1024</v>
      </c>
      <c r="D934" s="110" t="n">
        <v>41346</v>
      </c>
      <c r="E934" s="4" t="s">
        <v>1008</v>
      </c>
      <c r="F934" s="7" t="n">
        <v>3414</v>
      </c>
      <c r="G934" s="68" t="n">
        <v>2</v>
      </c>
      <c r="H934" s="68" t="n">
        <v>179</v>
      </c>
      <c r="I934" s="7" t="n">
        <v>2</v>
      </c>
      <c r="J934" s="8" t="n">
        <v>689</v>
      </c>
      <c r="K934" s="32" t="n">
        <v>558</v>
      </c>
      <c r="L934" s="32" t="n">
        <v>924</v>
      </c>
      <c r="M934" s="32" t="n">
        <v>159</v>
      </c>
      <c r="N934" s="32" t="n">
        <v>389</v>
      </c>
      <c r="O934" s="33" t="n">
        <v>65.2</v>
      </c>
      <c r="P934" s="33"/>
      <c r="Q934" s="33"/>
      <c r="R934" s="32" t="n">
        <v>169</v>
      </c>
      <c r="S934" s="34" t="s">
        <v>1009</v>
      </c>
      <c r="T934" s="35" t="n">
        <v>13.2</v>
      </c>
      <c r="U934" s="35" t="n">
        <v>10.8</v>
      </c>
      <c r="V934" s="35" t="n">
        <v>24.1</v>
      </c>
      <c r="W934" s="35" t="n">
        <v>22.3</v>
      </c>
      <c r="X934" s="35" t="n">
        <v>3.84</v>
      </c>
      <c r="Y934" s="35" t="n">
        <v>9.37</v>
      </c>
      <c r="Z934" s="35" t="n">
        <v>1.57</v>
      </c>
      <c r="AA934" s="35"/>
      <c r="AB934" s="35"/>
      <c r="AC934" s="71" t="n">
        <v>4.06</v>
      </c>
      <c r="AD934" s="38" t="n">
        <v>6.71</v>
      </c>
      <c r="AE934" s="38" t="n">
        <v>5.88</v>
      </c>
      <c r="AF934" s="38" t="n">
        <v>1.12</v>
      </c>
      <c r="AG934" s="38" t="n">
        <v>3.7</v>
      </c>
      <c r="AH934" s="38"/>
      <c r="AI934" s="38"/>
      <c r="AJ934" s="102" t="s">
        <v>1010</v>
      </c>
      <c r="AK934" s="111" t="n">
        <v>721</v>
      </c>
      <c r="AL934" s="111" t="n">
        <v>736</v>
      </c>
      <c r="AM934" s="111" t="n">
        <v>710</v>
      </c>
      <c r="AN934" s="111" t="n">
        <v>606</v>
      </c>
      <c r="AO934" s="104" t="n">
        <v>31.1</v>
      </c>
      <c r="AP934" s="105" t="n">
        <v>1.38</v>
      </c>
      <c r="AQ934" s="105" t="n">
        <v>1.08</v>
      </c>
      <c r="AR934" s="105" t="n">
        <v>1.41</v>
      </c>
      <c r="AS934" s="77" t="n">
        <v>33.14</v>
      </c>
      <c r="AT934" s="78" t="n">
        <v>32.8</v>
      </c>
      <c r="AU934" s="78" t="n">
        <v>44.5</v>
      </c>
      <c r="AV934" s="78" t="n">
        <v>34.8</v>
      </c>
      <c r="AW934" s="78" t="n">
        <v>45.3</v>
      </c>
      <c r="AX934" s="78"/>
      <c r="AY934" s="48" t="n">
        <v>1.36099585062241</v>
      </c>
      <c r="AZ934" s="48" t="n">
        <v>25.2535552150681</v>
      </c>
      <c r="BA934" s="48" t="n">
        <v>-1.15355521506809</v>
      </c>
      <c r="BB934" s="49" t="n">
        <f aca="false">AT934/V934</f>
        <v>1.36099585062241</v>
      </c>
      <c r="BC934" s="49" t="n">
        <f aca="false">AS934/V934</f>
        <v>1.37510373443983</v>
      </c>
      <c r="BD934" s="49" t="n">
        <f aca="false">SUM(AP934:AR934)/V934</f>
        <v>0.160580912863071</v>
      </c>
      <c r="BE934" s="53" t="n">
        <v>6.78</v>
      </c>
      <c r="BF934" s="51" t="n">
        <v>128.9</v>
      </c>
      <c r="BG934" s="51" t="n">
        <v>632.203258339798</v>
      </c>
      <c r="BH934" s="51" t="n">
        <v>179.418153607448</v>
      </c>
      <c r="BI934" s="51" t="n">
        <v>135.919317300233</v>
      </c>
      <c r="BJ934" s="51" t="n">
        <v>10.744763382467</v>
      </c>
      <c r="BK934" s="51" t="n">
        <v>17.7191621411947</v>
      </c>
      <c r="BL934" s="51" t="n">
        <v>11.6602017067494</v>
      </c>
      <c r="BM934" s="51" t="n">
        <v>12.0791311093871</v>
      </c>
      <c r="BN934" s="52" t="n">
        <f aca="false">(BG934*0.5-BH934*0.25+BI934*0.5)/SUM(BG934:BI934)*1000</f>
        <v>357.986457941018</v>
      </c>
      <c r="BO934" s="93" t="n">
        <v>2.03</v>
      </c>
      <c r="BP934" s="94" t="s">
        <v>1011</v>
      </c>
      <c r="BQ934" s="55" t="n">
        <v>467.764705882353</v>
      </c>
      <c r="BR934" s="56" t="n">
        <v>19.4093238955333</v>
      </c>
      <c r="BS934" s="56" t="n">
        <v>28.4999942655947</v>
      </c>
      <c r="BT934" s="56" t="n">
        <v>14.2611190817791</v>
      </c>
      <c r="BU934" s="55" t="n">
        <v>14846</v>
      </c>
      <c r="BV934" s="55" t="n">
        <v>616</v>
      </c>
      <c r="BW934" s="55" t="n">
        <v>955</v>
      </c>
      <c r="BX934" s="55" t="n">
        <v>453</v>
      </c>
      <c r="BY934" s="81" t="n">
        <v>0.172331</v>
      </c>
      <c r="BZ934" s="81" t="n">
        <v>1.44654692152531</v>
      </c>
      <c r="CA934" s="81" t="n">
        <v>3.25</v>
      </c>
      <c r="CB934" s="81"/>
      <c r="CC934" s="81" t="n">
        <v>4.3</v>
      </c>
      <c r="CD934" s="81" t="n">
        <v>8</v>
      </c>
      <c r="CE934" s="81" t="n">
        <v>68.11</v>
      </c>
      <c r="CF934" s="81" t="n">
        <v>35.82</v>
      </c>
      <c r="CG934" s="81" t="n">
        <v>0.01</v>
      </c>
      <c r="CH934" s="63" t="n">
        <v>65449.8975735478</v>
      </c>
      <c r="CI934" s="63" t="n">
        <v>19296.8479593521</v>
      </c>
      <c r="CJ934" s="64" t="n">
        <v>885741.23931077</v>
      </c>
      <c r="CK934" s="65" t="n">
        <v>2.17861008417851</v>
      </c>
    </row>
    <row r="935" customFormat="false" ht="15" hidden="false" customHeight="false" outlineLevel="0" collapsed="false">
      <c r="A935" s="7" t="s">
        <v>1006</v>
      </c>
      <c r="B935" s="66" t="n">
        <v>914</v>
      </c>
      <c r="C935" s="8" t="s">
        <v>1025</v>
      </c>
      <c r="D935" s="110" t="n">
        <v>41353</v>
      </c>
      <c r="E935" s="4" t="s">
        <v>1008</v>
      </c>
      <c r="F935" s="7" t="n">
        <v>3390</v>
      </c>
      <c r="G935" s="68" t="n">
        <v>2</v>
      </c>
      <c r="H935" s="68" t="n">
        <v>177</v>
      </c>
      <c r="I935" s="7" t="n">
        <v>3</v>
      </c>
      <c r="J935" s="8" t="n">
        <v>781</v>
      </c>
      <c r="K935" s="32" t="n">
        <v>557</v>
      </c>
      <c r="L935" s="32" t="n">
        <v>925</v>
      </c>
      <c r="M935" s="32" t="n">
        <v>161</v>
      </c>
      <c r="N935" s="32" t="n">
        <v>376</v>
      </c>
      <c r="O935" s="33" t="n">
        <v>60.5</v>
      </c>
      <c r="P935" s="33"/>
      <c r="Q935" s="33"/>
      <c r="R935" s="32" t="n">
        <v>169</v>
      </c>
      <c r="S935" s="34" t="s">
        <v>1009</v>
      </c>
      <c r="T935" s="35" t="n">
        <v>14.6</v>
      </c>
      <c r="U935" s="35" t="n">
        <v>12</v>
      </c>
      <c r="V935" s="35" t="n">
        <v>26.6</v>
      </c>
      <c r="W935" s="35" t="n">
        <v>24.6</v>
      </c>
      <c r="X935" s="35" t="n">
        <v>4.28</v>
      </c>
      <c r="Y935" s="35" t="n">
        <v>10.02</v>
      </c>
      <c r="Z935" s="35" t="n">
        <v>1.61</v>
      </c>
      <c r="AA935" s="35"/>
      <c r="AB935" s="35"/>
      <c r="AC935" s="71" t="n">
        <v>4.49</v>
      </c>
      <c r="AD935" s="38" t="n">
        <v>7.44</v>
      </c>
      <c r="AE935" s="38" t="n">
        <v>6.46</v>
      </c>
      <c r="AF935" s="38" t="n">
        <v>1.39</v>
      </c>
      <c r="AG935" s="38" t="n">
        <v>4.08</v>
      </c>
      <c r="AH935" s="38"/>
      <c r="AI935" s="38"/>
      <c r="AJ935" s="102" t="s">
        <v>1010</v>
      </c>
      <c r="AK935" s="111" t="n">
        <v>721</v>
      </c>
      <c r="AL935" s="111" t="n">
        <v>738</v>
      </c>
      <c r="AM935" s="111" t="n">
        <v>674</v>
      </c>
      <c r="AN935" s="111" t="n">
        <v>592</v>
      </c>
      <c r="AO935" s="104" t="n">
        <v>35.8</v>
      </c>
      <c r="AP935" s="105" t="n">
        <v>1.69</v>
      </c>
      <c r="AQ935" s="105" t="n">
        <v>1.36</v>
      </c>
      <c r="AR935" s="105" t="n">
        <v>1.62</v>
      </c>
      <c r="AS935" s="77" t="n">
        <v>39.67</v>
      </c>
      <c r="AT935" s="78" t="n">
        <v>39.9</v>
      </c>
      <c r="AU935" s="78" t="n">
        <v>47.2</v>
      </c>
      <c r="AV935" s="78" t="n">
        <v>38.1</v>
      </c>
      <c r="AW935" s="78" t="n">
        <v>45.2</v>
      </c>
      <c r="AX935" s="78"/>
      <c r="AY935" s="48" t="n">
        <v>1.5</v>
      </c>
      <c r="AZ935" s="48" t="n">
        <v>28.946254087245</v>
      </c>
      <c r="BA935" s="48" t="n">
        <v>-2.34625408724505</v>
      </c>
      <c r="BB935" s="49" t="n">
        <f aca="false">AT935/V935</f>
        <v>1.5</v>
      </c>
      <c r="BC935" s="49" t="n">
        <f aca="false">AS935/V935</f>
        <v>1.49135338345865</v>
      </c>
      <c r="BD935" s="49" t="n">
        <f aca="false">SUM(AP935:AR935)/V935</f>
        <v>0.175563909774436</v>
      </c>
      <c r="BE935" s="53" t="n">
        <v>6.45</v>
      </c>
      <c r="BF935" s="51" t="n">
        <v>157.7</v>
      </c>
      <c r="BG935" s="51" t="n">
        <v>620.532656943564</v>
      </c>
      <c r="BH935" s="51" t="n">
        <v>186.499682942296</v>
      </c>
      <c r="BI935" s="51" t="n">
        <v>138.034242232086</v>
      </c>
      <c r="BJ935" s="51" t="n">
        <v>10.9701965757768</v>
      </c>
      <c r="BK935" s="51" t="n">
        <v>17.3430564362714</v>
      </c>
      <c r="BL935" s="51" t="n">
        <v>15.2504755865568</v>
      </c>
      <c r="BM935" s="51" t="n">
        <v>11.2048192771084</v>
      </c>
      <c r="BN935" s="52" t="n">
        <f aca="false">(BG935*0.5-BH935*0.25+BI935*0.5)/SUM(BG935:BI935)*1000</f>
        <v>351.994806658749</v>
      </c>
      <c r="BO935" s="93" t="n">
        <v>9.67</v>
      </c>
      <c r="BP935" s="94" t="s">
        <v>1011</v>
      </c>
      <c r="BQ935" s="55" t="n">
        <v>581.647058823529</v>
      </c>
      <c r="BR935" s="56" t="n">
        <v>21.8664307828395</v>
      </c>
      <c r="BS935" s="56" t="n">
        <v>32.0381969960302</v>
      </c>
      <c r="BT935" s="56" t="n">
        <v>14.577620521893</v>
      </c>
      <c r="BU935" s="55" t="n">
        <v>18232</v>
      </c>
      <c r="BV935" s="55" t="n">
        <v>685</v>
      </c>
      <c r="BW935" s="55" t="n">
        <v>1061</v>
      </c>
      <c r="BX935" s="55" t="n">
        <v>457</v>
      </c>
      <c r="BY935" s="81" t="n">
        <v>0.1593</v>
      </c>
      <c r="BZ935" s="81" t="n">
        <v>0.893766208817597</v>
      </c>
      <c r="CA935" s="81" t="n">
        <v>3.33</v>
      </c>
      <c r="CB935" s="81"/>
      <c r="CC935" s="81" t="n">
        <v>3.82</v>
      </c>
      <c r="CD935" s="81" t="n">
        <v>7.65</v>
      </c>
      <c r="CE935" s="81" t="n">
        <v>76.88</v>
      </c>
      <c r="CF935" s="81" t="n">
        <v>34.18</v>
      </c>
      <c r="CG935" s="81" t="n">
        <v>0.01</v>
      </c>
      <c r="CH935" s="63" t="n">
        <v>25001.4791626907</v>
      </c>
      <c r="CI935" s="63" t="n">
        <v>11181.806364737</v>
      </c>
      <c r="CJ935" s="64" t="n">
        <v>787150.473761972</v>
      </c>
      <c r="CK935" s="65" t="n">
        <v>1.4205424169151</v>
      </c>
    </row>
    <row r="936" customFormat="false" ht="15" hidden="false" customHeight="false" outlineLevel="0" collapsed="false">
      <c r="A936" s="7" t="s">
        <v>1006</v>
      </c>
      <c r="B936" s="66" t="n">
        <v>915</v>
      </c>
      <c r="C936" s="8" t="s">
        <v>1026</v>
      </c>
      <c r="D936" s="110" t="n">
        <v>41360</v>
      </c>
      <c r="E936" s="4" t="s">
        <v>1008</v>
      </c>
      <c r="F936" s="7" t="n">
        <v>3376</v>
      </c>
      <c r="G936" s="68" t="n">
        <v>2</v>
      </c>
      <c r="H936" s="68" t="n">
        <v>97</v>
      </c>
      <c r="I936" s="7" t="n">
        <v>4</v>
      </c>
      <c r="J936" s="8" t="n">
        <v>763</v>
      </c>
      <c r="K936" s="32" t="n">
        <v>562</v>
      </c>
      <c r="L936" s="32" t="n">
        <v>924</v>
      </c>
      <c r="M936" s="32" t="n">
        <v>158</v>
      </c>
      <c r="N936" s="32" t="n">
        <v>385</v>
      </c>
      <c r="O936" s="33" t="n">
        <v>66</v>
      </c>
      <c r="P936" s="33"/>
      <c r="Q936" s="33"/>
      <c r="R936" s="32" t="n">
        <v>169</v>
      </c>
      <c r="S936" s="34" t="s">
        <v>1009</v>
      </c>
      <c r="T936" s="35" t="n">
        <v>16.8</v>
      </c>
      <c r="U936" s="35" t="n">
        <v>13.7</v>
      </c>
      <c r="V936" s="35" t="n">
        <v>30.5</v>
      </c>
      <c r="W936" s="35" t="n">
        <v>28.2</v>
      </c>
      <c r="X936" s="35" t="n">
        <v>4.83</v>
      </c>
      <c r="Y936" s="35" t="n">
        <v>11.74</v>
      </c>
      <c r="Z936" s="35" t="n">
        <v>2.01</v>
      </c>
      <c r="AA936" s="35"/>
      <c r="AB936" s="35"/>
      <c r="AC936" s="71" t="n">
        <v>5.15</v>
      </c>
      <c r="AD936" s="38" t="n">
        <v>8.34</v>
      </c>
      <c r="AE936" s="38" t="n">
        <v>7.3</v>
      </c>
      <c r="AF936" s="38" t="n">
        <v>1.46</v>
      </c>
      <c r="AG936" s="38" t="n">
        <v>4.49</v>
      </c>
      <c r="AH936" s="38"/>
      <c r="AI936" s="38"/>
      <c r="AJ936" s="102" t="s">
        <v>1010</v>
      </c>
      <c r="AK936" s="111" t="n">
        <v>727</v>
      </c>
      <c r="AL936" s="111" t="n">
        <v>741</v>
      </c>
      <c r="AM936" s="111" t="n">
        <v>699</v>
      </c>
      <c r="AN936" s="111" t="n">
        <v>617</v>
      </c>
      <c r="AO936" s="104" t="n">
        <v>45.4</v>
      </c>
      <c r="AP936" s="105" t="n">
        <v>1.81</v>
      </c>
      <c r="AQ936" s="105" t="n">
        <v>1.45</v>
      </c>
      <c r="AR936" s="105" t="n">
        <v>2.04</v>
      </c>
      <c r="AS936" s="77" t="n">
        <v>45.31</v>
      </c>
      <c r="AT936" s="78" t="n">
        <v>44.4</v>
      </c>
      <c r="AU936" s="78" t="n">
        <v>40</v>
      </c>
      <c r="AV936" s="78" t="n">
        <v>32</v>
      </c>
      <c r="AW936" s="78" t="n">
        <v>44.8</v>
      </c>
      <c r="AX936" s="78"/>
      <c r="AY936" s="48" t="n">
        <v>1.45573770491803</v>
      </c>
      <c r="AZ936" s="48" t="n">
        <v>29.8402830628957</v>
      </c>
      <c r="BA936" s="48" t="n">
        <v>0.659716937104331</v>
      </c>
      <c r="BB936" s="49" t="n">
        <f aca="false">AT936/V936</f>
        <v>1.45573770491803</v>
      </c>
      <c r="BC936" s="49" t="n">
        <f aca="false">AS936/V936</f>
        <v>1.4855737704918</v>
      </c>
      <c r="BD936" s="49" t="n">
        <f aca="false">SUM(AP936:AR936)/V936</f>
        <v>0.173770491803279</v>
      </c>
      <c r="BE936" s="53" t="n">
        <v>6.67</v>
      </c>
      <c r="BF936" s="51" t="n">
        <v>141.2</v>
      </c>
      <c r="BG936" s="51" t="n">
        <v>654.759206798867</v>
      </c>
      <c r="BH936" s="51" t="n">
        <v>170.601983002833</v>
      </c>
      <c r="BI936" s="51" t="n">
        <v>115.743626062323</v>
      </c>
      <c r="BJ936" s="51" t="n">
        <v>12.0042492917847</v>
      </c>
      <c r="BK936" s="51" t="n">
        <v>18.257790368272</v>
      </c>
      <c r="BL936" s="51" t="n">
        <v>15.3186968838527</v>
      </c>
      <c r="BM936" s="51" t="n">
        <v>13.314447592068</v>
      </c>
      <c r="BN936" s="52" t="n">
        <f aca="false">(BG936*0.5-BH936*0.25+BI936*0.5)/SUM(BG936:BI936)*1000</f>
        <v>364.041193823184</v>
      </c>
      <c r="BO936" s="93" t="n">
        <v>8.67</v>
      </c>
      <c r="BP936" s="94" t="s">
        <v>1011</v>
      </c>
      <c r="BQ936" s="55" t="n">
        <v>607.058823529412</v>
      </c>
      <c r="BR936" s="56" t="n">
        <v>19.9035679845709</v>
      </c>
      <c r="BS936" s="56" t="n">
        <v>29.0511587527594</v>
      </c>
      <c r="BT936" s="56" t="n">
        <v>13.6724960254372</v>
      </c>
      <c r="BU936" s="55" t="n">
        <v>17749</v>
      </c>
      <c r="BV936" s="55" t="n">
        <v>582</v>
      </c>
      <c r="BW936" s="55" t="n">
        <v>893</v>
      </c>
      <c r="BX936" s="55" t="n">
        <v>400</v>
      </c>
      <c r="BY936" s="81" t="n">
        <v>0.1188</v>
      </c>
      <c r="BZ936" s="81" t="n">
        <v>1.3568</v>
      </c>
      <c r="CA936" s="81" t="n">
        <v>3.33</v>
      </c>
      <c r="CB936" s="81"/>
      <c r="CC936" s="81" t="n">
        <v>5.9103</v>
      </c>
      <c r="CD936" s="81" t="n">
        <v>7.41</v>
      </c>
      <c r="CE936" s="81" t="n">
        <v>103.02</v>
      </c>
      <c r="CF936" s="81" t="n">
        <v>39.09</v>
      </c>
      <c r="CG936" s="81" t="n">
        <v>0.0407</v>
      </c>
      <c r="CH936" s="63" t="n">
        <v>55854.4100792864</v>
      </c>
      <c r="CI936" s="63" t="n">
        <v>4949.9100824851</v>
      </c>
      <c r="CJ936" s="64" t="n">
        <v>180197.106176411</v>
      </c>
      <c r="CK936" s="65" t="n">
        <v>2.74694205002337</v>
      </c>
    </row>
    <row r="937" customFormat="false" ht="15" hidden="false" customHeight="false" outlineLevel="0" collapsed="false">
      <c r="A937" s="7" t="s">
        <v>1006</v>
      </c>
      <c r="B937" s="66" t="n">
        <v>916</v>
      </c>
      <c r="C937" s="8" t="s">
        <v>1027</v>
      </c>
      <c r="D937" s="110" t="n">
        <v>41360</v>
      </c>
      <c r="E937" s="4" t="s">
        <v>1008</v>
      </c>
      <c r="F937" s="7" t="n">
        <v>3425</v>
      </c>
      <c r="G937" s="68" t="n">
        <v>2</v>
      </c>
      <c r="H937" s="68" t="n">
        <v>189</v>
      </c>
      <c r="I937" s="7" t="n">
        <v>2</v>
      </c>
      <c r="J937" s="8" t="n">
        <v>623</v>
      </c>
      <c r="K937" s="32" t="n">
        <v>562</v>
      </c>
      <c r="L937" s="32" t="n">
        <v>924</v>
      </c>
      <c r="M937" s="32" t="n">
        <v>158</v>
      </c>
      <c r="N937" s="32" t="n">
        <v>385</v>
      </c>
      <c r="O937" s="33" t="n">
        <v>66</v>
      </c>
      <c r="P937" s="33"/>
      <c r="Q937" s="33"/>
      <c r="R937" s="32" t="n">
        <v>169</v>
      </c>
      <c r="S937" s="34" t="s">
        <v>1009</v>
      </c>
      <c r="T937" s="35" t="n">
        <v>14.9</v>
      </c>
      <c r="U937" s="35" t="n">
        <v>12.2</v>
      </c>
      <c r="V937" s="35" t="n">
        <v>27</v>
      </c>
      <c r="W937" s="35" t="n">
        <v>25</v>
      </c>
      <c r="X937" s="35" t="n">
        <v>4.28</v>
      </c>
      <c r="Y937" s="35" t="n">
        <v>10.39</v>
      </c>
      <c r="Z937" s="35" t="n">
        <v>1.78</v>
      </c>
      <c r="AA937" s="35"/>
      <c r="AB937" s="35"/>
      <c r="AC937" s="71" t="n">
        <v>4.56</v>
      </c>
      <c r="AD937" s="38" t="n">
        <v>8.55</v>
      </c>
      <c r="AE937" s="38" t="n">
        <v>7.51</v>
      </c>
      <c r="AF937" s="38" t="n">
        <v>1.51</v>
      </c>
      <c r="AG937" s="38" t="n">
        <v>4.96</v>
      </c>
      <c r="AH937" s="38"/>
      <c r="AI937" s="38"/>
      <c r="AJ937" s="102" t="s">
        <v>1010</v>
      </c>
      <c r="AK937" s="111" t="n">
        <v>684</v>
      </c>
      <c r="AL937" s="111" t="n">
        <v>699</v>
      </c>
      <c r="AM937" s="111" t="n">
        <v>646</v>
      </c>
      <c r="AN937" s="111" t="n">
        <v>523</v>
      </c>
      <c r="AO937" s="104" t="n">
        <v>40.2</v>
      </c>
      <c r="AP937" s="105" t="n">
        <v>1.83</v>
      </c>
      <c r="AQ937" s="105" t="n">
        <v>1.44</v>
      </c>
      <c r="AR937" s="105" t="n">
        <v>1.9</v>
      </c>
      <c r="AS937" s="77" t="n">
        <v>43.53</v>
      </c>
      <c r="AT937" s="78" t="n">
        <v>43.6</v>
      </c>
      <c r="AU937" s="78" t="n">
        <v>45.3</v>
      </c>
      <c r="AV937" s="78" t="n">
        <v>35.8</v>
      </c>
      <c r="AW937" s="78" t="n">
        <v>47.2</v>
      </c>
      <c r="AX937" s="78"/>
      <c r="AY937" s="48" t="n">
        <v>1.61481481481482</v>
      </c>
      <c r="AZ937" s="48" t="n">
        <v>28.1857958065758</v>
      </c>
      <c r="BA937" s="48" t="n">
        <v>-1.18579580657583</v>
      </c>
      <c r="BB937" s="49" t="n">
        <f aca="false">AT937/V937</f>
        <v>1.61481481481482</v>
      </c>
      <c r="BC937" s="49" t="n">
        <f aca="false">AS937/V937</f>
        <v>1.61222222222222</v>
      </c>
      <c r="BD937" s="49" t="n">
        <f aca="false">SUM(AP937:AR937)/V937</f>
        <v>0.191481481481481</v>
      </c>
      <c r="BE937" s="53" t="n">
        <v>6.14</v>
      </c>
      <c r="BF937" s="51" t="n">
        <v>166.7</v>
      </c>
      <c r="BG937" s="51" t="n">
        <v>621.835632873425</v>
      </c>
      <c r="BH937" s="51" t="n">
        <v>201.901619676065</v>
      </c>
      <c r="BI937" s="51" t="n">
        <v>125.500899820036</v>
      </c>
      <c r="BJ937" s="51" t="n">
        <v>9.61007798440312</v>
      </c>
      <c r="BK937" s="51" t="n">
        <v>19.5980803839232</v>
      </c>
      <c r="BL937" s="51" t="n">
        <v>11.0857828434313</v>
      </c>
      <c r="BM937" s="51" t="n">
        <v>10.6898620275945</v>
      </c>
      <c r="BN937" s="52" t="n">
        <f aca="false">(BG937*0.5-BH937*0.25+BI937*0.5)/SUM(BG937:BI937)*1000</f>
        <v>340.476055056308</v>
      </c>
      <c r="BO937" s="93" t="n">
        <v>6.55</v>
      </c>
      <c r="BP937" s="94" t="s">
        <v>1011</v>
      </c>
      <c r="BQ937" s="55" t="n">
        <v>513.882352941176</v>
      </c>
      <c r="BR937" s="56" t="n">
        <v>19.0326797385621</v>
      </c>
      <c r="BS937" s="56" t="n">
        <v>29.4067154758899</v>
      </c>
      <c r="BT937" s="56" t="n">
        <v>11.7862924986508</v>
      </c>
      <c r="BU937" s="55" t="n">
        <v>16479</v>
      </c>
      <c r="BV937" s="55" t="n">
        <v>610</v>
      </c>
      <c r="BW937" s="55" t="n">
        <v>1004</v>
      </c>
      <c r="BX937" s="55" t="n">
        <v>378</v>
      </c>
      <c r="BY937" s="81" t="n">
        <v>0.1993</v>
      </c>
      <c r="BZ937" s="81" t="n">
        <v>1.08164441456152</v>
      </c>
      <c r="CA937" s="81" t="n">
        <v>3.24</v>
      </c>
      <c r="CB937" s="81"/>
      <c r="CC937" s="81" t="n">
        <v>4.22</v>
      </c>
      <c r="CD937" s="81" t="n">
        <v>8</v>
      </c>
      <c r="CE937" s="81" t="n">
        <v>73.08</v>
      </c>
      <c r="CF937" s="81" t="n">
        <v>34.33</v>
      </c>
      <c r="CG937" s="81" t="n">
        <v>0.01</v>
      </c>
      <c r="CH937" s="63" t="n">
        <v>30594.5204631121</v>
      </c>
      <c r="CI937" s="63" t="n">
        <v>27533.3012635771</v>
      </c>
      <c r="CJ937" s="64" t="n">
        <v>968211.349267133</v>
      </c>
      <c r="CK937" s="65" t="n">
        <v>2.84372841574496</v>
      </c>
    </row>
    <row r="938" customFormat="false" ht="15" hidden="false" customHeight="false" outlineLevel="0" collapsed="false">
      <c r="A938" s="7" t="s">
        <v>1006</v>
      </c>
      <c r="B938" s="66" t="n">
        <v>917</v>
      </c>
      <c r="C938" s="8" t="s">
        <v>1028</v>
      </c>
      <c r="D938" s="110" t="n">
        <v>41360</v>
      </c>
      <c r="E938" s="4" t="s">
        <v>1008</v>
      </c>
      <c r="F938" s="7" t="n">
        <v>3410</v>
      </c>
      <c r="G938" s="68" t="n">
        <v>2</v>
      </c>
      <c r="H938" s="68" t="n">
        <v>188</v>
      </c>
      <c r="I938" s="7" t="n">
        <v>2</v>
      </c>
      <c r="J938" s="8" t="n">
        <v>726</v>
      </c>
      <c r="K938" s="32" t="n">
        <v>562</v>
      </c>
      <c r="L938" s="32" t="n">
        <v>924</v>
      </c>
      <c r="M938" s="32" t="n">
        <v>158</v>
      </c>
      <c r="N938" s="32" t="n">
        <v>385</v>
      </c>
      <c r="O938" s="33" t="n">
        <v>66</v>
      </c>
      <c r="P938" s="33"/>
      <c r="Q938" s="33"/>
      <c r="R938" s="32" t="n">
        <v>169</v>
      </c>
      <c r="S938" s="34" t="s">
        <v>1009</v>
      </c>
      <c r="T938" s="35" t="n">
        <v>14.3</v>
      </c>
      <c r="U938" s="35" t="n">
        <v>11.7</v>
      </c>
      <c r="V938" s="35" t="n">
        <v>26.1</v>
      </c>
      <c r="W938" s="35" t="n">
        <v>24.1</v>
      </c>
      <c r="X938" s="35" t="n">
        <v>4.13</v>
      </c>
      <c r="Y938" s="35" t="n">
        <v>10.03</v>
      </c>
      <c r="Z938" s="35" t="n">
        <v>1.72</v>
      </c>
      <c r="AA938" s="35"/>
      <c r="AB938" s="35"/>
      <c r="AC938" s="71" t="n">
        <v>4.4</v>
      </c>
      <c r="AD938" s="38" t="n">
        <v>7.76</v>
      </c>
      <c r="AE938" s="38" t="n">
        <v>6.81</v>
      </c>
      <c r="AF938" s="38" t="n">
        <v>1.3</v>
      </c>
      <c r="AG938" s="38" t="n">
        <v>4.14</v>
      </c>
      <c r="AH938" s="38"/>
      <c r="AI938" s="38"/>
      <c r="AJ938" s="102" t="s">
        <v>1010</v>
      </c>
      <c r="AK938" s="111" t="n">
        <v>702</v>
      </c>
      <c r="AL938" s="111" t="n">
        <v>718</v>
      </c>
      <c r="AM938" s="111" t="n">
        <v>686</v>
      </c>
      <c r="AN938" s="111" t="n">
        <v>588</v>
      </c>
      <c r="AO938" s="104" t="n">
        <v>34.6</v>
      </c>
      <c r="AP938" s="105" t="n">
        <v>1.39</v>
      </c>
      <c r="AQ938" s="105" t="n">
        <v>1.24</v>
      </c>
      <c r="AR938" s="105" t="n">
        <v>1.54</v>
      </c>
      <c r="AS938" s="77" t="n">
        <v>34.69</v>
      </c>
      <c r="AT938" s="78" t="n">
        <v>34.9</v>
      </c>
      <c r="AU938" s="78" t="n">
        <v>40.2</v>
      </c>
      <c r="AV938" s="78" t="n">
        <v>35.9</v>
      </c>
      <c r="AW938" s="78" t="n">
        <v>44.7</v>
      </c>
      <c r="AX938" s="78"/>
      <c r="AY938" s="48" t="n">
        <v>1.33716475095785</v>
      </c>
      <c r="AZ938" s="48" t="n">
        <v>26.3681014297102</v>
      </c>
      <c r="BA938" s="48" t="n">
        <v>-0.268101429710178</v>
      </c>
      <c r="BB938" s="49" t="n">
        <f aca="false">AT938/V938</f>
        <v>1.33716475095785</v>
      </c>
      <c r="BC938" s="49" t="n">
        <f aca="false">AS938/V938</f>
        <v>1.32911877394636</v>
      </c>
      <c r="BD938" s="49" t="n">
        <f aca="false">SUM(AP938:AR938)/V938</f>
        <v>0.159770114942529</v>
      </c>
      <c r="BE938" s="53" t="n">
        <v>6.65</v>
      </c>
      <c r="BF938" s="51" t="n">
        <v>127.8</v>
      </c>
      <c r="BG938" s="51" t="n">
        <v>635.453834115806</v>
      </c>
      <c r="BH938" s="51" t="n">
        <v>186.909233176839</v>
      </c>
      <c r="BI938" s="51" t="n">
        <v>115.023474178404</v>
      </c>
      <c r="BJ938" s="51" t="n">
        <v>12.7308294209703</v>
      </c>
      <c r="BK938" s="51" t="n">
        <v>19.2566510172144</v>
      </c>
      <c r="BL938" s="51" t="n">
        <v>17.4256651017214</v>
      </c>
      <c r="BM938" s="51" t="n">
        <v>13.0672926447574</v>
      </c>
      <c r="BN938" s="52" t="n">
        <f aca="false">(BG938*0.5-BH938*0.25+BI938*0.5)/SUM(BG938:BI938)*1000</f>
        <v>350.454515100419</v>
      </c>
      <c r="BO938" s="93" t="n">
        <v>9.69</v>
      </c>
      <c r="BP938" s="94" t="s">
        <v>1011</v>
      </c>
      <c r="BQ938" s="55" t="n">
        <v>542.117647058824</v>
      </c>
      <c r="BR938" s="56" t="n">
        <v>20.7707910750507</v>
      </c>
      <c r="BS938" s="56" t="n">
        <v>31.3293985748115</v>
      </c>
      <c r="BT938" s="56" t="n">
        <v>15.5334569357829</v>
      </c>
      <c r="BU938" s="55" t="n">
        <v>16900</v>
      </c>
      <c r="BV938" s="55" t="n">
        <v>648</v>
      </c>
      <c r="BW938" s="55" t="n">
        <v>1034</v>
      </c>
      <c r="BX938" s="55" t="n">
        <v>485</v>
      </c>
      <c r="BY938" s="81" t="n">
        <v>0.1577</v>
      </c>
      <c r="BZ938" s="81" t="n">
        <v>1.20507155892806</v>
      </c>
      <c r="CA938" s="81" t="n">
        <v>3.14</v>
      </c>
      <c r="CB938" s="81"/>
      <c r="CC938" s="81" t="n">
        <v>4.93</v>
      </c>
      <c r="CD938" s="81" t="n">
        <v>7.93</v>
      </c>
      <c r="CE938" s="81" t="n">
        <v>69.23</v>
      </c>
      <c r="CF938" s="81" t="n">
        <v>33.76</v>
      </c>
      <c r="CG938" s="81" t="n">
        <v>0.0092</v>
      </c>
      <c r="CH938" s="63" t="n">
        <v>43060.4531643773</v>
      </c>
      <c r="CI938" s="63" t="n">
        <v>14887.4564235009</v>
      </c>
      <c r="CJ938" s="64" t="n">
        <v>836847.262154597</v>
      </c>
      <c r="CK938" s="65" t="n">
        <v>1.77899326397636</v>
      </c>
    </row>
    <row r="939" customFormat="false" ht="15" hidden="false" customHeight="false" outlineLevel="0" collapsed="false">
      <c r="A939" s="7" t="s">
        <v>1006</v>
      </c>
      <c r="B939" s="66" t="n">
        <v>918</v>
      </c>
      <c r="C939" s="8" t="s">
        <v>1029</v>
      </c>
      <c r="D939" s="110" t="n">
        <v>41360</v>
      </c>
      <c r="E939" s="4" t="s">
        <v>1008</v>
      </c>
      <c r="F939" s="7" t="n">
        <v>850</v>
      </c>
      <c r="G939" s="68" t="n">
        <v>2</v>
      </c>
      <c r="H939" s="68" t="n">
        <v>179</v>
      </c>
      <c r="I939" s="7" t="n">
        <v>2</v>
      </c>
      <c r="J939" s="8" t="n">
        <v>632</v>
      </c>
      <c r="K939" s="32" t="n">
        <v>562</v>
      </c>
      <c r="L939" s="32" t="n">
        <v>924</v>
      </c>
      <c r="M939" s="32" t="n">
        <v>158</v>
      </c>
      <c r="N939" s="32" t="n">
        <v>385</v>
      </c>
      <c r="O939" s="33" t="n">
        <v>66</v>
      </c>
      <c r="P939" s="33"/>
      <c r="Q939" s="33"/>
      <c r="R939" s="32" t="n">
        <v>169</v>
      </c>
      <c r="S939" s="34" t="s">
        <v>1009</v>
      </c>
      <c r="T939" s="35" t="n">
        <v>13.6</v>
      </c>
      <c r="U939" s="35" t="n">
        <v>11.1</v>
      </c>
      <c r="V939" s="35" t="n">
        <v>24.7</v>
      </c>
      <c r="W939" s="35" t="n">
        <v>22.9</v>
      </c>
      <c r="X939" s="35" t="n">
        <v>3.92</v>
      </c>
      <c r="Y939" s="35" t="n">
        <v>9.52</v>
      </c>
      <c r="Z939" s="35" t="n">
        <v>1.63</v>
      </c>
      <c r="AA939" s="35"/>
      <c r="AB939" s="35"/>
      <c r="AC939" s="71" t="n">
        <v>4.18</v>
      </c>
      <c r="AD939" s="38" t="n">
        <v>7.08</v>
      </c>
      <c r="AE939" s="38" t="n">
        <v>6.18</v>
      </c>
      <c r="AF939" s="38" t="n">
        <v>1.35</v>
      </c>
      <c r="AG939" s="38" t="n">
        <v>3.86</v>
      </c>
      <c r="AH939" s="38"/>
      <c r="AI939" s="38"/>
      <c r="AJ939" s="102" t="s">
        <v>1010</v>
      </c>
      <c r="AK939" s="111" t="n">
        <v>714</v>
      </c>
      <c r="AL939" s="111" t="n">
        <v>730</v>
      </c>
      <c r="AM939" s="111" t="n">
        <v>656</v>
      </c>
      <c r="AN939" s="111" t="n">
        <v>594</v>
      </c>
      <c r="AO939" s="104" t="n">
        <v>32.6</v>
      </c>
      <c r="AP939" s="105" t="n">
        <v>1.6</v>
      </c>
      <c r="AQ939" s="105" t="n">
        <v>1.25</v>
      </c>
      <c r="AR939" s="105" t="n">
        <v>1.48</v>
      </c>
      <c r="AS939" s="77" t="n">
        <v>37.04</v>
      </c>
      <c r="AT939" s="78" t="n">
        <v>37.1</v>
      </c>
      <c r="AU939" s="78" t="n">
        <v>49</v>
      </c>
      <c r="AV939" s="78" t="n">
        <v>38.4</v>
      </c>
      <c r="AW939" s="78" t="n">
        <v>45.6</v>
      </c>
      <c r="AX939" s="78"/>
      <c r="AY939" s="48" t="n">
        <v>1.50202429149798</v>
      </c>
      <c r="AZ939" s="48" t="n">
        <v>25.8856756584785</v>
      </c>
      <c r="BA939" s="48" t="n">
        <v>-1.18567565847854</v>
      </c>
      <c r="BB939" s="49" t="n">
        <f aca="false">AT939/V939</f>
        <v>1.50202429149798</v>
      </c>
      <c r="BC939" s="49" t="n">
        <f aca="false">AS939/V939</f>
        <v>1.49959514170041</v>
      </c>
      <c r="BD939" s="49" t="n">
        <f aca="false">SUM(AP939:AR939)/V939</f>
        <v>0.175303643724696</v>
      </c>
      <c r="BE939" s="53" t="n">
        <v>6.49</v>
      </c>
      <c r="BF939" s="51" t="n">
        <v>142.7</v>
      </c>
      <c r="BG939" s="51" t="n">
        <v>635.136650315347</v>
      </c>
      <c r="BH939" s="51" t="n">
        <v>178.311142256482</v>
      </c>
      <c r="BI939" s="51" t="n">
        <v>131.394533987386</v>
      </c>
      <c r="BJ939" s="51" t="n">
        <v>10.5956552207428</v>
      </c>
      <c r="BK939" s="51" t="n">
        <v>17.8276103714086</v>
      </c>
      <c r="BL939" s="51" t="n">
        <v>15.3188507358094</v>
      </c>
      <c r="BM939" s="51" t="n">
        <v>11.135248773651</v>
      </c>
      <c r="BN939" s="52" t="n">
        <f aca="false">(BG939*0.5-BH939*0.25+BI939*0.5)/SUM(BG939:BI939)*1000</f>
        <v>358.45960438778</v>
      </c>
      <c r="BO939" s="93" t="n">
        <v>8</v>
      </c>
      <c r="BP939" s="94" t="s">
        <v>1011</v>
      </c>
      <c r="BQ939" s="55" t="n">
        <v>503.529411764706</v>
      </c>
      <c r="BR939" s="56" t="n">
        <v>20.3858061443201</v>
      </c>
      <c r="BS939" s="56" t="n">
        <v>30.1207998902139</v>
      </c>
      <c r="BT939" s="56" t="n">
        <v>13.5722213413667</v>
      </c>
      <c r="BU939" s="55" t="n">
        <v>15537</v>
      </c>
      <c r="BV939" s="55" t="n">
        <v>628</v>
      </c>
      <c r="BW939" s="55" t="n">
        <v>984</v>
      </c>
      <c r="BX939" s="55" t="n">
        <v>418</v>
      </c>
      <c r="BY939" s="81" t="n">
        <v>0.13522</v>
      </c>
      <c r="BZ939" s="81" t="n">
        <v>1.26193449236385</v>
      </c>
      <c r="CA939" s="81" t="n">
        <v>3.15</v>
      </c>
      <c r="CB939" s="81"/>
      <c r="CC939" s="81" t="n">
        <v>5.88</v>
      </c>
      <c r="CD939" s="81" t="n">
        <v>8.36</v>
      </c>
      <c r="CE939" s="81" t="n">
        <v>83.79</v>
      </c>
      <c r="CF939" s="81" t="n">
        <v>35.12</v>
      </c>
      <c r="CG939" s="81" t="n">
        <v>0.01</v>
      </c>
      <c r="CH939" s="63" t="n">
        <v>42502.5289980034</v>
      </c>
      <c r="CI939" s="63" t="n">
        <v>34754.8490523963</v>
      </c>
      <c r="CJ939" s="64" t="n">
        <v>1108298.33730265</v>
      </c>
      <c r="CK939" s="65" t="n">
        <v>3.13587487074842</v>
      </c>
    </row>
    <row r="940" customFormat="false" ht="15" hidden="false" customHeight="false" outlineLevel="0" collapsed="false">
      <c r="A940" s="7" t="s">
        <v>1006</v>
      </c>
      <c r="B940" s="66" t="n">
        <v>919</v>
      </c>
      <c r="C940" s="8" t="s">
        <v>1030</v>
      </c>
      <c r="D940" s="110" t="n">
        <v>41367</v>
      </c>
      <c r="E940" s="4" t="s">
        <v>1008</v>
      </c>
      <c r="F940" s="7" t="n">
        <v>3411</v>
      </c>
      <c r="G940" s="68" t="n">
        <v>2</v>
      </c>
      <c r="H940" s="68" t="n">
        <v>184</v>
      </c>
      <c r="I940" s="7" t="n">
        <v>2</v>
      </c>
      <c r="J940" s="8" t="n">
        <v>694</v>
      </c>
      <c r="K940" s="32" t="n">
        <v>560</v>
      </c>
      <c r="L940" s="32" t="n">
        <v>926</v>
      </c>
      <c r="M940" s="32" t="n">
        <v>157</v>
      </c>
      <c r="N940" s="32" t="n">
        <v>370</v>
      </c>
      <c r="O940" s="33" t="n">
        <v>62.8</v>
      </c>
      <c r="P940" s="33"/>
      <c r="Q940" s="33"/>
      <c r="R940" s="32" t="n">
        <v>169</v>
      </c>
      <c r="S940" s="34" t="s">
        <v>1009</v>
      </c>
      <c r="T940" s="35" t="n">
        <v>14.3</v>
      </c>
      <c r="U940" s="35" t="n">
        <v>11.7</v>
      </c>
      <c r="V940" s="35" t="n">
        <v>26.1</v>
      </c>
      <c r="W940" s="35" t="n">
        <v>24.2</v>
      </c>
      <c r="X940" s="35" t="n">
        <v>4.09</v>
      </c>
      <c r="Y940" s="35" t="n">
        <v>9.65</v>
      </c>
      <c r="Z940" s="35" t="n">
        <v>1.64</v>
      </c>
      <c r="AA940" s="35"/>
      <c r="AB940" s="35"/>
      <c r="AC940" s="71" t="n">
        <v>4.4</v>
      </c>
      <c r="AD940" s="38" t="n">
        <v>7.47</v>
      </c>
      <c r="AE940" s="38" t="n">
        <v>6.57</v>
      </c>
      <c r="AF940" s="38" t="n">
        <v>1.26</v>
      </c>
      <c r="AG940" s="38" t="n">
        <v>4.01</v>
      </c>
      <c r="AH940" s="38"/>
      <c r="AI940" s="38"/>
      <c r="AJ940" s="102" t="s">
        <v>1010</v>
      </c>
      <c r="AK940" s="111" t="n">
        <v>714</v>
      </c>
      <c r="AL940" s="111" t="n">
        <v>728</v>
      </c>
      <c r="AM940" s="111" t="n">
        <v>691</v>
      </c>
      <c r="AN940" s="111" t="n">
        <v>585</v>
      </c>
      <c r="AO940" s="104" t="n">
        <v>35.5</v>
      </c>
      <c r="AP940" s="105" t="n">
        <v>1.57</v>
      </c>
      <c r="AQ940" s="105" t="n">
        <v>1.27</v>
      </c>
      <c r="AR940" s="105" t="n">
        <v>1.61</v>
      </c>
      <c r="AS940" s="77" t="n">
        <v>37.75</v>
      </c>
      <c r="AT940" s="78" t="n">
        <v>37.6</v>
      </c>
      <c r="AU940" s="78" t="n">
        <v>44</v>
      </c>
      <c r="AV940" s="78" t="n">
        <v>35.7</v>
      </c>
      <c r="AW940" s="78" t="n">
        <v>45.3</v>
      </c>
      <c r="AX940" s="78"/>
      <c r="AY940" s="48" t="n">
        <v>1.44061302681992</v>
      </c>
      <c r="AZ940" s="48" t="n">
        <v>27.0454282666424</v>
      </c>
      <c r="BA940" s="48" t="n">
        <v>-0.945428266642423</v>
      </c>
      <c r="BB940" s="49" t="n">
        <f aca="false">AT940/V940</f>
        <v>1.44061302681992</v>
      </c>
      <c r="BC940" s="49" t="n">
        <f aca="false">AS940/V940</f>
        <v>1.44636015325671</v>
      </c>
      <c r="BD940" s="49" t="n">
        <f aca="false">SUM(AP940:AR940)/V940</f>
        <v>0.170498084291188</v>
      </c>
      <c r="BE940" s="53" t="n">
        <v>6.55</v>
      </c>
      <c r="BF940" s="51" t="n">
        <v>140.2</v>
      </c>
      <c r="BG940" s="51" t="n">
        <v>650.492154065621</v>
      </c>
      <c r="BH940" s="51" t="n">
        <v>175.085592011412</v>
      </c>
      <c r="BI940" s="51" t="n">
        <v>117.831669044223</v>
      </c>
      <c r="BJ940" s="51" t="n">
        <v>10.9771754636234</v>
      </c>
      <c r="BK940" s="51" t="n">
        <v>18.9657631954351</v>
      </c>
      <c r="BL940" s="51" t="n">
        <v>13.5805991440799</v>
      </c>
      <c r="BM940" s="51" t="n">
        <v>12.8815977175464</v>
      </c>
      <c r="BN940" s="52" t="n">
        <f aca="false">(BG940*0.5-BH940*0.25+BI940*0.5)/SUM(BG940:BI940)*1000</f>
        <v>360.808900246473</v>
      </c>
      <c r="BO940" s="93" t="n">
        <v>4</v>
      </c>
      <c r="BP940" s="94" t="s">
        <v>1011</v>
      </c>
      <c r="BQ940" s="55" t="n">
        <v>521.411764705882</v>
      </c>
      <c r="BR940" s="56" t="n">
        <v>19.9774622492675</v>
      </c>
      <c r="BS940" s="56" t="n">
        <v>29.596072376821</v>
      </c>
      <c r="BT940" s="56" t="n">
        <v>13.8673341677096</v>
      </c>
      <c r="BU940" s="55" t="n">
        <v>15774</v>
      </c>
      <c r="BV940" s="55" t="n">
        <v>605</v>
      </c>
      <c r="BW940" s="55" t="n">
        <v>945</v>
      </c>
      <c r="BX940" s="55" t="n">
        <v>420</v>
      </c>
      <c r="BY940" s="81" t="n">
        <v>0.12294</v>
      </c>
      <c r="BZ940" s="81" t="n">
        <v>1.08759965421189</v>
      </c>
      <c r="CA940" s="81" t="n">
        <v>2.85</v>
      </c>
      <c r="CB940" s="81"/>
      <c r="CC940" s="81" t="n">
        <v>4.61</v>
      </c>
      <c r="CD940" s="81" t="n">
        <v>7.64</v>
      </c>
      <c r="CE940" s="81" t="n">
        <v>76.93</v>
      </c>
      <c r="CF940" s="81" t="n">
        <v>34.85</v>
      </c>
      <c r="CG940" s="81" t="n">
        <v>0.0194</v>
      </c>
      <c r="CH940" s="63" t="n">
        <v>56595.5299280676</v>
      </c>
      <c r="CI940" s="63" t="n">
        <v>23663.4171192541</v>
      </c>
      <c r="CJ940" s="64" t="n">
        <v>931220.662282938</v>
      </c>
      <c r="CK940" s="65" t="n">
        <v>2.54111813426068</v>
      </c>
    </row>
    <row r="941" customFormat="false" ht="15" hidden="false" customHeight="false" outlineLevel="0" collapsed="false">
      <c r="A941" s="7" t="s">
        <v>1006</v>
      </c>
      <c r="B941" s="66" t="n">
        <v>920</v>
      </c>
      <c r="C941" s="8" t="s">
        <v>1031</v>
      </c>
      <c r="D941" s="110" t="n">
        <v>41367</v>
      </c>
      <c r="E941" s="4" t="s">
        <v>1008</v>
      </c>
      <c r="F941" s="7" t="n">
        <v>362</v>
      </c>
      <c r="G941" s="68" t="n">
        <v>2</v>
      </c>
      <c r="H941" s="68" t="n">
        <v>181</v>
      </c>
      <c r="I941" s="7" t="n">
        <v>2</v>
      </c>
      <c r="J941" s="8" t="n">
        <v>759</v>
      </c>
      <c r="K941" s="32" t="n">
        <v>560</v>
      </c>
      <c r="L941" s="32" t="n">
        <v>926</v>
      </c>
      <c r="M941" s="32" t="n">
        <v>157</v>
      </c>
      <c r="N941" s="32" t="n">
        <v>370</v>
      </c>
      <c r="O941" s="33" t="n">
        <v>62.8</v>
      </c>
      <c r="P941" s="33"/>
      <c r="Q941" s="33"/>
      <c r="R941" s="32" t="n">
        <v>169</v>
      </c>
      <c r="S941" s="34" t="s">
        <v>1009</v>
      </c>
      <c r="T941" s="35" t="n">
        <v>13.7</v>
      </c>
      <c r="U941" s="35" t="n">
        <v>11.2</v>
      </c>
      <c r="V941" s="35" t="n">
        <v>24.9</v>
      </c>
      <c r="W941" s="35" t="n">
        <v>23</v>
      </c>
      <c r="X941" s="35" t="n">
        <v>3.9</v>
      </c>
      <c r="Y941" s="35" t="n">
        <v>9.2</v>
      </c>
      <c r="Z941" s="35" t="n">
        <v>1.56</v>
      </c>
      <c r="AA941" s="35"/>
      <c r="AB941" s="35"/>
      <c r="AC941" s="71" t="n">
        <v>4.2</v>
      </c>
      <c r="AD941" s="38" t="n">
        <v>7.54</v>
      </c>
      <c r="AE941" s="38" t="n">
        <v>6.65</v>
      </c>
      <c r="AF941" s="38" t="n">
        <v>1.27</v>
      </c>
      <c r="AG941" s="38" t="n">
        <v>4.25</v>
      </c>
      <c r="AH941" s="38"/>
      <c r="AI941" s="38"/>
      <c r="AJ941" s="102" t="s">
        <v>1010</v>
      </c>
      <c r="AK941" s="111" t="n">
        <v>697</v>
      </c>
      <c r="AL941" s="111" t="n">
        <v>711</v>
      </c>
      <c r="AM941" s="111" t="n">
        <v>675</v>
      </c>
      <c r="AN941" s="111" t="n">
        <v>538</v>
      </c>
      <c r="AO941" s="104" t="n">
        <v>38</v>
      </c>
      <c r="AP941" s="105" t="n">
        <v>1.62</v>
      </c>
      <c r="AQ941" s="105" t="n">
        <v>1.44</v>
      </c>
      <c r="AR941" s="105" t="n">
        <v>1.74</v>
      </c>
      <c r="AS941" s="77" t="n">
        <v>39.5</v>
      </c>
      <c r="AT941" s="78" t="n">
        <v>40.2</v>
      </c>
      <c r="AU941" s="78" t="n">
        <v>42.6</v>
      </c>
      <c r="AV941" s="78" t="n">
        <v>37.8</v>
      </c>
      <c r="AW941" s="78" t="n">
        <v>45.8</v>
      </c>
      <c r="AX941" s="78"/>
      <c r="AY941" s="48" t="n">
        <v>1.6144578313253</v>
      </c>
      <c r="AZ941" s="48" t="n">
        <v>28.5926970938587</v>
      </c>
      <c r="BA941" s="48" t="n">
        <v>-3.69269709385874</v>
      </c>
      <c r="BB941" s="49" t="n">
        <f aca="false">AT941/V941</f>
        <v>1.6144578313253</v>
      </c>
      <c r="BC941" s="49" t="n">
        <f aca="false">AS941/V941</f>
        <v>1.5863453815261</v>
      </c>
      <c r="BD941" s="49" t="n">
        <f aca="false">SUM(AP941:AR941)/V941</f>
        <v>0.192771084337349</v>
      </c>
      <c r="BE941" s="53" t="n">
        <v>6.18</v>
      </c>
      <c r="BF941" s="51" t="n">
        <v>163</v>
      </c>
      <c r="BG941" s="51" t="n">
        <v>613.944785276074</v>
      </c>
      <c r="BH941" s="51" t="n">
        <v>189.294478527607</v>
      </c>
      <c r="BI941" s="51" t="n">
        <v>143.184049079755</v>
      </c>
      <c r="BJ941" s="51" t="n">
        <v>9.2760736196319</v>
      </c>
      <c r="BK941" s="51" t="n">
        <v>18.8957055214724</v>
      </c>
      <c r="BL941" s="51" t="n">
        <v>12.8343558282209</v>
      </c>
      <c r="BM941" s="51" t="n">
        <v>12.558282208589</v>
      </c>
      <c r="BN941" s="52" t="n">
        <f aca="false">(BG941*0.5-BH941*0.25+BI941*0.5)/SUM(BG941:BI941)*1000</f>
        <v>349.992221278692</v>
      </c>
      <c r="BO941" s="93" t="n">
        <v>10.04</v>
      </c>
      <c r="BP941" s="94" t="s">
        <v>1011</v>
      </c>
      <c r="BQ941" s="55" t="n">
        <v>516.705882352941</v>
      </c>
      <c r="BR941" s="56" t="n">
        <v>20.7512402551382</v>
      </c>
      <c r="BS941" s="56" t="n">
        <v>31.5970086438538</v>
      </c>
      <c r="BT941" s="56" t="n">
        <v>12.8533801580334</v>
      </c>
      <c r="BU941" s="55" t="n">
        <v>17114</v>
      </c>
      <c r="BV941" s="55" t="n">
        <v>688</v>
      </c>
      <c r="BW941" s="55" t="n">
        <v>1105</v>
      </c>
      <c r="BX941" s="55" t="n">
        <v>426</v>
      </c>
      <c r="BY941" s="81" t="n">
        <v>0.14793</v>
      </c>
      <c r="BZ941" s="81" t="n">
        <v>1.021227547786</v>
      </c>
      <c r="CA941" s="81" t="n">
        <v>3.67</v>
      </c>
      <c r="CB941" s="81"/>
      <c r="CC941" s="81" t="n">
        <v>3.62</v>
      </c>
      <c r="CD941" s="81" t="n">
        <v>7.08</v>
      </c>
      <c r="CE941" s="81" t="n">
        <v>73.24</v>
      </c>
      <c r="CF941" s="81" t="n">
        <v>34.24</v>
      </c>
      <c r="CG941" s="81" t="n">
        <v>0.05</v>
      </c>
      <c r="CH941" s="63" t="n">
        <v>35552.4417833821</v>
      </c>
      <c r="CI941" s="63" t="n">
        <v>10658.1612307702</v>
      </c>
      <c r="CJ941" s="64" t="n">
        <v>950066.061675797</v>
      </c>
      <c r="CK941" s="65" t="n">
        <v>1.12183369775051</v>
      </c>
    </row>
    <row r="942" customFormat="false" ht="15" hidden="false" customHeight="false" outlineLevel="0" collapsed="false">
      <c r="A942" s="7" t="s">
        <v>1006</v>
      </c>
      <c r="B942" s="66" t="n">
        <v>921</v>
      </c>
      <c r="C942" s="8" t="s">
        <v>1032</v>
      </c>
      <c r="D942" s="110" t="n">
        <v>41367</v>
      </c>
      <c r="E942" s="4" t="s">
        <v>1008</v>
      </c>
      <c r="F942" s="7" t="n">
        <v>3319</v>
      </c>
      <c r="G942" s="68" t="n">
        <v>2</v>
      </c>
      <c r="H942" s="68" t="n">
        <v>179</v>
      </c>
      <c r="I942" s="7" t="n">
        <v>3</v>
      </c>
      <c r="J942" s="8" t="n">
        <v>743</v>
      </c>
      <c r="K942" s="32" t="n">
        <v>560</v>
      </c>
      <c r="L942" s="32" t="n">
        <v>926</v>
      </c>
      <c r="M942" s="32" t="n">
        <v>157</v>
      </c>
      <c r="N942" s="32" t="n">
        <v>370</v>
      </c>
      <c r="O942" s="33" t="n">
        <v>62.8</v>
      </c>
      <c r="P942" s="33"/>
      <c r="Q942" s="33"/>
      <c r="R942" s="32" t="n">
        <v>169</v>
      </c>
      <c r="S942" s="34" t="s">
        <v>1009</v>
      </c>
      <c r="T942" s="35" t="n">
        <v>15.8</v>
      </c>
      <c r="U942" s="35" t="n">
        <v>12.9</v>
      </c>
      <c r="V942" s="35" t="n">
        <v>28.7</v>
      </c>
      <c r="W942" s="35" t="n">
        <v>26.5</v>
      </c>
      <c r="X942" s="35" t="n">
        <v>4.5</v>
      </c>
      <c r="Y942" s="35" t="n">
        <v>10.6</v>
      </c>
      <c r="Z942" s="35" t="n">
        <v>1.8</v>
      </c>
      <c r="AA942" s="35"/>
      <c r="AB942" s="35"/>
      <c r="AC942" s="71" t="n">
        <v>4.84</v>
      </c>
      <c r="AD942" s="38" t="n">
        <v>8.3</v>
      </c>
      <c r="AE942" s="38" t="n">
        <v>7.29</v>
      </c>
      <c r="AF942" s="38" t="n">
        <v>1.32</v>
      </c>
      <c r="AG942" s="38" t="n">
        <v>4.35</v>
      </c>
      <c r="AH942" s="38"/>
      <c r="AI942" s="38"/>
      <c r="AJ942" s="102" t="s">
        <v>1010</v>
      </c>
      <c r="AK942" s="111" t="n">
        <v>710</v>
      </c>
      <c r="AL942" s="111" t="n">
        <v>725</v>
      </c>
      <c r="AM942" s="111" t="n">
        <v>707</v>
      </c>
      <c r="AN942" s="111" t="n">
        <v>590</v>
      </c>
      <c r="AO942" s="104" t="n">
        <v>40.1</v>
      </c>
      <c r="AP942" s="105" t="n">
        <v>1.68</v>
      </c>
      <c r="AQ942" s="105" t="n">
        <v>1.33</v>
      </c>
      <c r="AR942" s="105" t="n">
        <v>1.81</v>
      </c>
      <c r="AS942" s="77" t="n">
        <v>41.24</v>
      </c>
      <c r="AT942" s="78" t="n">
        <v>40.2</v>
      </c>
      <c r="AU942" s="78" t="n">
        <v>41.2</v>
      </c>
      <c r="AV942" s="78" t="n">
        <v>33.3</v>
      </c>
      <c r="AW942" s="78" t="n">
        <v>45.2</v>
      </c>
      <c r="AX942" s="78"/>
      <c r="AY942" s="48" t="n">
        <v>1.4006968641115</v>
      </c>
      <c r="AZ942" s="48" t="n">
        <v>29.0109478889121</v>
      </c>
      <c r="BA942" s="48" t="n">
        <v>-0.310947888912086</v>
      </c>
      <c r="BB942" s="49" t="n">
        <f aca="false">AT942/V942</f>
        <v>1.4006968641115</v>
      </c>
      <c r="BC942" s="49" t="n">
        <f aca="false">AS942/V942</f>
        <v>1.43693379790941</v>
      </c>
      <c r="BD942" s="49" t="n">
        <f aca="false">SUM(AP942:AR942)/V942</f>
        <v>0.16794425087108</v>
      </c>
      <c r="BE942" s="53" t="n">
        <v>6.6</v>
      </c>
      <c r="BF942" s="51" t="n">
        <v>142.7</v>
      </c>
      <c r="BG942" s="51" t="n">
        <v>628.311142256482</v>
      </c>
      <c r="BH942" s="51" t="n">
        <v>179.705676243868</v>
      </c>
      <c r="BI942" s="51" t="n">
        <v>134.723195515067</v>
      </c>
      <c r="BJ942" s="51" t="n">
        <v>11.4295725297828</v>
      </c>
      <c r="BK942" s="51" t="n">
        <v>18.9138051857043</v>
      </c>
      <c r="BL942" s="51" t="n">
        <v>14.5269796776454</v>
      </c>
      <c r="BM942" s="51" t="n">
        <v>12.6208829712684</v>
      </c>
      <c r="BN942" s="52" t="n">
        <f aca="false">(BG942*0.5-BH942*0.25+BI942*0.5)/SUM(BG942:BI942)*1000</f>
        <v>357.034542737997</v>
      </c>
      <c r="BO942" s="93" t="n">
        <v>10.2</v>
      </c>
      <c r="BP942" s="94" t="s">
        <v>1011</v>
      </c>
      <c r="BQ942" s="55" t="n">
        <v>566.588235294118</v>
      </c>
      <c r="BR942" s="56" t="n">
        <v>19.7417503586801</v>
      </c>
      <c r="BS942" s="56" t="n">
        <v>29.490604309388</v>
      </c>
      <c r="BT942" s="56" t="n">
        <v>14.0942347088089</v>
      </c>
      <c r="BU942" s="55" t="n">
        <v>17357</v>
      </c>
      <c r="BV942" s="55" t="n">
        <v>606</v>
      </c>
      <c r="BW942" s="55" t="n">
        <v>952</v>
      </c>
      <c r="BX942" s="55" t="n">
        <v>431</v>
      </c>
      <c r="BY942" s="81" t="n">
        <v>0.14989</v>
      </c>
      <c r="BZ942" s="81" t="n">
        <v>1.71405244452982</v>
      </c>
      <c r="CA942" s="81" t="n">
        <v>3.03</v>
      </c>
      <c r="CB942" s="81"/>
      <c r="CC942" s="81" t="n">
        <v>5.19</v>
      </c>
      <c r="CD942" s="81" t="n">
        <v>8.8</v>
      </c>
      <c r="CE942" s="81" t="n">
        <v>70.58</v>
      </c>
      <c r="CF942" s="81" t="n">
        <v>34.64</v>
      </c>
      <c r="CG942" s="81" t="n">
        <v>0.6518</v>
      </c>
      <c r="CH942" s="63" t="n">
        <v>32031.3144524645</v>
      </c>
      <c r="CI942" s="63" t="n">
        <v>12592.4526368788</v>
      </c>
      <c r="CJ942" s="64" t="n">
        <v>604501.879145105</v>
      </c>
      <c r="CK942" s="65" t="n">
        <v>2.08311224022781</v>
      </c>
    </row>
    <row r="943" customFormat="false" ht="15" hidden="false" customHeight="false" outlineLevel="0" collapsed="false">
      <c r="A943" s="7" t="s">
        <v>1006</v>
      </c>
      <c r="B943" s="66" t="n">
        <v>922</v>
      </c>
      <c r="C943" s="8" t="s">
        <v>1033</v>
      </c>
      <c r="D943" s="110" t="n">
        <v>41374</v>
      </c>
      <c r="E943" s="4" t="s">
        <v>1008</v>
      </c>
      <c r="F943" s="7" t="n">
        <v>3429</v>
      </c>
      <c r="G943" s="68" t="n">
        <v>2</v>
      </c>
      <c r="H943" s="68" t="n">
        <v>158</v>
      </c>
      <c r="I943" s="7" t="n">
        <v>2</v>
      </c>
      <c r="J943" s="8" t="n">
        <v>632</v>
      </c>
      <c r="K943" s="32" t="n">
        <v>559</v>
      </c>
      <c r="L943" s="32" t="n">
        <v>927</v>
      </c>
      <c r="M943" s="32" t="n">
        <v>159</v>
      </c>
      <c r="N943" s="32" t="n">
        <v>366</v>
      </c>
      <c r="O943" s="33" t="n">
        <v>65.3</v>
      </c>
      <c r="P943" s="33"/>
      <c r="Q943" s="33"/>
      <c r="R943" s="32" t="n">
        <v>166</v>
      </c>
      <c r="S943" s="34" t="s">
        <v>1009</v>
      </c>
      <c r="T943" s="35" t="n">
        <v>12.7</v>
      </c>
      <c r="U943" s="35" t="n">
        <v>10.4</v>
      </c>
      <c r="V943" s="35" t="n">
        <v>23.1</v>
      </c>
      <c r="W943" s="35" t="n">
        <v>21.4</v>
      </c>
      <c r="X943" s="35" t="n">
        <v>3.66</v>
      </c>
      <c r="Y943" s="35" t="n">
        <v>8.45</v>
      </c>
      <c r="Z943" s="35" t="n">
        <v>1.51</v>
      </c>
      <c r="AA943" s="35"/>
      <c r="AB943" s="35"/>
      <c r="AC943" s="71" t="n">
        <v>3.83</v>
      </c>
      <c r="AD943" s="38" t="n">
        <v>6.68</v>
      </c>
      <c r="AE943" s="38" t="n">
        <v>5.88</v>
      </c>
      <c r="AF943" s="38" t="n">
        <v>1.22</v>
      </c>
      <c r="AG943" s="38" t="n">
        <v>3.63</v>
      </c>
      <c r="AH943" s="38"/>
      <c r="AI943" s="38"/>
      <c r="AJ943" s="102" t="s">
        <v>1010</v>
      </c>
      <c r="AK943" s="111" t="n">
        <v>711</v>
      </c>
      <c r="AL943" s="111" t="n">
        <v>725</v>
      </c>
      <c r="AM943" s="111" t="n">
        <v>666</v>
      </c>
      <c r="AN943" s="111" t="n">
        <v>571</v>
      </c>
      <c r="AO943" s="104" t="n">
        <v>38.4</v>
      </c>
      <c r="AP943" s="105" t="n">
        <v>1.48</v>
      </c>
      <c r="AQ943" s="105" t="n">
        <v>1.26</v>
      </c>
      <c r="AR943" s="105" t="n">
        <v>1.62</v>
      </c>
      <c r="AS943" s="77" t="n">
        <v>37.56</v>
      </c>
      <c r="AT943" s="78" t="n">
        <v>36.2</v>
      </c>
      <c r="AU943" s="78" t="n">
        <v>38.1</v>
      </c>
      <c r="AV943" s="78" t="n">
        <v>32.5</v>
      </c>
      <c r="AW943" s="78" t="n">
        <v>41.7</v>
      </c>
      <c r="AX943" s="78"/>
      <c r="AY943" s="48" t="n">
        <v>1.56709956709957</v>
      </c>
      <c r="AZ943" s="48" t="n">
        <v>26.0040965674023</v>
      </c>
      <c r="BA943" s="48" t="n">
        <v>-2.90409656740231</v>
      </c>
      <c r="BB943" s="49" t="n">
        <f aca="false">AT943/V943</f>
        <v>1.56709956709957</v>
      </c>
      <c r="BC943" s="49" t="n">
        <f aca="false">AS943/V943</f>
        <v>1.62597402597403</v>
      </c>
      <c r="BD943" s="49" t="n">
        <f aca="false">SUM(AP943:AR943)/V943</f>
        <v>0.188744588744589</v>
      </c>
      <c r="BE943" s="53" t="n">
        <v>6.63</v>
      </c>
      <c r="BF943" s="51" t="n">
        <v>135.9</v>
      </c>
      <c r="BG943" s="51" t="n">
        <v>650.537159676233</v>
      </c>
      <c r="BH943" s="51" t="n">
        <v>191.810154525386</v>
      </c>
      <c r="BI943" s="51" t="n">
        <v>96.8727005150846</v>
      </c>
      <c r="BJ943" s="51" t="n">
        <v>11.3907284768212</v>
      </c>
      <c r="BK943" s="51" t="n">
        <v>21.6041206769684</v>
      </c>
      <c r="BL943" s="51" t="n">
        <v>14.2531272994849</v>
      </c>
      <c r="BM943" s="51" t="n">
        <v>13.8704930095659</v>
      </c>
      <c r="BN943" s="52" t="n">
        <f aca="false">(BG943*0.5-BH943*0.25+BI943*0.5)/SUM(BG943:BI943)*1000</f>
        <v>346.832889376371</v>
      </c>
      <c r="BO943" s="93" t="n">
        <v>3.87</v>
      </c>
      <c r="BP943" s="94" t="s">
        <v>1011</v>
      </c>
      <c r="BQ943" s="55" t="n">
        <v>466.823529411765</v>
      </c>
      <c r="BR943" s="56" t="n">
        <v>20.2088107970461</v>
      </c>
      <c r="BS943" s="56" t="n">
        <v>30.0885291274099</v>
      </c>
      <c r="BT943" s="56" t="n">
        <v>12.8956776080598</v>
      </c>
      <c r="BU943" s="55" t="n">
        <v>14893</v>
      </c>
      <c r="BV943" s="55" t="n">
        <v>645</v>
      </c>
      <c r="BW943" s="55" t="n">
        <v>1011</v>
      </c>
      <c r="BX943" s="55" t="n">
        <v>412</v>
      </c>
      <c r="BY943" s="81" t="n">
        <v>0.19746</v>
      </c>
      <c r="BZ943" s="81" t="n">
        <v>1.06137738929978</v>
      </c>
      <c r="CA943" s="81" t="n">
        <v>3.68</v>
      </c>
      <c r="CB943" s="81"/>
      <c r="CC943" s="81" t="n">
        <v>3.29</v>
      </c>
      <c r="CD943" s="81" t="n">
        <v>9.8</v>
      </c>
      <c r="CE943" s="81" t="n">
        <v>69.94</v>
      </c>
      <c r="CF943" s="81" t="n">
        <v>33.97</v>
      </c>
      <c r="CG943" s="81" t="n">
        <v>0.01</v>
      </c>
      <c r="CH943" s="63" t="n">
        <v>35397.1289275278</v>
      </c>
      <c r="CI943" s="63" t="n">
        <v>6268.85923032449</v>
      </c>
      <c r="CJ943" s="64" t="n">
        <v>803080.280370812</v>
      </c>
      <c r="CK943" s="65" t="n">
        <v>0.780601813237143</v>
      </c>
    </row>
    <row r="944" customFormat="false" ht="15" hidden="false" customHeight="false" outlineLevel="0" collapsed="false">
      <c r="A944" s="7" t="s">
        <v>1006</v>
      </c>
      <c r="B944" s="66" t="n">
        <v>923</v>
      </c>
      <c r="C944" s="8" t="s">
        <v>1034</v>
      </c>
      <c r="D944" s="112" t="s">
        <v>1035</v>
      </c>
      <c r="E944" s="4" t="s">
        <v>1008</v>
      </c>
      <c r="F944" s="7" t="n">
        <v>309</v>
      </c>
      <c r="G944" s="68" t="n">
        <v>2</v>
      </c>
      <c r="H944" s="68" t="n">
        <v>148</v>
      </c>
      <c r="I944" s="7" t="n">
        <v>4</v>
      </c>
      <c r="J944" s="8" t="n">
        <v>847</v>
      </c>
      <c r="K944" s="32" t="n">
        <v>575</v>
      </c>
      <c r="L944" s="32" t="n">
        <v>925</v>
      </c>
      <c r="M944" s="32" t="n">
        <v>158</v>
      </c>
      <c r="N944" s="32" t="n">
        <v>376</v>
      </c>
      <c r="O944" s="33" t="n">
        <v>65.6</v>
      </c>
      <c r="P944" s="33"/>
      <c r="Q944" s="33"/>
      <c r="R944" s="32" t="n">
        <v>166</v>
      </c>
      <c r="S944" s="34" t="s">
        <v>1009</v>
      </c>
      <c r="T944" s="35" t="n">
        <v>17</v>
      </c>
      <c r="U944" s="35" t="n">
        <v>13.9</v>
      </c>
      <c r="V944" s="35" t="n">
        <v>30.9</v>
      </c>
      <c r="W944" s="35" t="n">
        <v>28.6</v>
      </c>
      <c r="X944" s="35" t="n">
        <v>4.87</v>
      </c>
      <c r="Y944" s="35" t="n">
        <v>11.62</v>
      </c>
      <c r="Z944" s="35" t="n">
        <v>2.03</v>
      </c>
      <c r="AA944" s="35"/>
      <c r="AB944" s="35"/>
      <c r="AC944" s="71" t="n">
        <v>5.11</v>
      </c>
      <c r="AD944" s="38" t="n">
        <v>8.05</v>
      </c>
      <c r="AE944" s="38" t="n">
        <v>7.07</v>
      </c>
      <c r="AF944" s="38" t="n">
        <v>1.45</v>
      </c>
      <c r="AG944" s="38" t="n">
        <v>4.35</v>
      </c>
      <c r="AH944" s="38"/>
      <c r="AI944" s="38"/>
      <c r="AJ944" s="102" t="s">
        <v>1010</v>
      </c>
      <c r="AK944" s="111" t="n">
        <v>739</v>
      </c>
      <c r="AL944" s="111" t="n">
        <v>753</v>
      </c>
      <c r="AM944" s="111" t="n">
        <v>702</v>
      </c>
      <c r="AN944" s="111" t="n">
        <v>625</v>
      </c>
      <c r="AO944" s="104" t="n">
        <v>43.6</v>
      </c>
      <c r="AP944" s="105" t="n">
        <v>2.1</v>
      </c>
      <c r="AQ944" s="105" t="n">
        <v>1.52</v>
      </c>
      <c r="AR944" s="105" t="n">
        <v>2</v>
      </c>
      <c r="AS944" s="77" t="n">
        <v>48.94</v>
      </c>
      <c r="AT944" s="78" t="n">
        <v>47.8</v>
      </c>
      <c r="AU944" s="78" t="n">
        <v>47.6</v>
      </c>
      <c r="AV944" s="78" t="n">
        <v>34.9</v>
      </c>
      <c r="AW944" s="78" t="n">
        <v>46</v>
      </c>
      <c r="AX944" s="78"/>
      <c r="AY944" s="48" t="n">
        <v>1.54692556634304</v>
      </c>
      <c r="AZ944" s="48" t="n">
        <v>33.1187700439385</v>
      </c>
      <c r="BA944" s="48" t="n">
        <v>-2.21877004393853</v>
      </c>
      <c r="BB944" s="49" t="n">
        <f aca="false">AT944/V944</f>
        <v>1.54692556634304</v>
      </c>
      <c r="BC944" s="49" t="n">
        <f aca="false">AS944/V944</f>
        <v>1.58381877022654</v>
      </c>
      <c r="BD944" s="49" t="n">
        <f aca="false">SUM(AP944:AR944)/V944</f>
        <v>0.181877022653722</v>
      </c>
      <c r="BE944" s="53" t="n">
        <v>6.14</v>
      </c>
      <c r="BF944" s="51" t="n">
        <v>169.4</v>
      </c>
      <c r="BG944" s="51" t="n">
        <v>605.855962219599</v>
      </c>
      <c r="BH944" s="51" t="n">
        <v>204.185360094451</v>
      </c>
      <c r="BI944" s="51" t="n">
        <v>140.879574970484</v>
      </c>
      <c r="BJ944" s="51" t="n">
        <v>9.20306965761511</v>
      </c>
      <c r="BK944" s="51" t="n">
        <v>16.4757969303424</v>
      </c>
      <c r="BL944" s="51" t="n">
        <v>14.6930342384888</v>
      </c>
      <c r="BM944" s="51" t="n">
        <v>8.91971664698937</v>
      </c>
      <c r="BN944" s="52" t="n">
        <f aca="false">(BG944*0.5-BH944*0.25+BI944*0.5)/SUM(BG944:BI944)*1000</f>
        <v>338.9571409061</v>
      </c>
      <c r="BO944" s="93" t="n">
        <v>13.23</v>
      </c>
      <c r="BP944" s="94" t="s">
        <v>1011</v>
      </c>
      <c r="BQ944" s="55" t="n">
        <v>598.588235294118</v>
      </c>
      <c r="BR944" s="56" t="n">
        <v>19.3717875499714</v>
      </c>
      <c r="BS944" s="56" t="n">
        <v>27.7950313103817</v>
      </c>
      <c r="BT944" s="56" t="n">
        <v>12.5227664287472</v>
      </c>
      <c r="BU944" s="55" t="n">
        <v>18428</v>
      </c>
      <c r="BV944" s="55" t="n">
        <v>597</v>
      </c>
      <c r="BW944" s="55" t="n">
        <v>898</v>
      </c>
      <c r="BX944" s="55" t="n">
        <v>385</v>
      </c>
      <c r="BY944" s="81" t="n">
        <v>0.24414</v>
      </c>
      <c r="BZ944" s="81" t="n">
        <v>1.50052828738834</v>
      </c>
      <c r="CA944" s="81" t="n">
        <v>3.2</v>
      </c>
      <c r="CB944" s="81"/>
      <c r="CC944" s="81" t="n">
        <v>5.96</v>
      </c>
      <c r="CD944" s="81" t="n">
        <v>6.25</v>
      </c>
      <c r="CE944" s="81" t="n">
        <v>70.99</v>
      </c>
      <c r="CF944" s="81" t="n">
        <v>35.62</v>
      </c>
      <c r="CG944" s="81" t="n">
        <v>0.01</v>
      </c>
      <c r="CH944" s="63" t="n">
        <v>63658.6946951038</v>
      </c>
      <c r="CI944" s="63" t="n">
        <v>5301.42855367569</v>
      </c>
      <c r="CJ944" s="64" t="n">
        <v>432716.566051851</v>
      </c>
      <c r="CK944" s="65" t="n">
        <v>1.22515035697534</v>
      </c>
    </row>
    <row r="945" customFormat="false" ht="15" hidden="false" customHeight="false" outlineLevel="0" collapsed="false">
      <c r="A945" s="7" t="s">
        <v>1006</v>
      </c>
      <c r="B945" s="66" t="n">
        <v>924</v>
      </c>
      <c r="C945" s="8" t="s">
        <v>1036</v>
      </c>
      <c r="D945" s="112" t="s">
        <v>1037</v>
      </c>
      <c r="E945" s="4" t="s">
        <v>1008</v>
      </c>
      <c r="F945" s="7" t="n">
        <v>4255</v>
      </c>
      <c r="G945" s="68" t="n">
        <v>2</v>
      </c>
      <c r="H945" s="68" t="n">
        <v>168</v>
      </c>
      <c r="I945" s="7" t="n">
        <v>4</v>
      </c>
      <c r="J945" s="8" t="n">
        <v>659</v>
      </c>
      <c r="K945" s="32" t="n">
        <v>559</v>
      </c>
      <c r="L945" s="32" t="n">
        <v>927</v>
      </c>
      <c r="M945" s="32" t="n">
        <v>159</v>
      </c>
      <c r="N945" s="32" t="n">
        <v>366</v>
      </c>
      <c r="O945" s="33" t="n">
        <v>65.3</v>
      </c>
      <c r="P945" s="33"/>
      <c r="Q945" s="33"/>
      <c r="R945" s="32" t="n">
        <v>166</v>
      </c>
      <c r="S945" s="34" t="s">
        <v>1009</v>
      </c>
      <c r="T945" s="35" t="n">
        <v>11.6</v>
      </c>
      <c r="U945" s="35" t="n">
        <v>9.5</v>
      </c>
      <c r="V945" s="35" t="n">
        <v>21.1</v>
      </c>
      <c r="W945" s="35" t="n">
        <v>19.6</v>
      </c>
      <c r="X945" s="35" t="n">
        <v>3.35</v>
      </c>
      <c r="Y945" s="35" t="n">
        <v>7.73</v>
      </c>
      <c r="Z945" s="35" t="n">
        <v>1.38</v>
      </c>
      <c r="AA945" s="35"/>
      <c r="AB945" s="35"/>
      <c r="AC945" s="71" t="n">
        <v>3.5</v>
      </c>
      <c r="AD945" s="38" t="n">
        <v>5.63</v>
      </c>
      <c r="AE945" s="38" t="n">
        <v>4.91</v>
      </c>
      <c r="AF945" s="38" t="n">
        <v>0.98</v>
      </c>
      <c r="AG945" s="38" t="n">
        <v>3.06</v>
      </c>
      <c r="AH945" s="38"/>
      <c r="AI945" s="38"/>
      <c r="AJ945" s="102" t="s">
        <v>1010</v>
      </c>
      <c r="AK945" s="111" t="n">
        <v>733</v>
      </c>
      <c r="AL945" s="111" t="n">
        <v>749</v>
      </c>
      <c r="AM945" s="111" t="n">
        <v>708</v>
      </c>
      <c r="AN945" s="111" t="n">
        <v>604</v>
      </c>
      <c r="AO945" s="104" t="n">
        <v>31.7</v>
      </c>
      <c r="AP945" s="105" t="n">
        <v>1.33</v>
      </c>
      <c r="AQ945" s="105" t="n">
        <v>1.04</v>
      </c>
      <c r="AR945" s="105" t="n">
        <v>1.31</v>
      </c>
      <c r="AS945" s="77" t="n">
        <v>32.63</v>
      </c>
      <c r="AT945" s="78" t="n">
        <v>31.3</v>
      </c>
      <c r="AU945" s="78" t="n">
        <v>41.9</v>
      </c>
      <c r="AV945" s="78" t="n">
        <v>32.8</v>
      </c>
      <c r="AW945" s="78" t="n">
        <v>41.1</v>
      </c>
      <c r="AX945" s="78"/>
      <c r="AY945" s="48" t="n">
        <v>1.48341232227488</v>
      </c>
      <c r="AZ945" s="48" t="n">
        <v>24.60687131822</v>
      </c>
      <c r="BA945" s="48" t="n">
        <v>-3.50687131822004</v>
      </c>
      <c r="BB945" s="49" t="n">
        <f aca="false">AT945/V945</f>
        <v>1.48341232227488</v>
      </c>
      <c r="BC945" s="49" t="n">
        <f aca="false">AS945/V945</f>
        <v>1.54644549763033</v>
      </c>
      <c r="BD945" s="49" t="n">
        <f aca="false">SUM(AP945:AR945)/V945</f>
        <v>0.174407582938389</v>
      </c>
      <c r="BE945" s="53" t="n">
        <v>6.69</v>
      </c>
      <c r="BF945" s="51" t="n">
        <v>138.4</v>
      </c>
      <c r="BG945" s="51" t="n">
        <v>617.210982658959</v>
      </c>
      <c r="BH945" s="51" t="n">
        <v>193.872832369942</v>
      </c>
      <c r="BI945" s="51" t="n">
        <v>137.904624277457</v>
      </c>
      <c r="BJ945" s="51" t="n">
        <v>10.9248554913295</v>
      </c>
      <c r="BK945" s="51" t="n">
        <v>17.478323699422</v>
      </c>
      <c r="BL945" s="51" t="n">
        <v>12.5</v>
      </c>
      <c r="BM945" s="51" t="n">
        <v>10.0722543352601</v>
      </c>
      <c r="BN945" s="52" t="n">
        <f aca="false">(BG945*0.5-BH945*0.25+BI945*0.5)/SUM(BG945:BI945)*1000</f>
        <v>346.779351301964</v>
      </c>
      <c r="BO945" s="93" t="n">
        <v>9.63</v>
      </c>
      <c r="BP945" s="94" t="s">
        <v>1011</v>
      </c>
      <c r="BQ945" s="55" t="n">
        <v>456.470588235294</v>
      </c>
      <c r="BR945" s="56" t="n">
        <v>21.6336771675495</v>
      </c>
      <c r="BS945" s="56" t="n">
        <v>31.0938794743532</v>
      </c>
      <c r="BT945" s="56" t="n">
        <v>14.5837248637474</v>
      </c>
      <c r="BU945" s="55" t="n">
        <v>14888</v>
      </c>
      <c r="BV945" s="55" t="n">
        <v>705</v>
      </c>
      <c r="BW945" s="55" t="n">
        <v>1067</v>
      </c>
      <c r="BX945" s="55" t="n">
        <v>475</v>
      </c>
      <c r="BY945" s="81" t="n">
        <v>0.19369</v>
      </c>
      <c r="BZ945" s="81" t="n">
        <v>1.44136009989434</v>
      </c>
      <c r="CA945" s="81" t="n">
        <v>3.05</v>
      </c>
      <c r="CB945" s="81"/>
      <c r="CC945" s="81" t="n">
        <v>4.04</v>
      </c>
      <c r="CD945" s="81" t="n">
        <v>7.95</v>
      </c>
      <c r="CE945" s="81" t="n">
        <v>54.9</v>
      </c>
      <c r="CF945" s="81" t="n">
        <v>31.46</v>
      </c>
      <c r="CG945" s="81" t="n">
        <v>0.05</v>
      </c>
      <c r="CH945" s="63" t="n">
        <v>47429.474319761</v>
      </c>
      <c r="CI945" s="63" t="n">
        <v>11252.4942769152</v>
      </c>
      <c r="CJ945" s="64" t="n">
        <v>337857.761038131</v>
      </c>
      <c r="CK945" s="65" t="n">
        <v>3.33054189500924</v>
      </c>
    </row>
    <row r="946" customFormat="false" ht="15" hidden="false" customHeight="false" outlineLevel="0" collapsed="false">
      <c r="A946" s="7" t="s">
        <v>1006</v>
      </c>
      <c r="B946" s="66" t="n">
        <v>925</v>
      </c>
      <c r="C946" s="8" t="s">
        <v>1038</v>
      </c>
      <c r="D946" s="112" t="s">
        <v>1035</v>
      </c>
      <c r="E946" s="4" t="s">
        <v>1008</v>
      </c>
      <c r="F946" s="7" t="n">
        <v>573</v>
      </c>
      <c r="G946" s="68" t="n">
        <v>2</v>
      </c>
      <c r="H946" s="68" t="n">
        <v>104</v>
      </c>
      <c r="I946" s="7" t="n">
        <v>2</v>
      </c>
      <c r="J946" s="8" t="n">
        <v>837</v>
      </c>
      <c r="K946" s="32" t="n">
        <v>575</v>
      </c>
      <c r="L946" s="32" t="n">
        <v>925</v>
      </c>
      <c r="M946" s="32" t="n">
        <v>158</v>
      </c>
      <c r="N946" s="32" t="n">
        <v>376</v>
      </c>
      <c r="O946" s="33" t="n">
        <v>65.6</v>
      </c>
      <c r="P946" s="33"/>
      <c r="Q946" s="33"/>
      <c r="R946" s="32" t="n">
        <v>166</v>
      </c>
      <c r="S946" s="34" t="s">
        <v>1009</v>
      </c>
      <c r="T946" s="35" t="n">
        <v>17.5</v>
      </c>
      <c r="U946" s="35" t="n">
        <v>14.3</v>
      </c>
      <c r="V946" s="35" t="n">
        <v>31.8</v>
      </c>
      <c r="W946" s="35" t="n">
        <v>29.4</v>
      </c>
      <c r="X946" s="35" t="n">
        <v>5</v>
      </c>
      <c r="Y946" s="35" t="n">
        <v>11.95</v>
      </c>
      <c r="Z946" s="35" t="n">
        <v>2.08</v>
      </c>
      <c r="AA946" s="35"/>
      <c r="AB946" s="35"/>
      <c r="AC946" s="71" t="n">
        <v>5.26</v>
      </c>
      <c r="AD946" s="38" t="n">
        <v>8.78</v>
      </c>
      <c r="AE946" s="38" t="n">
        <v>7.7</v>
      </c>
      <c r="AF946" s="38" t="n">
        <v>1.59</v>
      </c>
      <c r="AG946" s="38" t="n">
        <v>4.76</v>
      </c>
      <c r="AH946" s="38"/>
      <c r="AI946" s="38"/>
      <c r="AJ946" s="102" t="s">
        <v>1010</v>
      </c>
      <c r="AK946" s="111" t="n">
        <v>724</v>
      </c>
      <c r="AL946" s="111" t="n">
        <v>738</v>
      </c>
      <c r="AM946" s="111" t="n">
        <v>683</v>
      </c>
      <c r="AN946" s="111" t="n">
        <v>601</v>
      </c>
      <c r="AO946" s="104" t="n">
        <v>46.8</v>
      </c>
      <c r="AP946" s="105" t="n">
        <v>1.75</v>
      </c>
      <c r="AQ946" s="105" t="n">
        <v>1.51</v>
      </c>
      <c r="AR946" s="105" t="n">
        <v>2.11</v>
      </c>
      <c r="AS946" s="77" t="n">
        <v>44.97</v>
      </c>
      <c r="AT946" s="78" t="n">
        <v>45.2</v>
      </c>
      <c r="AU946" s="78" t="n">
        <v>38</v>
      </c>
      <c r="AV946" s="78" t="n">
        <v>32.9</v>
      </c>
      <c r="AW946" s="78" t="n">
        <v>45.9</v>
      </c>
      <c r="AX946" s="78"/>
      <c r="AY946" s="48" t="n">
        <v>1.42138364779874</v>
      </c>
      <c r="AZ946" s="48" t="n">
        <v>30.8854614140312</v>
      </c>
      <c r="BA946" s="48" t="n">
        <v>0.914538585968824</v>
      </c>
      <c r="BB946" s="49" t="n">
        <f aca="false">AT946/V946</f>
        <v>1.42138364779874</v>
      </c>
      <c r="BC946" s="49" t="n">
        <f aca="false">AS946/V946</f>
        <v>1.41415094339623</v>
      </c>
      <c r="BD946" s="49" t="n">
        <f aca="false">SUM(AP946:AR946)/V946</f>
        <v>0.168867924528302</v>
      </c>
      <c r="BE946" s="53" t="n">
        <v>6.7</v>
      </c>
      <c r="BF946" s="51" t="n">
        <v>132.1</v>
      </c>
      <c r="BG946" s="51" t="n">
        <v>637.887963663891</v>
      </c>
      <c r="BH946" s="51" t="n">
        <v>184.890234670704</v>
      </c>
      <c r="BI946" s="51" t="n">
        <v>120.416351249054</v>
      </c>
      <c r="BJ946" s="51" t="n">
        <v>10.8478425435276</v>
      </c>
      <c r="BK946" s="51" t="n">
        <v>19.3035579106737</v>
      </c>
      <c r="BL946" s="51" t="n">
        <v>13.7623012869039</v>
      </c>
      <c r="BM946" s="51" t="n">
        <v>12.558667676003</v>
      </c>
      <c r="BN946" s="52" t="n">
        <f aca="false">(BG946*0.5-BH946*0.25+BI946*0.5)/SUM(BG946:BI946)*1000</f>
        <v>352.980834055668</v>
      </c>
      <c r="BO946" s="93" t="n">
        <v>2.85</v>
      </c>
      <c r="BP946" s="94" t="s">
        <v>1011</v>
      </c>
      <c r="BQ946" s="55" t="n">
        <v>576</v>
      </c>
      <c r="BR946" s="56" t="n">
        <v>18.1132075471698</v>
      </c>
      <c r="BS946" s="56" t="n">
        <v>26.5472042475527</v>
      </c>
      <c r="BT946" s="56" t="n">
        <v>12.7433628318584</v>
      </c>
      <c r="BU946" s="55" t="n">
        <v>19170</v>
      </c>
      <c r="BV946" s="55" t="n">
        <v>604</v>
      </c>
      <c r="BW946" s="55" t="n">
        <v>930</v>
      </c>
      <c r="BX946" s="55" t="n">
        <v>424</v>
      </c>
      <c r="BY946" s="81" t="n">
        <v>0.10208</v>
      </c>
      <c r="BZ946" s="81" t="n">
        <v>1.24714244549035</v>
      </c>
      <c r="CA946" s="81" t="n">
        <v>2.48</v>
      </c>
      <c r="CB946" s="81"/>
      <c r="CC946" s="81" t="n">
        <v>5.39</v>
      </c>
      <c r="CD946" s="81" t="n">
        <v>7.82</v>
      </c>
      <c r="CE946" s="81" t="n">
        <v>80.25</v>
      </c>
      <c r="CF946" s="81" t="n">
        <v>32.37</v>
      </c>
      <c r="CG946" s="81" t="n">
        <v>0.0296</v>
      </c>
      <c r="CH946" s="63" t="n">
        <v>39835.8435204681</v>
      </c>
      <c r="CI946" s="63" t="n">
        <v>5652.18113427583</v>
      </c>
      <c r="CJ946" s="64" t="n">
        <v>815151.383446271</v>
      </c>
      <c r="CK946" s="65" t="n">
        <v>0.693390362705357</v>
      </c>
    </row>
    <row r="947" customFormat="false" ht="15" hidden="false" customHeight="false" outlineLevel="0" collapsed="false">
      <c r="A947" s="7" t="s">
        <v>1006</v>
      </c>
      <c r="B947" s="66" t="n">
        <v>926</v>
      </c>
      <c r="C947" s="8" t="s">
        <v>1039</v>
      </c>
      <c r="D947" s="113" t="n">
        <v>41401</v>
      </c>
      <c r="E947" s="4" t="s">
        <v>1008</v>
      </c>
      <c r="F947" s="7" t="n">
        <v>4304</v>
      </c>
      <c r="G947" s="68" t="n">
        <v>2</v>
      </c>
      <c r="H947" s="68" t="n">
        <v>128</v>
      </c>
      <c r="I947" s="7" t="n">
        <v>3</v>
      </c>
      <c r="J947" s="8" t="n">
        <v>722</v>
      </c>
      <c r="K947" s="32" t="n">
        <v>561</v>
      </c>
      <c r="L947" s="32" t="n">
        <v>925</v>
      </c>
      <c r="M947" s="32" t="n">
        <v>157</v>
      </c>
      <c r="N947" s="32" t="n">
        <v>377</v>
      </c>
      <c r="O947" s="33" t="n">
        <v>62.7</v>
      </c>
      <c r="P947" s="33"/>
      <c r="Q947" s="33"/>
      <c r="R947" s="32" t="n">
        <v>166</v>
      </c>
      <c r="S947" s="34" t="s">
        <v>1009</v>
      </c>
      <c r="T947" s="35" t="n">
        <v>14.5</v>
      </c>
      <c r="U947" s="35" t="n">
        <v>11.9</v>
      </c>
      <c r="V947" s="35" t="n">
        <v>26.4</v>
      </c>
      <c r="W947" s="35" t="n">
        <v>24.4</v>
      </c>
      <c r="X947" s="35" t="n">
        <v>4.13</v>
      </c>
      <c r="Y947" s="35" t="n">
        <v>9.94</v>
      </c>
      <c r="Z947" s="35" t="n">
        <v>1.65</v>
      </c>
      <c r="AA947" s="35"/>
      <c r="AB947" s="35"/>
      <c r="AC947" s="71" t="n">
        <v>4.37</v>
      </c>
      <c r="AD947" s="38" t="n">
        <v>7.68</v>
      </c>
      <c r="AE947" s="38" t="n">
        <v>6.73</v>
      </c>
      <c r="AF947" s="38" t="n">
        <v>1.3</v>
      </c>
      <c r="AG947" s="38" t="n">
        <v>4.18</v>
      </c>
      <c r="AH947" s="38"/>
      <c r="AI947" s="38"/>
      <c r="AJ947" s="102" t="s">
        <v>1010</v>
      </c>
      <c r="AK947" s="111" t="n">
        <v>708</v>
      </c>
      <c r="AL947" s="111" t="n">
        <v>724</v>
      </c>
      <c r="AM947" s="111" t="n">
        <v>686</v>
      </c>
      <c r="AN947" s="111" t="n">
        <v>580</v>
      </c>
      <c r="AO947" s="104" t="n">
        <v>35.1</v>
      </c>
      <c r="AP947" s="105" t="n">
        <v>1.56</v>
      </c>
      <c r="AQ947" s="105" t="n">
        <v>1.26</v>
      </c>
      <c r="AR947" s="105" t="n">
        <v>1.57</v>
      </c>
      <c r="AS947" s="77" t="n">
        <v>37.44</v>
      </c>
      <c r="AT947" s="78" t="n">
        <v>37.2</v>
      </c>
      <c r="AU947" s="78" t="n">
        <v>44.2</v>
      </c>
      <c r="AV947" s="78" t="n">
        <v>36</v>
      </c>
      <c r="AW947" s="78" t="n">
        <v>44.7</v>
      </c>
      <c r="AX947" s="78"/>
      <c r="AY947" s="48" t="n">
        <v>1.40909090909091</v>
      </c>
      <c r="AZ947" s="48" t="n">
        <v>27.0057086364934</v>
      </c>
      <c r="BA947" s="48" t="n">
        <v>-0.605708636493421</v>
      </c>
      <c r="BB947" s="49" t="n">
        <f aca="false">AT947/V947</f>
        <v>1.40909090909091</v>
      </c>
      <c r="BC947" s="49" t="n">
        <f aca="false">AS947/V947</f>
        <v>1.41818181818182</v>
      </c>
      <c r="BD947" s="49" t="n">
        <f aca="false">SUM(AP947:AR947)/V947</f>
        <v>0.166287878787879</v>
      </c>
      <c r="BE947" s="53" t="n">
        <v>6.93</v>
      </c>
      <c r="BF947" s="51" t="n">
        <v>93.1</v>
      </c>
      <c r="BG947" s="51" t="n">
        <v>678.936627282492</v>
      </c>
      <c r="BH947" s="51" t="n">
        <v>175.359828141783</v>
      </c>
      <c r="BI947" s="51" t="n">
        <v>94.7905477980666</v>
      </c>
      <c r="BJ947" s="51" t="n">
        <v>12.4812030075188</v>
      </c>
      <c r="BK947" s="51" t="n">
        <v>15.2953813104189</v>
      </c>
      <c r="BL947" s="51" t="n">
        <v>13.0719656283566</v>
      </c>
      <c r="BM947" s="51" t="n">
        <v>10.3114930182599</v>
      </c>
      <c r="BN947" s="52" t="n">
        <f aca="false">(BG947*0.5-BH947*0.25+BI947*0.5)/SUM(BG947:BI947)*1000</f>
        <v>361.424852874604</v>
      </c>
      <c r="BO947" s="93" t="n">
        <v>1.74</v>
      </c>
      <c r="BP947" s="94" t="s">
        <v>1011</v>
      </c>
      <c r="BQ947" s="55" t="n">
        <v>484.705882352941</v>
      </c>
      <c r="BR947" s="56" t="n">
        <v>18.3600713012478</v>
      </c>
      <c r="BS947" s="56" t="n">
        <v>27.4378386441978</v>
      </c>
      <c r="BT947" s="56" t="n">
        <v>13.0297280202404</v>
      </c>
      <c r="BU947" s="55" t="n">
        <v>16466</v>
      </c>
      <c r="BV947" s="55" t="n">
        <v>625</v>
      </c>
      <c r="BW947" s="55" t="n">
        <v>986</v>
      </c>
      <c r="BX947" s="55" t="n">
        <v>443</v>
      </c>
      <c r="BY947" s="81" t="n">
        <v>0.19405</v>
      </c>
      <c r="BZ947" s="81" t="n">
        <v>0.844299298818557</v>
      </c>
      <c r="CA947" s="81" t="n">
        <v>3.67</v>
      </c>
      <c r="CB947" s="81"/>
      <c r="CC947" s="81" t="n">
        <v>4.51</v>
      </c>
      <c r="CD947" s="81" t="n">
        <v>9.06</v>
      </c>
      <c r="CE947" s="81" t="n">
        <v>75.11</v>
      </c>
      <c r="CF947" s="81" t="n">
        <v>34.47</v>
      </c>
      <c r="CG947" s="81" t="n">
        <v>0.1112</v>
      </c>
      <c r="CH947" s="63" t="n">
        <v>68432.6727213698</v>
      </c>
      <c r="CI947" s="63" t="n">
        <v>2779.12617539897</v>
      </c>
      <c r="CJ947" s="64" t="n">
        <v>443778.525487809</v>
      </c>
      <c r="CK947" s="65" t="n">
        <v>0.626241698456254</v>
      </c>
    </row>
    <row r="948" customFormat="false" ht="15" hidden="false" customHeight="false" outlineLevel="0" collapsed="false">
      <c r="A948" s="7" t="s">
        <v>1006</v>
      </c>
      <c r="B948" s="66" t="n">
        <v>927</v>
      </c>
      <c r="C948" s="8" t="s">
        <v>1040</v>
      </c>
      <c r="D948" s="113" t="n">
        <v>41401</v>
      </c>
      <c r="E948" s="4" t="s">
        <v>1008</v>
      </c>
      <c r="F948" s="7" t="n">
        <v>4297</v>
      </c>
      <c r="G948" s="68" t="n">
        <v>2</v>
      </c>
      <c r="H948" s="68" t="n">
        <v>100</v>
      </c>
      <c r="I948" s="7" t="n">
        <v>2</v>
      </c>
      <c r="J948" s="8" t="n">
        <v>722</v>
      </c>
      <c r="K948" s="32" t="n">
        <v>561</v>
      </c>
      <c r="L948" s="32" t="n">
        <v>925</v>
      </c>
      <c r="M948" s="32" t="n">
        <v>157</v>
      </c>
      <c r="N948" s="32" t="n">
        <v>377</v>
      </c>
      <c r="O948" s="33" t="n">
        <v>62.7</v>
      </c>
      <c r="P948" s="33"/>
      <c r="Q948" s="33"/>
      <c r="R948" s="32" t="n">
        <v>166</v>
      </c>
      <c r="S948" s="34" t="s">
        <v>1009</v>
      </c>
      <c r="T948" s="35" t="n">
        <v>14</v>
      </c>
      <c r="U948" s="35" t="n">
        <v>11.4</v>
      </c>
      <c r="V948" s="35" t="n">
        <v>25.4</v>
      </c>
      <c r="W948" s="35" t="n">
        <v>23.5</v>
      </c>
      <c r="X948" s="35" t="n">
        <v>3.99</v>
      </c>
      <c r="Y948" s="35" t="n">
        <v>9.58</v>
      </c>
      <c r="Z948" s="35" t="n">
        <v>1.59</v>
      </c>
      <c r="AA948" s="35"/>
      <c r="AB948" s="35"/>
      <c r="AC948" s="71" t="n">
        <v>4.21</v>
      </c>
      <c r="AD948" s="38" t="n">
        <v>8.05</v>
      </c>
      <c r="AE948" s="38" t="n">
        <v>7.12</v>
      </c>
      <c r="AF948" s="38" t="n">
        <v>1.43</v>
      </c>
      <c r="AG948" s="38" t="n">
        <v>4.5</v>
      </c>
      <c r="AH948" s="38"/>
      <c r="AI948" s="38"/>
      <c r="AJ948" s="102" t="s">
        <v>1010</v>
      </c>
      <c r="AK948" s="111" t="n">
        <v>683</v>
      </c>
      <c r="AL948" s="111" t="n">
        <v>697</v>
      </c>
      <c r="AM948" s="111" t="n">
        <v>640</v>
      </c>
      <c r="AN948" s="111" t="n">
        <v>530</v>
      </c>
      <c r="AO948" s="104" t="n">
        <v>40.7</v>
      </c>
      <c r="AP948" s="105" t="n">
        <v>1.73</v>
      </c>
      <c r="AQ948" s="105" t="n">
        <v>1.42</v>
      </c>
      <c r="AR948" s="105" t="n">
        <v>1.89</v>
      </c>
      <c r="AS948" s="77" t="n">
        <v>42.23</v>
      </c>
      <c r="AT948" s="78" t="n">
        <v>42.2</v>
      </c>
      <c r="AU948" s="78" t="n">
        <v>42.5</v>
      </c>
      <c r="AV948" s="78" t="n">
        <v>35</v>
      </c>
      <c r="AW948" s="78" t="n">
        <v>46.5</v>
      </c>
      <c r="AX948" s="78"/>
      <c r="AY948" s="48" t="n">
        <v>1.66141732283465</v>
      </c>
      <c r="AZ948" s="48" t="n">
        <v>28.2632523648755</v>
      </c>
      <c r="BA948" s="48" t="n">
        <v>-2.86325236487551</v>
      </c>
      <c r="BB948" s="49" t="n">
        <f aca="false">AT948/V948</f>
        <v>1.66141732283465</v>
      </c>
      <c r="BC948" s="49" t="n">
        <f aca="false">AS948/V948</f>
        <v>1.66259842519685</v>
      </c>
      <c r="BD948" s="49" t="n">
        <f aca="false">SUM(AP948:AR948)/V948</f>
        <v>0.198425196850394</v>
      </c>
      <c r="BE948" s="53" t="n">
        <v>6.82</v>
      </c>
      <c r="BF948" s="51" t="n">
        <v>124.7</v>
      </c>
      <c r="BG948" s="51" t="n">
        <v>653.063352044908</v>
      </c>
      <c r="BH948" s="51" t="n">
        <v>184.875701684042</v>
      </c>
      <c r="BI948" s="51" t="n">
        <v>110.737770649559</v>
      </c>
      <c r="BJ948" s="51" t="n">
        <v>11.3071371291099</v>
      </c>
      <c r="BK948" s="51" t="n">
        <v>16.9526864474739</v>
      </c>
      <c r="BL948" s="51" t="n">
        <v>12.0368885324779</v>
      </c>
      <c r="BM948" s="51" t="n">
        <v>10.962309542903</v>
      </c>
      <c r="BN948" s="52" t="n">
        <f aca="false">(BG948*0.5-BH948*0.25+BI948*0.5)/SUM(BG948:BI948)*1000</f>
        <v>353.841927303466</v>
      </c>
      <c r="BO948" s="93" t="n">
        <v>1.88</v>
      </c>
      <c r="BP948" s="94" t="s">
        <v>1011</v>
      </c>
      <c r="BQ948" s="55" t="n">
        <v>499.764705882353</v>
      </c>
      <c r="BR948" s="56" t="n">
        <v>19.6757758221399</v>
      </c>
      <c r="BS948" s="56" t="n">
        <v>30.5115971722185</v>
      </c>
      <c r="BT948" s="56" t="n">
        <v>11.8427655422359</v>
      </c>
      <c r="BU948" s="55" t="n">
        <v>16281</v>
      </c>
      <c r="BV948" s="55" t="n">
        <v>641</v>
      </c>
      <c r="BW948" s="55" t="n">
        <v>1053</v>
      </c>
      <c r="BX948" s="55" t="n">
        <v>386</v>
      </c>
      <c r="BY948" s="81" t="n">
        <v>0.3762</v>
      </c>
      <c r="BZ948" s="81" t="n">
        <v>0.6372</v>
      </c>
      <c r="CA948" s="81" t="n">
        <v>4.88</v>
      </c>
      <c r="CB948" s="81"/>
      <c r="CC948" s="81" t="n">
        <v>3.6</v>
      </c>
      <c r="CD948" s="81" t="n">
        <v>9.1</v>
      </c>
      <c r="CE948" s="81" t="n">
        <v>99.84</v>
      </c>
      <c r="CF948" s="81" t="n">
        <v>43.01</v>
      </c>
      <c r="CG948" s="81" t="n">
        <v>0.05</v>
      </c>
      <c r="CH948" s="63" t="n">
        <v>59743.3761360338</v>
      </c>
      <c r="CI948" s="63" t="n">
        <v>4093.40123637728</v>
      </c>
      <c r="CJ948" s="64" t="n">
        <v>280351.856345144</v>
      </c>
      <c r="CK948" s="65" t="n">
        <v>1.46009421508443</v>
      </c>
    </row>
    <row r="949" customFormat="false" ht="15" hidden="false" customHeight="false" outlineLevel="0" collapsed="false">
      <c r="A949" s="7" t="s">
        <v>1006</v>
      </c>
      <c r="B949" s="66" t="n">
        <v>928</v>
      </c>
      <c r="C949" s="8" t="s">
        <v>1041</v>
      </c>
      <c r="D949" s="113" t="n">
        <v>41409</v>
      </c>
      <c r="E949" s="4" t="s">
        <v>1008</v>
      </c>
      <c r="F949" s="7" t="n">
        <v>4224</v>
      </c>
      <c r="G949" s="68" t="n">
        <v>2</v>
      </c>
      <c r="H949" s="68" t="n">
        <v>163</v>
      </c>
      <c r="I949" s="7" t="n">
        <v>5</v>
      </c>
      <c r="J949" s="8" t="n">
        <v>599</v>
      </c>
      <c r="K949" s="32" t="n">
        <v>561</v>
      </c>
      <c r="L949" s="32" t="n">
        <v>925</v>
      </c>
      <c r="M949" s="32" t="n">
        <v>155</v>
      </c>
      <c r="N949" s="32" t="n">
        <v>359</v>
      </c>
      <c r="O949" s="33" t="n">
        <v>61.8</v>
      </c>
      <c r="P949" s="33"/>
      <c r="Q949" s="33"/>
      <c r="R949" s="32" t="n">
        <v>161</v>
      </c>
      <c r="S949" s="34" t="s">
        <v>1009</v>
      </c>
      <c r="T949" s="35" t="n">
        <v>12.4</v>
      </c>
      <c r="U949" s="35" t="n">
        <v>10.1</v>
      </c>
      <c r="V949" s="35" t="n">
        <v>22.5</v>
      </c>
      <c r="W949" s="35" t="n">
        <v>20.8</v>
      </c>
      <c r="X949" s="35" t="n">
        <v>3.49</v>
      </c>
      <c r="Y949" s="35" t="n">
        <v>8.09</v>
      </c>
      <c r="Z949" s="35" t="n">
        <v>1.39</v>
      </c>
      <c r="AA949" s="35"/>
      <c r="AB949" s="35"/>
      <c r="AC949" s="71" t="n">
        <v>3.64</v>
      </c>
      <c r="AD949" s="38" t="n">
        <v>6.08</v>
      </c>
      <c r="AE949" s="38" t="n">
        <v>5.31</v>
      </c>
      <c r="AF949" s="38" t="n">
        <v>1.15</v>
      </c>
      <c r="AG949" s="38" t="n">
        <v>3.22</v>
      </c>
      <c r="AH949" s="38"/>
      <c r="AI949" s="38"/>
      <c r="AJ949" s="102" t="s">
        <v>1010</v>
      </c>
      <c r="AK949" s="111" t="n">
        <v>730</v>
      </c>
      <c r="AL949" s="111" t="n">
        <v>745</v>
      </c>
      <c r="AM949" s="111" t="n">
        <v>672</v>
      </c>
      <c r="AN949" s="111" t="n">
        <v>602</v>
      </c>
      <c r="AO949" s="104" t="n">
        <v>33.1</v>
      </c>
      <c r="AP949" s="105" t="n">
        <v>1.36</v>
      </c>
      <c r="AQ949" s="105" t="n">
        <v>1.09</v>
      </c>
      <c r="AR949" s="105" t="n">
        <v>1.52</v>
      </c>
      <c r="AS949" s="77" t="n">
        <v>33.64</v>
      </c>
      <c r="AT949" s="78" t="n">
        <v>33.1</v>
      </c>
      <c r="AU949" s="78" t="n">
        <v>40.9</v>
      </c>
      <c r="AV949" s="78" t="n">
        <v>32.9</v>
      </c>
      <c r="AW949" s="78" t="n">
        <v>46</v>
      </c>
      <c r="AX949" s="78"/>
      <c r="AY949" s="48" t="n">
        <v>1.47111111111111</v>
      </c>
      <c r="AZ949" s="48" t="n">
        <v>24.0975542400599</v>
      </c>
      <c r="BA949" s="48" t="n">
        <v>-1.59755424005989</v>
      </c>
      <c r="BB949" s="49" t="n">
        <f aca="false">AT949/V949</f>
        <v>1.47111111111111</v>
      </c>
      <c r="BC949" s="49" t="n">
        <f aca="false">AS949/V949</f>
        <v>1.49511111111111</v>
      </c>
      <c r="BD949" s="49" t="n">
        <f aca="false">SUM(AP949:AR949)/V949</f>
        <v>0.176444444444444</v>
      </c>
      <c r="BE949" s="53" t="n">
        <v>6.5</v>
      </c>
      <c r="BF949" s="51" t="n">
        <v>143.5</v>
      </c>
      <c r="BG949" s="51" t="n">
        <v>626.320557491289</v>
      </c>
      <c r="BH949" s="51" t="n">
        <v>204.209059233449</v>
      </c>
      <c r="BI949" s="51" t="n">
        <v>121.679442508711</v>
      </c>
      <c r="BJ949" s="51" t="n">
        <v>9.70731707317073</v>
      </c>
      <c r="BK949" s="51" t="n">
        <v>17.4773519163763</v>
      </c>
      <c r="BL949" s="51" t="n">
        <v>10.0418118466899</v>
      </c>
      <c r="BM949" s="51" t="n">
        <v>10.7317073170732</v>
      </c>
      <c r="BN949" s="52" t="n">
        <f aca="false">(BG949*0.5-BH949*0.25+BI949*0.5)/SUM(BG949:BI949)*1000</f>
        <v>339.15633553373</v>
      </c>
      <c r="BO949" s="93" t="n">
        <v>3.95</v>
      </c>
      <c r="BP949" s="94" t="s">
        <v>1011</v>
      </c>
      <c r="BQ949" s="55" t="n">
        <v>437.647058823529</v>
      </c>
      <c r="BR949" s="56" t="n">
        <v>19.4509803921569</v>
      </c>
      <c r="BS949" s="56" t="n">
        <v>28.2425825260409</v>
      </c>
      <c r="BT949" s="56" t="n">
        <v>13.2219655233695</v>
      </c>
      <c r="BU949" s="55" t="n">
        <v>13998</v>
      </c>
      <c r="BV949" s="55" t="n">
        <v>622</v>
      </c>
      <c r="BW949" s="55" t="n">
        <v>949</v>
      </c>
      <c r="BX949" s="55" t="n">
        <v>423</v>
      </c>
      <c r="BY949" s="81" t="n">
        <v>0.28411</v>
      </c>
      <c r="BZ949" s="81" t="n">
        <v>1.11535875516281</v>
      </c>
      <c r="CA949" s="81" t="n">
        <v>3.36</v>
      </c>
      <c r="CB949" s="81"/>
      <c r="CC949" s="81" t="n">
        <v>3.24</v>
      </c>
      <c r="CD949" s="81" t="n">
        <v>8.02</v>
      </c>
      <c r="CE949" s="81" t="n">
        <v>63.28</v>
      </c>
      <c r="CF949" s="81" t="n">
        <v>34.95</v>
      </c>
      <c r="CG949" s="81" t="n">
        <v>0.1112</v>
      </c>
      <c r="CH949" s="63" t="n">
        <v>66412.8246635623</v>
      </c>
      <c r="CI949" s="63" t="n">
        <v>607.044244398976</v>
      </c>
      <c r="CJ949" s="64" t="n">
        <v>326898.28487378</v>
      </c>
      <c r="CK949" s="65" t="n">
        <v>0.185698204147313</v>
      </c>
    </row>
    <row r="950" customFormat="false" ht="15" hidden="false" customHeight="false" outlineLevel="0" collapsed="false">
      <c r="A950" s="7" t="s">
        <v>1006</v>
      </c>
      <c r="B950" s="66" t="n">
        <v>929</v>
      </c>
      <c r="C950" s="8" t="s">
        <v>1042</v>
      </c>
      <c r="D950" s="113" t="n">
        <v>41409</v>
      </c>
      <c r="E950" s="4" t="s">
        <v>1008</v>
      </c>
      <c r="F950" s="7" t="n">
        <v>289</v>
      </c>
      <c r="G950" s="68" t="n">
        <v>2</v>
      </c>
      <c r="H950" s="68" t="n">
        <v>142</v>
      </c>
      <c r="I950" s="7" t="n">
        <v>3</v>
      </c>
      <c r="J950" s="8" t="n">
        <v>658</v>
      </c>
      <c r="K950" s="32" t="n">
        <v>561</v>
      </c>
      <c r="L950" s="32" t="n">
        <v>925</v>
      </c>
      <c r="M950" s="32" t="n">
        <v>155</v>
      </c>
      <c r="N950" s="32" t="n">
        <v>359</v>
      </c>
      <c r="O950" s="33" t="n">
        <v>61.8</v>
      </c>
      <c r="P950" s="33"/>
      <c r="Q950" s="33"/>
      <c r="R950" s="32" t="n">
        <v>161</v>
      </c>
      <c r="S950" s="34" t="s">
        <v>1009</v>
      </c>
      <c r="T950" s="35" t="n">
        <v>13.5</v>
      </c>
      <c r="U950" s="35" t="n">
        <v>11</v>
      </c>
      <c r="V950" s="35" t="n">
        <v>24.5</v>
      </c>
      <c r="W950" s="35" t="n">
        <v>22.7</v>
      </c>
      <c r="X950" s="35" t="n">
        <v>3.8</v>
      </c>
      <c r="Y950" s="35" t="n">
        <v>8.8</v>
      </c>
      <c r="Z950" s="35" t="n">
        <v>1.51</v>
      </c>
      <c r="AA950" s="35"/>
      <c r="AB950" s="35"/>
      <c r="AC950" s="71" t="n">
        <v>3.95</v>
      </c>
      <c r="AD950" s="38" t="n">
        <v>7.62</v>
      </c>
      <c r="AE950" s="38" t="n">
        <v>6.75</v>
      </c>
      <c r="AF950" s="38" t="n">
        <v>1.31</v>
      </c>
      <c r="AG950" s="38" t="n">
        <v>4.19</v>
      </c>
      <c r="AH950" s="38"/>
      <c r="AI950" s="38"/>
      <c r="AJ950" s="102" t="s">
        <v>1010</v>
      </c>
      <c r="AK950" s="111" t="n">
        <v>689</v>
      </c>
      <c r="AL950" s="111" t="n">
        <v>702</v>
      </c>
      <c r="AM950" s="111" t="n">
        <v>654</v>
      </c>
      <c r="AN950" s="111" t="n">
        <v>524</v>
      </c>
      <c r="AO950" s="104" t="n">
        <v>42.1</v>
      </c>
      <c r="AP950" s="105" t="n">
        <v>1.71</v>
      </c>
      <c r="AQ950" s="105" t="n">
        <v>1.38</v>
      </c>
      <c r="AR950" s="105" t="n">
        <v>1.94</v>
      </c>
      <c r="AS950" s="77" t="n">
        <v>42.49</v>
      </c>
      <c r="AT950" s="78" t="n">
        <v>42</v>
      </c>
      <c r="AU950" s="78" t="n">
        <v>40.6</v>
      </c>
      <c r="AV950" s="78" t="n">
        <v>32.8</v>
      </c>
      <c r="AW950" s="78" t="n">
        <v>46</v>
      </c>
      <c r="AX950" s="78"/>
      <c r="AY950" s="48" t="n">
        <v>1.71428571428571</v>
      </c>
      <c r="AZ950" s="48" t="n">
        <v>28.0969069503148</v>
      </c>
      <c r="BA950" s="48" t="n">
        <v>-3.59690695031484</v>
      </c>
      <c r="BB950" s="49" t="n">
        <f aca="false">AT950/V950</f>
        <v>1.71428571428571</v>
      </c>
      <c r="BC950" s="49" t="n">
        <f aca="false">AS950/V950</f>
        <v>1.73428571428571</v>
      </c>
      <c r="BD950" s="49" t="n">
        <f aca="false">SUM(AP950:AR950)/V950</f>
        <v>0.20530612244898</v>
      </c>
      <c r="BE950" s="53" t="n">
        <v>6.31</v>
      </c>
      <c r="BF950" s="51" t="n">
        <v>152</v>
      </c>
      <c r="BG950" s="51" t="n">
        <v>606.171052631579</v>
      </c>
      <c r="BH950" s="51" t="n">
        <v>202.776315789474</v>
      </c>
      <c r="BI950" s="51" t="n">
        <v>135.993421052632</v>
      </c>
      <c r="BJ950" s="51" t="n">
        <v>9.67763157894737</v>
      </c>
      <c r="BK950" s="51" t="n">
        <v>20.4473684210526</v>
      </c>
      <c r="BL950" s="51" t="n">
        <v>11.7763157894737</v>
      </c>
      <c r="BM950" s="51" t="n">
        <v>13.1578947368421</v>
      </c>
      <c r="BN950" s="52" t="n">
        <f aca="false">(BG950*0.5-BH950*0.25+BI950*0.5)/SUM(BG950:BI950)*1000</f>
        <v>339.056331850367</v>
      </c>
      <c r="BO950" s="93" t="n">
        <v>3.96</v>
      </c>
      <c r="BP950" s="94" t="s">
        <v>1011</v>
      </c>
      <c r="BQ950" s="55" t="n">
        <v>422.588235294118</v>
      </c>
      <c r="BR950" s="56" t="n">
        <v>17.2484993997599</v>
      </c>
      <c r="BS950" s="56" t="n">
        <v>26.5188345001768</v>
      </c>
      <c r="BT950" s="56" t="n">
        <v>10.0616246498599</v>
      </c>
      <c r="BU950" s="55" t="n">
        <v>14701</v>
      </c>
      <c r="BV950" s="55" t="n">
        <v>600</v>
      </c>
      <c r="BW950" s="55" t="n">
        <v>978</v>
      </c>
      <c r="BX950" s="55" t="n">
        <v>350</v>
      </c>
      <c r="BY950" s="81" t="n">
        <v>0.1669</v>
      </c>
      <c r="BZ950" s="81" t="n">
        <v>1.23993852655845</v>
      </c>
      <c r="CA950" s="81" t="n">
        <v>3.56</v>
      </c>
      <c r="CB950" s="81"/>
      <c r="CC950" s="81" t="n">
        <v>4.18</v>
      </c>
      <c r="CD950" s="81" t="n">
        <v>8.15</v>
      </c>
      <c r="CE950" s="81" t="n">
        <v>68.75</v>
      </c>
      <c r="CF950" s="81" t="n">
        <v>36.08</v>
      </c>
      <c r="CG950" s="81" t="n">
        <v>0.02</v>
      </c>
      <c r="CH950" s="63" t="n">
        <v>37095.5274637032</v>
      </c>
      <c r="CI950" s="63" t="n">
        <v>1202.86157823614</v>
      </c>
      <c r="CJ950" s="64" t="n">
        <v>669456.636067673</v>
      </c>
      <c r="CK950" s="65" t="n">
        <v>0.179677295500667</v>
      </c>
    </row>
    <row r="951" customFormat="false" ht="15" hidden="false" customHeight="false" outlineLevel="0" collapsed="false">
      <c r="A951" s="7" t="s">
        <v>1006</v>
      </c>
      <c r="B951" s="66" t="n">
        <v>930</v>
      </c>
      <c r="C951" s="8" t="s">
        <v>1043</v>
      </c>
      <c r="D951" s="113" t="n">
        <v>41507</v>
      </c>
      <c r="E951" s="4" t="s">
        <v>1008</v>
      </c>
      <c r="F951" s="7" t="n">
        <v>582</v>
      </c>
      <c r="G951" s="68" t="n">
        <v>2</v>
      </c>
      <c r="H951" s="68" t="n">
        <v>240</v>
      </c>
      <c r="I951" s="7" t="n">
        <v>2</v>
      </c>
      <c r="J951" s="8" t="n">
        <v>690</v>
      </c>
      <c r="K951" s="32" t="n">
        <v>527</v>
      </c>
      <c r="L951" s="32" t="n">
        <v>925</v>
      </c>
      <c r="M951" s="32" t="n">
        <v>150</v>
      </c>
      <c r="N951" s="32" t="n">
        <v>419</v>
      </c>
      <c r="O951" s="33" t="n">
        <v>86.1</v>
      </c>
      <c r="P951" s="33"/>
      <c r="Q951" s="33"/>
      <c r="R951" s="32" t="n">
        <v>152</v>
      </c>
      <c r="S951" s="34" t="s">
        <v>1009</v>
      </c>
      <c r="T951" s="35" t="n">
        <v>11.9</v>
      </c>
      <c r="U951" s="35" t="n">
        <v>9.7</v>
      </c>
      <c r="V951" s="35" t="n">
        <v>21.7</v>
      </c>
      <c r="W951" s="35" t="n">
        <v>20</v>
      </c>
      <c r="X951" s="35" t="n">
        <v>3.25</v>
      </c>
      <c r="Y951" s="35" t="n">
        <v>9.07</v>
      </c>
      <c r="Z951" s="35" t="n">
        <v>1.86</v>
      </c>
      <c r="AA951" s="35"/>
      <c r="AB951" s="35"/>
      <c r="AC951" s="71" t="n">
        <v>3.29</v>
      </c>
      <c r="AD951" s="38" t="n">
        <v>6.76</v>
      </c>
      <c r="AE951" s="38" t="n">
        <v>5.84</v>
      </c>
      <c r="AF951" s="38" t="n">
        <v>0.97</v>
      </c>
      <c r="AG951" s="38" t="n">
        <v>3.63</v>
      </c>
      <c r="AH951" s="38"/>
      <c r="AI951" s="38"/>
      <c r="AJ951" s="102" t="s">
        <v>1010</v>
      </c>
      <c r="AK951" s="111" t="n">
        <v>688</v>
      </c>
      <c r="AL951" s="111" t="n">
        <v>709</v>
      </c>
      <c r="AM951" s="111" t="n">
        <v>702</v>
      </c>
      <c r="AN951" s="111" t="n">
        <v>600</v>
      </c>
      <c r="AO951" s="104" t="n">
        <v>22.8</v>
      </c>
      <c r="AP951" s="105" t="n">
        <v>1.01</v>
      </c>
      <c r="AQ951" s="105" t="n">
        <v>0.75</v>
      </c>
      <c r="AR951" s="105" t="n">
        <v>0.93</v>
      </c>
      <c r="AS951" s="77" t="n">
        <v>24.27</v>
      </c>
      <c r="AT951" s="78" t="n">
        <v>23.4</v>
      </c>
      <c r="AU951" s="78" t="n">
        <v>44.7</v>
      </c>
      <c r="AV951" s="78" t="n">
        <v>33.2</v>
      </c>
      <c r="AW951" s="78" t="n">
        <v>41.2</v>
      </c>
      <c r="AX951" s="78"/>
      <c r="AY951" s="48" t="n">
        <v>1.07834101382488</v>
      </c>
      <c r="AZ951" s="48" t="n">
        <v>22.0453829288502</v>
      </c>
      <c r="BA951" s="48" t="n">
        <v>-0.345382928850178</v>
      </c>
      <c r="BB951" s="49" t="n">
        <f aca="false">AT951/V951</f>
        <v>1.07834101382488</v>
      </c>
      <c r="BC951" s="49" t="n">
        <f aca="false">AS951/V951</f>
        <v>1.1184331797235</v>
      </c>
      <c r="BD951" s="49" t="n">
        <f aca="false">SUM(AP951:AR951)/V951</f>
        <v>0.123963133640553</v>
      </c>
      <c r="BE951" s="53" t="n">
        <v>6.55</v>
      </c>
      <c r="BF951" s="51" t="n">
        <v>137.3</v>
      </c>
      <c r="BG951" s="51" t="n">
        <v>682.177713037145</v>
      </c>
      <c r="BH951" s="51" t="n">
        <v>148.273852876912</v>
      </c>
      <c r="BI951" s="51" t="n">
        <v>113.932993445011</v>
      </c>
      <c r="BJ951" s="51" t="n">
        <v>10.9978150036417</v>
      </c>
      <c r="BK951" s="51" t="n">
        <v>14.7195921340131</v>
      </c>
      <c r="BL951" s="51" t="n">
        <v>17.021121631464</v>
      </c>
      <c r="BM951" s="51" t="n">
        <v>12.5200291332848</v>
      </c>
      <c r="BN951" s="52" t="n">
        <f aca="false">(BG951*0.5-BH951*0.25+BI951*0.5)/SUM(BG951:BI951)*1000</f>
        <v>382.24565029615</v>
      </c>
      <c r="BO951" s="93" t="n">
        <v>8.28</v>
      </c>
      <c r="BP951" s="94" t="s">
        <v>1011</v>
      </c>
      <c r="BQ951" s="55" t="n">
        <v>548.705882352941</v>
      </c>
      <c r="BR951" s="56" t="n">
        <v>25.2859853618867</v>
      </c>
      <c r="BS951" s="56" t="n">
        <v>38.6957603916038</v>
      </c>
      <c r="BT951" s="56" t="n">
        <v>23.4489693313223</v>
      </c>
      <c r="BU951" s="55" t="n">
        <v>15174</v>
      </c>
      <c r="BV951" s="55" t="n">
        <v>701</v>
      </c>
      <c r="BW951" s="55" t="n">
        <v>1142</v>
      </c>
      <c r="BX951" s="55" t="n">
        <v>650</v>
      </c>
      <c r="BY951" s="81" t="n">
        <v>0.16625</v>
      </c>
      <c r="BZ951" s="81" t="n">
        <v>1.86504658534243</v>
      </c>
      <c r="CA951" s="81" t="n">
        <v>3</v>
      </c>
      <c r="CB951" s="81"/>
      <c r="CC951" s="81" t="n">
        <v>4.1</v>
      </c>
      <c r="CD951" s="81" t="n">
        <v>6.95</v>
      </c>
      <c r="CE951" s="81" t="n">
        <v>70.04</v>
      </c>
      <c r="CF951" s="81" t="n">
        <v>32.19</v>
      </c>
      <c r="CG951" s="81" t="n">
        <v>0.0092</v>
      </c>
      <c r="CH951" s="63" t="n">
        <v>111304.972944546</v>
      </c>
      <c r="CI951" s="63" t="n">
        <v>3127.29907693243</v>
      </c>
      <c r="CJ951" s="64" t="n">
        <v>768617.997913213</v>
      </c>
      <c r="CK951" s="65" t="n">
        <v>0.40687299613371</v>
      </c>
    </row>
    <row r="952" customFormat="false" ht="15" hidden="false" customHeight="false" outlineLevel="0" collapsed="false">
      <c r="A952" s="7" t="s">
        <v>1006</v>
      </c>
      <c r="B952" s="66" t="n">
        <v>931</v>
      </c>
      <c r="C952" s="8" t="s">
        <v>1044</v>
      </c>
      <c r="D952" s="113" t="n">
        <v>41409</v>
      </c>
      <c r="E952" s="4" t="s">
        <v>1008</v>
      </c>
      <c r="F952" s="7" t="n">
        <v>329</v>
      </c>
      <c r="G952" s="68" t="n">
        <v>2</v>
      </c>
      <c r="H952" s="68" t="n">
        <v>167</v>
      </c>
      <c r="I952" s="7" t="n">
        <v>3</v>
      </c>
      <c r="J952" s="8" t="n">
        <v>756</v>
      </c>
      <c r="K952" s="32" t="n">
        <v>561</v>
      </c>
      <c r="L952" s="32" t="n">
        <v>925</v>
      </c>
      <c r="M952" s="32" t="n">
        <v>155</v>
      </c>
      <c r="N952" s="32" t="n">
        <v>359</v>
      </c>
      <c r="O952" s="33" t="n">
        <v>61.8</v>
      </c>
      <c r="P952" s="33"/>
      <c r="Q952" s="33"/>
      <c r="R952" s="32" t="n">
        <v>161</v>
      </c>
      <c r="S952" s="34" t="s">
        <v>1009</v>
      </c>
      <c r="T952" s="35" t="n">
        <v>14.1</v>
      </c>
      <c r="U952" s="35" t="n">
        <v>11.5</v>
      </c>
      <c r="V952" s="35" t="n">
        <v>25.5</v>
      </c>
      <c r="W952" s="35" t="n">
        <v>23.6</v>
      </c>
      <c r="X952" s="35" t="n">
        <v>3.96</v>
      </c>
      <c r="Y952" s="35" t="n">
        <v>9.18</v>
      </c>
      <c r="Z952" s="35" t="n">
        <v>1.58</v>
      </c>
      <c r="AA952" s="35"/>
      <c r="AB952" s="35"/>
      <c r="AC952" s="71" t="n">
        <v>4.12</v>
      </c>
      <c r="AD952" s="38" t="n">
        <v>6.86</v>
      </c>
      <c r="AE952" s="38" t="n">
        <v>5.94</v>
      </c>
      <c r="AF952" s="38" t="n">
        <v>1.26</v>
      </c>
      <c r="AG952" s="38" t="n">
        <v>3.61</v>
      </c>
      <c r="AH952" s="38"/>
      <c r="AI952" s="38"/>
      <c r="AJ952" s="102" t="s">
        <v>1010</v>
      </c>
      <c r="AK952" s="111" t="n">
        <v>732</v>
      </c>
      <c r="AL952" s="111" t="n">
        <v>748</v>
      </c>
      <c r="AM952" s="111" t="n">
        <v>683</v>
      </c>
      <c r="AN952" s="111" t="n">
        <v>607</v>
      </c>
      <c r="AO952" s="104" t="n">
        <v>31.9</v>
      </c>
      <c r="AP952" s="105" t="n">
        <v>1.32</v>
      </c>
      <c r="AQ952" s="105" t="n">
        <v>1.11</v>
      </c>
      <c r="AR952" s="105" t="n">
        <v>1.47</v>
      </c>
      <c r="AS952" s="77" t="n">
        <v>32.56</v>
      </c>
      <c r="AT952" s="78" t="n">
        <v>32.5</v>
      </c>
      <c r="AU952" s="78" t="n">
        <v>41.2</v>
      </c>
      <c r="AV952" s="78" t="n">
        <v>34.8</v>
      </c>
      <c r="AW952" s="78" t="n">
        <v>46</v>
      </c>
      <c r="AX952" s="78"/>
      <c r="AY952" s="48" t="n">
        <v>1.27450980392157</v>
      </c>
      <c r="AZ952" s="48" t="n">
        <v>25.9364425298573</v>
      </c>
      <c r="BA952" s="48" t="n">
        <v>-0.43644252985726</v>
      </c>
      <c r="BB952" s="49" t="n">
        <f aca="false">AT952/V952</f>
        <v>1.27450980392157</v>
      </c>
      <c r="BC952" s="49" t="n">
        <f aca="false">AS952/V952</f>
        <v>1.27686274509804</v>
      </c>
      <c r="BD952" s="49" t="n">
        <f aca="false">SUM(AP952:AR952)/V952</f>
        <v>0.152941176470588</v>
      </c>
      <c r="BE952" s="53" t="n">
        <v>6.77</v>
      </c>
      <c r="BF952" s="51" t="n">
        <v>138.4</v>
      </c>
      <c r="BG952" s="51" t="n">
        <v>627.53612716763</v>
      </c>
      <c r="BH952" s="51" t="n">
        <v>185.917630057804</v>
      </c>
      <c r="BI952" s="51" t="n">
        <v>124.566473988439</v>
      </c>
      <c r="BJ952" s="51" t="n">
        <v>11.856936416185</v>
      </c>
      <c r="BK952" s="51" t="n">
        <v>20.4768786127168</v>
      </c>
      <c r="BL952" s="51" t="n">
        <v>14.1401734104046</v>
      </c>
      <c r="BM952" s="51" t="n">
        <v>15.4985549132948</v>
      </c>
      <c r="BN952" s="52" t="n">
        <f aca="false">(BG952*0.5-BH952*0.25+BI952*0.5)/SUM(BG952:BI952)*1000</f>
        <v>351.348384711374</v>
      </c>
      <c r="BO952" s="93" t="n">
        <v>6.94</v>
      </c>
      <c r="BP952" s="94" t="s">
        <v>1011</v>
      </c>
      <c r="BQ952" s="55" t="n">
        <v>526.117647058824</v>
      </c>
      <c r="BR952" s="56" t="n">
        <v>20.6320645905421</v>
      </c>
      <c r="BS952" s="56" t="n">
        <v>29.8036372166922</v>
      </c>
      <c r="BT952" s="56" t="n">
        <v>16.1882352941176</v>
      </c>
      <c r="BU952" s="55" t="n">
        <v>16176</v>
      </c>
      <c r="BV952" s="55" t="n">
        <v>633</v>
      </c>
      <c r="BW952" s="55" t="n">
        <v>965</v>
      </c>
      <c r="BX952" s="55" t="n">
        <v>497</v>
      </c>
      <c r="BY952" s="81" t="n">
        <v>0.13639</v>
      </c>
      <c r="BZ952" s="81" t="n">
        <v>1.56545961002786</v>
      </c>
      <c r="CA952" s="81" t="n">
        <v>3.12</v>
      </c>
      <c r="CB952" s="81"/>
      <c r="CC952" s="81" t="n">
        <v>4.06</v>
      </c>
      <c r="CD952" s="81" t="n">
        <v>7.13</v>
      </c>
      <c r="CE952" s="81" t="n">
        <v>67.87</v>
      </c>
      <c r="CF952" s="81" t="n">
        <v>34.47</v>
      </c>
      <c r="CG952" s="81" t="n">
        <v>0.01</v>
      </c>
      <c r="CH952" s="63" t="n">
        <v>137739.379936281</v>
      </c>
      <c r="CI952" s="63" t="n">
        <v>2201.70277628726</v>
      </c>
      <c r="CJ952" s="64" t="n">
        <v>449685.59506581</v>
      </c>
      <c r="CK952" s="65" t="n">
        <v>0.489609362729319</v>
      </c>
    </row>
    <row r="953" customFormat="false" ht="15" hidden="false" customHeight="false" outlineLevel="0" collapsed="false">
      <c r="A953" s="7" t="s">
        <v>1006</v>
      </c>
      <c r="B953" s="66" t="n">
        <v>932</v>
      </c>
      <c r="C953" s="8" t="s">
        <v>1045</v>
      </c>
      <c r="D953" s="113" t="n">
        <v>41507</v>
      </c>
      <c r="E953" s="4" t="s">
        <v>1008</v>
      </c>
      <c r="F953" s="7" t="n">
        <v>417</v>
      </c>
      <c r="G953" s="68" t="n">
        <v>2</v>
      </c>
      <c r="H953" s="68" t="n">
        <v>173</v>
      </c>
      <c r="I953" s="7" t="n">
        <v>2</v>
      </c>
      <c r="J953" s="8" t="n">
        <v>658</v>
      </c>
      <c r="K953" s="32" t="n">
        <v>527</v>
      </c>
      <c r="L953" s="32" t="n">
        <v>925</v>
      </c>
      <c r="M953" s="32" t="n">
        <v>150</v>
      </c>
      <c r="N953" s="32" t="n">
        <v>419</v>
      </c>
      <c r="O953" s="33" t="n">
        <v>86.1</v>
      </c>
      <c r="P953" s="33"/>
      <c r="Q953" s="33"/>
      <c r="R953" s="32" t="n">
        <v>152</v>
      </c>
      <c r="S953" s="34" t="s">
        <v>1009</v>
      </c>
      <c r="T953" s="35" t="n">
        <v>13.4</v>
      </c>
      <c r="U953" s="35" t="n">
        <v>10.9</v>
      </c>
      <c r="V953" s="35" t="n">
        <v>24.3</v>
      </c>
      <c r="W953" s="35" t="n">
        <v>22.5</v>
      </c>
      <c r="X953" s="35" t="n">
        <v>3.65</v>
      </c>
      <c r="Y953" s="35" t="n">
        <v>10.18</v>
      </c>
      <c r="Z953" s="35" t="n">
        <v>2.09</v>
      </c>
      <c r="AA953" s="35"/>
      <c r="AB953" s="35"/>
      <c r="AC953" s="71" t="n">
        <v>3.7</v>
      </c>
      <c r="AD953" s="38" t="n">
        <v>8.73</v>
      </c>
      <c r="AE953" s="38" t="n">
        <v>7.63</v>
      </c>
      <c r="AF953" s="38" t="n">
        <v>1.24</v>
      </c>
      <c r="AG953" s="38" t="n">
        <v>4.92</v>
      </c>
      <c r="AH953" s="38"/>
      <c r="AI953" s="38"/>
      <c r="AJ953" s="102" t="s">
        <v>1010</v>
      </c>
      <c r="AK953" s="111" t="n">
        <v>641</v>
      </c>
      <c r="AL953" s="111" t="n">
        <v>661</v>
      </c>
      <c r="AM953" s="111" t="n">
        <v>661</v>
      </c>
      <c r="AN953" s="111" t="n">
        <v>517</v>
      </c>
      <c r="AO953" s="104" t="n">
        <v>32.3</v>
      </c>
      <c r="AP953" s="105" t="n">
        <v>1.15</v>
      </c>
      <c r="AQ953" s="105" t="n">
        <v>1.01</v>
      </c>
      <c r="AR953" s="105" t="n">
        <v>1.26</v>
      </c>
      <c r="AS953" s="77" t="n">
        <v>30.17</v>
      </c>
      <c r="AT953" s="78" t="n">
        <v>28.8</v>
      </c>
      <c r="AU953" s="78" t="n">
        <v>35.8</v>
      </c>
      <c r="AV953" s="78" t="n">
        <v>31.4</v>
      </c>
      <c r="AW953" s="78" t="n">
        <v>39.4</v>
      </c>
      <c r="AX953" s="78"/>
      <c r="AY953" s="48" t="n">
        <v>1.18518518518519</v>
      </c>
      <c r="AZ953" s="48" t="n">
        <v>23.6970338487599</v>
      </c>
      <c r="BA953" s="48" t="n">
        <v>0.602966151240128</v>
      </c>
      <c r="BB953" s="49" t="n">
        <f aca="false">AT953/V953</f>
        <v>1.18518518518519</v>
      </c>
      <c r="BC953" s="49" t="n">
        <f aca="false">AS953/V953</f>
        <v>1.24156378600823</v>
      </c>
      <c r="BD953" s="49" t="n">
        <f aca="false">SUM(AP953:AR953)/V953</f>
        <v>0.140740740740741</v>
      </c>
      <c r="BE953" s="53" t="n">
        <v>6.51</v>
      </c>
      <c r="BF953" s="51" t="n">
        <v>138.3</v>
      </c>
      <c r="BG953" s="51" t="n">
        <v>682.407809110629</v>
      </c>
      <c r="BH953" s="51" t="n">
        <v>150.151843817787</v>
      </c>
      <c r="BI953" s="51" t="n">
        <v>107.013738250181</v>
      </c>
      <c r="BJ953" s="51" t="n">
        <v>10.5639913232104</v>
      </c>
      <c r="BK953" s="51" t="n">
        <v>16.587129428778</v>
      </c>
      <c r="BL953" s="51" t="n">
        <v>17.7368040491685</v>
      </c>
      <c r="BM953" s="51" t="n">
        <v>15.7483731019523</v>
      </c>
      <c r="BN953" s="52" t="n">
        <f aca="false">(BG953*0.5-BH953*0.25+BI953*0.5)/SUM(BG953:BI953)*1000</f>
        <v>380.14360142524</v>
      </c>
      <c r="BO953" s="93" t="n">
        <v>5.08</v>
      </c>
      <c r="BP953" s="94" t="s">
        <v>1011</v>
      </c>
      <c r="BQ953" s="55" t="n">
        <v>570.352941176471</v>
      </c>
      <c r="BR953" s="56" t="n">
        <v>23.4713144517066</v>
      </c>
      <c r="BS953" s="56" t="n">
        <v>38.3495001631515</v>
      </c>
      <c r="BT953" s="56" t="n">
        <v>19.8039215686275</v>
      </c>
      <c r="BU953" s="55" t="n">
        <v>16146</v>
      </c>
      <c r="BV953" s="55" t="n">
        <v>664</v>
      </c>
      <c r="BW953" s="55" t="n">
        <v>1174</v>
      </c>
      <c r="BX953" s="55" t="n">
        <v>560</v>
      </c>
      <c r="BY953" s="81" t="n">
        <v>0.15325</v>
      </c>
      <c r="BZ953" s="81" t="n">
        <v>0.863509749303621</v>
      </c>
      <c r="CA953" s="81" t="n">
        <v>3.06</v>
      </c>
      <c r="CB953" s="81"/>
      <c r="CC953" s="81" t="n">
        <v>3.26</v>
      </c>
      <c r="CD953" s="81" t="n">
        <v>6.79</v>
      </c>
      <c r="CE953" s="81" t="n">
        <v>65.44</v>
      </c>
      <c r="CF953" s="81" t="n">
        <v>32.23</v>
      </c>
      <c r="CG953" s="81" t="n">
        <v>0.05</v>
      </c>
      <c r="CH953" s="63" t="n">
        <v>63565.6149574895</v>
      </c>
      <c r="CI953" s="63" t="n">
        <v>14832.7893446695</v>
      </c>
      <c r="CJ953" s="64" t="n">
        <v>928628.618039463</v>
      </c>
      <c r="CK953" s="65" t="n">
        <v>1.59727893977517</v>
      </c>
    </row>
    <row r="954" customFormat="false" ht="15" hidden="false" customHeight="false" outlineLevel="0" collapsed="false">
      <c r="A954" s="7" t="s">
        <v>1006</v>
      </c>
      <c r="B954" s="66" t="n">
        <v>933</v>
      </c>
      <c r="C954" s="8" t="s">
        <v>1046</v>
      </c>
      <c r="D954" s="113" t="n">
        <v>41507</v>
      </c>
      <c r="E954" s="4" t="s">
        <v>1008</v>
      </c>
      <c r="F954" s="7" t="n">
        <v>3430</v>
      </c>
      <c r="G954" s="68" t="n">
        <v>2</v>
      </c>
      <c r="H954" s="68" t="n">
        <v>225</v>
      </c>
      <c r="I954" s="7" t="n">
        <v>2</v>
      </c>
      <c r="J954" s="8" t="n">
        <v>735</v>
      </c>
      <c r="K954" s="32" t="n">
        <v>527</v>
      </c>
      <c r="L954" s="32" t="n">
        <v>925</v>
      </c>
      <c r="M954" s="32" t="n">
        <v>150</v>
      </c>
      <c r="N954" s="32" t="n">
        <v>419</v>
      </c>
      <c r="O954" s="33" t="n">
        <v>86.1</v>
      </c>
      <c r="P954" s="33"/>
      <c r="Q954" s="33"/>
      <c r="R954" s="32" t="n">
        <v>152</v>
      </c>
      <c r="S954" s="34" t="s">
        <v>1009</v>
      </c>
      <c r="T954" s="35" t="n">
        <v>13.3</v>
      </c>
      <c r="U954" s="35" t="n">
        <v>10.9</v>
      </c>
      <c r="V954" s="35" t="n">
        <v>24.2</v>
      </c>
      <c r="W954" s="35" t="n">
        <v>22.4</v>
      </c>
      <c r="X954" s="35" t="n">
        <v>3.63</v>
      </c>
      <c r="Y954" s="35" t="n">
        <v>10.14</v>
      </c>
      <c r="Z954" s="35" t="n">
        <v>2.08</v>
      </c>
      <c r="AA954" s="35"/>
      <c r="AB954" s="35"/>
      <c r="AC954" s="71" t="n">
        <v>3.68</v>
      </c>
      <c r="AD954" s="38" t="n">
        <v>8.19</v>
      </c>
      <c r="AE954" s="38" t="n">
        <v>7.12</v>
      </c>
      <c r="AF954" s="38" t="n">
        <v>1.25</v>
      </c>
      <c r="AG954" s="38" t="n">
        <v>4.36</v>
      </c>
      <c r="AH954" s="38"/>
      <c r="AI954" s="38"/>
      <c r="AJ954" s="102" t="s">
        <v>1010</v>
      </c>
      <c r="AK954" s="111" t="n">
        <v>661</v>
      </c>
      <c r="AL954" s="111" t="n">
        <v>682</v>
      </c>
      <c r="AM954" s="111" t="n">
        <v>655</v>
      </c>
      <c r="AN954" s="111" t="n">
        <v>570</v>
      </c>
      <c r="AO954" s="104" t="n">
        <v>27.2</v>
      </c>
      <c r="AP954" s="105" t="n">
        <v>1.24</v>
      </c>
      <c r="AQ954" s="105" t="n">
        <v>0.96</v>
      </c>
      <c r="AR954" s="105" t="n">
        <v>1.2</v>
      </c>
      <c r="AS954" s="77" t="n">
        <v>29.48</v>
      </c>
      <c r="AT954" s="78" t="n">
        <v>29.2</v>
      </c>
      <c r="AU954" s="78" t="n">
        <v>45.9</v>
      </c>
      <c r="AV954" s="78" t="n">
        <v>35.3</v>
      </c>
      <c r="AW954" s="78" t="n">
        <v>44.4</v>
      </c>
      <c r="AX954" s="78"/>
      <c r="AY954" s="48" t="n">
        <v>1.20661157024793</v>
      </c>
      <c r="AZ954" s="48" t="n">
        <v>24.6055453387506</v>
      </c>
      <c r="BA954" s="48" t="n">
        <v>-0.405545338750578</v>
      </c>
      <c r="BB954" s="49" t="n">
        <f aca="false">AT954/V954</f>
        <v>1.20661157024793</v>
      </c>
      <c r="BC954" s="49" t="n">
        <f aca="false">AS954/V954</f>
        <v>1.21818181818182</v>
      </c>
      <c r="BD954" s="49" t="n">
        <f aca="false">SUM(AP954:AR954)/V954</f>
        <v>0.140495867768595</v>
      </c>
      <c r="BE954" s="53" t="n">
        <v>6.58</v>
      </c>
      <c r="BF954" s="51" t="n">
        <v>128.1</v>
      </c>
      <c r="BG954" s="51" t="n">
        <v>688.875878220141</v>
      </c>
      <c r="BH954" s="51" t="n">
        <v>164.371584699454</v>
      </c>
      <c r="BI954" s="51" t="n">
        <v>88.7431693989071</v>
      </c>
      <c r="BJ954" s="51" t="n">
        <v>11.608118657299</v>
      </c>
      <c r="BK954" s="51" t="n">
        <v>15.6284153005464</v>
      </c>
      <c r="BL954" s="51" t="n">
        <v>18.3138173302108</v>
      </c>
      <c r="BM954" s="51" t="n">
        <v>12.5604996096799</v>
      </c>
      <c r="BN954" s="52" t="n">
        <f aca="false">(BG954*0.5-BH954*0.25+BI954*0.5)/SUM(BG954:BI954)*1000</f>
        <v>369.129602466251</v>
      </c>
      <c r="BO954" s="93" t="n">
        <v>2.49</v>
      </c>
      <c r="BP954" s="94" t="s">
        <v>1011</v>
      </c>
      <c r="BQ954" s="55" t="n">
        <v>545.882352941177</v>
      </c>
      <c r="BR954" s="56" t="n">
        <v>22.5571220223627</v>
      </c>
      <c r="BS954" s="56" t="n">
        <v>35.732768180586</v>
      </c>
      <c r="BT954" s="56" t="n">
        <v>18.6946011281225</v>
      </c>
      <c r="BU954" s="55" t="n">
        <v>15474</v>
      </c>
      <c r="BV954" s="55" t="n">
        <v>640</v>
      </c>
      <c r="BW954" s="55" t="n">
        <v>1090</v>
      </c>
      <c r="BX954" s="55" t="n">
        <v>531</v>
      </c>
      <c r="BY954" s="81" t="n">
        <v>0.12008</v>
      </c>
      <c r="BZ954" s="81" t="n">
        <v>0.926423974642205</v>
      </c>
      <c r="CA954" s="81" t="n">
        <v>2.96</v>
      </c>
      <c r="CB954" s="81"/>
      <c r="CC954" s="81" t="n">
        <v>3.49</v>
      </c>
      <c r="CD954" s="81" t="n">
        <v>6.63</v>
      </c>
      <c r="CE954" s="81" t="n">
        <v>70.09</v>
      </c>
      <c r="CF954" s="81" t="n">
        <v>32.46</v>
      </c>
      <c r="CG954" s="81" t="n">
        <v>0.01</v>
      </c>
      <c r="CH954" s="63" t="n">
        <v>62700.9891177429</v>
      </c>
      <c r="CI954" s="63" t="n">
        <v>4109.29593329574</v>
      </c>
      <c r="CJ954" s="64" t="n">
        <v>821565.032434194</v>
      </c>
      <c r="CK954" s="65" t="n">
        <v>0.500179020657734</v>
      </c>
    </row>
    <row r="955" customFormat="false" ht="15" hidden="false" customHeight="false" outlineLevel="0" collapsed="false">
      <c r="A955" s="7" t="s">
        <v>1006</v>
      </c>
      <c r="B955" s="66" t="n">
        <v>934</v>
      </c>
      <c r="C955" s="8" t="s">
        <v>1047</v>
      </c>
      <c r="D955" s="113" t="n">
        <v>41507</v>
      </c>
      <c r="E955" s="4" t="s">
        <v>1008</v>
      </c>
      <c r="F955" s="7" t="n">
        <v>244</v>
      </c>
      <c r="G955" s="68" t="n">
        <v>2</v>
      </c>
      <c r="H955" s="68" t="n">
        <v>226</v>
      </c>
      <c r="I955" s="7" t="n">
        <v>3</v>
      </c>
      <c r="J955" s="8" t="n">
        <v>715</v>
      </c>
      <c r="K955" s="32" t="n">
        <v>527</v>
      </c>
      <c r="L955" s="32" t="n">
        <v>925</v>
      </c>
      <c r="M955" s="32" t="n">
        <v>150</v>
      </c>
      <c r="N955" s="32" t="n">
        <v>419</v>
      </c>
      <c r="O955" s="33" t="n">
        <v>86.1</v>
      </c>
      <c r="P955" s="33"/>
      <c r="Q955" s="33"/>
      <c r="R955" s="32" t="n">
        <v>152</v>
      </c>
      <c r="S955" s="34" t="s">
        <v>1009</v>
      </c>
      <c r="T955" s="35" t="n">
        <v>11.1</v>
      </c>
      <c r="U955" s="35" t="n">
        <v>9.1</v>
      </c>
      <c r="V955" s="35" t="n">
        <v>20.1</v>
      </c>
      <c r="W955" s="35" t="n">
        <v>18.6</v>
      </c>
      <c r="X955" s="35" t="n">
        <v>3.02</v>
      </c>
      <c r="Y955" s="35" t="n">
        <v>8.44</v>
      </c>
      <c r="Z955" s="35" t="n">
        <v>1.73</v>
      </c>
      <c r="AA955" s="35"/>
      <c r="AB955" s="35"/>
      <c r="AC955" s="71" t="n">
        <v>3.06</v>
      </c>
      <c r="AD955" s="38" t="n">
        <v>7.23</v>
      </c>
      <c r="AE955" s="38" t="n">
        <v>6.29</v>
      </c>
      <c r="AF955" s="38" t="n">
        <v>1.08</v>
      </c>
      <c r="AG955" s="38" t="n">
        <v>4.01</v>
      </c>
      <c r="AH955" s="38"/>
      <c r="AI955" s="38"/>
      <c r="AJ955" s="102" t="s">
        <v>1010</v>
      </c>
      <c r="AK955" s="111" t="n">
        <v>641</v>
      </c>
      <c r="AL955" s="111" t="n">
        <v>662</v>
      </c>
      <c r="AM955" s="111" t="n">
        <v>642</v>
      </c>
      <c r="AN955" s="111" t="n">
        <v>525</v>
      </c>
      <c r="AO955" s="104" t="n">
        <v>28.9</v>
      </c>
      <c r="AP955" s="105" t="n">
        <v>1.06</v>
      </c>
      <c r="AQ955" s="105" t="n">
        <v>0.97</v>
      </c>
      <c r="AR955" s="105" t="n">
        <v>1.21</v>
      </c>
      <c r="AS955" s="77" t="n">
        <v>27.46</v>
      </c>
      <c r="AT955" s="78" t="n">
        <v>26.5</v>
      </c>
      <c r="AU955" s="78" t="n">
        <v>36.1</v>
      </c>
      <c r="AV955" s="78" t="n">
        <v>32.8</v>
      </c>
      <c r="AW955" s="78" t="n">
        <v>41.1</v>
      </c>
      <c r="AX955" s="78"/>
      <c r="AY955" s="48" t="n">
        <v>1.318407960199</v>
      </c>
      <c r="AZ955" s="48" t="n">
        <v>23.5760039305957</v>
      </c>
      <c r="BA955" s="48" t="n">
        <v>-3.47600393059573</v>
      </c>
      <c r="BB955" s="49" t="n">
        <f aca="false">AT955/V955</f>
        <v>1.318407960199</v>
      </c>
      <c r="BC955" s="49" t="n">
        <f aca="false">AS955/V955</f>
        <v>1.36616915422886</v>
      </c>
      <c r="BD955" s="49" t="n">
        <f aca="false">SUM(AP955:AR955)/V955</f>
        <v>0.161194029850746</v>
      </c>
      <c r="BE955" s="53" t="n">
        <v>6.5</v>
      </c>
      <c r="BF955" s="51" t="n">
        <v>118.2</v>
      </c>
      <c r="BG955" s="51" t="n">
        <v>673.561759729272</v>
      </c>
      <c r="BH955" s="51" t="n">
        <v>161.387478849408</v>
      </c>
      <c r="BI955" s="51" t="n">
        <v>107.927241962775</v>
      </c>
      <c r="BJ955" s="51" t="n">
        <v>11.3705583756345</v>
      </c>
      <c r="BK955" s="51" t="n">
        <v>17.2758037225042</v>
      </c>
      <c r="BL955" s="51" t="n">
        <v>13.0964467005076</v>
      </c>
      <c r="BM955" s="51" t="n">
        <v>15.4653130287648</v>
      </c>
      <c r="BN955" s="52" t="n">
        <f aca="false">(BG955*0.5-BH955*0.25+BI955*0.5)/SUM(BG955:BI955)*1000</f>
        <v>371.626229272845</v>
      </c>
      <c r="BO955" s="93" t="n">
        <v>4.83</v>
      </c>
      <c r="BP955" s="94" t="s">
        <v>1011</v>
      </c>
      <c r="BQ955" s="55" t="n">
        <v>466.823529411765</v>
      </c>
      <c r="BR955" s="56" t="n">
        <v>23.2250512145157</v>
      </c>
      <c r="BS955" s="56" t="n">
        <v>37.9124459451454</v>
      </c>
      <c r="BT955" s="56" t="n">
        <v>17.6159822419534</v>
      </c>
      <c r="BU955" s="55" t="n">
        <v>13830</v>
      </c>
      <c r="BV955" s="55" t="n">
        <v>687</v>
      </c>
      <c r="BW955" s="55" t="n">
        <v>1212</v>
      </c>
      <c r="BX955" s="55" t="n">
        <v>522</v>
      </c>
      <c r="BY955" s="81" t="n">
        <v>0.18504</v>
      </c>
      <c r="BZ955" s="81" t="n">
        <v>1.48842570358275</v>
      </c>
      <c r="CA955" s="81" t="n">
        <v>3.77</v>
      </c>
      <c r="CB955" s="81"/>
      <c r="CC955" s="81" t="n">
        <v>4.17</v>
      </c>
      <c r="CD955" s="81" t="n">
        <v>5.76</v>
      </c>
      <c r="CE955" s="81" t="n">
        <v>79.55</v>
      </c>
      <c r="CF955" s="81" t="n">
        <v>33.81</v>
      </c>
      <c r="CG955" s="81" t="n">
        <v>0.0092</v>
      </c>
      <c r="CH955" s="63" t="n">
        <v>70672.7866180323</v>
      </c>
      <c r="CI955" s="63" t="n">
        <v>22561.5340306801</v>
      </c>
      <c r="CJ955" s="64" t="n">
        <v>885899.262404585</v>
      </c>
      <c r="CK955" s="65" t="n">
        <v>2.54673809857812</v>
      </c>
    </row>
    <row r="956" customFormat="false" ht="15" hidden="false" customHeight="false" outlineLevel="0" collapsed="false">
      <c r="A956" s="7" t="s">
        <v>1006</v>
      </c>
      <c r="B956" s="66" t="n">
        <v>935</v>
      </c>
      <c r="C956" s="8" t="s">
        <v>1048</v>
      </c>
      <c r="D956" s="113" t="n">
        <v>41514</v>
      </c>
      <c r="E956" s="4" t="s">
        <v>1008</v>
      </c>
      <c r="F956" s="7" t="n">
        <v>237</v>
      </c>
      <c r="G956" s="68" t="n">
        <v>2</v>
      </c>
      <c r="H956" s="68" t="n">
        <v>92</v>
      </c>
      <c r="I956" s="7" t="n">
        <v>3</v>
      </c>
      <c r="J956" s="8" t="n">
        <v>657</v>
      </c>
      <c r="K956" s="32" t="n">
        <v>524</v>
      </c>
      <c r="L956" s="32" t="n">
        <v>924</v>
      </c>
      <c r="M956" s="32" t="n">
        <v>157</v>
      </c>
      <c r="N956" s="32" t="n">
        <v>404</v>
      </c>
      <c r="O956" s="33" t="n">
        <v>94.3</v>
      </c>
      <c r="P956" s="33"/>
      <c r="Q956" s="33"/>
      <c r="R956" s="32" t="n">
        <v>154</v>
      </c>
      <c r="S956" s="34" t="s">
        <v>1009</v>
      </c>
      <c r="T956" s="35" t="n">
        <v>14.3</v>
      </c>
      <c r="U956" s="35" t="n">
        <v>11.7</v>
      </c>
      <c r="V956" s="35" t="n">
        <v>26.1</v>
      </c>
      <c r="W956" s="35" t="n">
        <v>24.1</v>
      </c>
      <c r="X956" s="35" t="n">
        <v>4.08</v>
      </c>
      <c r="Y956" s="35" t="n">
        <v>10.53</v>
      </c>
      <c r="Z956" s="35" t="n">
        <v>2.46</v>
      </c>
      <c r="AA956" s="35"/>
      <c r="AB956" s="35"/>
      <c r="AC956" s="71" t="n">
        <v>4.01</v>
      </c>
      <c r="AD956" s="38" t="n">
        <v>9.06</v>
      </c>
      <c r="AE956" s="38" t="n">
        <v>7.9</v>
      </c>
      <c r="AF956" s="38" t="n">
        <v>1.32</v>
      </c>
      <c r="AG956" s="38" t="n">
        <v>5.08</v>
      </c>
      <c r="AH956" s="38"/>
      <c r="AI956" s="38"/>
      <c r="AJ956" s="102" t="s">
        <v>1010</v>
      </c>
      <c r="AK956" s="111" t="n">
        <v>653</v>
      </c>
      <c r="AL956" s="111" t="n">
        <v>672</v>
      </c>
      <c r="AM956" s="111" t="n">
        <v>677</v>
      </c>
      <c r="AN956" s="111" t="n">
        <v>518</v>
      </c>
      <c r="AO956" s="104" t="n">
        <v>33.9</v>
      </c>
      <c r="AP956" s="105" t="n">
        <v>1.67</v>
      </c>
      <c r="AQ956" s="105" t="n">
        <v>1.27</v>
      </c>
      <c r="AR956" s="105" t="n">
        <v>1.6</v>
      </c>
      <c r="AS956" s="77" t="n">
        <v>38.61</v>
      </c>
      <c r="AT956" s="78" t="n">
        <v>38.9</v>
      </c>
      <c r="AU956" s="78" t="n">
        <v>49.5</v>
      </c>
      <c r="AV956" s="78" t="n">
        <v>37.6</v>
      </c>
      <c r="AW956" s="78" t="n">
        <v>47.1</v>
      </c>
      <c r="AX956" s="78"/>
      <c r="AY956" s="48" t="n">
        <v>1.4904214559387</v>
      </c>
      <c r="AZ956" s="48" t="n">
        <v>25.8575171470311</v>
      </c>
      <c r="BA956" s="48" t="n">
        <v>0.242482852968941</v>
      </c>
      <c r="BB956" s="49" t="n">
        <f aca="false">AT956/V956</f>
        <v>1.4904214559387</v>
      </c>
      <c r="BC956" s="49" t="n">
        <f aca="false">AS956/V956</f>
        <v>1.47931034482759</v>
      </c>
      <c r="BD956" s="49" t="n">
        <f aca="false">SUM(AP956:AR956)/V956</f>
        <v>0.173946360153257</v>
      </c>
      <c r="BE956" s="53" t="n">
        <v>6.71</v>
      </c>
      <c r="BF956" s="51" t="n">
        <v>128</v>
      </c>
      <c r="BG956" s="51" t="n">
        <v>680.1328125</v>
      </c>
      <c r="BH956" s="51" t="n">
        <v>156.3984375</v>
      </c>
      <c r="BI956" s="51" t="n">
        <v>101.4765625</v>
      </c>
      <c r="BJ956" s="51" t="n">
        <v>13.2890625</v>
      </c>
      <c r="BK956" s="51" t="n">
        <v>17.3671875</v>
      </c>
      <c r="BL956" s="51" t="n">
        <v>16.1875</v>
      </c>
      <c r="BM956" s="51" t="n">
        <v>15.2890625</v>
      </c>
      <c r="BN956" s="52" t="n">
        <f aca="false">(BG956*0.5-BH956*0.25+BI956*0.5)/SUM(BG956:BI956)*1000</f>
        <v>374.948985965935</v>
      </c>
      <c r="BO956" s="93" t="n">
        <v>11.13</v>
      </c>
      <c r="BP956" s="94" t="s">
        <v>1011</v>
      </c>
      <c r="BQ956" s="55" t="n">
        <v>624.941176470588</v>
      </c>
      <c r="BR956" s="56" t="n">
        <v>23.9441063781835</v>
      </c>
      <c r="BS956" s="56" t="n">
        <v>38.5880493276149</v>
      </c>
      <c r="BT956" s="56" t="n">
        <v>16.0653258732799</v>
      </c>
      <c r="BU956" s="55" t="n">
        <v>17267</v>
      </c>
      <c r="BV956" s="55" t="n">
        <v>662</v>
      </c>
      <c r="BW956" s="55" t="n">
        <v>1150</v>
      </c>
      <c r="BX956" s="55" t="n">
        <v>444</v>
      </c>
      <c r="BY956" s="81" t="n">
        <v>0.15216</v>
      </c>
      <c r="BZ956" s="81" t="n">
        <v>1.49908750360196</v>
      </c>
      <c r="CA956" s="81" t="n">
        <v>2.45</v>
      </c>
      <c r="CB956" s="81"/>
      <c r="CC956" s="81" t="n">
        <v>6</v>
      </c>
      <c r="CD956" s="81" t="n">
        <v>8.26</v>
      </c>
      <c r="CE956" s="81" t="n">
        <v>65.61</v>
      </c>
      <c r="CF956" s="81" t="n">
        <v>33.32</v>
      </c>
      <c r="CG956" s="81" t="n">
        <v>0.0398</v>
      </c>
      <c r="CH956" s="63" t="n">
        <v>75153.9188006992</v>
      </c>
      <c r="CI956" s="63" t="n">
        <v>9663.29511556459</v>
      </c>
      <c r="CJ956" s="64" t="n">
        <v>462292.896572821</v>
      </c>
      <c r="CK956" s="65" t="n">
        <v>2.0902971227122</v>
      </c>
    </row>
    <row r="957" customFormat="false" ht="15" hidden="false" customHeight="false" outlineLevel="0" collapsed="false">
      <c r="A957" s="7" t="s">
        <v>1006</v>
      </c>
      <c r="B957" s="66" t="n">
        <v>936</v>
      </c>
      <c r="C957" s="8" t="s">
        <v>1049</v>
      </c>
      <c r="D957" s="113" t="n">
        <v>41514</v>
      </c>
      <c r="E957" s="4" t="s">
        <v>1008</v>
      </c>
      <c r="F957" s="7" t="n">
        <v>557</v>
      </c>
      <c r="G957" s="68" t="n">
        <v>2</v>
      </c>
      <c r="H957" s="68" t="n">
        <v>210</v>
      </c>
      <c r="I957" s="7" t="n">
        <v>3</v>
      </c>
      <c r="J957" s="8" t="n">
        <v>687</v>
      </c>
      <c r="K957" s="32" t="n">
        <v>524</v>
      </c>
      <c r="L957" s="32" t="n">
        <v>924</v>
      </c>
      <c r="M957" s="32" t="n">
        <v>157</v>
      </c>
      <c r="N957" s="32" t="n">
        <v>404</v>
      </c>
      <c r="O957" s="33" t="n">
        <v>94.3</v>
      </c>
      <c r="P957" s="33"/>
      <c r="Q957" s="33"/>
      <c r="R957" s="32" t="n">
        <v>154</v>
      </c>
      <c r="S957" s="34" t="s">
        <v>1009</v>
      </c>
      <c r="T957" s="35" t="n">
        <v>12.4</v>
      </c>
      <c r="U957" s="35" t="n">
        <v>10.1</v>
      </c>
      <c r="V957" s="35" t="n">
        <v>22.5</v>
      </c>
      <c r="W957" s="35" t="n">
        <v>20.8</v>
      </c>
      <c r="X957" s="35" t="n">
        <v>3.52</v>
      </c>
      <c r="Y957" s="35" t="n">
        <v>9.09</v>
      </c>
      <c r="Z957" s="35" t="n">
        <v>2.12</v>
      </c>
      <c r="AA957" s="35"/>
      <c r="AB957" s="35"/>
      <c r="AC957" s="71" t="n">
        <v>3.46</v>
      </c>
      <c r="AD957" s="38" t="n">
        <v>8.24</v>
      </c>
      <c r="AE957" s="38" t="n">
        <v>7.11</v>
      </c>
      <c r="AF957" s="38" t="n">
        <v>1.21</v>
      </c>
      <c r="AG957" s="38" t="n">
        <v>4.66</v>
      </c>
      <c r="AH957" s="38"/>
      <c r="AI957" s="38"/>
      <c r="AJ957" s="102" t="s">
        <v>1010</v>
      </c>
      <c r="AK957" s="111" t="n">
        <v>634</v>
      </c>
      <c r="AL957" s="111" t="n">
        <v>658</v>
      </c>
      <c r="AM957" s="111" t="n">
        <v>656</v>
      </c>
      <c r="AN957" s="111" t="n">
        <v>487</v>
      </c>
      <c r="AO957" s="104" t="n">
        <v>28.2</v>
      </c>
      <c r="AP957" s="105" t="n">
        <v>1.31</v>
      </c>
      <c r="AQ957" s="105" t="n">
        <v>1.08</v>
      </c>
      <c r="AR957" s="105" t="n">
        <v>1.37</v>
      </c>
      <c r="AS957" s="77" t="n">
        <v>30.93</v>
      </c>
      <c r="AT957" s="78" t="n">
        <v>31.7</v>
      </c>
      <c r="AU957" s="78" t="n">
        <v>46.4</v>
      </c>
      <c r="AV957" s="78" t="n">
        <v>38.5</v>
      </c>
      <c r="AW957" s="78" t="n">
        <v>48.7</v>
      </c>
      <c r="AX957" s="78"/>
      <c r="AY957" s="48" t="n">
        <v>1.40888888888889</v>
      </c>
      <c r="AZ957" s="48" t="n">
        <v>24.4573212603774</v>
      </c>
      <c r="BA957" s="48" t="n">
        <v>-1.95732126037744</v>
      </c>
      <c r="BB957" s="49" t="n">
        <f aca="false">AT957/V957</f>
        <v>1.40888888888889</v>
      </c>
      <c r="BC957" s="49" t="n">
        <f aca="false">AS957/V957</f>
        <v>1.37466666666667</v>
      </c>
      <c r="BD957" s="49" t="n">
        <f aca="false">SUM(AP957:AR957)/V957</f>
        <v>0.167111111111111</v>
      </c>
      <c r="BE957" s="53" t="n">
        <v>7.04</v>
      </c>
      <c r="BF957" s="51" t="n">
        <v>95.3</v>
      </c>
      <c r="BG957" s="51" t="n">
        <v>698.111227701994</v>
      </c>
      <c r="BH957" s="51" t="n">
        <v>143.483735571878</v>
      </c>
      <c r="BI957" s="51" t="n">
        <v>94.186778593914</v>
      </c>
      <c r="BJ957" s="51" t="n">
        <v>14.3441762854145</v>
      </c>
      <c r="BK957" s="51" t="n">
        <v>15.9601259181532</v>
      </c>
      <c r="BL957" s="51" t="n">
        <v>20.0734522560336</v>
      </c>
      <c r="BM957" s="51" t="n">
        <v>13.389296956978</v>
      </c>
      <c r="BN957" s="52" t="n">
        <f aca="false">(BG957*0.5-BH957*0.25+BI957*0.5)/SUM(BG957:BI957)*1000</f>
        <v>385.002242655304</v>
      </c>
      <c r="BO957" s="93" t="n">
        <v>4.54</v>
      </c>
      <c r="BP957" s="94" t="s">
        <v>1011</v>
      </c>
      <c r="BQ957" s="55" t="n">
        <v>526.117647058824</v>
      </c>
      <c r="BR957" s="56" t="n">
        <v>23.3830065359477</v>
      </c>
      <c r="BS957" s="56" t="n">
        <v>38.4409082782049</v>
      </c>
      <c r="BT957" s="56" t="n">
        <v>16.5967712005938</v>
      </c>
      <c r="BU957" s="55" t="n">
        <v>15365</v>
      </c>
      <c r="BV957" s="55" t="n">
        <v>683</v>
      </c>
      <c r="BW957" s="55" t="n">
        <v>1226</v>
      </c>
      <c r="BX957" s="55" t="n">
        <v>484</v>
      </c>
      <c r="BY957" s="81" t="n">
        <v>0.14284</v>
      </c>
      <c r="BZ957" s="81" t="n">
        <v>0.905964844875612</v>
      </c>
      <c r="CA957" s="81" t="n">
        <v>2.85</v>
      </c>
      <c r="CB957" s="81"/>
      <c r="CC957" s="81" t="n">
        <v>5.84</v>
      </c>
      <c r="CD957" s="81" t="n">
        <v>8.23</v>
      </c>
      <c r="CE957" s="81" t="n">
        <v>60.05</v>
      </c>
      <c r="CF957" s="81" t="n">
        <v>32.61</v>
      </c>
      <c r="CG957" s="81" t="n">
        <v>0.03</v>
      </c>
      <c r="CH957" s="63" t="n">
        <v>75669.4344204252</v>
      </c>
      <c r="CI957" s="63" t="n">
        <v>17304.214814119</v>
      </c>
      <c r="CJ957" s="64" t="n">
        <v>665108.476015077</v>
      </c>
      <c r="CK957" s="65" t="n">
        <v>2.60171316982687</v>
      </c>
    </row>
    <row r="958" customFormat="false" ht="15" hidden="false" customHeight="false" outlineLevel="0" collapsed="false">
      <c r="A958" s="7" t="s">
        <v>1006</v>
      </c>
      <c r="B958" s="66" t="n">
        <v>937</v>
      </c>
      <c r="C958" s="8" t="s">
        <v>1050</v>
      </c>
      <c r="D958" s="113" t="n">
        <v>41514</v>
      </c>
      <c r="E958" s="4" t="s">
        <v>1008</v>
      </c>
      <c r="F958" s="7" t="n">
        <v>828</v>
      </c>
      <c r="G958" s="68" t="n">
        <v>2</v>
      </c>
      <c r="H958" s="68" t="n">
        <v>207</v>
      </c>
      <c r="I958" s="7" t="n">
        <v>2</v>
      </c>
      <c r="J958" s="8" t="n">
        <v>647</v>
      </c>
      <c r="K958" s="32" t="n">
        <v>524</v>
      </c>
      <c r="L958" s="32" t="n">
        <v>924</v>
      </c>
      <c r="M958" s="32" t="n">
        <v>157</v>
      </c>
      <c r="N958" s="32" t="n">
        <v>404</v>
      </c>
      <c r="O958" s="33" t="n">
        <v>94.3</v>
      </c>
      <c r="P958" s="33"/>
      <c r="Q958" s="33"/>
      <c r="R958" s="32" t="n">
        <v>154</v>
      </c>
      <c r="S958" s="34" t="s">
        <v>1009</v>
      </c>
      <c r="T958" s="35" t="n">
        <v>14.2</v>
      </c>
      <c r="U958" s="35" t="n">
        <v>11.6</v>
      </c>
      <c r="V958" s="35" t="n">
        <v>25.8</v>
      </c>
      <c r="W958" s="35" t="n">
        <v>23.8</v>
      </c>
      <c r="X958" s="35" t="n">
        <v>4.04</v>
      </c>
      <c r="Y958" s="35" t="n">
        <v>10.41</v>
      </c>
      <c r="Z958" s="35" t="n">
        <v>2.43</v>
      </c>
      <c r="AA958" s="35"/>
      <c r="AB958" s="35"/>
      <c r="AC958" s="71" t="n">
        <v>3.97</v>
      </c>
      <c r="AD958" s="38" t="n">
        <v>9.29</v>
      </c>
      <c r="AE958" s="38" t="n">
        <v>8.11</v>
      </c>
      <c r="AF958" s="38" t="n">
        <v>1.33</v>
      </c>
      <c r="AG958" s="38" t="n">
        <v>5.32</v>
      </c>
      <c r="AH958" s="38"/>
      <c r="AI958" s="38"/>
      <c r="AJ958" s="102" t="s">
        <v>1010</v>
      </c>
      <c r="AK958" s="111" t="n">
        <v>640</v>
      </c>
      <c r="AL958" s="111" t="n">
        <v>659</v>
      </c>
      <c r="AM958" s="111" t="n">
        <v>670</v>
      </c>
      <c r="AN958" s="111" t="n">
        <v>489</v>
      </c>
      <c r="AO958" s="104" t="n">
        <v>38.3</v>
      </c>
      <c r="AP958" s="105" t="n">
        <v>1.6</v>
      </c>
      <c r="AQ958" s="105" t="n">
        <v>1.41</v>
      </c>
      <c r="AR958" s="105" t="n">
        <v>1.78</v>
      </c>
      <c r="AS958" s="77" t="n">
        <v>39.32</v>
      </c>
      <c r="AT958" s="78" t="n">
        <v>40</v>
      </c>
      <c r="AU958" s="78" t="n">
        <v>41.7</v>
      </c>
      <c r="AV958" s="78" t="n">
        <v>36.8</v>
      </c>
      <c r="AW958" s="78" t="n">
        <v>46.5</v>
      </c>
      <c r="AX958" s="78"/>
      <c r="AY958" s="48" t="n">
        <v>1.55038759689922</v>
      </c>
      <c r="AZ958" s="48" t="n">
        <v>26.9993577233313</v>
      </c>
      <c r="BA958" s="48" t="n">
        <v>-1.19935772333135</v>
      </c>
      <c r="BB958" s="49" t="n">
        <f aca="false">AT958/V958</f>
        <v>1.55038759689922</v>
      </c>
      <c r="BC958" s="49" t="n">
        <f aca="false">AS958/V958</f>
        <v>1.52403100775194</v>
      </c>
      <c r="BD958" s="49" t="n">
        <f aca="false">SUM(AP958:AR958)/V958</f>
        <v>0.185658914728682</v>
      </c>
      <c r="BE958" s="53" t="n">
        <v>6.75</v>
      </c>
      <c r="BF958" s="51" t="n">
        <v>137.6</v>
      </c>
      <c r="BG958" s="51" t="n">
        <v>685.283430232558</v>
      </c>
      <c r="BH958" s="51" t="n">
        <v>154.164244186047</v>
      </c>
      <c r="BI958" s="51" t="n">
        <v>99.0261627906977</v>
      </c>
      <c r="BJ958" s="51" t="n">
        <v>11.9186046511628</v>
      </c>
      <c r="BK958" s="51" t="n">
        <v>16.9622093023256</v>
      </c>
      <c r="BL958" s="51" t="n">
        <v>17.2747093023256</v>
      </c>
      <c r="BM958" s="51" t="n">
        <v>15.0072674418605</v>
      </c>
      <c r="BN958" s="52" t="n">
        <f aca="false">(BG958*0.5-BH958*0.25+BI958*0.5)/SUM(BG958:BI958)*1000</f>
        <v>376.796583393994</v>
      </c>
      <c r="BO958" s="93" t="n">
        <v>10.04</v>
      </c>
      <c r="BP958" s="94" t="s">
        <v>1011</v>
      </c>
      <c r="BQ958" s="55" t="n">
        <v>574.117647058824</v>
      </c>
      <c r="BR958" s="56" t="n">
        <v>22.2526219790242</v>
      </c>
      <c r="BS958" s="56" t="n">
        <v>36.604840990221</v>
      </c>
      <c r="BT958" s="56" t="n">
        <v>14.3529411764706</v>
      </c>
      <c r="BU958" s="55" t="n">
        <v>16118</v>
      </c>
      <c r="BV958" s="55" t="n">
        <v>626</v>
      </c>
      <c r="BW958" s="55" t="n">
        <v>1111</v>
      </c>
      <c r="BX958" s="55" t="n">
        <v>403</v>
      </c>
      <c r="BY958" s="81" t="n">
        <v>0.23582</v>
      </c>
      <c r="BZ958" s="81" t="n">
        <v>2.31024877533378</v>
      </c>
      <c r="CA958" s="81" t="n">
        <v>2.46</v>
      </c>
      <c r="CB958" s="81"/>
      <c r="CC958" s="81" t="n">
        <v>6.24</v>
      </c>
      <c r="CD958" s="81" t="n">
        <v>7.27</v>
      </c>
      <c r="CE958" s="81" t="n">
        <v>55.83</v>
      </c>
      <c r="CF958" s="81" t="n">
        <v>33.69</v>
      </c>
      <c r="CG958" s="81" t="n">
        <v>0.0398</v>
      </c>
      <c r="CH958" s="63" t="n">
        <v>39130.4283728349</v>
      </c>
      <c r="CI958" s="63" t="n">
        <v>20632.2613514818</v>
      </c>
      <c r="CJ958" s="64" t="n">
        <v>855496.955850421</v>
      </c>
      <c r="CK958" s="65" t="n">
        <v>2.41172820199833</v>
      </c>
    </row>
    <row r="959" customFormat="false" ht="15" hidden="false" customHeight="false" outlineLevel="0" collapsed="false">
      <c r="A959" s="7" t="s">
        <v>1006</v>
      </c>
      <c r="B959" s="66" t="n">
        <v>938</v>
      </c>
      <c r="C959" s="8" t="s">
        <v>1051</v>
      </c>
      <c r="D959" s="113" t="n">
        <v>41514</v>
      </c>
      <c r="E959" s="4" t="s">
        <v>1008</v>
      </c>
      <c r="F959" s="7" t="n">
        <v>4220</v>
      </c>
      <c r="G959" s="68" t="n">
        <v>2</v>
      </c>
      <c r="H959" s="68" t="n">
        <v>85</v>
      </c>
      <c r="I959" s="7" t="n">
        <v>4</v>
      </c>
      <c r="J959" s="8" t="n">
        <v>745</v>
      </c>
      <c r="K959" s="32" t="n">
        <v>524</v>
      </c>
      <c r="L959" s="32" t="n">
        <v>924</v>
      </c>
      <c r="M959" s="32" t="n">
        <v>157</v>
      </c>
      <c r="N959" s="32" t="n">
        <v>404</v>
      </c>
      <c r="O959" s="33" t="n">
        <v>94.3</v>
      </c>
      <c r="P959" s="33"/>
      <c r="Q959" s="33"/>
      <c r="R959" s="32" t="n">
        <v>154</v>
      </c>
      <c r="S959" s="34" t="s">
        <v>1009</v>
      </c>
      <c r="T959" s="35" t="n">
        <v>14.9</v>
      </c>
      <c r="U959" s="35" t="n">
        <v>12.2</v>
      </c>
      <c r="V959" s="35" t="n">
        <v>27.1</v>
      </c>
      <c r="W959" s="35" t="n">
        <v>25</v>
      </c>
      <c r="X959" s="35" t="n">
        <v>4.25</v>
      </c>
      <c r="Y959" s="35" t="n">
        <v>10.95</v>
      </c>
      <c r="Z959" s="35" t="n">
        <v>2.55</v>
      </c>
      <c r="AA959" s="35"/>
      <c r="AB959" s="35"/>
      <c r="AC959" s="71" t="n">
        <v>4.17</v>
      </c>
      <c r="AD959" s="38" t="n">
        <v>9.25</v>
      </c>
      <c r="AE959" s="38" t="n">
        <v>8.14</v>
      </c>
      <c r="AF959" s="38" t="n">
        <v>1.4</v>
      </c>
      <c r="AG959" s="38" t="n">
        <v>5.45</v>
      </c>
      <c r="AH959" s="38"/>
      <c r="AI959" s="38"/>
      <c r="AJ959" s="102" t="s">
        <v>1010</v>
      </c>
      <c r="AK959" s="111" t="n">
        <v>659</v>
      </c>
      <c r="AL959" s="111" t="n">
        <v>675</v>
      </c>
      <c r="AM959" s="111" t="n">
        <v>671</v>
      </c>
      <c r="AN959" s="111" t="n">
        <v>503</v>
      </c>
      <c r="AO959" s="104" t="n">
        <v>41</v>
      </c>
      <c r="AP959" s="105" t="n">
        <v>1.61</v>
      </c>
      <c r="AQ959" s="105" t="n">
        <v>1.5</v>
      </c>
      <c r="AR959" s="105" t="n">
        <v>1.89</v>
      </c>
      <c r="AS959" s="77" t="n">
        <v>40.55</v>
      </c>
      <c r="AT959" s="78" t="n">
        <v>41.3</v>
      </c>
      <c r="AU959" s="78" t="n">
        <v>39.2</v>
      </c>
      <c r="AV959" s="78" t="n">
        <v>36.4</v>
      </c>
      <c r="AW959" s="78" t="n">
        <v>45.9</v>
      </c>
      <c r="AX959" s="78"/>
      <c r="AY959" s="48" t="n">
        <v>1.5239852398524</v>
      </c>
      <c r="AZ959" s="48" t="n">
        <v>27.5008986845475</v>
      </c>
      <c r="BA959" s="48" t="n">
        <v>-0.400898684547521</v>
      </c>
      <c r="BB959" s="49" t="n">
        <f aca="false">AT959/V959</f>
        <v>1.5239852398524</v>
      </c>
      <c r="BC959" s="49" t="n">
        <f aca="false">AS959/V959</f>
        <v>1.49630996309963</v>
      </c>
      <c r="BD959" s="49" t="n">
        <f aca="false">SUM(AP959:AR959)/V959</f>
        <v>0.18450184501845</v>
      </c>
      <c r="BE959" s="53" t="n">
        <v>6.93</v>
      </c>
      <c r="BF959" s="51" t="n">
        <v>120.8</v>
      </c>
      <c r="BG959" s="51" t="n">
        <v>683.236754966887</v>
      </c>
      <c r="BH959" s="51" t="n">
        <v>159.975165562914</v>
      </c>
      <c r="BI959" s="51" t="n">
        <v>90.9023178807947</v>
      </c>
      <c r="BJ959" s="51" t="n">
        <v>12.6903973509934</v>
      </c>
      <c r="BK959" s="51" t="n">
        <v>18.5596026490066</v>
      </c>
      <c r="BL959" s="51" t="n">
        <v>18.75</v>
      </c>
      <c r="BM959" s="51" t="n">
        <v>15.8278145695364</v>
      </c>
      <c r="BN959" s="52" t="n">
        <f aca="false">(BG959*0.5-BH959*0.25+BI959*0.5)/SUM(BG959:BI959)*1000</f>
        <v>371.555994718232</v>
      </c>
      <c r="BO959" s="93" t="n">
        <v>7.95</v>
      </c>
      <c r="BP959" s="94" t="s">
        <v>1011</v>
      </c>
      <c r="BQ959" s="55" t="n">
        <v>589.176470588235</v>
      </c>
      <c r="BR959" s="56" t="n">
        <v>21.7408291729976</v>
      </c>
      <c r="BS959" s="56" t="n">
        <v>34.9141612200436</v>
      </c>
      <c r="BT959" s="56" t="n">
        <v>14.2657741062527</v>
      </c>
      <c r="BU959" s="55" t="n">
        <v>17296</v>
      </c>
      <c r="BV959" s="55" t="n">
        <v>638</v>
      </c>
      <c r="BW959" s="55" t="n">
        <v>1096</v>
      </c>
      <c r="BX959" s="55" t="n">
        <v>418</v>
      </c>
      <c r="BY959" s="81" t="n">
        <v>0.17846</v>
      </c>
      <c r="BZ959" s="81" t="n">
        <v>1.24176351935453</v>
      </c>
      <c r="CA959" s="81" t="n">
        <v>2.88</v>
      </c>
      <c r="CB959" s="81"/>
      <c r="CC959" s="81" t="n">
        <v>5.47</v>
      </c>
      <c r="CD959" s="81" t="n">
        <v>7.71</v>
      </c>
      <c r="CE959" s="81" t="n">
        <v>74.77</v>
      </c>
      <c r="CF959" s="81" t="n">
        <v>34.65</v>
      </c>
      <c r="CG959" s="81" t="n">
        <v>0.05</v>
      </c>
      <c r="CH959" s="63" t="n">
        <v>81159.4828870338</v>
      </c>
      <c r="CI959" s="63" t="n">
        <v>13898.7840700467</v>
      </c>
      <c r="CJ959" s="64" t="n">
        <v>737811.190819124</v>
      </c>
      <c r="CK959" s="65" t="n">
        <v>1.88378602046089</v>
      </c>
    </row>
    <row r="960" customFormat="false" ht="15" hidden="false" customHeight="false" outlineLevel="0" collapsed="false">
      <c r="A960" s="7" t="s">
        <v>1006</v>
      </c>
      <c r="B960" s="66" t="n">
        <v>939</v>
      </c>
      <c r="C960" s="8" t="s">
        <v>1052</v>
      </c>
      <c r="D960" s="113" t="n">
        <v>41528</v>
      </c>
      <c r="E960" s="4" t="s">
        <v>1008</v>
      </c>
      <c r="F960" s="7" t="n">
        <v>3373</v>
      </c>
      <c r="G960" s="68" t="n">
        <v>2</v>
      </c>
      <c r="H960" s="68" t="n">
        <v>172</v>
      </c>
      <c r="I960" s="7" t="n">
        <v>4</v>
      </c>
      <c r="J960" s="8" t="n">
        <v>609</v>
      </c>
      <c r="K960" s="32" t="n">
        <v>526</v>
      </c>
      <c r="L960" s="32" t="n">
        <v>925</v>
      </c>
      <c r="M960" s="32" t="n">
        <v>157</v>
      </c>
      <c r="N960" s="32" t="n">
        <v>416</v>
      </c>
      <c r="O960" s="33" t="n">
        <v>104.8</v>
      </c>
      <c r="P960" s="33"/>
      <c r="Q960" s="33"/>
      <c r="R960" s="32" t="n">
        <v>154</v>
      </c>
      <c r="S960" s="34" t="s">
        <v>1009</v>
      </c>
      <c r="T960" s="35" t="n">
        <v>13.5</v>
      </c>
      <c r="U960" s="35" t="n">
        <v>11</v>
      </c>
      <c r="V960" s="35" t="n">
        <v>24.5</v>
      </c>
      <c r="W960" s="35" t="n">
        <v>22.7</v>
      </c>
      <c r="X960" s="35" t="n">
        <v>3.85</v>
      </c>
      <c r="Y960" s="35" t="n">
        <v>10.19</v>
      </c>
      <c r="Z960" s="35" t="n">
        <v>2.57</v>
      </c>
      <c r="AA960" s="35"/>
      <c r="AB960" s="35"/>
      <c r="AC960" s="71" t="n">
        <v>3.77</v>
      </c>
      <c r="AD960" s="38" t="n">
        <v>8.35</v>
      </c>
      <c r="AE960" s="38" t="n">
        <v>7.3</v>
      </c>
      <c r="AF960" s="38" t="n">
        <v>1.13</v>
      </c>
      <c r="AG960" s="38" t="n">
        <v>4.88</v>
      </c>
      <c r="AH960" s="38"/>
      <c r="AI960" s="38"/>
      <c r="AJ960" s="102" t="s">
        <v>1010</v>
      </c>
      <c r="AK960" s="111" t="n">
        <v>659</v>
      </c>
      <c r="AL960" s="111" t="n">
        <v>678</v>
      </c>
      <c r="AM960" s="111" t="n">
        <v>707</v>
      </c>
      <c r="AN960" s="111" t="n">
        <v>521</v>
      </c>
      <c r="AO960" s="104" t="n">
        <v>32.5</v>
      </c>
      <c r="AP960" s="105" t="n">
        <v>1.47</v>
      </c>
      <c r="AQ960" s="105" t="n">
        <v>1.15</v>
      </c>
      <c r="AR960" s="105" t="n">
        <v>1.5</v>
      </c>
      <c r="AS960" s="77" t="n">
        <v>35.05</v>
      </c>
      <c r="AT960" s="78" t="n">
        <v>35</v>
      </c>
      <c r="AU960" s="78" t="n">
        <v>45.3</v>
      </c>
      <c r="AV960" s="78" t="n">
        <v>35.4</v>
      </c>
      <c r="AW960" s="78" t="n">
        <v>46.3</v>
      </c>
      <c r="AX960" s="78"/>
      <c r="AY960" s="48" t="n">
        <v>1.42857142857143</v>
      </c>
      <c r="AZ960" s="48" t="n">
        <v>24.7955273820947</v>
      </c>
      <c r="BA960" s="48" t="n">
        <v>-0.295527382094715</v>
      </c>
      <c r="BB960" s="49" t="n">
        <f aca="false">AT960/V960</f>
        <v>1.42857142857143</v>
      </c>
      <c r="BC960" s="49" t="n">
        <f aca="false">AS960/V960</f>
        <v>1.43061224489796</v>
      </c>
      <c r="BD960" s="49" t="n">
        <f aca="false">SUM(AP960:AR960)/V960</f>
        <v>0.168163265306122</v>
      </c>
      <c r="BE960" s="53" t="n">
        <v>6.72</v>
      </c>
      <c r="BF960" s="51" t="n">
        <v>108.4</v>
      </c>
      <c r="BG960" s="51" t="n">
        <v>680.525830258303</v>
      </c>
      <c r="BH960" s="51" t="n">
        <v>173.053505535055</v>
      </c>
      <c r="BI960" s="51" t="n">
        <v>101.577490774908</v>
      </c>
      <c r="BJ960" s="51" t="n">
        <v>10.6918819188192</v>
      </c>
      <c r="BK960" s="51" t="n">
        <v>14.8062730627306</v>
      </c>
      <c r="BL960" s="51" t="n">
        <v>8.86531365313653</v>
      </c>
      <c r="BM960" s="51" t="n">
        <v>10.8856088560886</v>
      </c>
      <c r="BN960" s="52" t="n">
        <f aca="false">(BG960*0.5-BH960*0.25+BI960*0.5)/SUM(BG960:BI960)*1000</f>
        <v>364.116419899748</v>
      </c>
      <c r="BO960" s="93" t="n">
        <v>1.95</v>
      </c>
      <c r="BP960" s="94" t="s">
        <v>1011</v>
      </c>
      <c r="BQ960" s="55" t="n">
        <v>554.352941176471</v>
      </c>
      <c r="BR960" s="56" t="n">
        <v>22.6266506602641</v>
      </c>
      <c r="BS960" s="56" t="n">
        <v>36.0189298127734</v>
      </c>
      <c r="BT960" s="56" t="n">
        <v>15.8386554621849</v>
      </c>
      <c r="BU960" s="55" t="n">
        <v>15980</v>
      </c>
      <c r="BV960" s="55" t="n">
        <v>653</v>
      </c>
      <c r="BW960" s="55" t="n">
        <v>1117</v>
      </c>
      <c r="BX960" s="55" t="n">
        <v>457</v>
      </c>
      <c r="BY960" s="81" t="n">
        <v>0.1678</v>
      </c>
      <c r="BZ960" s="81" t="n">
        <v>1.28556334646047</v>
      </c>
      <c r="CA960" s="81" t="n">
        <v>3.11</v>
      </c>
      <c r="CB960" s="81"/>
      <c r="CC960" s="81" t="n">
        <v>5.01</v>
      </c>
      <c r="CD960" s="81" t="n">
        <v>7.53</v>
      </c>
      <c r="CE960" s="81" t="n">
        <v>55.47</v>
      </c>
      <c r="CF960" s="81" t="n">
        <v>34.86</v>
      </c>
      <c r="CG960" s="81" t="n">
        <v>0.3662</v>
      </c>
      <c r="CH960" s="63" t="n">
        <v>107610.502633585</v>
      </c>
      <c r="CI960" s="63" t="n">
        <v>3060.04882249231</v>
      </c>
      <c r="CJ960" s="64" t="n">
        <v>438027.166379181</v>
      </c>
      <c r="CK960" s="65" t="n">
        <v>0.698597954046384</v>
      </c>
    </row>
    <row r="961" customFormat="false" ht="15" hidden="false" customHeight="false" outlineLevel="0" collapsed="false">
      <c r="A961" s="7" t="s">
        <v>1006</v>
      </c>
      <c r="B961" s="66" t="n">
        <v>940</v>
      </c>
      <c r="C961" s="8" t="s">
        <v>1053</v>
      </c>
      <c r="D961" s="113" t="n">
        <v>41521</v>
      </c>
      <c r="E961" s="4" t="s">
        <v>1008</v>
      </c>
      <c r="F961" s="7" t="n">
        <v>479</v>
      </c>
      <c r="G961" s="68" t="n">
        <v>2</v>
      </c>
      <c r="H961" s="68" t="n">
        <v>209</v>
      </c>
      <c r="I961" s="7" t="n">
        <v>1</v>
      </c>
      <c r="J961" s="8" t="n">
        <v>539</v>
      </c>
      <c r="K961" s="32" t="n">
        <v>525</v>
      </c>
      <c r="L961" s="32" t="n">
        <v>925</v>
      </c>
      <c r="M961" s="32" t="n">
        <v>158</v>
      </c>
      <c r="N961" s="32" t="n">
        <v>408</v>
      </c>
      <c r="O961" s="33" t="n">
        <v>106.6</v>
      </c>
      <c r="P961" s="33"/>
      <c r="Q961" s="33"/>
      <c r="R961" s="32" t="n">
        <v>154</v>
      </c>
      <c r="S961" s="34" t="s">
        <v>1009</v>
      </c>
      <c r="T961" s="35" t="n">
        <v>10.2</v>
      </c>
      <c r="U961" s="35" t="n">
        <v>8.3</v>
      </c>
      <c r="V961" s="35" t="n">
        <v>18.5</v>
      </c>
      <c r="W961" s="35" t="n">
        <v>17.1</v>
      </c>
      <c r="X961" s="35" t="n">
        <v>2.93</v>
      </c>
      <c r="Y961" s="35" t="n">
        <v>7.55</v>
      </c>
      <c r="Z961" s="35" t="n">
        <v>1.97</v>
      </c>
      <c r="AA961" s="35"/>
      <c r="AB961" s="35"/>
      <c r="AC961" s="71" t="n">
        <v>2.85</v>
      </c>
      <c r="AD961" s="38" t="n">
        <v>6.9</v>
      </c>
      <c r="AE961" s="38" t="n">
        <v>6.05</v>
      </c>
      <c r="AF961" s="38" t="n">
        <v>1.04</v>
      </c>
      <c r="AG961" s="38" t="n">
        <v>3.98</v>
      </c>
      <c r="AH961" s="38"/>
      <c r="AI961" s="38"/>
      <c r="AJ961" s="102" t="s">
        <v>1010</v>
      </c>
      <c r="AK961" s="111" t="n">
        <v>627</v>
      </c>
      <c r="AL961" s="111" t="n">
        <v>646</v>
      </c>
      <c r="AM961" s="111" t="n">
        <v>644</v>
      </c>
      <c r="AN961" s="111" t="n">
        <v>473</v>
      </c>
      <c r="AO961" s="104" t="n">
        <v>29.1</v>
      </c>
      <c r="AP961" s="105" t="n">
        <v>1.2</v>
      </c>
      <c r="AQ961" s="105" t="n">
        <v>1.03</v>
      </c>
      <c r="AR961" s="105" t="n">
        <v>1.35</v>
      </c>
      <c r="AS961" s="77" t="n">
        <v>29.64</v>
      </c>
      <c r="AT961" s="78" t="n">
        <v>29.9</v>
      </c>
      <c r="AU961" s="78" t="n">
        <v>41.2</v>
      </c>
      <c r="AV961" s="78" t="n">
        <v>35.5</v>
      </c>
      <c r="AW961" s="78" t="n">
        <v>46.5</v>
      </c>
      <c r="AX961" s="78"/>
      <c r="AY961" s="48" t="n">
        <v>1.61621621621622</v>
      </c>
      <c r="AZ961" s="48" t="n">
        <v>21.8195596807908</v>
      </c>
      <c r="BA961" s="48" t="n">
        <v>-3.31955968079076</v>
      </c>
      <c r="BB961" s="49" t="n">
        <f aca="false">AT961/V961</f>
        <v>1.61621621621622</v>
      </c>
      <c r="BC961" s="49" t="n">
        <f aca="false">AS961/V961</f>
        <v>1.60216216216216</v>
      </c>
      <c r="BD961" s="49" t="n">
        <f aca="false">SUM(AP961:AR961)/V961</f>
        <v>0.193513513513514</v>
      </c>
      <c r="BE961" s="53" t="n">
        <v>6.85</v>
      </c>
      <c r="BF961" s="51" t="n">
        <v>108.5</v>
      </c>
      <c r="BG961" s="51" t="n">
        <v>685.179723502304</v>
      </c>
      <c r="BH961" s="51" t="n">
        <v>164.138248847926</v>
      </c>
      <c r="BI961" s="51" t="n">
        <v>81.0875576036866</v>
      </c>
      <c r="BJ961" s="51" t="n">
        <v>13.3548387096774</v>
      </c>
      <c r="BK961" s="51" t="n">
        <v>18.3225806451613</v>
      </c>
      <c r="BL961" s="51" t="n">
        <v>23.3364055299539</v>
      </c>
      <c r="BM961" s="51" t="n">
        <v>14.221198156682</v>
      </c>
      <c r="BN961" s="52" t="n">
        <f aca="false">(BG961*0.5-BH961*0.25+BI961*0.5)/SUM(BG961:BI961)*1000</f>
        <v>367.688139555617</v>
      </c>
      <c r="BO961" s="93" t="n">
        <v>3.14</v>
      </c>
      <c r="BP961" s="94" t="s">
        <v>1011</v>
      </c>
      <c r="BQ961" s="55" t="n">
        <v>443.294117647059</v>
      </c>
      <c r="BR961" s="56" t="n">
        <v>23.9618441971383</v>
      </c>
      <c r="BS961" s="56" t="n">
        <v>40.1294622460358</v>
      </c>
      <c r="BT961" s="56" t="n">
        <v>14.8258902223097</v>
      </c>
      <c r="BU961" s="55" t="n">
        <v>12654</v>
      </c>
      <c r="BV961" s="55" t="n">
        <v>684</v>
      </c>
      <c r="BW961" s="55" t="n">
        <v>1239</v>
      </c>
      <c r="BX961" s="55" t="n">
        <v>423</v>
      </c>
      <c r="BY961" s="81" t="n">
        <v>0.1082</v>
      </c>
      <c r="BZ961" s="81" t="n">
        <v>2.17587167419076</v>
      </c>
      <c r="CA961" s="81" t="n">
        <v>2.69</v>
      </c>
      <c r="CB961" s="81"/>
      <c r="CC961" s="81" t="n">
        <v>5.85</v>
      </c>
      <c r="CD961" s="81" t="n">
        <v>7.91</v>
      </c>
      <c r="CE961" s="81" t="n">
        <v>58.07</v>
      </c>
      <c r="CF961" s="81" t="n">
        <v>34.27</v>
      </c>
      <c r="CG961" s="81" t="n">
        <v>0.04</v>
      </c>
      <c r="CH961" s="63" t="n">
        <v>65559.461852071</v>
      </c>
      <c r="CI961" s="63" t="n">
        <v>18061.1168999744</v>
      </c>
      <c r="CJ961" s="64" t="n">
        <v>874671.444542799</v>
      </c>
      <c r="CK961" s="65" t="n">
        <v>2.0649030001677</v>
      </c>
    </row>
    <row r="962" customFormat="false" ht="15" hidden="false" customHeight="false" outlineLevel="0" collapsed="false">
      <c r="A962" s="7" t="s">
        <v>1006</v>
      </c>
      <c r="B962" s="66" t="n">
        <v>941</v>
      </c>
      <c r="C962" s="8" t="s">
        <v>1054</v>
      </c>
      <c r="D962" s="113" t="n">
        <v>41521</v>
      </c>
      <c r="E962" s="4" t="s">
        <v>1008</v>
      </c>
      <c r="F962" s="7" t="n">
        <v>1207</v>
      </c>
      <c r="G962" s="68" t="n">
        <v>2</v>
      </c>
      <c r="H962" s="68" t="n">
        <v>204</v>
      </c>
      <c r="I962" s="7" t="n">
        <v>1</v>
      </c>
      <c r="J962" s="8" t="n">
        <v>588</v>
      </c>
      <c r="K962" s="32" t="n">
        <v>525</v>
      </c>
      <c r="L962" s="32" t="n">
        <v>925</v>
      </c>
      <c r="M962" s="32" t="n">
        <v>158</v>
      </c>
      <c r="N962" s="32" t="n">
        <v>408</v>
      </c>
      <c r="O962" s="33" t="n">
        <v>106.6</v>
      </c>
      <c r="P962" s="33"/>
      <c r="Q962" s="33"/>
      <c r="R962" s="32" t="n">
        <v>154</v>
      </c>
      <c r="S962" s="34" t="s">
        <v>1009</v>
      </c>
      <c r="T962" s="35" t="n">
        <v>9.1</v>
      </c>
      <c r="U962" s="35" t="n">
        <v>7.4</v>
      </c>
      <c r="V962" s="35" t="n">
        <v>16.5</v>
      </c>
      <c r="W962" s="35" t="n">
        <v>15.3</v>
      </c>
      <c r="X962" s="35" t="n">
        <v>2.62</v>
      </c>
      <c r="Y962" s="35" t="n">
        <v>6.75</v>
      </c>
      <c r="Z962" s="35" t="n">
        <v>1.76</v>
      </c>
      <c r="AA962" s="35"/>
      <c r="AB962" s="35"/>
      <c r="AC962" s="71" t="n">
        <v>2.54</v>
      </c>
      <c r="AD962" s="38" t="n">
        <v>5.22</v>
      </c>
      <c r="AE962" s="38" t="n">
        <v>4.51</v>
      </c>
      <c r="AF962" s="38" t="n">
        <v>0.83</v>
      </c>
      <c r="AG962" s="38" t="n">
        <v>2.95</v>
      </c>
      <c r="AH962" s="38"/>
      <c r="AI962" s="38"/>
      <c r="AJ962" s="102" t="s">
        <v>1010</v>
      </c>
      <c r="AK962" s="111" t="n">
        <v>684</v>
      </c>
      <c r="AL962" s="111" t="n">
        <v>705</v>
      </c>
      <c r="AM962" s="111" t="n">
        <v>685</v>
      </c>
      <c r="AN962" s="111" t="n">
        <v>563</v>
      </c>
      <c r="AO962" s="104" t="n">
        <v>21.9</v>
      </c>
      <c r="AP962" s="105" t="n">
        <v>0.89</v>
      </c>
      <c r="AQ962" s="105" t="n">
        <v>0.82</v>
      </c>
      <c r="AR962" s="105" t="n">
        <v>1.08</v>
      </c>
      <c r="AS962" s="77" t="n">
        <v>22.11</v>
      </c>
      <c r="AT962" s="78" t="n">
        <v>23.1</v>
      </c>
      <c r="AU962" s="78" t="n">
        <v>41</v>
      </c>
      <c r="AV962" s="78" t="n">
        <v>37.5</v>
      </c>
      <c r="AW962" s="78" t="n">
        <v>49.5</v>
      </c>
      <c r="AX962" s="78"/>
      <c r="AY962" s="48" t="n">
        <v>1.4</v>
      </c>
      <c r="AZ962" s="48" t="n">
        <v>19.7472767294806</v>
      </c>
      <c r="BA962" s="48" t="n">
        <v>-3.24727672948059</v>
      </c>
      <c r="BB962" s="49" t="n">
        <f aca="false">AT962/V962</f>
        <v>1.4</v>
      </c>
      <c r="BC962" s="49" t="n">
        <f aca="false">AS962/V962</f>
        <v>1.34</v>
      </c>
      <c r="BD962" s="49" t="n">
        <f aca="false">SUM(AP962:AR962)/V962</f>
        <v>0.169090909090909</v>
      </c>
      <c r="BE962" s="53" t="n">
        <v>6.65</v>
      </c>
      <c r="BF962" s="51" t="n">
        <v>129.4</v>
      </c>
      <c r="BG962" s="51" t="n">
        <v>684.536321483771</v>
      </c>
      <c r="BH962" s="51" t="n">
        <v>166.93972179289</v>
      </c>
      <c r="BI962" s="51" t="n">
        <v>76.0123647604328</v>
      </c>
      <c r="BJ962" s="51" t="n">
        <v>13.6476043276662</v>
      </c>
      <c r="BK962" s="51" t="n">
        <v>20</v>
      </c>
      <c r="BL962" s="51" t="n">
        <v>22.2797527047913</v>
      </c>
      <c r="BM962" s="51" t="n">
        <v>16.9165378670788</v>
      </c>
      <c r="BN962" s="52" t="n">
        <f aca="false">(BG962*0.5-BH962*0.25+BI962*0.5)/SUM(BG962:BI962)*1000</f>
        <v>365.006624061591</v>
      </c>
      <c r="BO962" s="93" t="n">
        <v>7.73</v>
      </c>
      <c r="BP962" s="94" t="s">
        <v>1011</v>
      </c>
      <c r="BQ962" s="55" t="n">
        <v>382.117647058824</v>
      </c>
      <c r="BR962" s="56" t="n">
        <v>23.1586452762923</v>
      </c>
      <c r="BS962" s="56" t="n">
        <v>35.4255455484934</v>
      </c>
      <c r="BT962" s="56" t="n">
        <v>16.541889483066</v>
      </c>
      <c r="BU962" s="55" t="n">
        <v>11494</v>
      </c>
      <c r="BV962" s="55" t="n">
        <v>696</v>
      </c>
      <c r="BW962" s="55" t="n">
        <v>1143</v>
      </c>
      <c r="BX962" s="55" t="n">
        <v>498</v>
      </c>
      <c r="BY962" s="81" t="n">
        <v>0.112</v>
      </c>
      <c r="BZ962" s="81" t="n">
        <v>0.832292767265392</v>
      </c>
      <c r="CA962" s="81" t="n">
        <v>3.21</v>
      </c>
      <c r="CB962" s="81"/>
      <c r="CC962" s="81" t="n">
        <v>5.27</v>
      </c>
      <c r="CD962" s="81" t="n">
        <v>6.93</v>
      </c>
      <c r="CE962" s="81" t="n">
        <v>60.2</v>
      </c>
      <c r="CF962" s="81" t="n">
        <v>31.16</v>
      </c>
      <c r="CG962" s="81" t="n">
        <v>0.0092</v>
      </c>
      <c r="CH962" s="63" t="n">
        <v>33776.5815058604</v>
      </c>
      <c r="CI962" s="63" t="n">
        <v>15104.9080857399</v>
      </c>
      <c r="CJ962" s="64" t="n">
        <v>1016633.57950829</v>
      </c>
      <c r="CK962" s="65" t="n">
        <v>1.48577701840673</v>
      </c>
    </row>
    <row r="963" customFormat="false" ht="15" hidden="false" customHeight="false" outlineLevel="0" collapsed="false">
      <c r="A963" s="7" t="s">
        <v>1006</v>
      </c>
      <c r="B963" s="66" t="n">
        <v>942</v>
      </c>
      <c r="C963" s="8" t="s">
        <v>1055</v>
      </c>
      <c r="D963" s="113" t="n">
        <v>41521</v>
      </c>
      <c r="E963" s="4" t="s">
        <v>1008</v>
      </c>
      <c r="F963" s="7" t="n">
        <v>1026</v>
      </c>
      <c r="G963" s="68" t="n">
        <v>2</v>
      </c>
      <c r="H963" s="68" t="n">
        <v>191</v>
      </c>
      <c r="I963" s="7" t="n">
        <v>1</v>
      </c>
      <c r="J963" s="8" t="n">
        <v>580</v>
      </c>
      <c r="K963" s="32" t="n">
        <v>525</v>
      </c>
      <c r="L963" s="32" t="n">
        <v>925</v>
      </c>
      <c r="M963" s="32" t="n">
        <v>158</v>
      </c>
      <c r="N963" s="32" t="n">
        <v>408</v>
      </c>
      <c r="O963" s="33" t="n">
        <v>106.6</v>
      </c>
      <c r="P963" s="33"/>
      <c r="Q963" s="33"/>
      <c r="R963" s="32" t="n">
        <v>154</v>
      </c>
      <c r="S963" s="34" t="s">
        <v>1009</v>
      </c>
      <c r="T963" s="35" t="n">
        <v>11.5</v>
      </c>
      <c r="U963" s="35" t="n">
        <v>9.4</v>
      </c>
      <c r="V963" s="35" t="n">
        <v>20.9</v>
      </c>
      <c r="W963" s="35" t="n">
        <v>19.3</v>
      </c>
      <c r="X963" s="35" t="n">
        <v>3.31</v>
      </c>
      <c r="Y963" s="35" t="n">
        <v>8.54</v>
      </c>
      <c r="Z963" s="35" t="n">
        <v>2.23</v>
      </c>
      <c r="AA963" s="35"/>
      <c r="AB963" s="35"/>
      <c r="AC963" s="71" t="n">
        <v>3.22</v>
      </c>
      <c r="AD963" s="38" t="n">
        <v>7.36</v>
      </c>
      <c r="AE963" s="38" t="n">
        <v>6.41</v>
      </c>
      <c r="AF963" s="38" t="n">
        <v>1.12</v>
      </c>
      <c r="AG963" s="38" t="n">
        <v>4.16</v>
      </c>
      <c r="AH963" s="38"/>
      <c r="AI963" s="38"/>
      <c r="AJ963" s="102" t="s">
        <v>1010</v>
      </c>
      <c r="AK963" s="111" t="n">
        <v>648</v>
      </c>
      <c r="AL963" s="111" t="n">
        <v>668</v>
      </c>
      <c r="AM963" s="111" t="n">
        <v>662</v>
      </c>
      <c r="AN963" s="111" t="n">
        <v>513</v>
      </c>
      <c r="AO963" s="104" t="n">
        <v>25.7</v>
      </c>
      <c r="AP963" s="105" t="n">
        <v>1.16</v>
      </c>
      <c r="AQ963" s="105" t="n">
        <v>0.96</v>
      </c>
      <c r="AR963" s="105" t="n">
        <v>1.26</v>
      </c>
      <c r="AS963" s="77" t="n">
        <v>27.68</v>
      </c>
      <c r="AT963" s="78" t="n">
        <v>28.3</v>
      </c>
      <c r="AU963" s="78" t="n">
        <v>45.1</v>
      </c>
      <c r="AV963" s="78" t="n">
        <v>37.2</v>
      </c>
      <c r="AW963" s="78" t="n">
        <v>49</v>
      </c>
      <c r="AX963" s="78"/>
      <c r="AY963" s="48" t="n">
        <v>1.35406698564593</v>
      </c>
      <c r="AZ963" s="48" t="n">
        <v>21.6804814871463</v>
      </c>
      <c r="BA963" s="48" t="n">
        <v>-0.780481487146293</v>
      </c>
      <c r="BB963" s="49" t="n">
        <f aca="false">AT963/V963</f>
        <v>1.35406698564593</v>
      </c>
      <c r="BC963" s="49" t="n">
        <f aca="false">AS963/V963</f>
        <v>1.3244019138756</v>
      </c>
      <c r="BD963" s="49" t="n">
        <f aca="false">SUM(AP963:AR963)/V963</f>
        <v>0.161722488038278</v>
      </c>
      <c r="BE963" s="53" t="n">
        <v>6.23</v>
      </c>
      <c r="BF963" s="51" t="n">
        <v>134.5</v>
      </c>
      <c r="BG963" s="51" t="n">
        <v>681.174721189591</v>
      </c>
      <c r="BH963" s="51" t="n">
        <v>164.14126394052</v>
      </c>
      <c r="BI963" s="51" t="n">
        <v>74.5501858736059</v>
      </c>
      <c r="BJ963" s="51" t="n">
        <v>12.4163568773234</v>
      </c>
      <c r="BK963" s="51" t="n">
        <v>21.3828996282528</v>
      </c>
      <c r="BL963" s="51" t="n">
        <v>26.3048327137546</v>
      </c>
      <c r="BM963" s="51" t="n">
        <v>19.7174721189591</v>
      </c>
      <c r="BN963" s="52" t="n">
        <f aca="false">(BG963*0.5-BH963*0.25+BI963*0.5)/SUM(BG963:BI963)*1000</f>
        <v>366.169719209195</v>
      </c>
      <c r="BO963" s="93" t="n">
        <v>8.08</v>
      </c>
      <c r="BP963" s="94" t="s">
        <v>1011</v>
      </c>
      <c r="BQ963" s="55" t="n">
        <v>462.117647058824</v>
      </c>
      <c r="BR963" s="56" t="n">
        <v>22.1108922037715</v>
      </c>
      <c r="BS963" s="56" t="n">
        <v>35.8441909232434</v>
      </c>
      <c r="BT963" s="56" t="n">
        <v>16.3292454791104</v>
      </c>
      <c r="BU963" s="55" t="n">
        <v>13365</v>
      </c>
      <c r="BV963" s="55" t="n">
        <v>639</v>
      </c>
      <c r="BW963" s="55" t="n">
        <v>1115</v>
      </c>
      <c r="BX963" s="55" t="n">
        <v>473</v>
      </c>
      <c r="BY963" s="81" t="n">
        <v>0.108</v>
      </c>
      <c r="BZ963" s="81" t="n">
        <v>1.48765728556335</v>
      </c>
      <c r="CA963" s="81" t="n">
        <v>2.72</v>
      </c>
      <c r="CB963" s="81"/>
      <c r="CC963" s="81" t="n">
        <v>4.78</v>
      </c>
      <c r="CD963" s="81" t="n">
        <v>5.08</v>
      </c>
      <c r="CE963" s="81" t="n">
        <v>60.46</v>
      </c>
      <c r="CF963" s="81" t="n">
        <v>32.32</v>
      </c>
      <c r="CG963" s="81" t="n">
        <v>0.0602</v>
      </c>
      <c r="CH963" s="63" t="n">
        <v>32844.277483517</v>
      </c>
      <c r="CI963" s="63" t="n">
        <v>23956.8791824917</v>
      </c>
      <c r="CJ963" s="64" t="n">
        <v>929436.086361267</v>
      </c>
      <c r="CK963" s="65" t="n">
        <v>2.57757144725063</v>
      </c>
    </row>
    <row r="964" customFormat="false" ht="15" hidden="false" customHeight="false" outlineLevel="0" collapsed="false">
      <c r="A964" s="7" t="s">
        <v>1006</v>
      </c>
      <c r="B964" s="66" t="n">
        <v>943</v>
      </c>
      <c r="C964" s="8" t="s">
        <v>1056</v>
      </c>
      <c r="D964" s="113" t="n">
        <v>41528</v>
      </c>
      <c r="E964" s="4" t="s">
        <v>1008</v>
      </c>
      <c r="F964" s="7" t="n">
        <v>3393</v>
      </c>
      <c r="G964" s="68" t="n">
        <v>2</v>
      </c>
      <c r="H964" s="68" t="n">
        <v>125</v>
      </c>
      <c r="I964" s="7" t="n">
        <v>3</v>
      </c>
      <c r="J964" s="8" t="n">
        <v>700</v>
      </c>
      <c r="K964" s="32" t="n">
        <v>526</v>
      </c>
      <c r="L964" s="32" t="n">
        <v>925</v>
      </c>
      <c r="M964" s="32" t="n">
        <v>157</v>
      </c>
      <c r="N964" s="32" t="n">
        <v>416</v>
      </c>
      <c r="O964" s="33" t="n">
        <v>104.8</v>
      </c>
      <c r="P964" s="33"/>
      <c r="Q964" s="33"/>
      <c r="R964" s="32" t="n">
        <v>154</v>
      </c>
      <c r="S964" s="34" t="s">
        <v>1009</v>
      </c>
      <c r="T964" s="35" t="n">
        <v>15.5</v>
      </c>
      <c r="U964" s="35" t="n">
        <v>12.7</v>
      </c>
      <c r="V964" s="35" t="n">
        <v>28.1</v>
      </c>
      <c r="W964" s="35" t="n">
        <v>26</v>
      </c>
      <c r="X964" s="35" t="n">
        <v>4.42</v>
      </c>
      <c r="Y964" s="35" t="n">
        <v>11.7</v>
      </c>
      <c r="Z964" s="35" t="n">
        <v>2.95</v>
      </c>
      <c r="AA964" s="35"/>
      <c r="AB964" s="35"/>
      <c r="AC964" s="71" t="n">
        <v>4.33</v>
      </c>
      <c r="AD964" s="38" t="n">
        <v>10.06</v>
      </c>
      <c r="AE964" s="38" t="n">
        <v>8.83</v>
      </c>
      <c r="AF964" s="38" t="n">
        <v>1.39</v>
      </c>
      <c r="AG964" s="38" t="n">
        <v>5.87</v>
      </c>
      <c r="AH964" s="38"/>
      <c r="AI964" s="38"/>
      <c r="AJ964" s="102" t="s">
        <v>1010</v>
      </c>
      <c r="AK964" s="111" t="n">
        <v>642</v>
      </c>
      <c r="AL964" s="111" t="n">
        <v>661</v>
      </c>
      <c r="AM964" s="111" t="n">
        <v>684</v>
      </c>
      <c r="AN964" s="111" t="n">
        <v>498</v>
      </c>
      <c r="AO964" s="104" t="n">
        <v>36.7</v>
      </c>
      <c r="AP964" s="105" t="n">
        <v>1.46</v>
      </c>
      <c r="AQ964" s="105" t="n">
        <v>1.27</v>
      </c>
      <c r="AR964" s="105" t="n">
        <v>1.66</v>
      </c>
      <c r="AS964" s="77" t="n">
        <v>36.58</v>
      </c>
      <c r="AT964" s="78" t="n">
        <v>36.6</v>
      </c>
      <c r="AU964" s="78" t="n">
        <v>40</v>
      </c>
      <c r="AV964" s="78" t="n">
        <v>34.6</v>
      </c>
      <c r="AW964" s="78" t="n">
        <v>45.2</v>
      </c>
      <c r="AX964" s="78"/>
      <c r="AY964" s="48" t="n">
        <v>1.30249110320285</v>
      </c>
      <c r="AZ964" s="48" t="n">
        <v>26.3518529447143</v>
      </c>
      <c r="BA964" s="48" t="n">
        <v>1.74814705528569</v>
      </c>
      <c r="BB964" s="49" t="n">
        <f aca="false">AT964/V964</f>
        <v>1.30249110320285</v>
      </c>
      <c r="BC964" s="49" t="n">
        <f aca="false">AS964/V964</f>
        <v>1.3017793594306</v>
      </c>
      <c r="BD964" s="49" t="n">
        <f aca="false">SUM(AP964:AR964)/V964</f>
        <v>0.156227758007117</v>
      </c>
      <c r="BE964" s="53" t="n">
        <v>6.92</v>
      </c>
      <c r="BF964" s="51" t="n">
        <v>94.9</v>
      </c>
      <c r="BG964" s="51" t="n">
        <v>681.612223393045</v>
      </c>
      <c r="BH964" s="51" t="n">
        <v>151.169652265543</v>
      </c>
      <c r="BI964" s="51" t="n">
        <v>114.288724973656</v>
      </c>
      <c r="BJ964" s="51" t="n">
        <v>13.3192834562698</v>
      </c>
      <c r="BK964" s="51" t="n">
        <v>14.3097997892518</v>
      </c>
      <c r="BL964" s="51" t="n">
        <v>14.6996838777661</v>
      </c>
      <c r="BM964" s="51" t="n">
        <v>10.4847207586934</v>
      </c>
      <c r="BN964" s="52" t="n">
        <f aca="false">(BG964*0.5-BH964*0.25+BI964*0.5)/SUM(BG964:BI964)*1000</f>
        <v>380.286391401582</v>
      </c>
      <c r="BO964" s="93" t="n">
        <v>2.42</v>
      </c>
      <c r="BP964" s="94" t="s">
        <v>1011</v>
      </c>
      <c r="BQ964" s="55" t="n">
        <v>603.294117647059</v>
      </c>
      <c r="BR964" s="56" t="n">
        <v>21.4695415532761</v>
      </c>
      <c r="BS964" s="56" t="n">
        <v>35.1038122685359</v>
      </c>
      <c r="BT964" s="56" t="n">
        <v>16.4834458373513</v>
      </c>
      <c r="BU964" s="55" t="n">
        <v>17647</v>
      </c>
      <c r="BV964" s="55" t="n">
        <v>628</v>
      </c>
      <c r="BW964" s="55" t="n">
        <v>1106</v>
      </c>
      <c r="BX964" s="55" t="n">
        <v>482</v>
      </c>
      <c r="BY964" s="81" t="n">
        <v>0.1208</v>
      </c>
      <c r="BZ964" s="81" t="n">
        <v>1.2788396887907</v>
      </c>
      <c r="CA964" s="81" t="n">
        <v>3.02</v>
      </c>
      <c r="CB964" s="81"/>
      <c r="CC964" s="81" t="n">
        <v>5.25</v>
      </c>
      <c r="CD964" s="81" t="n">
        <v>7.63</v>
      </c>
      <c r="CE964" s="81" t="n">
        <v>58.89</v>
      </c>
      <c r="CF964" s="81" t="n">
        <v>32.21</v>
      </c>
      <c r="CG964" s="81" t="n">
        <v>0.05</v>
      </c>
      <c r="CH964" s="63" t="n">
        <v>68139.3075692773</v>
      </c>
      <c r="CI964" s="63" t="n">
        <v>11123.4099595044</v>
      </c>
      <c r="CJ964" s="64" t="n">
        <v>637194.361269655</v>
      </c>
      <c r="CK964" s="65" t="n">
        <v>1.74568556089232</v>
      </c>
    </row>
    <row r="965" customFormat="false" ht="15" hidden="false" customHeight="false" outlineLevel="0" collapsed="false">
      <c r="A965" s="7" t="s">
        <v>1006</v>
      </c>
      <c r="B965" s="66" t="n">
        <v>944</v>
      </c>
      <c r="C965" s="8" t="s">
        <v>1057</v>
      </c>
      <c r="D965" s="113" t="n">
        <v>41528</v>
      </c>
      <c r="E965" s="4" t="s">
        <v>1008</v>
      </c>
      <c r="F965" s="7" t="n">
        <v>3405</v>
      </c>
      <c r="G965" s="68" t="n">
        <v>2</v>
      </c>
      <c r="H965" s="68" t="n">
        <v>115</v>
      </c>
      <c r="I965" s="7" t="n">
        <v>3</v>
      </c>
      <c r="J965" s="8" t="n">
        <v>558</v>
      </c>
      <c r="K965" s="32" t="n">
        <v>526</v>
      </c>
      <c r="L965" s="32" t="n">
        <v>925</v>
      </c>
      <c r="M965" s="32" t="n">
        <v>157</v>
      </c>
      <c r="N965" s="32" t="n">
        <v>416</v>
      </c>
      <c r="O965" s="33" t="n">
        <v>104.8</v>
      </c>
      <c r="P965" s="33"/>
      <c r="Q965" s="33"/>
      <c r="R965" s="32" t="n">
        <v>154</v>
      </c>
      <c r="S965" s="34" t="s">
        <v>1009</v>
      </c>
      <c r="T965" s="35" t="n">
        <v>11.6</v>
      </c>
      <c r="U965" s="35" t="n">
        <v>9.5</v>
      </c>
      <c r="V965" s="35" t="n">
        <v>21.1</v>
      </c>
      <c r="W965" s="35" t="n">
        <v>19.6</v>
      </c>
      <c r="X965" s="35" t="n">
        <v>3.32</v>
      </c>
      <c r="Y965" s="35" t="n">
        <v>8.8</v>
      </c>
      <c r="Z965" s="35" t="n">
        <v>2.22</v>
      </c>
      <c r="AA965" s="35"/>
      <c r="AB965" s="35"/>
      <c r="AC965" s="71" t="n">
        <v>3.26</v>
      </c>
      <c r="AD965" s="38" t="n">
        <v>7.27</v>
      </c>
      <c r="AE965" s="38" t="n">
        <v>6.39</v>
      </c>
      <c r="AF965" s="38" t="n">
        <v>0.99</v>
      </c>
      <c r="AG965" s="38" t="n">
        <v>4.3</v>
      </c>
      <c r="AH965" s="38"/>
      <c r="AI965" s="38"/>
      <c r="AJ965" s="102" t="s">
        <v>1010</v>
      </c>
      <c r="AK965" s="111" t="n">
        <v>656</v>
      </c>
      <c r="AL965" s="111" t="n">
        <v>674</v>
      </c>
      <c r="AM965" s="111" t="n">
        <v>701</v>
      </c>
      <c r="AN965" s="111" t="n">
        <v>511</v>
      </c>
      <c r="AO965" s="104" t="n">
        <v>30.7</v>
      </c>
      <c r="AP965" s="105" t="n">
        <v>1.44</v>
      </c>
      <c r="AQ965" s="105" t="n">
        <v>1.08</v>
      </c>
      <c r="AR965" s="105" t="n">
        <v>1.42</v>
      </c>
      <c r="AS965" s="77" t="n">
        <v>33.88</v>
      </c>
      <c r="AT965" s="78" t="n">
        <v>33.4</v>
      </c>
      <c r="AU965" s="78" t="n">
        <v>46.4</v>
      </c>
      <c r="AV965" s="78" t="n">
        <v>35.4</v>
      </c>
      <c r="AW965" s="78" t="n">
        <v>46.2</v>
      </c>
      <c r="AX965" s="78"/>
      <c r="AY965" s="48" t="n">
        <v>1.58293838862559</v>
      </c>
      <c r="AZ965" s="48" t="n">
        <v>23.2166599559814</v>
      </c>
      <c r="BA965" s="48" t="n">
        <v>-2.11665995598142</v>
      </c>
      <c r="BB965" s="49" t="n">
        <f aca="false">AT965/V965</f>
        <v>1.58293838862559</v>
      </c>
      <c r="BC965" s="49" t="n">
        <f aca="false">AS965/V965</f>
        <v>1.60568720379147</v>
      </c>
      <c r="BD965" s="49" t="n">
        <f aca="false">SUM(AP965:AR965)/V965</f>
        <v>0.186729857819905</v>
      </c>
      <c r="BE965" s="53" t="n">
        <v>6.84</v>
      </c>
      <c r="BF965" s="51" t="n">
        <v>104.2</v>
      </c>
      <c r="BG965" s="51" t="n">
        <v>678.771593090211</v>
      </c>
      <c r="BH965" s="51" t="n">
        <v>163.723608445298</v>
      </c>
      <c r="BI965" s="51" t="n">
        <v>101.669865642994</v>
      </c>
      <c r="BJ965" s="51" t="n">
        <v>13.2245681381958</v>
      </c>
      <c r="BK965" s="51" t="n">
        <v>11.1804222648752</v>
      </c>
      <c r="BL965" s="51" t="n">
        <v>15.9980806142035</v>
      </c>
      <c r="BM965" s="51" t="n">
        <v>15.7389635316699</v>
      </c>
      <c r="BN965" s="52" t="n">
        <f aca="false">(BG965*0.5-BH965*0.25+BI965*0.5)/SUM(BG965:BI965)*1000</f>
        <v>369.945721778374</v>
      </c>
      <c r="BO965" s="93" t="n">
        <v>5.05</v>
      </c>
      <c r="BP965" s="94" t="s">
        <v>1011</v>
      </c>
      <c r="BQ965" s="55" t="n">
        <v>458.352941176471</v>
      </c>
      <c r="BR965" s="56" t="n">
        <v>21.7228882074157</v>
      </c>
      <c r="BS965" s="56" t="n">
        <v>34.6963711300544</v>
      </c>
      <c r="BT965" s="56" t="n">
        <v>13.7231419513913</v>
      </c>
      <c r="BU965" s="55" t="n">
        <v>13224</v>
      </c>
      <c r="BV965" s="55" t="n">
        <v>625</v>
      </c>
      <c r="BW965" s="55" t="n">
        <v>1075</v>
      </c>
      <c r="BX965" s="55" t="n">
        <v>396</v>
      </c>
      <c r="BY965" s="81" t="n">
        <v>0.1653</v>
      </c>
      <c r="BZ965" s="81" t="n">
        <v>1.98991451349534</v>
      </c>
      <c r="CA965" s="81" t="n">
        <v>2.51</v>
      </c>
      <c r="CB965" s="81"/>
      <c r="CC965" s="81" t="n">
        <v>4.52</v>
      </c>
      <c r="CD965" s="81" t="n">
        <v>7.49</v>
      </c>
      <c r="CE965" s="81" t="n">
        <v>57.95</v>
      </c>
      <c r="CF965" s="81" t="n">
        <v>33.73</v>
      </c>
      <c r="CG965" s="81" t="n">
        <v>0.0296</v>
      </c>
      <c r="CH965" s="63" t="n">
        <v>106503.363269675</v>
      </c>
      <c r="CI965" s="63" t="n">
        <v>10371.6694323548</v>
      </c>
      <c r="CJ965" s="64" t="n">
        <v>464653.479279592</v>
      </c>
      <c r="CK965" s="65" t="n">
        <v>2.23212994088311</v>
      </c>
    </row>
    <row r="966" customFormat="false" ht="15" hidden="false" customHeight="false" outlineLevel="0" collapsed="false">
      <c r="A966" s="7" t="s">
        <v>1006</v>
      </c>
      <c r="B966" s="66" t="n">
        <v>945</v>
      </c>
      <c r="C966" s="8" t="s">
        <v>1058</v>
      </c>
      <c r="D966" s="113" t="n">
        <v>41528</v>
      </c>
      <c r="E966" s="4" t="s">
        <v>1008</v>
      </c>
      <c r="F966" s="7" t="n">
        <v>3343</v>
      </c>
      <c r="G966" s="68" t="n">
        <v>2</v>
      </c>
      <c r="H966" s="68" t="n">
        <v>115</v>
      </c>
      <c r="I966" s="7" t="n">
        <v>4</v>
      </c>
      <c r="J966" s="8" t="n">
        <v>675</v>
      </c>
      <c r="K966" s="32" t="n">
        <v>526</v>
      </c>
      <c r="L966" s="32" t="n">
        <v>925</v>
      </c>
      <c r="M966" s="32" t="n">
        <v>157</v>
      </c>
      <c r="N966" s="32" t="n">
        <v>416</v>
      </c>
      <c r="O966" s="33" t="n">
        <v>104.8</v>
      </c>
      <c r="P966" s="33"/>
      <c r="Q966" s="33"/>
      <c r="R966" s="32" t="n">
        <v>154</v>
      </c>
      <c r="S966" s="34" t="s">
        <v>1009</v>
      </c>
      <c r="T966" s="35" t="n">
        <v>16</v>
      </c>
      <c r="U966" s="35" t="n">
        <v>13.1</v>
      </c>
      <c r="V966" s="35" t="n">
        <v>29.1</v>
      </c>
      <c r="W966" s="35" t="n">
        <v>26.9</v>
      </c>
      <c r="X966" s="35" t="n">
        <v>4.57</v>
      </c>
      <c r="Y966" s="35" t="n">
        <v>12.09</v>
      </c>
      <c r="Z966" s="35" t="n">
        <v>3.04</v>
      </c>
      <c r="AA966" s="35"/>
      <c r="AB966" s="35"/>
      <c r="AC966" s="71" t="n">
        <v>4.47</v>
      </c>
      <c r="AD966" s="38" t="n">
        <v>10.35</v>
      </c>
      <c r="AE966" s="38" t="n">
        <v>9.1</v>
      </c>
      <c r="AF966" s="38" t="n">
        <v>1.49</v>
      </c>
      <c r="AG966" s="38" t="n">
        <v>6.18</v>
      </c>
      <c r="AH966" s="38"/>
      <c r="AI966" s="38"/>
      <c r="AJ966" s="102" t="s">
        <v>1010</v>
      </c>
      <c r="AK966" s="111" t="n">
        <v>644</v>
      </c>
      <c r="AL966" s="111" t="n">
        <v>661</v>
      </c>
      <c r="AM966" s="111" t="n">
        <v>674</v>
      </c>
      <c r="AN966" s="111" t="n">
        <v>489</v>
      </c>
      <c r="AO966" s="104" t="n">
        <v>39.4</v>
      </c>
      <c r="AP966" s="105" t="n">
        <v>1.79</v>
      </c>
      <c r="AQ966" s="105" t="n">
        <v>1.35</v>
      </c>
      <c r="AR966" s="105" t="n">
        <v>1.77</v>
      </c>
      <c r="AS966" s="77" t="n">
        <v>42.61</v>
      </c>
      <c r="AT966" s="78" t="n">
        <v>41.9</v>
      </c>
      <c r="AU966" s="78" t="n">
        <v>45.6</v>
      </c>
      <c r="AV966" s="78" t="n">
        <v>34.4</v>
      </c>
      <c r="AW966" s="78" t="n">
        <v>44.9</v>
      </c>
      <c r="AX966" s="78"/>
      <c r="AY966" s="48" t="n">
        <v>1.43986254295533</v>
      </c>
      <c r="AZ966" s="48" t="n">
        <v>28.0652251466921</v>
      </c>
      <c r="BA966" s="48" t="n">
        <v>1.03477485330786</v>
      </c>
      <c r="BB966" s="49" t="n">
        <f aca="false">AT966/V966</f>
        <v>1.43986254295533</v>
      </c>
      <c r="BC966" s="49" t="n">
        <f aca="false">AS966/V966</f>
        <v>1.46426116838488</v>
      </c>
      <c r="BD966" s="49" t="n">
        <f aca="false">SUM(AP966:AR966)/V966</f>
        <v>0.16872852233677</v>
      </c>
      <c r="BE966" s="53" t="n">
        <v>6.73</v>
      </c>
      <c r="BF966" s="51" t="n">
        <v>116.1</v>
      </c>
      <c r="BG966" s="51" t="n">
        <v>686.640826873385</v>
      </c>
      <c r="BH966" s="51" t="n">
        <v>158.656330749354</v>
      </c>
      <c r="BI966" s="51" t="n">
        <v>106.399655469423</v>
      </c>
      <c r="BJ966" s="51" t="n">
        <v>11.7054263565891</v>
      </c>
      <c r="BK966" s="51" t="n">
        <v>13.8759689922481</v>
      </c>
      <c r="BL966" s="51" t="n">
        <v>14.0568475452196</v>
      </c>
      <c r="BM966" s="51" t="n">
        <v>8.8458225667528</v>
      </c>
      <c r="BN966" s="52" t="n">
        <f aca="false">(BG966*0.5-BH966*0.25+BI966*0.5)/SUM(BG966:BI966)*1000</f>
        <v>374.968323498534</v>
      </c>
      <c r="BO966" s="93" t="n">
        <v>3.32</v>
      </c>
      <c r="BP966" s="94" t="s">
        <v>1011</v>
      </c>
      <c r="BQ966" s="55" t="n">
        <v>580.705882352941</v>
      </c>
      <c r="BR966" s="56" t="n">
        <v>19.9555286031939</v>
      </c>
      <c r="BS966" s="56" t="n">
        <v>32.6589701507202</v>
      </c>
      <c r="BT966" s="56" t="n">
        <v>13.8593289344377</v>
      </c>
      <c r="BU966" s="55" t="n">
        <v>16669</v>
      </c>
      <c r="BV966" s="55" t="n">
        <v>574</v>
      </c>
      <c r="BW966" s="55" t="n">
        <v>1008</v>
      </c>
      <c r="BX966" s="55" t="n">
        <v>398</v>
      </c>
      <c r="BY966" s="81" t="n">
        <v>0.127</v>
      </c>
      <c r="BZ966" s="81" t="n">
        <v>1.38459321871098</v>
      </c>
      <c r="CA966" s="81" t="n">
        <v>2.63</v>
      </c>
      <c r="CB966" s="81"/>
      <c r="CC966" s="81" t="n">
        <v>6.04</v>
      </c>
      <c r="CD966" s="81" t="n">
        <v>7.01</v>
      </c>
      <c r="CE966" s="81" t="n">
        <v>60.67</v>
      </c>
      <c r="CF966" s="81" t="n">
        <v>34.1</v>
      </c>
      <c r="CG966" s="81" t="n">
        <v>0.0602</v>
      </c>
      <c r="CH966" s="63" t="n">
        <v>82138.5001243001</v>
      </c>
      <c r="CI966" s="63" t="n">
        <v>3571.9732184799</v>
      </c>
      <c r="CJ966" s="64" t="n">
        <v>693052.904106257</v>
      </c>
      <c r="CK966" s="65" t="n">
        <v>0.515396905101526</v>
      </c>
    </row>
    <row r="967" customFormat="false" ht="15" hidden="false" customHeight="false" outlineLevel="0" collapsed="false">
      <c r="A967" s="7" t="s">
        <v>1006</v>
      </c>
      <c r="B967" s="66" t="n">
        <v>946</v>
      </c>
      <c r="C967" s="8" t="s">
        <v>1059</v>
      </c>
      <c r="D967" s="113" t="n">
        <v>41535</v>
      </c>
      <c r="E967" s="4" t="s">
        <v>1008</v>
      </c>
      <c r="F967" s="7" t="n">
        <v>294</v>
      </c>
      <c r="G967" s="68" t="n">
        <v>2</v>
      </c>
      <c r="H967" s="68" t="n">
        <v>114</v>
      </c>
      <c r="I967" s="7" t="n">
        <v>3</v>
      </c>
      <c r="J967" s="8" t="n">
        <v>654</v>
      </c>
      <c r="K967" s="32" t="n">
        <v>532</v>
      </c>
      <c r="L967" s="32" t="n">
        <v>925</v>
      </c>
      <c r="M967" s="32" t="n">
        <v>156</v>
      </c>
      <c r="N967" s="32" t="n">
        <v>403</v>
      </c>
      <c r="O967" s="33" t="n">
        <v>94.7</v>
      </c>
      <c r="P967" s="33"/>
      <c r="Q967" s="33"/>
      <c r="R967" s="32" t="n">
        <v>154</v>
      </c>
      <c r="S967" s="34" t="s">
        <v>1009</v>
      </c>
      <c r="T967" s="35" t="n">
        <v>13.9</v>
      </c>
      <c r="U967" s="35" t="n">
        <v>11.4</v>
      </c>
      <c r="V967" s="35" t="n">
        <v>25.3</v>
      </c>
      <c r="W967" s="35" t="n">
        <v>23.4</v>
      </c>
      <c r="X967" s="35" t="n">
        <v>3.93</v>
      </c>
      <c r="Y967" s="35" t="n">
        <v>10.18</v>
      </c>
      <c r="Z967" s="35" t="n">
        <v>2.39</v>
      </c>
      <c r="AA967" s="35"/>
      <c r="AB967" s="35"/>
      <c r="AC967" s="71" t="n">
        <v>3.89</v>
      </c>
      <c r="AD967" s="38" t="n">
        <v>7.51</v>
      </c>
      <c r="AE967" s="38" t="n">
        <v>6.59</v>
      </c>
      <c r="AF967" s="38" t="n">
        <v>1.08</v>
      </c>
      <c r="AG967" s="38" t="n">
        <v>4.02</v>
      </c>
      <c r="AH967" s="38"/>
      <c r="AI967" s="38"/>
      <c r="AJ967" s="102" t="s">
        <v>1010</v>
      </c>
      <c r="AK967" s="111" t="n">
        <v>703</v>
      </c>
      <c r="AL967" s="111" t="n">
        <v>718</v>
      </c>
      <c r="AM967" s="111" t="n">
        <v>727</v>
      </c>
      <c r="AN967" s="111" t="n">
        <v>605</v>
      </c>
      <c r="AO967" s="104" t="n">
        <v>33.5</v>
      </c>
      <c r="AP967" s="105" t="n">
        <v>1.56</v>
      </c>
      <c r="AQ967" s="105" t="n">
        <v>1.17</v>
      </c>
      <c r="AR967" s="105" t="n">
        <v>1.53</v>
      </c>
      <c r="AS967" s="77" t="n">
        <v>36.8</v>
      </c>
      <c r="AT967" s="78" t="n">
        <v>36.2</v>
      </c>
      <c r="AU967" s="78" t="n">
        <v>46.3</v>
      </c>
      <c r="AV967" s="78" t="n">
        <v>35</v>
      </c>
      <c r="AW967" s="78" t="n">
        <v>45.6</v>
      </c>
      <c r="AX967" s="78"/>
      <c r="AY967" s="48" t="n">
        <v>1.43083003952569</v>
      </c>
      <c r="AZ967" s="48" t="n">
        <v>25.6401631847261</v>
      </c>
      <c r="BA967" s="48" t="n">
        <v>-0.340163184726066</v>
      </c>
      <c r="BB967" s="49" t="n">
        <f aca="false">AT967/V967</f>
        <v>1.43083003952569</v>
      </c>
      <c r="BC967" s="49" t="n">
        <f aca="false">AS967/V967</f>
        <v>1.45454545454545</v>
      </c>
      <c r="BD967" s="49" t="n">
        <f aca="false">SUM(AP967:AR967)/V967</f>
        <v>0.168379446640316</v>
      </c>
      <c r="BE967" s="53" t="n">
        <v>6.59</v>
      </c>
      <c r="BF967" s="51" t="n">
        <v>141.1</v>
      </c>
      <c r="BG967" s="51" t="n">
        <v>653.061658398299</v>
      </c>
      <c r="BH967" s="51" t="n">
        <v>175.428773919206</v>
      </c>
      <c r="BI967" s="51" t="n">
        <v>109.858256555634</v>
      </c>
      <c r="BJ967" s="51" t="n">
        <v>11.6300496102055</v>
      </c>
      <c r="BK967" s="51" t="n">
        <v>18.3203401842665</v>
      </c>
      <c r="BL967" s="51" t="n">
        <v>15.8894401133948</v>
      </c>
      <c r="BM967" s="51" t="n">
        <v>16.0595322466336</v>
      </c>
      <c r="BN967" s="52" t="n">
        <f aca="false">(BG967*0.5-BH967*0.25+BI967*0.5)/SUM(BG967:BI967)*1000</f>
        <v>359.783914018776</v>
      </c>
      <c r="BO967" s="93" t="n">
        <v>11.92</v>
      </c>
      <c r="BP967" s="94" t="s">
        <v>1011</v>
      </c>
      <c r="BQ967" s="55" t="n">
        <v>525.176470588235</v>
      </c>
      <c r="BR967" s="56" t="n">
        <v>20.7579632643571</v>
      </c>
      <c r="BS967" s="56" t="n">
        <v>31.2582714680044</v>
      </c>
      <c r="BT967" s="56" t="n">
        <v>14.5076373090673</v>
      </c>
      <c r="BU967" s="55" t="n">
        <v>15122</v>
      </c>
      <c r="BV967" s="55" t="n">
        <v>599</v>
      </c>
      <c r="BW967" s="55" t="n">
        <v>954</v>
      </c>
      <c r="BX967" s="55" t="n">
        <v>418</v>
      </c>
      <c r="BY967" s="81" t="n">
        <v>0.1637</v>
      </c>
      <c r="BZ967" s="81" t="n">
        <v>1.96157909902987</v>
      </c>
      <c r="CA967" s="81" t="n">
        <v>2.25</v>
      </c>
      <c r="CB967" s="81"/>
      <c r="CC967" s="81" t="n">
        <v>5.33</v>
      </c>
      <c r="CD967" s="81" t="n">
        <v>7.87</v>
      </c>
      <c r="CE967" s="81" t="n">
        <v>74.93</v>
      </c>
      <c r="CF967" s="81" t="n">
        <v>34.9</v>
      </c>
      <c r="CG967" s="81" t="n">
        <v>0.0194</v>
      </c>
      <c r="CH967" s="63" t="n">
        <v>74680.7213732206</v>
      </c>
      <c r="CI967" s="63" t="n">
        <v>3084.98180546062</v>
      </c>
      <c r="CJ967" s="64" t="n">
        <v>793310.125671786</v>
      </c>
      <c r="CK967" s="65" t="n">
        <v>0.388874628676674</v>
      </c>
    </row>
    <row r="968" customFormat="false" ht="15" hidden="false" customHeight="false" outlineLevel="0" collapsed="false">
      <c r="A968" s="7" t="s">
        <v>1006</v>
      </c>
      <c r="B968" s="66" t="n">
        <v>947</v>
      </c>
      <c r="C968" s="8" t="s">
        <v>1060</v>
      </c>
      <c r="D968" s="114" t="s">
        <v>1061</v>
      </c>
      <c r="E968" s="4" t="s">
        <v>1008</v>
      </c>
      <c r="F968" s="7" t="n">
        <v>340</v>
      </c>
      <c r="G968" s="68" t="n">
        <v>2</v>
      </c>
      <c r="H968" s="68" t="n">
        <v>114</v>
      </c>
      <c r="I968" s="7" t="n">
        <v>3</v>
      </c>
      <c r="J968" s="8" t="n">
        <v>654</v>
      </c>
      <c r="K968" s="32" t="n">
        <v>538</v>
      </c>
      <c r="L968" s="32" t="n">
        <v>927</v>
      </c>
      <c r="M968" s="32" t="n">
        <v>153</v>
      </c>
      <c r="N968" s="32" t="n">
        <v>400</v>
      </c>
      <c r="O968" s="33" t="n">
        <v>93</v>
      </c>
      <c r="P968" s="33"/>
      <c r="Q968" s="33"/>
      <c r="R968" s="32" t="n">
        <v>157</v>
      </c>
      <c r="S968" s="34" t="s">
        <v>1009</v>
      </c>
      <c r="T968" s="35" t="n">
        <v>14.1</v>
      </c>
      <c r="U968" s="35" t="n">
        <v>11.6</v>
      </c>
      <c r="V968" s="35" t="n">
        <v>25.7</v>
      </c>
      <c r="W968" s="35" t="n">
        <v>23.9</v>
      </c>
      <c r="X968" s="35" t="n">
        <v>3.95</v>
      </c>
      <c r="Y968" s="35" t="n">
        <v>10.29</v>
      </c>
      <c r="Z968" s="35" t="n">
        <v>2.39</v>
      </c>
      <c r="AA968" s="35"/>
      <c r="AB968" s="35"/>
      <c r="AC968" s="71" t="n">
        <v>4.05</v>
      </c>
      <c r="AD968" s="38" t="n">
        <v>8.98</v>
      </c>
      <c r="AE968" s="38" t="n">
        <v>7.95</v>
      </c>
      <c r="AF968" s="38" t="n">
        <v>1.38</v>
      </c>
      <c r="AG968" s="38" t="n">
        <v>5.48</v>
      </c>
      <c r="AH968" s="38"/>
      <c r="AI968" s="38"/>
      <c r="AJ968" s="102" t="s">
        <v>1010</v>
      </c>
      <c r="AK968" s="111" t="n">
        <v>651</v>
      </c>
      <c r="AL968" s="111" t="n">
        <v>666</v>
      </c>
      <c r="AM968" s="111" t="n">
        <v>652</v>
      </c>
      <c r="AN968" s="111" t="n">
        <v>467</v>
      </c>
      <c r="AO968" s="104" t="n">
        <v>39.4</v>
      </c>
      <c r="AP968" s="105" t="n">
        <v>1.56</v>
      </c>
      <c r="AQ968" s="105" t="n">
        <v>1.27</v>
      </c>
      <c r="AR968" s="105" t="n">
        <v>1.66</v>
      </c>
      <c r="AS968" s="77" t="n">
        <v>39.16</v>
      </c>
      <c r="AT968" s="78" t="n">
        <v>37.7</v>
      </c>
      <c r="AU968" s="78" t="n">
        <v>39.5</v>
      </c>
      <c r="AV968" s="78" t="n">
        <v>32.1</v>
      </c>
      <c r="AW968" s="78" t="n">
        <v>42.1</v>
      </c>
      <c r="AX968" s="78"/>
      <c r="AY968" s="48" t="n">
        <v>1.46692607003891</v>
      </c>
      <c r="AZ968" s="48" t="n">
        <v>26.4990523921263</v>
      </c>
      <c r="BA968" s="48" t="n">
        <v>-0.799052392126328</v>
      </c>
      <c r="BB968" s="49" t="n">
        <f aca="false">AT968/V968</f>
        <v>1.46692607003891</v>
      </c>
      <c r="BC968" s="49" t="n">
        <f aca="false">AS968/V968</f>
        <v>1.52373540856031</v>
      </c>
      <c r="BD968" s="49" t="n">
        <f aca="false">SUM(AP968:AR968)/V968</f>
        <v>0.174708171206226</v>
      </c>
      <c r="BE968" s="53" t="n">
        <v>6.51</v>
      </c>
      <c r="BF968" s="51" t="n">
        <v>128.2</v>
      </c>
      <c r="BG968" s="51" t="n">
        <v>657.449297971919</v>
      </c>
      <c r="BH968" s="51" t="n">
        <v>167.238689547582</v>
      </c>
      <c r="BI968" s="51" t="n">
        <v>112.753510140406</v>
      </c>
      <c r="BJ968" s="51" t="n">
        <v>11.1154446177847</v>
      </c>
      <c r="BK968" s="51" t="n">
        <v>17.6287051482059</v>
      </c>
      <c r="BL968" s="51" t="n">
        <v>20.1404056162246</v>
      </c>
      <c r="BM968" s="51" t="n">
        <v>13.8689547581903</v>
      </c>
      <c r="BN968" s="52" t="n">
        <f aca="false">(BG968*0.5-BH968*0.25+BI968*0.5)/SUM(BG968:BI968)*1000</f>
        <v>366.200698951573</v>
      </c>
      <c r="BO968" s="93" t="n">
        <v>3.92</v>
      </c>
      <c r="BP968" s="94" t="s">
        <v>1011</v>
      </c>
      <c r="BQ968" s="55" t="n">
        <v>543.058823529412</v>
      </c>
      <c r="BR968" s="56" t="n">
        <v>21.1306935225452</v>
      </c>
      <c r="BS968" s="56" t="n">
        <v>34.1173070683285</v>
      </c>
      <c r="BT968" s="56" t="n">
        <v>14.4047433296926</v>
      </c>
      <c r="BU968" s="55" t="n">
        <v>15987</v>
      </c>
      <c r="BV968" s="55" t="n">
        <v>621</v>
      </c>
      <c r="BW968" s="55" t="n">
        <v>1075</v>
      </c>
      <c r="BX968" s="55" t="n">
        <v>424</v>
      </c>
      <c r="BY968" s="81" t="n">
        <v>0.1225</v>
      </c>
      <c r="BZ968" s="81" t="n">
        <v>0.918643742195754</v>
      </c>
      <c r="CA968" s="81" t="n">
        <v>2.93</v>
      </c>
      <c r="CB968" s="81"/>
      <c r="CC968" s="81" t="n">
        <v>4.37</v>
      </c>
      <c r="CD968" s="81" t="n">
        <v>9.56</v>
      </c>
      <c r="CE968" s="81" t="n">
        <v>61.91</v>
      </c>
      <c r="CF968" s="81" t="n">
        <v>33.98</v>
      </c>
      <c r="CG968" s="81" t="n">
        <v>0.02</v>
      </c>
      <c r="CH968" s="63" t="n">
        <v>33442.7450360996</v>
      </c>
      <c r="CI968" s="63" t="n">
        <v>6455.72274525542</v>
      </c>
      <c r="CJ968" s="64" t="n">
        <v>780327.181649224</v>
      </c>
      <c r="CK968" s="65" t="n">
        <v>0.827309735848395</v>
      </c>
    </row>
    <row r="969" customFormat="false" ht="15" hidden="false" customHeight="false" outlineLevel="0" collapsed="false">
      <c r="A969" s="7" t="s">
        <v>1006</v>
      </c>
      <c r="B969" s="66" t="n">
        <v>948</v>
      </c>
      <c r="C969" s="8" t="s">
        <v>1062</v>
      </c>
      <c r="D969" s="114" t="s">
        <v>1063</v>
      </c>
      <c r="E969" s="4" t="s">
        <v>1008</v>
      </c>
      <c r="F969" s="7" t="n">
        <v>485</v>
      </c>
      <c r="G969" s="68" t="n">
        <v>2</v>
      </c>
      <c r="H969" s="68" t="n">
        <v>106</v>
      </c>
      <c r="I969" s="7" t="n">
        <v>3</v>
      </c>
      <c r="J969" s="8" t="n">
        <v>630</v>
      </c>
      <c r="K969" s="32" t="n">
        <v>536</v>
      </c>
      <c r="L969" s="32" t="n">
        <v>935</v>
      </c>
      <c r="M969" s="32" t="n">
        <v>179</v>
      </c>
      <c r="N969" s="32" t="n">
        <v>388</v>
      </c>
      <c r="O969" s="33" t="n">
        <v>92.1</v>
      </c>
      <c r="P969" s="33"/>
      <c r="Q969" s="33"/>
      <c r="R969" s="32" t="n">
        <v>136</v>
      </c>
      <c r="S969" s="34" t="s">
        <v>1009</v>
      </c>
      <c r="T969" s="35" t="n">
        <v>12.7</v>
      </c>
      <c r="U969" s="35" t="n">
        <v>10.4</v>
      </c>
      <c r="V969" s="35" t="n">
        <v>23.2</v>
      </c>
      <c r="W969" s="35" t="n">
        <v>21.7</v>
      </c>
      <c r="X969" s="35" t="n">
        <v>4.14</v>
      </c>
      <c r="Y969" s="35" t="n">
        <v>8.98</v>
      </c>
      <c r="Z969" s="35" t="n">
        <v>2.13</v>
      </c>
      <c r="AA969" s="35"/>
      <c r="AB969" s="35"/>
      <c r="AC969" s="71" t="n">
        <v>3.16</v>
      </c>
      <c r="AD969" s="38" t="n">
        <v>7.61</v>
      </c>
      <c r="AE969" s="38" t="n">
        <v>6.8</v>
      </c>
      <c r="AF969" s="38" t="n">
        <v>1.32</v>
      </c>
      <c r="AG969" s="38" t="n">
        <v>4.47</v>
      </c>
      <c r="AH969" s="38"/>
      <c r="AI969" s="38"/>
      <c r="AJ969" s="102" t="s">
        <v>1010</v>
      </c>
      <c r="AK969" s="111" t="n">
        <v>672</v>
      </c>
      <c r="AL969" s="111" t="n">
        <v>686</v>
      </c>
      <c r="AM969" s="111" t="n">
        <v>680</v>
      </c>
      <c r="AN969" s="111" t="n">
        <v>502</v>
      </c>
      <c r="AO969" s="104" t="n">
        <v>39.9</v>
      </c>
      <c r="AP969" s="105" t="n">
        <v>1.75</v>
      </c>
      <c r="AQ969" s="105" t="n">
        <v>1.4</v>
      </c>
      <c r="AR969" s="105" t="n">
        <v>1.82</v>
      </c>
      <c r="AS969" s="77" t="n">
        <v>42.21</v>
      </c>
      <c r="AT969" s="78" t="n">
        <v>41.9</v>
      </c>
      <c r="AU969" s="78" t="n">
        <v>43.8</v>
      </c>
      <c r="AV969" s="78" t="n">
        <v>35.1</v>
      </c>
      <c r="AW969" s="78" t="n">
        <v>45.6</v>
      </c>
      <c r="AX969" s="78"/>
      <c r="AY969" s="48" t="n">
        <v>1.80603448275862</v>
      </c>
      <c r="AZ969" s="48" t="n">
        <v>27.1221451577029</v>
      </c>
      <c r="BA969" s="48" t="n">
        <v>-3.92214515770292</v>
      </c>
      <c r="BB969" s="49" t="n">
        <f aca="false">AT969/V969</f>
        <v>1.80603448275862</v>
      </c>
      <c r="BC969" s="49" t="n">
        <f aca="false">AS969/V969</f>
        <v>1.81939655172414</v>
      </c>
      <c r="BD969" s="49" t="n">
        <f aca="false">SUM(AP969:AR969)/V969</f>
        <v>0.214224137931034</v>
      </c>
      <c r="BE969" s="53" t="n">
        <v>6.98</v>
      </c>
      <c r="BF969" s="51" t="n">
        <v>106.2</v>
      </c>
      <c r="BG969" s="51" t="n">
        <v>681.139359698682</v>
      </c>
      <c r="BH969" s="51" t="n">
        <v>152.702448210923</v>
      </c>
      <c r="BI969" s="51" t="n">
        <v>117.495291902072</v>
      </c>
      <c r="BJ969" s="51" t="n">
        <v>13.0037664783427</v>
      </c>
      <c r="BK969" s="51" t="n">
        <v>13.3239171374765</v>
      </c>
      <c r="BL969" s="51" t="n">
        <v>13.804143126177</v>
      </c>
      <c r="BM969" s="51" t="n">
        <v>8.87947269303202</v>
      </c>
      <c r="BN969" s="52" t="n">
        <f aca="false">(BG969*0.5-BH969*0.25+BI969*0.5)/SUM(BG969:BI969)*1000</f>
        <v>379.614874495209</v>
      </c>
      <c r="BO969" s="93" t="n">
        <v>5.14</v>
      </c>
      <c r="BP969" s="94" t="s">
        <v>1011</v>
      </c>
      <c r="BQ969" s="55" t="n">
        <v>538.352941176471</v>
      </c>
      <c r="BR969" s="56" t="n">
        <v>23.2048681541582</v>
      </c>
      <c r="BS969" s="56" t="n">
        <v>36.1645645750071</v>
      </c>
      <c r="BT969" s="56" t="n">
        <v>12.8485188824933</v>
      </c>
      <c r="BU969" s="55" t="n">
        <v>16116</v>
      </c>
      <c r="BV969" s="55" t="n">
        <v>695</v>
      </c>
      <c r="BW969" s="55" t="n">
        <v>1147</v>
      </c>
      <c r="BX969" s="55" t="n">
        <v>384</v>
      </c>
      <c r="BY969" s="81"/>
      <c r="BZ969" s="81"/>
      <c r="CA969" s="81"/>
      <c r="CB969" s="81"/>
      <c r="CC969" s="81"/>
      <c r="CD969" s="81"/>
      <c r="CE969" s="81"/>
      <c r="CF969" s="81"/>
      <c r="CG969" s="81" t="n">
        <v>0.0606</v>
      </c>
      <c r="CH969" s="63" t="n">
        <v>108835.062736447</v>
      </c>
      <c r="CI969" s="63" t="n">
        <v>5751.7912117104</v>
      </c>
      <c r="CJ969" s="64" t="n">
        <v>502975.898874607</v>
      </c>
      <c r="CK969" s="65" t="n">
        <v>1.14355205181399</v>
      </c>
    </row>
    <row r="970" customFormat="false" ht="15" hidden="false" customHeight="false" outlineLevel="0" collapsed="false">
      <c r="A970" s="7" t="s">
        <v>1006</v>
      </c>
      <c r="B970" s="66" t="n">
        <v>949</v>
      </c>
      <c r="C970" s="8" t="s">
        <v>1064</v>
      </c>
      <c r="D970" s="114" t="s">
        <v>1061</v>
      </c>
      <c r="E970" s="4" t="s">
        <v>1008</v>
      </c>
      <c r="F970" s="7" t="n">
        <v>233</v>
      </c>
      <c r="G970" s="68" t="n">
        <v>2</v>
      </c>
      <c r="H970" s="68" t="n">
        <v>105</v>
      </c>
      <c r="I970" s="7" t="n">
        <v>2</v>
      </c>
      <c r="J970" s="8" t="n">
        <v>544</v>
      </c>
      <c r="K970" s="32" t="n">
        <v>538</v>
      </c>
      <c r="L970" s="32" t="n">
        <v>927</v>
      </c>
      <c r="M970" s="32" t="n">
        <v>155</v>
      </c>
      <c r="N970" s="32" t="n">
        <v>399</v>
      </c>
      <c r="O970" s="33" t="n">
        <v>92.8</v>
      </c>
      <c r="P970" s="33"/>
      <c r="Q970" s="33"/>
      <c r="R970" s="32" t="n">
        <v>157</v>
      </c>
      <c r="S970" s="34" t="s">
        <v>1009</v>
      </c>
      <c r="T970" s="35" t="n">
        <v>13</v>
      </c>
      <c r="U970" s="35" t="n">
        <v>10.7</v>
      </c>
      <c r="V970" s="35" t="n">
        <v>23.7</v>
      </c>
      <c r="W970" s="35" t="n">
        <v>22</v>
      </c>
      <c r="X970" s="35" t="n">
        <v>3.68</v>
      </c>
      <c r="Y970" s="35" t="n">
        <v>9.47</v>
      </c>
      <c r="Z970" s="35" t="n">
        <v>2.2</v>
      </c>
      <c r="AA970" s="35"/>
      <c r="AB970" s="35"/>
      <c r="AC970" s="71" t="n">
        <v>3.73</v>
      </c>
      <c r="AD970" s="38" t="n">
        <v>8.32</v>
      </c>
      <c r="AE970" s="38" t="n">
        <v>7.39</v>
      </c>
      <c r="AF970" s="38" t="n">
        <v>1.17</v>
      </c>
      <c r="AG970" s="38" t="n">
        <v>4.98</v>
      </c>
      <c r="AH970" s="38"/>
      <c r="AI970" s="38"/>
      <c r="AJ970" s="102" t="s">
        <v>1010</v>
      </c>
      <c r="AK970" s="111" t="n">
        <v>649</v>
      </c>
      <c r="AL970" s="111" t="n">
        <v>664</v>
      </c>
      <c r="AM970" s="111" t="n">
        <v>682</v>
      </c>
      <c r="AN970" s="111" t="n">
        <v>474</v>
      </c>
      <c r="AO970" s="104" t="n">
        <v>35.9</v>
      </c>
      <c r="AP970" s="105" t="n">
        <v>1.58</v>
      </c>
      <c r="AQ970" s="105" t="n">
        <v>1.29</v>
      </c>
      <c r="AR970" s="105" t="n">
        <v>1.69</v>
      </c>
      <c r="AS970" s="77" t="n">
        <v>38.06</v>
      </c>
      <c r="AT970" s="78" t="n">
        <v>38.4</v>
      </c>
      <c r="AU970" s="78" t="n">
        <v>44</v>
      </c>
      <c r="AV970" s="78" t="n">
        <v>36</v>
      </c>
      <c r="AW970" s="78" t="n">
        <v>47.2</v>
      </c>
      <c r="AX970" s="78"/>
      <c r="AY970" s="48" t="n">
        <v>1.62025316455696</v>
      </c>
      <c r="AZ970" s="48" t="n">
        <v>24.3666483627109</v>
      </c>
      <c r="BA970" s="48" t="n">
        <v>-0.666648362710877</v>
      </c>
      <c r="BB970" s="49" t="n">
        <f aca="false">AT970/V970</f>
        <v>1.62025316455696</v>
      </c>
      <c r="BC970" s="49" t="n">
        <f aca="false">AS970/V970</f>
        <v>1.60590717299578</v>
      </c>
      <c r="BD970" s="49" t="n">
        <f aca="false">SUM(AP970:AR970)/V970</f>
        <v>0.192405063291139</v>
      </c>
      <c r="BE970" s="53" t="n">
        <v>6.6</v>
      </c>
      <c r="BF970" s="51" t="n">
        <v>103.2</v>
      </c>
      <c r="BG970" s="51" t="n">
        <v>644.360465116279</v>
      </c>
      <c r="BH970" s="51" t="n">
        <v>184.544573643411</v>
      </c>
      <c r="BI970" s="51" t="n">
        <v>111.182170542636</v>
      </c>
      <c r="BJ970" s="51" t="n">
        <v>11.327519379845</v>
      </c>
      <c r="BK970" s="51" t="n">
        <v>18.062015503876</v>
      </c>
      <c r="BL970" s="51" t="n">
        <v>16.3856589147287</v>
      </c>
      <c r="BM970" s="51" t="n">
        <v>14.5542635658915</v>
      </c>
      <c r="BN970" s="52" t="n">
        <f aca="false">(BG970*0.5-BH970*0.25+BI970*0.5)/SUM(BG970:BI970)*1000</f>
        <v>352.770648443056</v>
      </c>
      <c r="BO970" s="93" t="n">
        <v>9.91</v>
      </c>
      <c r="BP970" s="94" t="s">
        <v>1011</v>
      </c>
      <c r="BQ970" s="55" t="n">
        <v>474.352941176471</v>
      </c>
      <c r="BR970" s="56" t="n">
        <v>20.0148920327625</v>
      </c>
      <c r="BS970" s="56" t="n">
        <v>32.4721345274145</v>
      </c>
      <c r="BT970" s="56" t="n">
        <v>12.3529411764706</v>
      </c>
      <c r="BU970" s="55" t="n">
        <v>14490</v>
      </c>
      <c r="BV970" s="55" t="n">
        <v>611</v>
      </c>
      <c r="BW970" s="55" t="n">
        <v>1061</v>
      </c>
      <c r="BX970" s="55" t="n">
        <v>378</v>
      </c>
      <c r="BY970" s="81" t="n">
        <v>0.1488</v>
      </c>
      <c r="BZ970" s="81" t="n">
        <v>1.27941600230525</v>
      </c>
      <c r="CA970" s="81" t="n">
        <v>3.21</v>
      </c>
      <c r="CB970" s="81"/>
      <c r="CC970" s="81" t="n">
        <v>4.41</v>
      </c>
      <c r="CD970" s="81" t="n">
        <v>8.19</v>
      </c>
      <c r="CE970" s="81" t="n">
        <v>57.85</v>
      </c>
      <c r="CF970" s="81" t="n">
        <v>34.19</v>
      </c>
      <c r="CG970" s="81" t="n">
        <v>0.01</v>
      </c>
      <c r="CH970" s="63" t="n">
        <v>114599.54810839</v>
      </c>
      <c r="CI970" s="63" t="n">
        <v>3157.49441598265</v>
      </c>
      <c r="CJ970" s="64" t="n">
        <v>468279.395194552</v>
      </c>
      <c r="CK970" s="65" t="n">
        <v>0.674275752549572</v>
      </c>
    </row>
    <row r="971" customFormat="false" ht="15" hidden="false" customHeight="false" outlineLevel="0" collapsed="false">
      <c r="A971" s="7" t="s">
        <v>1006</v>
      </c>
      <c r="B971" s="66" t="n">
        <v>950</v>
      </c>
      <c r="C971" s="8" t="s">
        <v>1065</v>
      </c>
      <c r="D971" s="114" t="s">
        <v>1063</v>
      </c>
      <c r="E971" s="4" t="s">
        <v>1008</v>
      </c>
      <c r="F971" s="7" t="n">
        <v>3497</v>
      </c>
      <c r="G971" s="68" t="n">
        <v>2</v>
      </c>
      <c r="H971" s="68" t="n">
        <v>103</v>
      </c>
      <c r="I971" s="7" t="n">
        <v>2</v>
      </c>
      <c r="J971" s="8" t="n">
        <v>636</v>
      </c>
      <c r="K971" s="32" t="n">
        <v>536</v>
      </c>
      <c r="L971" s="32" t="n">
        <v>935</v>
      </c>
      <c r="M971" s="32" t="n">
        <v>179</v>
      </c>
      <c r="N971" s="32" t="n">
        <v>388</v>
      </c>
      <c r="O971" s="33" t="n">
        <v>92.1</v>
      </c>
      <c r="P971" s="33"/>
      <c r="Q971" s="33"/>
      <c r="R971" s="32" t="n">
        <v>136</v>
      </c>
      <c r="S971" s="34" t="s">
        <v>1009</v>
      </c>
      <c r="T971" s="35" t="n">
        <v>11.8</v>
      </c>
      <c r="U971" s="35" t="n">
        <v>9.7</v>
      </c>
      <c r="V971" s="35" t="n">
        <v>21.5</v>
      </c>
      <c r="W971" s="35" t="n">
        <v>20.1</v>
      </c>
      <c r="X971" s="35" t="n">
        <v>3.84</v>
      </c>
      <c r="Y971" s="35" t="n">
        <v>8.34</v>
      </c>
      <c r="Z971" s="35" t="n">
        <v>1.98</v>
      </c>
      <c r="AA971" s="35"/>
      <c r="AB971" s="35"/>
      <c r="AC971" s="71" t="n">
        <v>2.94</v>
      </c>
      <c r="AD971" s="38" t="n">
        <v>7.35</v>
      </c>
      <c r="AE971" s="38" t="n">
        <v>6.49</v>
      </c>
      <c r="AF971" s="38" t="n">
        <v>1.53</v>
      </c>
      <c r="AG971" s="38" t="n">
        <v>4.32</v>
      </c>
      <c r="AH971" s="38"/>
      <c r="AI971" s="38"/>
      <c r="AJ971" s="102" t="s">
        <v>1010</v>
      </c>
      <c r="AK971" s="111" t="n">
        <v>658</v>
      </c>
      <c r="AL971" s="111" t="n">
        <v>677</v>
      </c>
      <c r="AM971" s="111" t="n">
        <v>601</v>
      </c>
      <c r="AN971" s="111" t="n">
        <v>483</v>
      </c>
      <c r="AO971" s="104" t="n">
        <v>35.3</v>
      </c>
      <c r="AP971" s="105" t="n">
        <v>1.46</v>
      </c>
      <c r="AQ971" s="105" t="n">
        <v>1.25</v>
      </c>
      <c r="AR971" s="105" t="n">
        <v>1.63</v>
      </c>
      <c r="AS971" s="77" t="n">
        <v>36.02</v>
      </c>
      <c r="AT971" s="78" t="n">
        <v>36.2</v>
      </c>
      <c r="AU971" s="78" t="n">
        <v>41.3</v>
      </c>
      <c r="AV971" s="78" t="n">
        <v>35.3</v>
      </c>
      <c r="AW971" s="78" t="n">
        <v>46.3</v>
      </c>
      <c r="AX971" s="78"/>
      <c r="AY971" s="48" t="n">
        <v>1.68372093023256</v>
      </c>
      <c r="AZ971" s="48" t="n">
        <v>24.9067185712736</v>
      </c>
      <c r="BA971" s="48" t="n">
        <v>-3.40671857127363</v>
      </c>
      <c r="BB971" s="49" t="n">
        <f aca="false">AT971/V971</f>
        <v>1.68372093023256</v>
      </c>
      <c r="BC971" s="49" t="n">
        <f aca="false">AS971/V971</f>
        <v>1.6753488372093</v>
      </c>
      <c r="BD971" s="49" t="n">
        <f aca="false">SUM(AP971:AR971)/V971</f>
        <v>0.201860465116279</v>
      </c>
      <c r="BE971" s="53" t="n">
        <v>6.87</v>
      </c>
      <c r="BF971" s="51" t="n">
        <v>104.6</v>
      </c>
      <c r="BG971" s="51" t="n">
        <v>686.548757170172</v>
      </c>
      <c r="BH971" s="51" t="n">
        <v>161.921606118547</v>
      </c>
      <c r="BI971" s="51" t="n">
        <v>92.5430210325048</v>
      </c>
      <c r="BJ971" s="51" t="n">
        <v>14.4741873804971</v>
      </c>
      <c r="BK971" s="51" t="n">
        <v>16.1663479923518</v>
      </c>
      <c r="BL971" s="51" t="n">
        <v>18.4608030592734</v>
      </c>
      <c r="BM971" s="51" t="n">
        <v>10.3346080305927</v>
      </c>
      <c r="BN971" s="52" t="n">
        <f aca="false">(BG971*0.5-BH971*0.25+BI971*0.5)/SUM(BG971:BI971)*1000</f>
        <v>370.946357817738</v>
      </c>
      <c r="BO971" s="93" t="n">
        <v>2.28</v>
      </c>
      <c r="BP971" s="94" t="s">
        <v>1011</v>
      </c>
      <c r="BQ971" s="55" t="n">
        <v>498.823529411765</v>
      </c>
      <c r="BR971" s="56" t="n">
        <v>23.2010943912449</v>
      </c>
      <c r="BS971" s="56" t="n">
        <v>36.657446108583</v>
      </c>
      <c r="BT971" s="56" t="n">
        <v>13.7796555086123</v>
      </c>
      <c r="BU971" s="55" t="n">
        <v>15266</v>
      </c>
      <c r="BV971" s="55" t="n">
        <v>710</v>
      </c>
      <c r="BW971" s="55" t="n">
        <v>1196</v>
      </c>
      <c r="BX971" s="55" t="n">
        <v>421</v>
      </c>
      <c r="BY971" s="81"/>
      <c r="BZ971" s="81"/>
      <c r="CA971" s="81"/>
      <c r="CB971" s="81"/>
      <c r="CC971" s="81"/>
      <c r="CD971" s="81"/>
      <c r="CE971" s="81"/>
      <c r="CF971" s="81"/>
      <c r="CG971" s="81" t="n">
        <v>0.04</v>
      </c>
      <c r="CH971" s="63" t="n">
        <v>74960.05178064</v>
      </c>
      <c r="CI971" s="63" t="n">
        <v>8027.93317424797</v>
      </c>
      <c r="CJ971" s="64" t="n">
        <v>759673.039412736</v>
      </c>
      <c r="CK971" s="65" t="n">
        <v>1.05676162740407</v>
      </c>
    </row>
    <row r="972" customFormat="false" ht="15" hidden="false" customHeight="false" outlineLevel="0" collapsed="false">
      <c r="A972" s="7" t="s">
        <v>1006</v>
      </c>
      <c r="B972" s="66" t="n">
        <v>951</v>
      </c>
      <c r="C972" s="8" t="s">
        <v>1066</v>
      </c>
      <c r="D972" s="114" t="s">
        <v>1063</v>
      </c>
      <c r="E972" s="4" t="s">
        <v>1008</v>
      </c>
      <c r="F972" s="7" t="n">
        <v>602</v>
      </c>
      <c r="G972" s="68" t="n">
        <v>2</v>
      </c>
      <c r="H972" s="68" t="n">
        <v>101</v>
      </c>
      <c r="I972" s="7" t="n">
        <v>2</v>
      </c>
      <c r="J972" s="8" t="n">
        <v>545</v>
      </c>
      <c r="K972" s="32" t="n">
        <v>536</v>
      </c>
      <c r="L972" s="32" t="n">
        <v>935</v>
      </c>
      <c r="M972" s="32" t="n">
        <v>179</v>
      </c>
      <c r="N972" s="32" t="n">
        <v>388</v>
      </c>
      <c r="O972" s="33" t="n">
        <v>92.1</v>
      </c>
      <c r="P972" s="33"/>
      <c r="Q972" s="33"/>
      <c r="R972" s="32" t="n">
        <v>136</v>
      </c>
      <c r="S972" s="34" t="s">
        <v>1009</v>
      </c>
      <c r="T972" s="35" t="n">
        <v>11.6</v>
      </c>
      <c r="U972" s="35" t="n">
        <v>9.5</v>
      </c>
      <c r="V972" s="35" t="n">
        <v>21</v>
      </c>
      <c r="W972" s="35" t="n">
        <v>19.6</v>
      </c>
      <c r="X972" s="35" t="n">
        <v>3.75</v>
      </c>
      <c r="Y972" s="35" t="n">
        <v>8.14</v>
      </c>
      <c r="Z972" s="35" t="n">
        <v>1.93</v>
      </c>
      <c r="AA972" s="35"/>
      <c r="AB972" s="35"/>
      <c r="AC972" s="71" t="n">
        <v>2.86</v>
      </c>
      <c r="AD972" s="38" t="n">
        <v>7.41</v>
      </c>
      <c r="AE972" s="38" t="n">
        <v>6.65</v>
      </c>
      <c r="AF972" s="38" t="n">
        <v>1.3</v>
      </c>
      <c r="AG972" s="38" t="n">
        <v>4.16</v>
      </c>
      <c r="AH972" s="38"/>
      <c r="AI972" s="38"/>
      <c r="AJ972" s="102" t="s">
        <v>1010</v>
      </c>
      <c r="AK972" s="111" t="n">
        <v>647</v>
      </c>
      <c r="AL972" s="111" t="n">
        <v>661</v>
      </c>
      <c r="AM972" s="111" t="n">
        <v>654</v>
      </c>
      <c r="AN972" s="111" t="n">
        <v>489</v>
      </c>
      <c r="AO972" s="104" t="n">
        <v>36.9</v>
      </c>
      <c r="AP972" s="105" t="n">
        <v>1.62</v>
      </c>
      <c r="AQ972" s="105" t="n">
        <v>1.28</v>
      </c>
      <c r="AR972" s="105" t="n">
        <v>1.68</v>
      </c>
      <c r="AS972" s="77" t="n">
        <v>39.06</v>
      </c>
      <c r="AT972" s="78" t="n">
        <v>38</v>
      </c>
      <c r="AU972" s="78" t="n">
        <v>43</v>
      </c>
      <c r="AV972" s="78" t="n">
        <v>34</v>
      </c>
      <c r="AW972" s="78" t="n">
        <v>44.7</v>
      </c>
      <c r="AX972" s="78"/>
      <c r="AY972" s="48" t="n">
        <v>1.80952380952381</v>
      </c>
      <c r="AZ972" s="48" t="n">
        <v>24.6610570003133</v>
      </c>
      <c r="BA972" s="48" t="n">
        <v>-3.66105700031331</v>
      </c>
      <c r="BB972" s="49" t="n">
        <f aca="false">AT972/V972</f>
        <v>1.80952380952381</v>
      </c>
      <c r="BC972" s="49" t="n">
        <f aca="false">AS972/V972</f>
        <v>1.86</v>
      </c>
      <c r="BD972" s="49" t="n">
        <f aca="false">SUM(AP972:AR972)/V972</f>
        <v>0.218095238095238</v>
      </c>
      <c r="BE972" s="53" t="n">
        <v>6.84</v>
      </c>
      <c r="BF972" s="51" t="n">
        <v>112</v>
      </c>
      <c r="BG972" s="51" t="n">
        <v>679.3125</v>
      </c>
      <c r="BH972" s="51" t="n">
        <v>156.607142857143</v>
      </c>
      <c r="BI972" s="51" t="n">
        <v>113.616071428571</v>
      </c>
      <c r="BJ972" s="51" t="n">
        <v>13.5892857142857</v>
      </c>
      <c r="BK972" s="51" t="n">
        <v>13.5982142857143</v>
      </c>
      <c r="BL972" s="51" t="n">
        <v>14.2857142857143</v>
      </c>
      <c r="BM972" s="51" t="n">
        <v>8.54464285714286</v>
      </c>
      <c r="BN972" s="52" t="n">
        <f aca="false">(BG972*0.5-BH972*0.25+BI972*0.5)/SUM(BG972:BI972)*1000</f>
        <v>376.302328205514</v>
      </c>
      <c r="BO972" s="93" t="n">
        <v>5.23</v>
      </c>
      <c r="BP972" s="94" t="s">
        <v>1011</v>
      </c>
      <c r="BQ972" s="55" t="n">
        <v>491.294117647059</v>
      </c>
      <c r="BR972" s="56" t="n">
        <v>23.3949579831933</v>
      </c>
      <c r="BS972" s="56" t="n">
        <v>37.9213712716554</v>
      </c>
      <c r="BT972" s="56" t="n">
        <v>12.9287925696594</v>
      </c>
      <c r="BU972" s="55" t="n">
        <v>15133</v>
      </c>
      <c r="BV972" s="55" t="n">
        <v>721</v>
      </c>
      <c r="BW972" s="55" t="n">
        <v>1238</v>
      </c>
      <c r="BX972" s="55" t="n">
        <v>398</v>
      </c>
      <c r="BY972" s="81" t="n">
        <v>0.0935</v>
      </c>
      <c r="BZ972" s="81" t="n">
        <v>1.4590337143406</v>
      </c>
      <c r="CA972" s="81" t="n">
        <v>3.15</v>
      </c>
      <c r="CB972" s="81"/>
      <c r="CC972" s="81" t="n">
        <v>8.08</v>
      </c>
      <c r="CD972" s="81" t="n">
        <v>7.27</v>
      </c>
      <c r="CE972" s="81" t="n">
        <v>57.59</v>
      </c>
      <c r="CF972" s="81" t="n">
        <v>35</v>
      </c>
      <c r="CG972" s="81" t="n">
        <v>0.05</v>
      </c>
      <c r="CH972" s="63" t="n">
        <v>117823.154732943</v>
      </c>
      <c r="CI972" s="63" t="n">
        <v>5664.40962016703</v>
      </c>
      <c r="CJ972" s="64" t="n">
        <v>638752.349055226</v>
      </c>
      <c r="CK972" s="65" t="n">
        <v>0.886792765387904</v>
      </c>
    </row>
    <row r="973" customFormat="false" ht="15" hidden="false" customHeight="false" outlineLevel="0" collapsed="false">
      <c r="A973" s="7" t="s">
        <v>1006</v>
      </c>
      <c r="B973" s="66" t="n">
        <v>952</v>
      </c>
      <c r="C973" s="8" t="s">
        <v>1067</v>
      </c>
      <c r="D973" s="114" t="s">
        <v>1063</v>
      </c>
      <c r="E973" s="4" t="s">
        <v>1008</v>
      </c>
      <c r="F973" s="7" t="n">
        <v>594</v>
      </c>
      <c r="G973" s="68" t="n">
        <v>2</v>
      </c>
      <c r="H973" s="68" t="n">
        <v>100</v>
      </c>
      <c r="I973" s="7" t="n">
        <v>2</v>
      </c>
      <c r="J973" s="8" t="n">
        <v>653</v>
      </c>
      <c r="K973" s="32" t="n">
        <v>537</v>
      </c>
      <c r="L973" s="32" t="n">
        <v>935</v>
      </c>
      <c r="M973" s="32" t="n">
        <v>181</v>
      </c>
      <c r="N973" s="32" t="n">
        <v>392</v>
      </c>
      <c r="O973" s="33" t="n">
        <v>89.3</v>
      </c>
      <c r="P973" s="33"/>
      <c r="Q973" s="33"/>
      <c r="R973" s="32" t="n">
        <v>136</v>
      </c>
      <c r="S973" s="34" t="s">
        <v>1009</v>
      </c>
      <c r="T973" s="35" t="n">
        <v>12.8</v>
      </c>
      <c r="U973" s="35" t="n">
        <v>10.4</v>
      </c>
      <c r="V973" s="35" t="n">
        <v>23.2</v>
      </c>
      <c r="W973" s="35" t="n">
        <v>21.7</v>
      </c>
      <c r="X973" s="35" t="n">
        <v>4.19</v>
      </c>
      <c r="Y973" s="35" t="n">
        <v>9.09</v>
      </c>
      <c r="Z973" s="35" t="n">
        <v>2.07</v>
      </c>
      <c r="AA973" s="35"/>
      <c r="AB973" s="35"/>
      <c r="AC973" s="71" t="n">
        <v>3.17</v>
      </c>
      <c r="AD973" s="38" t="n">
        <v>7.17</v>
      </c>
      <c r="AE973" s="38" t="n">
        <v>6.49</v>
      </c>
      <c r="AF973" s="38" t="n">
        <v>1.18</v>
      </c>
      <c r="AG973" s="38" t="n">
        <v>4.1</v>
      </c>
      <c r="AH973" s="38"/>
      <c r="AI973" s="38"/>
      <c r="AJ973" s="102" t="s">
        <v>1010</v>
      </c>
      <c r="AK973" s="111" t="n">
        <v>691</v>
      </c>
      <c r="AL973" s="111" t="n">
        <v>701</v>
      </c>
      <c r="AM973" s="111" t="n">
        <v>719</v>
      </c>
      <c r="AN973" s="111" t="n">
        <v>549</v>
      </c>
      <c r="AO973" s="104" t="n">
        <v>35</v>
      </c>
      <c r="AP973" s="105" t="n">
        <v>1.6</v>
      </c>
      <c r="AQ973" s="105" t="n">
        <v>1.19</v>
      </c>
      <c r="AR973" s="105" t="n">
        <v>1.66</v>
      </c>
      <c r="AS973" s="77" t="n">
        <v>38</v>
      </c>
      <c r="AT973" s="78" t="n">
        <v>36.6</v>
      </c>
      <c r="AU973" s="78" t="n">
        <v>44.3</v>
      </c>
      <c r="AV973" s="78" t="n">
        <v>33.2</v>
      </c>
      <c r="AW973" s="78" t="n">
        <v>46.2</v>
      </c>
      <c r="AX973" s="78"/>
      <c r="AY973" s="48" t="n">
        <v>1.57758620689655</v>
      </c>
      <c r="AZ973" s="48" t="n">
        <v>25.7924913081041</v>
      </c>
      <c r="BA973" s="48" t="n">
        <v>-2.59249130810413</v>
      </c>
      <c r="BB973" s="49" t="n">
        <f aca="false">AT973/V973</f>
        <v>1.57758620689655</v>
      </c>
      <c r="BC973" s="49" t="n">
        <f aca="false">AS973/V973</f>
        <v>1.63793103448276</v>
      </c>
      <c r="BD973" s="49" t="n">
        <f aca="false">SUM(AP973:AR973)/V973</f>
        <v>0.191810344827586</v>
      </c>
      <c r="BE973" s="53" t="n">
        <v>6.89</v>
      </c>
      <c r="BF973" s="51" t="n">
        <v>109.2</v>
      </c>
      <c r="BG973" s="51" t="n">
        <v>671.849816849817</v>
      </c>
      <c r="BH973" s="51" t="n">
        <v>153.269230769231</v>
      </c>
      <c r="BI973" s="51" t="n">
        <v>111.227106227106</v>
      </c>
      <c r="BJ973" s="51" t="n">
        <v>14.3956043956044</v>
      </c>
      <c r="BK973" s="51" t="n">
        <v>17.3992673992674</v>
      </c>
      <c r="BL973" s="51" t="n">
        <v>18.974358974359</v>
      </c>
      <c r="BM973" s="51" t="n">
        <v>13.1410256410256</v>
      </c>
      <c r="BN973" s="52" t="n">
        <f aca="false">(BG973*0.5-BH973*0.25+BI973*0.5)/SUM(BG973:BI973)*1000</f>
        <v>377.233518176217</v>
      </c>
      <c r="BO973" s="93" t="n">
        <v>7.96</v>
      </c>
      <c r="BP973" s="94" t="s">
        <v>1011</v>
      </c>
      <c r="BQ973" s="55" t="n">
        <v>464</v>
      </c>
      <c r="BR973" s="56" t="n">
        <v>20</v>
      </c>
      <c r="BS973" s="56" t="n">
        <v>30.5028366323291</v>
      </c>
      <c r="BT973" s="56" t="n">
        <v>12.6775956284153</v>
      </c>
      <c r="BU973" s="55" t="n">
        <v>15181</v>
      </c>
      <c r="BV973" s="55" t="n">
        <v>654</v>
      </c>
      <c r="BW973" s="55" t="n">
        <v>1044</v>
      </c>
      <c r="BX973" s="55" t="n">
        <v>415</v>
      </c>
      <c r="BY973" s="81" t="n">
        <v>0.1684</v>
      </c>
      <c r="BZ973" s="81" t="n">
        <v>0.474306022476227</v>
      </c>
      <c r="CA973" s="81" t="n">
        <v>3.28</v>
      </c>
      <c r="CB973" s="81"/>
      <c r="CC973" s="81" t="n">
        <v>5.03</v>
      </c>
      <c r="CD973" s="81" t="n">
        <v>6.62</v>
      </c>
      <c r="CE973" s="81" t="n">
        <v>73.64</v>
      </c>
      <c r="CF973" s="81" t="n">
        <v>34.56</v>
      </c>
      <c r="CG973" s="81" t="n">
        <v>0.7028</v>
      </c>
      <c r="CH973" s="63" t="n">
        <v>132546.033792085</v>
      </c>
      <c r="CI973" s="63" t="n">
        <v>7477.29492999257</v>
      </c>
      <c r="CJ973" s="64" t="n">
        <v>575762.207853981</v>
      </c>
      <c r="CK973" s="65" t="n">
        <v>1.29867761864094</v>
      </c>
    </row>
    <row r="974" customFormat="false" ht="15" hidden="false" customHeight="false" outlineLevel="0" collapsed="false">
      <c r="A974" s="7" t="s">
        <v>1006</v>
      </c>
      <c r="B974" s="66" t="n">
        <v>953</v>
      </c>
      <c r="C974" s="8" t="s">
        <v>1068</v>
      </c>
      <c r="D974" s="114" t="s">
        <v>1069</v>
      </c>
      <c r="E974" s="4" t="s">
        <v>1008</v>
      </c>
      <c r="F974" s="7" t="n">
        <v>496</v>
      </c>
      <c r="G974" s="68" t="n">
        <v>2</v>
      </c>
      <c r="H974" s="68" t="n">
        <v>177</v>
      </c>
      <c r="I974" s="7" t="n">
        <v>3</v>
      </c>
      <c r="J974" s="8" t="n">
        <v>671</v>
      </c>
      <c r="K974" s="32" t="n">
        <v>532</v>
      </c>
      <c r="L974" s="32" t="n">
        <v>932</v>
      </c>
      <c r="M974" s="32" t="n">
        <v>177</v>
      </c>
      <c r="N974" s="32" t="n">
        <v>393</v>
      </c>
      <c r="O974" s="33" t="n">
        <v>93.5</v>
      </c>
      <c r="P974" s="33"/>
      <c r="Q974" s="33"/>
      <c r="R974" s="32" t="n">
        <v>141</v>
      </c>
      <c r="S974" s="34" t="s">
        <v>1009</v>
      </c>
      <c r="T974" s="35" t="n">
        <v>12</v>
      </c>
      <c r="U974" s="35" t="n">
        <v>9.8</v>
      </c>
      <c r="V974" s="35" t="n">
        <v>21.8</v>
      </c>
      <c r="W974" s="35" t="n">
        <v>20.3</v>
      </c>
      <c r="X974" s="35" t="n">
        <v>3.86</v>
      </c>
      <c r="Y974" s="35" t="n">
        <v>8.57</v>
      </c>
      <c r="Z974" s="35" t="n">
        <v>2.04</v>
      </c>
      <c r="AA974" s="35"/>
      <c r="AB974" s="35"/>
      <c r="AC974" s="71" t="n">
        <v>3.08</v>
      </c>
      <c r="AD974" s="38" t="n">
        <v>7.17</v>
      </c>
      <c r="AE974" s="38" t="n">
        <v>6.35</v>
      </c>
      <c r="AF974" s="38" t="n">
        <v>1.09</v>
      </c>
      <c r="AG974" s="38" t="n">
        <v>4.14</v>
      </c>
      <c r="AH974" s="38"/>
      <c r="AI974" s="38"/>
      <c r="AJ974" s="102" t="s">
        <v>1010</v>
      </c>
      <c r="AK974" s="111" t="n">
        <v>671</v>
      </c>
      <c r="AL974" s="111" t="n">
        <v>687</v>
      </c>
      <c r="AM974" s="111" t="n">
        <v>717</v>
      </c>
      <c r="AN974" s="111" t="n">
        <v>517</v>
      </c>
      <c r="AO974" s="104" t="n">
        <v>30.3</v>
      </c>
      <c r="AP974" s="105" t="n">
        <v>1.38</v>
      </c>
      <c r="AQ974" s="105" t="n">
        <v>1.12</v>
      </c>
      <c r="AR974" s="105" t="n">
        <v>1.41</v>
      </c>
      <c r="AS974" s="77" t="n">
        <v>32.82</v>
      </c>
      <c r="AT974" s="78" t="n">
        <v>33.2</v>
      </c>
      <c r="AU974" s="78" t="n">
        <v>45.8</v>
      </c>
      <c r="AV974" s="78" t="n">
        <v>36.9</v>
      </c>
      <c r="AW974" s="78" t="n">
        <v>46.7</v>
      </c>
      <c r="AX974" s="78"/>
      <c r="AY974" s="48" t="n">
        <v>1.52293577981651</v>
      </c>
      <c r="AZ974" s="48" t="n">
        <v>24.8748400105858</v>
      </c>
      <c r="BA974" s="48" t="n">
        <v>-3.07484001058578</v>
      </c>
      <c r="BB974" s="49" t="n">
        <f aca="false">AT974/V974</f>
        <v>1.52293577981651</v>
      </c>
      <c r="BC974" s="49" t="n">
        <f aca="false">AS974/V974</f>
        <v>1.50550458715596</v>
      </c>
      <c r="BD974" s="49" t="n">
        <f aca="false">SUM(AP974:AR974)/V974</f>
        <v>0.179357798165138</v>
      </c>
      <c r="BE974" s="53" t="n">
        <v>6.98</v>
      </c>
      <c r="BF974" s="51" t="n">
        <v>94.4</v>
      </c>
      <c r="BG974" s="51" t="n">
        <v>674.819915254237</v>
      </c>
      <c r="BH974" s="51" t="n">
        <v>158.728813559322</v>
      </c>
      <c r="BI974" s="51" t="n">
        <v>114.576271186441</v>
      </c>
      <c r="BJ974" s="51" t="n">
        <v>12.7648305084746</v>
      </c>
      <c r="BK974" s="51" t="n">
        <v>15.0953389830508</v>
      </c>
      <c r="BL974" s="51" t="n">
        <v>13.4004237288136</v>
      </c>
      <c r="BM974" s="51" t="n">
        <v>10.7733050847458</v>
      </c>
      <c r="BN974" s="52" t="n">
        <f aca="false">(BG974*0.5-BH974*0.25+BI974*0.5)/SUM(BG974:BI974)*1000</f>
        <v>374.439962906271</v>
      </c>
      <c r="BO974" s="93" t="n">
        <v>5.41</v>
      </c>
      <c r="BP974" s="94" t="s">
        <v>1011</v>
      </c>
      <c r="BQ974" s="55" t="n">
        <v>511.058823529412</v>
      </c>
      <c r="BR974" s="56" t="n">
        <v>23.4430652995143</v>
      </c>
      <c r="BS974" s="56" t="n">
        <v>36.6452860318951</v>
      </c>
      <c r="BT974" s="56" t="n">
        <v>15.3933380581148</v>
      </c>
      <c r="BU974" s="55" t="n">
        <v>15708</v>
      </c>
      <c r="BV974" s="55" t="n">
        <v>721</v>
      </c>
      <c r="BW974" s="55" t="n">
        <v>1195</v>
      </c>
      <c r="BX974" s="55" t="n">
        <v>474</v>
      </c>
      <c r="BY974" s="81" t="n">
        <v>0.1064</v>
      </c>
      <c r="BZ974" s="81" t="n">
        <v>1.36413408894439</v>
      </c>
      <c r="CA974" s="81" t="n">
        <v>2.99</v>
      </c>
      <c r="CB974" s="81"/>
      <c r="CC974" s="81" t="n">
        <v>6.5</v>
      </c>
      <c r="CD974" s="81" t="n">
        <v>5.81</v>
      </c>
      <c r="CE974" s="81" t="n">
        <v>70.24</v>
      </c>
      <c r="CF974" s="81" t="n">
        <v>34.88</v>
      </c>
      <c r="CG974" s="81" t="n">
        <v>0.01</v>
      </c>
      <c r="CH974" s="63" t="n">
        <v>97136.0483369319</v>
      </c>
      <c r="CI974" s="63" t="n">
        <v>5672.38116642267</v>
      </c>
      <c r="CJ974" s="64" t="n">
        <v>455935.541196966</v>
      </c>
      <c r="CK974" s="65" t="n">
        <v>1.24411910322477</v>
      </c>
    </row>
    <row r="975" customFormat="false" ht="15" hidden="false" customHeight="false" outlineLevel="0" collapsed="false">
      <c r="A975" s="7" t="s">
        <v>1006</v>
      </c>
      <c r="B975" s="66" t="n">
        <v>954</v>
      </c>
      <c r="C975" s="8" t="s">
        <v>1070</v>
      </c>
      <c r="D975" s="114" t="s">
        <v>1069</v>
      </c>
      <c r="E975" s="4" t="s">
        <v>1008</v>
      </c>
      <c r="F975" s="7" t="n">
        <v>235</v>
      </c>
      <c r="G975" s="68" t="n">
        <v>2</v>
      </c>
      <c r="H975" s="68" t="n">
        <v>131</v>
      </c>
      <c r="I975" s="7" t="n">
        <v>3</v>
      </c>
      <c r="J975" s="8" t="n">
        <v>648</v>
      </c>
      <c r="K975" s="32" t="n">
        <v>532</v>
      </c>
      <c r="L975" s="32" t="n">
        <v>932</v>
      </c>
      <c r="M975" s="32" t="n">
        <v>177</v>
      </c>
      <c r="N975" s="32" t="n">
        <v>393</v>
      </c>
      <c r="O975" s="33" t="n">
        <v>93.5</v>
      </c>
      <c r="P975" s="33"/>
      <c r="Q975" s="33"/>
      <c r="R975" s="32" t="n">
        <v>141</v>
      </c>
      <c r="S975" s="34" t="s">
        <v>1009</v>
      </c>
      <c r="T975" s="35" t="n">
        <v>12.6</v>
      </c>
      <c r="U975" s="35" t="n">
        <v>10.3</v>
      </c>
      <c r="V975" s="35" t="n">
        <v>22.9</v>
      </c>
      <c r="W975" s="35" t="n">
        <v>21.3</v>
      </c>
      <c r="X975" s="35" t="n">
        <v>4.05</v>
      </c>
      <c r="Y975" s="35" t="n">
        <v>9</v>
      </c>
      <c r="Z975" s="35" t="n">
        <v>2.14</v>
      </c>
      <c r="AA975" s="35"/>
      <c r="AB975" s="35"/>
      <c r="AC975" s="71" t="n">
        <v>3.23</v>
      </c>
      <c r="AD975" s="38" t="n">
        <v>8.22</v>
      </c>
      <c r="AE975" s="38" t="n">
        <v>7.33</v>
      </c>
      <c r="AF975" s="38" t="n">
        <v>1.31</v>
      </c>
      <c r="AG975" s="38" t="n">
        <v>4.43</v>
      </c>
      <c r="AH975" s="38"/>
      <c r="AI975" s="38"/>
      <c r="AJ975" s="102" t="s">
        <v>1010</v>
      </c>
      <c r="AK975" s="111" t="n">
        <v>641</v>
      </c>
      <c r="AL975" s="111" t="n">
        <v>657</v>
      </c>
      <c r="AM975" s="111" t="n">
        <v>678</v>
      </c>
      <c r="AN975" s="111" t="n">
        <v>507</v>
      </c>
      <c r="AO975" s="104" t="n">
        <v>35.7</v>
      </c>
      <c r="AP975" s="105" t="n">
        <v>1.78</v>
      </c>
      <c r="AQ975" s="105" t="n">
        <v>1.3</v>
      </c>
      <c r="AR975" s="105" t="n">
        <v>1.64</v>
      </c>
      <c r="AS975" s="77" t="n">
        <v>40.98</v>
      </c>
      <c r="AT975" s="78" t="n">
        <v>40.6</v>
      </c>
      <c r="AU975" s="78" t="n">
        <v>49.8</v>
      </c>
      <c r="AV975" s="78" t="n">
        <v>36.4</v>
      </c>
      <c r="AW975" s="78" t="n">
        <v>45.9</v>
      </c>
      <c r="AX975" s="78"/>
      <c r="AY975" s="48" t="n">
        <v>1.77292576419214</v>
      </c>
      <c r="AZ975" s="48" t="n">
        <v>27.3006362190801</v>
      </c>
      <c r="BA975" s="48" t="n">
        <v>-4.40063621908012</v>
      </c>
      <c r="BB975" s="49" t="n">
        <f aca="false">AT975/V975</f>
        <v>1.77292576419214</v>
      </c>
      <c r="BC975" s="49" t="n">
        <f aca="false">AS975/V975</f>
        <v>1.78951965065502</v>
      </c>
      <c r="BD975" s="49" t="n">
        <f aca="false">SUM(AP975:AR975)/V975</f>
        <v>0.206113537117904</v>
      </c>
      <c r="BE975" s="53" t="n">
        <v>6.42</v>
      </c>
      <c r="BF975" s="51" t="n">
        <v>156.4</v>
      </c>
      <c r="BG975" s="51" t="n">
        <v>657.928388746803</v>
      </c>
      <c r="BH975" s="51" t="n">
        <v>176.010230179028</v>
      </c>
      <c r="BI975" s="51" t="n">
        <v>112.122762148338</v>
      </c>
      <c r="BJ975" s="51" t="n">
        <v>10.5562659846547</v>
      </c>
      <c r="BK975" s="51" t="n">
        <v>15.7033248081841</v>
      </c>
      <c r="BL975" s="51" t="n">
        <v>15.8695652173913</v>
      </c>
      <c r="BM975" s="51" t="n">
        <v>11.8414322250639</v>
      </c>
      <c r="BN975" s="52" t="n">
        <f aca="false">(BG975*0.5-BH975*0.25+BI975*0.5)/SUM(BG975:BI975)*1000</f>
        <v>360.466059311724</v>
      </c>
      <c r="BO975" s="93" t="n">
        <v>15.87</v>
      </c>
      <c r="BP975" s="94" t="s">
        <v>1011</v>
      </c>
      <c r="BQ975" s="55" t="n">
        <v>530.823529411765</v>
      </c>
      <c r="BR975" s="56" t="n">
        <v>23.1800667865399</v>
      </c>
      <c r="BS975" s="56" t="n">
        <v>37.9319519948953</v>
      </c>
      <c r="BT975" s="56" t="n">
        <v>13.0744711677775</v>
      </c>
      <c r="BU975" s="55" t="n">
        <v>15677</v>
      </c>
      <c r="BV975" s="55" t="n">
        <v>685</v>
      </c>
      <c r="BW975" s="55" t="n">
        <v>1195</v>
      </c>
      <c r="BX975" s="55" t="n">
        <v>386</v>
      </c>
      <c r="BY975" s="81" t="n">
        <v>0.1427</v>
      </c>
      <c r="BZ975" s="81" t="n">
        <v>1.68523676880223</v>
      </c>
      <c r="CA975" s="81" t="n">
        <v>2.45</v>
      </c>
      <c r="CB975" s="81"/>
      <c r="CC975" s="81" t="n">
        <v>7.46</v>
      </c>
      <c r="CD975" s="81" t="n">
        <v>9.56</v>
      </c>
      <c r="CE975" s="81" t="n">
        <v>77.13</v>
      </c>
      <c r="CF975" s="81" t="n">
        <v>33.74</v>
      </c>
      <c r="CG975" s="81" t="n">
        <v>0.0398</v>
      </c>
      <c r="CH975" s="63" t="n">
        <v>81061.0033165634</v>
      </c>
      <c r="CI975" s="63" t="n">
        <v>3052.61099318709</v>
      </c>
      <c r="CJ975" s="64" t="n">
        <v>473044.1081544</v>
      </c>
      <c r="CK975" s="65" t="n">
        <v>0.645312126409727</v>
      </c>
    </row>
    <row r="976" customFormat="false" ht="15" hidden="false" customHeight="false" outlineLevel="0" collapsed="false">
      <c r="A976" s="7" t="s">
        <v>1006</v>
      </c>
      <c r="B976" s="66" t="n">
        <v>955</v>
      </c>
      <c r="C976" s="8" t="s">
        <v>1071</v>
      </c>
      <c r="D976" s="114" t="s">
        <v>1072</v>
      </c>
      <c r="E976" s="4" t="s">
        <v>1008</v>
      </c>
      <c r="F976" s="7" t="n">
        <v>490</v>
      </c>
      <c r="G976" s="68" t="n">
        <v>2</v>
      </c>
      <c r="H976" s="68" t="n">
        <v>144</v>
      </c>
      <c r="I976" s="7" t="n">
        <v>3</v>
      </c>
      <c r="J976" s="8" t="n">
        <v>609</v>
      </c>
      <c r="K976" s="32" t="n">
        <v>531</v>
      </c>
      <c r="L976" s="32" t="n">
        <v>931</v>
      </c>
      <c r="M976" s="32" t="n">
        <v>175</v>
      </c>
      <c r="N976" s="32" t="n">
        <v>387</v>
      </c>
      <c r="O976" s="33" t="n">
        <v>89.7</v>
      </c>
      <c r="P976" s="33"/>
      <c r="Q976" s="33"/>
      <c r="R976" s="32" t="n">
        <v>141</v>
      </c>
      <c r="S976" s="34" t="s">
        <v>1009</v>
      </c>
      <c r="T976" s="35" t="n">
        <v>12.7</v>
      </c>
      <c r="U976" s="35" t="n">
        <v>10.4</v>
      </c>
      <c r="V976" s="35" t="n">
        <v>23.1</v>
      </c>
      <c r="W976" s="35" t="n">
        <v>21.5</v>
      </c>
      <c r="X976" s="35" t="n">
        <v>4.04</v>
      </c>
      <c r="Y976" s="35" t="n">
        <v>8.94</v>
      </c>
      <c r="Z976" s="35" t="n">
        <v>2.07</v>
      </c>
      <c r="AA976" s="35"/>
      <c r="AB976" s="35"/>
      <c r="AC976" s="71" t="n">
        <v>3.26</v>
      </c>
      <c r="AD976" s="38" t="n">
        <v>8.25</v>
      </c>
      <c r="AE976" s="38" t="n">
        <v>7.35</v>
      </c>
      <c r="AF976" s="38" t="n">
        <v>1.36</v>
      </c>
      <c r="AG976" s="38" t="n">
        <v>4.6</v>
      </c>
      <c r="AH976" s="38"/>
      <c r="AI976" s="38"/>
      <c r="AJ976" s="102" t="s">
        <v>1010</v>
      </c>
      <c r="AK976" s="111" t="n">
        <v>643</v>
      </c>
      <c r="AL976" s="111" t="n">
        <v>658</v>
      </c>
      <c r="AM976" s="111" t="n">
        <v>663</v>
      </c>
      <c r="AN976" s="111" t="n">
        <v>485</v>
      </c>
      <c r="AO976" s="104" t="n">
        <v>35.8</v>
      </c>
      <c r="AP976" s="105" t="n">
        <v>1.69</v>
      </c>
      <c r="AQ976" s="105" t="n">
        <v>1.29</v>
      </c>
      <c r="AR976" s="105" t="n">
        <v>1.61</v>
      </c>
      <c r="AS976" s="77" t="n">
        <v>39.67</v>
      </c>
      <c r="AT976" s="78" t="n">
        <v>39.2</v>
      </c>
      <c r="AU976" s="78" t="n">
        <v>47.1</v>
      </c>
      <c r="AV976" s="78" t="n">
        <v>36</v>
      </c>
      <c r="AW976" s="78" t="n">
        <v>45</v>
      </c>
      <c r="AX976" s="78"/>
      <c r="AY976" s="48" t="n">
        <v>1.6969696969697</v>
      </c>
      <c r="AZ976" s="48" t="n">
        <v>26.3707048882195</v>
      </c>
      <c r="BA976" s="48" t="n">
        <v>-3.27070488821946</v>
      </c>
      <c r="BB976" s="49" t="n">
        <f aca="false">AT976/V976</f>
        <v>1.6969696969697</v>
      </c>
      <c r="BC976" s="49" t="n">
        <f aca="false">AS976/V976</f>
        <v>1.71731601731602</v>
      </c>
      <c r="BD976" s="49" t="n">
        <f aca="false">SUM(AP976:AR976)/V976</f>
        <v>0.198701298701299</v>
      </c>
      <c r="BE976" s="53" t="n">
        <v>7.02</v>
      </c>
      <c r="BF976" s="51" t="n">
        <v>125.9</v>
      </c>
      <c r="BG976" s="51" t="n">
        <v>684.638602065131</v>
      </c>
      <c r="BH976" s="51" t="n">
        <v>144.710087370929</v>
      </c>
      <c r="BI976" s="51" t="n">
        <v>106.536934074662</v>
      </c>
      <c r="BJ976" s="51" t="n">
        <v>14.0905480540111</v>
      </c>
      <c r="BK976" s="51" t="n">
        <v>17.4662430500397</v>
      </c>
      <c r="BL976" s="51" t="n">
        <v>18.7768069896743</v>
      </c>
      <c r="BM976" s="51" t="n">
        <v>13.4312946783161</v>
      </c>
      <c r="BN976" s="52" t="n">
        <f aca="false">(BG976*0.5-BH976*0.25+BI976*0.5)/SUM(BG976:BI976)*1000</f>
        <v>384.032233424992</v>
      </c>
      <c r="BO976" s="93" t="n">
        <v>11.83</v>
      </c>
      <c r="BP976" s="94" t="s">
        <v>1011</v>
      </c>
      <c r="BQ976" s="55" t="n">
        <v>531.764705882353</v>
      </c>
      <c r="BR976" s="56" t="n">
        <v>23.0201171377642</v>
      </c>
      <c r="BS976" s="56" t="n">
        <v>37.5885138815546</v>
      </c>
      <c r="BT976" s="56" t="n">
        <v>13.5654261704682</v>
      </c>
      <c r="BU976" s="55" t="n">
        <v>15546</v>
      </c>
      <c r="BV976" s="55" t="n">
        <v>673</v>
      </c>
      <c r="BW976" s="55" t="n">
        <v>1174</v>
      </c>
      <c r="BX976" s="55" t="n">
        <v>397</v>
      </c>
      <c r="BY976" s="81" t="n">
        <v>0.0868</v>
      </c>
      <c r="BZ976" s="81" t="n">
        <v>1.63625012006532</v>
      </c>
      <c r="CA976" s="81" t="n">
        <v>2.89</v>
      </c>
      <c r="CB976" s="81"/>
      <c r="CC976" s="81" t="n">
        <v>7.72</v>
      </c>
      <c r="CD976" s="81" t="n">
        <v>7.34</v>
      </c>
      <c r="CE976" s="81" t="n">
        <v>56.37</v>
      </c>
      <c r="CF976" s="81" t="n">
        <v>33.89</v>
      </c>
      <c r="CG976" s="81" t="n">
        <v>0.0908</v>
      </c>
      <c r="CH976" s="63" t="n">
        <v>131564.167302064</v>
      </c>
      <c r="CI976" s="63" t="n">
        <v>9366.84733105444</v>
      </c>
      <c r="CJ976" s="64" t="n">
        <v>352454.67767777</v>
      </c>
      <c r="CK976" s="65" t="n">
        <v>2.65760335279704</v>
      </c>
    </row>
    <row r="977" customFormat="false" ht="15" hidden="false" customHeight="false" outlineLevel="0" collapsed="false">
      <c r="A977" s="7" t="s">
        <v>1006</v>
      </c>
      <c r="B977" s="66" t="n">
        <v>956</v>
      </c>
      <c r="C977" s="8" t="s">
        <v>1073</v>
      </c>
      <c r="D977" s="114" t="s">
        <v>1072</v>
      </c>
      <c r="E977" s="4" t="s">
        <v>1008</v>
      </c>
      <c r="F977" s="7" t="n">
        <v>636</v>
      </c>
      <c r="G977" s="68" t="n">
        <v>2</v>
      </c>
      <c r="H977" s="68" t="n">
        <v>120</v>
      </c>
      <c r="I977" s="7" t="n">
        <v>1</v>
      </c>
      <c r="J977" s="8" t="n">
        <v>534</v>
      </c>
      <c r="K977" s="32" t="n">
        <v>531</v>
      </c>
      <c r="L977" s="32" t="n">
        <v>931</v>
      </c>
      <c r="M977" s="32" t="n">
        <v>175</v>
      </c>
      <c r="N977" s="32" t="n">
        <v>387</v>
      </c>
      <c r="O977" s="33" t="n">
        <v>89.7</v>
      </c>
      <c r="P977" s="33"/>
      <c r="Q977" s="33"/>
      <c r="R977" s="32" t="n">
        <v>141</v>
      </c>
      <c r="S977" s="34" t="s">
        <v>1009</v>
      </c>
      <c r="T977" s="35" t="n">
        <v>10.3</v>
      </c>
      <c r="U977" s="35" t="n">
        <v>8.4</v>
      </c>
      <c r="V977" s="35" t="n">
        <v>18.7</v>
      </c>
      <c r="W977" s="35" t="n">
        <v>17.4</v>
      </c>
      <c r="X977" s="35" t="n">
        <v>3.28</v>
      </c>
      <c r="Y977" s="35" t="n">
        <v>7.26</v>
      </c>
      <c r="Z977" s="35" t="n">
        <v>1.68</v>
      </c>
      <c r="AA977" s="35"/>
      <c r="AB977" s="35"/>
      <c r="AC977" s="71" t="n">
        <v>2.65</v>
      </c>
      <c r="AD977" s="38" t="n">
        <v>6.53</v>
      </c>
      <c r="AE977" s="38" t="n">
        <v>5.83</v>
      </c>
      <c r="AF977" s="38" t="n">
        <v>1.01</v>
      </c>
      <c r="AG977" s="38" t="n">
        <v>3.52</v>
      </c>
      <c r="AH977" s="38"/>
      <c r="AI977" s="38"/>
      <c r="AJ977" s="102" t="s">
        <v>1010</v>
      </c>
      <c r="AK977" s="111" t="n">
        <v>652</v>
      </c>
      <c r="AL977" s="111" t="n">
        <v>666</v>
      </c>
      <c r="AM977" s="111" t="n">
        <v>692</v>
      </c>
      <c r="AN977" s="111" t="n">
        <v>515</v>
      </c>
      <c r="AO977" s="104" t="n">
        <v>30.4</v>
      </c>
      <c r="AP977" s="105" t="n">
        <v>1.48</v>
      </c>
      <c r="AQ977" s="105" t="n">
        <v>1.13</v>
      </c>
      <c r="AR977" s="105" t="n">
        <v>1.42</v>
      </c>
      <c r="AS977" s="77" t="n">
        <v>34.36</v>
      </c>
      <c r="AT977" s="78" t="n">
        <v>34.5</v>
      </c>
      <c r="AU977" s="78" t="n">
        <v>48.7</v>
      </c>
      <c r="AV977" s="78" t="n">
        <v>37.1</v>
      </c>
      <c r="AW977" s="78" t="n">
        <v>46.7</v>
      </c>
      <c r="AX977" s="78"/>
      <c r="AY977" s="48" t="n">
        <v>1.84491978609626</v>
      </c>
      <c r="AZ977" s="48" t="n">
        <v>23.1022051045216</v>
      </c>
      <c r="BA977" s="48" t="n">
        <v>-4.40220510452157</v>
      </c>
      <c r="BB977" s="49" t="n">
        <f aca="false">AT977/V977</f>
        <v>1.84491978609626</v>
      </c>
      <c r="BC977" s="49" t="n">
        <f aca="false">AS977/V977</f>
        <v>1.83743315508021</v>
      </c>
      <c r="BD977" s="49" t="n">
        <f aca="false">SUM(AP977:AR977)/V977</f>
        <v>0.215508021390374</v>
      </c>
      <c r="BE977" s="53" t="n">
        <v>6.67</v>
      </c>
      <c r="BF977" s="51" t="n">
        <v>128.4</v>
      </c>
      <c r="BG977" s="51" t="n">
        <v>680.545171339564</v>
      </c>
      <c r="BH977" s="51" t="n">
        <v>152.289719626168</v>
      </c>
      <c r="BI977" s="51" t="n">
        <v>104.034267912773</v>
      </c>
      <c r="BJ977" s="51" t="n">
        <v>8.83177570093458</v>
      </c>
      <c r="BK977" s="51" t="n">
        <v>16.285046728972</v>
      </c>
      <c r="BL977" s="51" t="n">
        <v>20.0389408099688</v>
      </c>
      <c r="BM977" s="51" t="n">
        <v>18.1697819314642</v>
      </c>
      <c r="BN977" s="52" t="n">
        <f aca="false">(BG977*0.5-BH977*0.25+BI977*0.5)/SUM(BG977:BI977)*1000</f>
        <v>378.086188837349</v>
      </c>
      <c r="BO977" s="93" t="n">
        <v>8.48</v>
      </c>
      <c r="BP977" s="94" t="s">
        <v>1011</v>
      </c>
      <c r="BQ977" s="55" t="n">
        <v>456.470588235294</v>
      </c>
      <c r="BR977" s="56" t="n">
        <v>24.4101918842403</v>
      </c>
      <c r="BS977" s="56" t="n">
        <v>39.3903030819866</v>
      </c>
      <c r="BT977" s="56" t="n">
        <v>13.231031543052</v>
      </c>
      <c r="BU977" s="55" t="n">
        <v>13652</v>
      </c>
      <c r="BV977" s="55" t="n">
        <v>728</v>
      </c>
      <c r="BW977" s="55" t="n">
        <v>1251</v>
      </c>
      <c r="BX977" s="55" t="n">
        <v>396</v>
      </c>
      <c r="BY977" s="81" t="n">
        <v>0.1681</v>
      </c>
      <c r="BZ977" s="81" t="n">
        <v>1.40159446739026</v>
      </c>
      <c r="CA977" s="81" t="n">
        <v>2.8</v>
      </c>
      <c r="CB977" s="81"/>
      <c r="CC977" s="81" t="n">
        <v>6.75</v>
      </c>
      <c r="CD977" s="81" t="n">
        <v>8.04</v>
      </c>
      <c r="CE977" s="81" t="n">
        <v>69.87</v>
      </c>
      <c r="CF977" s="81" t="n">
        <v>31.75</v>
      </c>
      <c r="CG977" s="81" t="n">
        <v>0.02</v>
      </c>
      <c r="CH977" s="63" t="n">
        <v>45497.9436470598</v>
      </c>
      <c r="CI977" s="63" t="n">
        <v>3157.86069387818</v>
      </c>
      <c r="CJ977" s="64" t="n">
        <v>373156.868701808</v>
      </c>
      <c r="CK977" s="65" t="n">
        <v>0.846255545252108</v>
      </c>
    </row>
    <row r="978" customFormat="false" ht="15" hidden="false" customHeight="false" outlineLevel="0" collapsed="false">
      <c r="A978" s="7" t="s">
        <v>1006</v>
      </c>
      <c r="B978" s="66" t="n">
        <v>957</v>
      </c>
      <c r="C978" s="8" t="s">
        <v>1074</v>
      </c>
      <c r="D978" s="114" t="s">
        <v>1072</v>
      </c>
      <c r="E978" s="4" t="s">
        <v>1008</v>
      </c>
      <c r="F978" s="7" t="n">
        <v>1075</v>
      </c>
      <c r="G978" s="68" t="n">
        <v>2</v>
      </c>
      <c r="H978" s="68" t="n">
        <v>121</v>
      </c>
      <c r="I978" s="7" t="n">
        <v>1</v>
      </c>
      <c r="J978" s="8" t="n">
        <v>547</v>
      </c>
      <c r="K978" s="32" t="n">
        <v>531</v>
      </c>
      <c r="L978" s="32" t="n">
        <v>931</v>
      </c>
      <c r="M978" s="32" t="n">
        <v>175</v>
      </c>
      <c r="N978" s="32" t="n">
        <v>387</v>
      </c>
      <c r="O978" s="33" t="n">
        <v>89.7</v>
      </c>
      <c r="P978" s="33"/>
      <c r="Q978" s="33"/>
      <c r="R978" s="32" t="n">
        <v>141</v>
      </c>
      <c r="S978" s="34" t="s">
        <v>1009</v>
      </c>
      <c r="T978" s="35" t="n">
        <v>10</v>
      </c>
      <c r="U978" s="35" t="n">
        <v>8.2</v>
      </c>
      <c r="V978" s="35" t="n">
        <v>18.1</v>
      </c>
      <c r="W978" s="35" t="n">
        <v>16.9</v>
      </c>
      <c r="X978" s="35" t="n">
        <v>3.18</v>
      </c>
      <c r="Y978" s="35" t="n">
        <v>7.03</v>
      </c>
      <c r="Z978" s="35" t="n">
        <v>1.63</v>
      </c>
      <c r="AA978" s="35"/>
      <c r="AB978" s="35"/>
      <c r="AC978" s="71" t="n">
        <v>2.56</v>
      </c>
      <c r="AD978" s="38" t="n">
        <v>6.51</v>
      </c>
      <c r="AE978" s="38" t="n">
        <v>5.83</v>
      </c>
      <c r="AF978" s="38" t="n">
        <v>1.1</v>
      </c>
      <c r="AG978" s="38" t="n">
        <v>3.52</v>
      </c>
      <c r="AH978" s="38"/>
      <c r="AI978" s="38"/>
      <c r="AJ978" s="102" t="s">
        <v>1010</v>
      </c>
      <c r="AK978" s="111" t="n">
        <v>641</v>
      </c>
      <c r="AL978" s="111" t="n">
        <v>655</v>
      </c>
      <c r="AM978" s="111" t="n">
        <v>653</v>
      </c>
      <c r="AN978" s="111" t="n">
        <v>499</v>
      </c>
      <c r="AO978" s="104" t="n">
        <v>30.4</v>
      </c>
      <c r="AP978" s="105" t="n">
        <v>1.35</v>
      </c>
      <c r="AQ978" s="105" t="n">
        <v>1.1</v>
      </c>
      <c r="AR978" s="105" t="n">
        <v>1.39</v>
      </c>
      <c r="AS978" s="77" t="n">
        <v>32.41</v>
      </c>
      <c r="AT978" s="78" t="n">
        <v>32.4</v>
      </c>
      <c r="AU978" s="78" t="n">
        <v>44.2</v>
      </c>
      <c r="AV978" s="78" t="n">
        <v>36.3</v>
      </c>
      <c r="AW978" s="78" t="n">
        <v>45.6</v>
      </c>
      <c r="AX978" s="78"/>
      <c r="AY978" s="48" t="n">
        <v>1.79005524861878</v>
      </c>
      <c r="AZ978" s="48" t="n">
        <v>22.5937315383349</v>
      </c>
      <c r="BA978" s="48" t="n">
        <v>-4.49373153833486</v>
      </c>
      <c r="BB978" s="49" t="n">
        <f aca="false">AT978/V978</f>
        <v>1.79005524861878</v>
      </c>
      <c r="BC978" s="49" t="n">
        <f aca="false">AS978/V978</f>
        <v>1.79060773480663</v>
      </c>
      <c r="BD978" s="49" t="n">
        <f aca="false">SUM(AP978:AR978)/V978</f>
        <v>0.212154696132597</v>
      </c>
      <c r="BE978" s="53" t="n">
        <v>6.75</v>
      </c>
      <c r="BF978" s="51" t="n">
        <v>141.8</v>
      </c>
      <c r="BG978" s="51" t="n">
        <v>685.084626234132</v>
      </c>
      <c r="BH978" s="51" t="n">
        <v>159.732016925247</v>
      </c>
      <c r="BI978" s="51" t="n">
        <v>94.231311706629</v>
      </c>
      <c r="BJ978" s="51" t="n">
        <v>9.74612129760225</v>
      </c>
      <c r="BK978" s="51" t="n">
        <v>16.0084626234133</v>
      </c>
      <c r="BL978" s="51" t="n">
        <v>21.5444287729196</v>
      </c>
      <c r="BM978" s="51" t="n">
        <v>13.3356840620592</v>
      </c>
      <c r="BN978" s="52" t="n">
        <f aca="false">(BG978*0.5-BH978*0.25+BI978*0.5)/SUM(BG978:BI978)*1000</f>
        <v>372.425032104959</v>
      </c>
      <c r="BO978" s="93" t="n">
        <v>16.62</v>
      </c>
      <c r="BP978" s="94" t="s">
        <v>1011</v>
      </c>
      <c r="BQ978" s="55" t="n">
        <v>434.823529411765</v>
      </c>
      <c r="BR978" s="56" t="n">
        <v>24.0233994150146</v>
      </c>
      <c r="BS978" s="56" t="n">
        <v>39.2812258378215</v>
      </c>
      <c r="BT978" s="56" t="n">
        <v>13.4204793028322</v>
      </c>
      <c r="BU978" s="55" t="n">
        <v>13015</v>
      </c>
      <c r="BV978" s="55" t="n">
        <v>717</v>
      </c>
      <c r="BW978" s="55" t="n">
        <v>1254</v>
      </c>
      <c r="BX978" s="55" t="n">
        <v>402</v>
      </c>
      <c r="BY978" s="81" t="n">
        <v>0.1122</v>
      </c>
      <c r="BZ978" s="81" t="n">
        <v>1.00134473153395</v>
      </c>
      <c r="CA978" s="81" t="n">
        <v>2.97</v>
      </c>
      <c r="CB978" s="81"/>
      <c r="CC978" s="81" t="n">
        <v>6.56</v>
      </c>
      <c r="CD978" s="81" t="n">
        <v>8.23</v>
      </c>
      <c r="CE978" s="81" t="n">
        <v>72.26</v>
      </c>
      <c r="CF978" s="81" t="n">
        <v>31.69</v>
      </c>
      <c r="CG978" s="81" t="n">
        <v>0.0602</v>
      </c>
      <c r="CH978" s="63" t="n">
        <v>38417.6399995056</v>
      </c>
      <c r="CI978" s="63" t="n">
        <v>2200.47737502483</v>
      </c>
      <c r="CJ978" s="63" t="n">
        <v>515156.313592815</v>
      </c>
      <c r="CK978" s="85" t="n">
        <v>0.427147511728665</v>
      </c>
    </row>
    <row r="979" customFormat="false" ht="15" hidden="false" customHeight="false" outlineLevel="0" collapsed="false">
      <c r="A979" s="7" t="s">
        <v>1006</v>
      </c>
      <c r="B979" s="66" t="n">
        <v>958</v>
      </c>
      <c r="C979" s="8" t="s">
        <v>1075</v>
      </c>
      <c r="D979" s="114" t="s">
        <v>1072</v>
      </c>
      <c r="E979" s="4" t="s">
        <v>1008</v>
      </c>
      <c r="F979" s="7" t="n">
        <v>3489</v>
      </c>
      <c r="G979" s="68" t="n">
        <v>2</v>
      </c>
      <c r="H979" s="68" t="n">
        <v>103</v>
      </c>
      <c r="I979" s="7" t="n">
        <v>2</v>
      </c>
      <c r="J979" s="8" t="n">
        <v>637</v>
      </c>
      <c r="K979" s="32" t="n">
        <v>535</v>
      </c>
      <c r="L979" s="32" t="n">
        <v>934</v>
      </c>
      <c r="M979" s="32" t="n">
        <v>175</v>
      </c>
      <c r="N979" s="32" t="n">
        <v>394</v>
      </c>
      <c r="O979" s="33" t="n">
        <v>100.1</v>
      </c>
      <c r="P979" s="33"/>
      <c r="Q979" s="33"/>
      <c r="R979" s="32" t="n">
        <v>136</v>
      </c>
      <c r="S979" s="34" t="s">
        <v>1009</v>
      </c>
      <c r="T979" s="35" t="n">
        <v>13.5</v>
      </c>
      <c r="U979" s="35" t="n">
        <v>11</v>
      </c>
      <c r="V979" s="35" t="n">
        <v>24.5</v>
      </c>
      <c r="W979" s="35" t="n">
        <v>22.9</v>
      </c>
      <c r="X979" s="35" t="n">
        <v>4.3</v>
      </c>
      <c r="Y979" s="35" t="n">
        <v>9.67</v>
      </c>
      <c r="Z979" s="35" t="n">
        <v>2.46</v>
      </c>
      <c r="AA979" s="35"/>
      <c r="AB979" s="35"/>
      <c r="AC979" s="71" t="n">
        <v>3.35</v>
      </c>
      <c r="AD979" s="38" t="n">
        <v>8.72</v>
      </c>
      <c r="AE979" s="38" t="n">
        <v>7.73</v>
      </c>
      <c r="AF979" s="38" t="n">
        <v>1.51</v>
      </c>
      <c r="AG979" s="38" t="n">
        <v>4.9</v>
      </c>
      <c r="AH979" s="38"/>
      <c r="AI979" s="38"/>
      <c r="AJ979" s="102" t="s">
        <v>1010</v>
      </c>
      <c r="AK979" s="111" t="n">
        <v>645</v>
      </c>
      <c r="AL979" s="111" t="n">
        <v>662</v>
      </c>
      <c r="AM979" s="111" t="n">
        <v>650</v>
      </c>
      <c r="AN979" s="111" t="n">
        <v>493</v>
      </c>
      <c r="AO979" s="104" t="n">
        <v>41</v>
      </c>
      <c r="AP979" s="105" t="n">
        <v>1.82</v>
      </c>
      <c r="AQ979" s="105" t="n">
        <v>1.45</v>
      </c>
      <c r="AR979" s="105" t="n">
        <v>1.93</v>
      </c>
      <c r="AS979" s="77" t="n">
        <v>43.7</v>
      </c>
      <c r="AT979" s="78" t="n">
        <v>43.7</v>
      </c>
      <c r="AU979" s="78" t="n">
        <v>44.2</v>
      </c>
      <c r="AV979" s="78" t="n">
        <v>35.5</v>
      </c>
      <c r="AW979" s="78" t="n">
        <v>47.2</v>
      </c>
      <c r="AX979" s="78"/>
      <c r="AY979" s="48" t="n">
        <v>1.78367346938776</v>
      </c>
      <c r="AZ979" s="48" t="n">
        <v>27.6939677189004</v>
      </c>
      <c r="BA979" s="48" t="n">
        <v>-3.19396771890039</v>
      </c>
      <c r="BB979" s="49" t="n">
        <f aca="false">AT979/V979</f>
        <v>1.78367346938776</v>
      </c>
      <c r="BC979" s="49" t="n">
        <f aca="false">AS979/V979</f>
        <v>1.78367346938776</v>
      </c>
      <c r="BD979" s="49" t="n">
        <f aca="false">SUM(AP979:AR979)/V979</f>
        <v>0.212244897959184</v>
      </c>
      <c r="BE979" s="53" t="n">
        <v>6.71</v>
      </c>
      <c r="BF979" s="51" t="n">
        <v>131.9</v>
      </c>
      <c r="BG979" s="51" t="n">
        <v>696.876421531463</v>
      </c>
      <c r="BH979" s="51" t="n">
        <v>153.290371493556</v>
      </c>
      <c r="BI979" s="51" t="n">
        <v>86.5579984836998</v>
      </c>
      <c r="BJ979" s="51" t="n">
        <v>10.166793025019</v>
      </c>
      <c r="BK979" s="51" t="n">
        <v>16.9825625473844</v>
      </c>
      <c r="BL979" s="51" t="n">
        <v>20.9628506444276</v>
      </c>
      <c r="BM979" s="51" t="n">
        <v>15.3904473085671</v>
      </c>
      <c r="BN979" s="52" t="n">
        <f aca="false">(BG979*0.5-BH979*0.25+BI979*0.5)/SUM(BG979:BI979)*1000</f>
        <v>377.266215581851</v>
      </c>
      <c r="BO979" s="93" t="n">
        <v>14.25</v>
      </c>
      <c r="BP979" s="94" t="s">
        <v>1011</v>
      </c>
      <c r="BQ979" s="55" t="n">
        <v>563.764705882353</v>
      </c>
      <c r="BR979" s="56" t="n">
        <v>23.0108043217287</v>
      </c>
      <c r="BS979" s="56" t="n">
        <v>37.1881361154074</v>
      </c>
      <c r="BT979" s="56" t="n">
        <v>12.9007941849509</v>
      </c>
      <c r="BU979" s="55" t="n">
        <v>16833</v>
      </c>
      <c r="BV979" s="55" t="n">
        <v>686</v>
      </c>
      <c r="BW979" s="55" t="n">
        <v>1186</v>
      </c>
      <c r="BX979" s="55" t="n">
        <v>385</v>
      </c>
      <c r="BY979" s="81" t="n">
        <v>0.1375</v>
      </c>
      <c r="BZ979" s="81" t="n">
        <v>1.38094323311882</v>
      </c>
      <c r="CA979" s="81" t="n">
        <v>1.16</v>
      </c>
      <c r="CB979" s="81"/>
      <c r="CC979" s="81" t="n">
        <v>5.86</v>
      </c>
      <c r="CD979" s="81" t="n">
        <v>8.1</v>
      </c>
      <c r="CE979" s="81" t="n">
        <v>63.64</v>
      </c>
      <c r="CF979" s="81" t="n">
        <v>38.84</v>
      </c>
      <c r="CG979" s="81" t="n">
        <v>0.1348</v>
      </c>
      <c r="CH979" s="63" t="n">
        <v>57566.0221133102</v>
      </c>
      <c r="CI979" s="63" t="n">
        <v>16618.1476975846</v>
      </c>
      <c r="CJ979" s="64" t="n">
        <v>906673.667448838</v>
      </c>
      <c r="CK979" s="65" t="n">
        <v>1.8328697848195</v>
      </c>
    </row>
    <row r="980" customFormat="false" ht="15" hidden="false" customHeight="false" outlineLevel="0" collapsed="false">
      <c r="A980" s="7" t="s">
        <v>1006</v>
      </c>
      <c r="B980" s="66" t="n">
        <v>959</v>
      </c>
      <c r="C980" s="8" t="s">
        <v>1076</v>
      </c>
      <c r="D980" s="114" t="s">
        <v>1072</v>
      </c>
      <c r="E980" s="4" t="s">
        <v>1008</v>
      </c>
      <c r="F980" s="7" t="n">
        <v>3482</v>
      </c>
      <c r="G980" s="68" t="n">
        <v>2</v>
      </c>
      <c r="H980" s="68" t="n">
        <v>103</v>
      </c>
      <c r="I980" s="7" t="n">
        <v>2</v>
      </c>
      <c r="J980" s="8" t="n">
        <v>657</v>
      </c>
      <c r="K980" s="32" t="n">
        <v>531</v>
      </c>
      <c r="L980" s="32" t="n">
        <v>931</v>
      </c>
      <c r="M980" s="32" t="n">
        <v>180</v>
      </c>
      <c r="N980" s="32" t="n">
        <v>392</v>
      </c>
      <c r="O980" s="33" t="n">
        <v>97.6</v>
      </c>
      <c r="P980" s="33"/>
      <c r="Q980" s="33"/>
      <c r="R980" s="32" t="n">
        <v>136</v>
      </c>
      <c r="S980" s="34" t="s">
        <v>1009</v>
      </c>
      <c r="T980" s="35" t="n">
        <v>10.7</v>
      </c>
      <c r="U980" s="35" t="n">
        <v>8.8</v>
      </c>
      <c r="V980" s="35" t="n">
        <v>19.5</v>
      </c>
      <c r="W980" s="35" t="n">
        <v>18.1</v>
      </c>
      <c r="X980" s="35" t="n">
        <v>3.5</v>
      </c>
      <c r="Y980" s="35" t="n">
        <v>7.63</v>
      </c>
      <c r="Z980" s="35" t="n">
        <v>1.9</v>
      </c>
      <c r="AA980" s="35"/>
      <c r="AB980" s="35"/>
      <c r="AC980" s="71" t="n">
        <v>2.66</v>
      </c>
      <c r="AD980" s="38" t="n">
        <v>6.93</v>
      </c>
      <c r="AE980" s="38" t="n">
        <v>6.18</v>
      </c>
      <c r="AF980" s="38" t="n">
        <v>1.06</v>
      </c>
      <c r="AG980" s="38" t="n">
        <v>4.09</v>
      </c>
      <c r="AH980" s="38"/>
      <c r="AI980" s="38"/>
      <c r="AJ980" s="102" t="s">
        <v>1010</v>
      </c>
      <c r="AK980" s="111" t="n">
        <v>644</v>
      </c>
      <c r="AL980" s="111" t="n">
        <v>659</v>
      </c>
      <c r="AM980" s="111" t="n">
        <v>696</v>
      </c>
      <c r="AN980" s="111" t="n">
        <v>464</v>
      </c>
      <c r="AO980" s="104" t="n">
        <v>28.2</v>
      </c>
      <c r="AP980" s="105" t="n">
        <v>1.13</v>
      </c>
      <c r="AQ980" s="105" t="n">
        <v>0.95</v>
      </c>
      <c r="AR980" s="105" t="n">
        <v>1.32</v>
      </c>
      <c r="AS980" s="77" t="n">
        <v>28.23</v>
      </c>
      <c r="AT980" s="78" t="n">
        <v>28.7</v>
      </c>
      <c r="AU980" s="78" t="n">
        <v>40.9</v>
      </c>
      <c r="AV980" s="78" t="n">
        <v>34.2</v>
      </c>
      <c r="AW980" s="78" t="n">
        <v>47.7</v>
      </c>
      <c r="AX980" s="78"/>
      <c r="AY980" s="48" t="n">
        <v>1.47179487179487</v>
      </c>
      <c r="AZ980" s="48" t="n">
        <v>22.3872734849981</v>
      </c>
      <c r="BA980" s="48" t="n">
        <v>-2.88727348499807</v>
      </c>
      <c r="BB980" s="49" t="n">
        <f aca="false">AT980/V980</f>
        <v>1.47179487179487</v>
      </c>
      <c r="BC980" s="49" t="n">
        <f aca="false">AS980/V980</f>
        <v>1.44769230769231</v>
      </c>
      <c r="BD980" s="49" t="n">
        <f aca="false">SUM(AP980:AR980)/V980</f>
        <v>0.174358974358974</v>
      </c>
      <c r="BE980" s="53" t="n">
        <v>7.07</v>
      </c>
      <c r="BF980" s="51" t="n">
        <v>113.3</v>
      </c>
      <c r="BG980" s="51" t="n">
        <v>688.049426301853</v>
      </c>
      <c r="BH980" s="51" t="n">
        <v>170.079435127979</v>
      </c>
      <c r="BI980" s="51" t="n">
        <v>95.8340688437776</v>
      </c>
      <c r="BJ980" s="51" t="n">
        <v>6.45189761694616</v>
      </c>
      <c r="BK980" s="51" t="n">
        <v>14.5189761694616</v>
      </c>
      <c r="BL980" s="51" t="n">
        <v>10.9179170344219</v>
      </c>
      <c r="BM980" s="51" t="n">
        <v>14.1747572815534</v>
      </c>
      <c r="BN980" s="52" t="n">
        <f aca="false">(BG980*0.5-BH980*0.25+BI980*0.5)/SUM(BG980:BI980)*1000</f>
        <v>366.28455645609</v>
      </c>
      <c r="BO980" s="93" t="n">
        <v>4.43</v>
      </c>
      <c r="BP980" s="94" t="s">
        <v>1011</v>
      </c>
      <c r="BQ980" s="55" t="n">
        <v>400.941176470588</v>
      </c>
      <c r="BR980" s="56" t="n">
        <v>20.5610859728507</v>
      </c>
      <c r="BS980" s="56" t="n">
        <v>33.6137271833758</v>
      </c>
      <c r="BT980" s="56" t="n">
        <v>13.9700758352121</v>
      </c>
      <c r="BU980" s="55" t="n">
        <v>13947</v>
      </c>
      <c r="BV980" s="55" t="n">
        <v>716</v>
      </c>
      <c r="BW980" s="55" t="n">
        <v>1245</v>
      </c>
      <c r="BX980" s="55" t="n">
        <v>486</v>
      </c>
      <c r="BY980" s="81" t="n">
        <v>0.1056</v>
      </c>
      <c r="BZ980" s="81" t="n">
        <v>0.688502545384689</v>
      </c>
      <c r="CA980" s="81" t="n">
        <v>3.29</v>
      </c>
      <c r="CB980" s="81"/>
      <c r="CC980" s="81" t="n">
        <v>5.49</v>
      </c>
      <c r="CD980" s="81" t="n">
        <v>7.87</v>
      </c>
      <c r="CE980" s="81" t="n">
        <v>69.17</v>
      </c>
      <c r="CF980" s="81" t="n">
        <v>33.27</v>
      </c>
      <c r="CG980" s="81" t="n">
        <v>0.0296</v>
      </c>
      <c r="CH980" s="63" t="n">
        <v>69004.748104966</v>
      </c>
      <c r="CI980" s="63" t="n">
        <v>12041.8110897315</v>
      </c>
      <c r="CJ980" s="64" t="n">
        <v>767291.462697303</v>
      </c>
      <c r="CK980" s="65" t="n">
        <v>1.56939203355661</v>
      </c>
    </row>
    <row r="981" customFormat="false" ht="15" hidden="false" customHeight="false" outlineLevel="0" collapsed="false">
      <c r="A981" s="7" t="s">
        <v>1006</v>
      </c>
      <c r="B981" s="66" t="n">
        <v>960</v>
      </c>
      <c r="C981" s="8" t="s">
        <v>1077</v>
      </c>
      <c r="D981" s="114" t="s">
        <v>1078</v>
      </c>
      <c r="E981" s="4" t="s">
        <v>1008</v>
      </c>
      <c r="F981" s="7" t="n">
        <v>268</v>
      </c>
      <c r="G981" s="68" t="n">
        <v>2</v>
      </c>
      <c r="H981" s="68" t="n">
        <v>147</v>
      </c>
      <c r="I981" s="7" t="n">
        <v>3</v>
      </c>
      <c r="J981" s="8" t="n">
        <v>709</v>
      </c>
      <c r="K981" s="32" t="n">
        <v>524</v>
      </c>
      <c r="L981" s="32" t="n">
        <v>922</v>
      </c>
      <c r="M981" s="32" t="n">
        <v>170</v>
      </c>
      <c r="N981" s="32" t="n">
        <v>389</v>
      </c>
      <c r="O981" s="33" t="n">
        <v>89.7</v>
      </c>
      <c r="P981" s="33"/>
      <c r="Q981" s="33"/>
      <c r="R981" s="32" t="n">
        <v>140</v>
      </c>
      <c r="S981" s="34" t="s">
        <v>1009</v>
      </c>
      <c r="T981" s="35" t="n">
        <v>11.2</v>
      </c>
      <c r="U981" s="35" t="n">
        <v>9.2</v>
      </c>
      <c r="V981" s="35" t="n">
        <v>20.4</v>
      </c>
      <c r="W981" s="35" t="n">
        <v>18.8</v>
      </c>
      <c r="X981" s="35" t="n">
        <v>3.48</v>
      </c>
      <c r="Y981" s="35" t="n">
        <v>7.95</v>
      </c>
      <c r="Z981" s="35" t="n">
        <v>1.83</v>
      </c>
      <c r="AA981" s="35"/>
      <c r="AB981" s="35"/>
      <c r="AC981" s="71" t="n">
        <v>2.87</v>
      </c>
      <c r="AD981" s="38" t="n">
        <v>6.73</v>
      </c>
      <c r="AE981" s="38" t="n">
        <v>5.94</v>
      </c>
      <c r="AF981" s="38" t="n">
        <v>1.09</v>
      </c>
      <c r="AG981" s="38" t="n">
        <v>3.74</v>
      </c>
      <c r="AH981" s="38"/>
      <c r="AI981" s="38"/>
      <c r="AJ981" s="102" t="s">
        <v>1010</v>
      </c>
      <c r="AK981" s="111" t="n">
        <v>671</v>
      </c>
      <c r="AL981" s="111" t="n">
        <v>685</v>
      </c>
      <c r="AM981" s="111" t="n">
        <v>687</v>
      </c>
      <c r="AN981" s="111" t="n">
        <v>529</v>
      </c>
      <c r="AO981" s="104" t="n">
        <v>28.9</v>
      </c>
      <c r="AP981" s="105" t="n">
        <v>1.21</v>
      </c>
      <c r="AQ981" s="105" t="n">
        <v>0.96</v>
      </c>
      <c r="AR981" s="105" t="n">
        <v>1.34</v>
      </c>
      <c r="AS981" s="77" t="n">
        <v>29.71</v>
      </c>
      <c r="AT981" s="78" t="n">
        <v>29.5</v>
      </c>
      <c r="AU981" s="78" t="n">
        <v>42</v>
      </c>
      <c r="AV981" s="78" t="n">
        <v>33.3</v>
      </c>
      <c r="AW981" s="78" t="n">
        <v>46.3</v>
      </c>
      <c r="AX981" s="78"/>
      <c r="AY981" s="48" t="n">
        <v>1.44607843137255</v>
      </c>
      <c r="AZ981" s="48" t="n">
        <v>24.1388539845463</v>
      </c>
      <c r="BA981" s="48" t="n">
        <v>-3.73885398454634</v>
      </c>
      <c r="BB981" s="49" t="n">
        <f aca="false">AT981/V981</f>
        <v>1.44607843137255</v>
      </c>
      <c r="BC981" s="49" t="n">
        <f aca="false">AS981/V981</f>
        <v>1.45637254901961</v>
      </c>
      <c r="BD981" s="49" t="n">
        <f aca="false">SUM(AP981:AR981)/V981</f>
        <v>0.172058823529412</v>
      </c>
      <c r="BE981" s="53" t="n">
        <v>6.32</v>
      </c>
      <c r="BF981" s="51" t="n">
        <v>153.6</v>
      </c>
      <c r="BG981" s="51" t="n">
        <v>706.276041666667</v>
      </c>
      <c r="BH981" s="51" t="n">
        <v>164.51171875</v>
      </c>
      <c r="BI981" s="51" t="n">
        <v>87.8125</v>
      </c>
      <c r="BJ981" s="51" t="n">
        <v>6.70572916666667</v>
      </c>
      <c r="BK981" s="51" t="n">
        <v>12.67578125</v>
      </c>
      <c r="BL981" s="51" t="n">
        <v>9.75911458333333</v>
      </c>
      <c r="BM981" s="51" t="n">
        <v>12.5325520833333</v>
      </c>
      <c r="BN981" s="52" t="n">
        <f aca="false">(BG981*0.5-BH981*0.25+BI981*0.5)/SUM(BG981:BI981)*1000</f>
        <v>371.287548984318</v>
      </c>
      <c r="BO981" s="93" t="n">
        <v>6.7</v>
      </c>
      <c r="BP981" s="94" t="s">
        <v>1011</v>
      </c>
      <c r="BQ981" s="55" t="n">
        <v>408.470588235294</v>
      </c>
      <c r="BR981" s="56" t="n">
        <v>20.0230680507497</v>
      </c>
      <c r="BS981" s="56" t="n">
        <v>31.7184802170596</v>
      </c>
      <c r="BT981" s="56" t="n">
        <v>13.8464606181456</v>
      </c>
      <c r="BU981" s="55" t="n">
        <v>12133</v>
      </c>
      <c r="BV981" s="55" t="n">
        <v>594</v>
      </c>
      <c r="BW981" s="55" t="n">
        <v>1002</v>
      </c>
      <c r="BX981" s="55" t="n">
        <v>412</v>
      </c>
      <c r="BY981" s="81" t="n">
        <v>0.1022</v>
      </c>
      <c r="BZ981" s="81" t="n">
        <v>1.02036307751417</v>
      </c>
      <c r="CA981" s="81" t="n">
        <v>3.28</v>
      </c>
      <c r="CB981" s="81"/>
      <c r="CC981" s="81" t="n">
        <v>6.17</v>
      </c>
      <c r="CD981" s="81" t="n">
        <v>7.15</v>
      </c>
      <c r="CE981" s="81" t="n">
        <v>65</v>
      </c>
      <c r="CF981" s="81" t="n">
        <v>34.49</v>
      </c>
      <c r="CG981" s="81" t="n">
        <v>0.05</v>
      </c>
      <c r="CH981" s="63" t="n">
        <v>40384.2229760194</v>
      </c>
      <c r="CI981" s="63" t="n">
        <v>2011.12680002407</v>
      </c>
      <c r="CJ981" s="64" t="n">
        <v>706574.510339292</v>
      </c>
      <c r="CK981" s="65" t="n">
        <v>0.284630533736398</v>
      </c>
    </row>
    <row r="982" customFormat="false" ht="15" hidden="false" customHeight="false" outlineLevel="0" collapsed="false">
      <c r="A982" s="7" t="s">
        <v>1006</v>
      </c>
      <c r="B982" s="66" t="n">
        <v>961</v>
      </c>
      <c r="C982" s="8" t="s">
        <v>1079</v>
      </c>
      <c r="D982" s="114" t="s">
        <v>1080</v>
      </c>
      <c r="E982" s="4" t="s">
        <v>1008</v>
      </c>
      <c r="F982" s="7" t="n">
        <v>180</v>
      </c>
      <c r="G982" s="68" t="n">
        <v>2</v>
      </c>
      <c r="H982" s="68" t="n">
        <v>158</v>
      </c>
      <c r="I982" s="7" t="n">
        <v>3</v>
      </c>
      <c r="J982" s="8" t="n">
        <v>659</v>
      </c>
      <c r="K982" s="32" t="n">
        <v>523</v>
      </c>
      <c r="L982" s="32" t="n">
        <v>923</v>
      </c>
      <c r="M982" s="32" t="n">
        <v>174</v>
      </c>
      <c r="N982" s="32" t="n">
        <v>380</v>
      </c>
      <c r="O982" s="33" t="n">
        <v>84.4</v>
      </c>
      <c r="P982" s="33"/>
      <c r="Q982" s="33"/>
      <c r="R982" s="32" t="n">
        <v>140</v>
      </c>
      <c r="S982" s="34" t="s">
        <v>1009</v>
      </c>
      <c r="T982" s="35" t="n">
        <v>11.6</v>
      </c>
      <c r="U982" s="35" t="n">
        <v>9.5</v>
      </c>
      <c r="V982" s="35" t="n">
        <v>21.1</v>
      </c>
      <c r="W982" s="35" t="n">
        <v>19.5</v>
      </c>
      <c r="X982" s="35" t="n">
        <v>3.67</v>
      </c>
      <c r="Y982" s="35" t="n">
        <v>8.01</v>
      </c>
      <c r="Z982" s="35" t="n">
        <v>1.78</v>
      </c>
      <c r="AA982" s="35"/>
      <c r="AB982" s="35"/>
      <c r="AC982" s="71" t="n">
        <v>2.96</v>
      </c>
      <c r="AD982" s="38" t="n">
        <v>6.58</v>
      </c>
      <c r="AE982" s="38" t="n">
        <v>5.82</v>
      </c>
      <c r="AF982" s="38" t="n">
        <v>1.12</v>
      </c>
      <c r="AG982" s="38" t="n">
        <v>3.55</v>
      </c>
      <c r="AH982" s="38"/>
      <c r="AI982" s="38"/>
      <c r="AJ982" s="102" t="s">
        <v>1010</v>
      </c>
      <c r="AK982" s="111" t="n">
        <v>689</v>
      </c>
      <c r="AL982" s="111" t="n">
        <v>702</v>
      </c>
      <c r="AM982" s="111" t="n">
        <v>696</v>
      </c>
      <c r="AN982" s="111" t="n">
        <v>557</v>
      </c>
      <c r="AO982" s="104" t="n">
        <v>32.7</v>
      </c>
      <c r="AP982" s="105" t="n">
        <v>1.41</v>
      </c>
      <c r="AQ982" s="105" t="n">
        <v>1.15</v>
      </c>
      <c r="AR982" s="105" t="n">
        <v>1.63</v>
      </c>
      <c r="AS982" s="77" t="n">
        <v>34.23</v>
      </c>
      <c r="AT982" s="78" t="n">
        <v>34.9</v>
      </c>
      <c r="AU982" s="78" t="n">
        <v>43.1</v>
      </c>
      <c r="AV982" s="78" t="n">
        <v>35.3</v>
      </c>
      <c r="AW982" s="78" t="n">
        <v>49.8</v>
      </c>
      <c r="AX982" s="78"/>
      <c r="AY982" s="48" t="n">
        <v>1.65402843601896</v>
      </c>
      <c r="AZ982" s="48" t="n">
        <v>25.1597458744777</v>
      </c>
      <c r="BA982" s="48" t="n">
        <v>-4.05974587447768</v>
      </c>
      <c r="BB982" s="49" t="n">
        <f aca="false">AT982/V982</f>
        <v>1.65402843601896</v>
      </c>
      <c r="BC982" s="49" t="n">
        <f aca="false">AS982/V982</f>
        <v>1.62227488151659</v>
      </c>
      <c r="BD982" s="49" t="n">
        <f aca="false">SUM(AP982:AR982)/V982</f>
        <v>0.198578199052133</v>
      </c>
      <c r="BE982" s="53" t="n">
        <v>6.76</v>
      </c>
      <c r="BF982" s="51" t="n">
        <v>129.9</v>
      </c>
      <c r="BG982" s="51" t="n">
        <v>649.160892994611</v>
      </c>
      <c r="BH982" s="51" t="n">
        <v>205.565819861432</v>
      </c>
      <c r="BI982" s="51" t="n">
        <v>102.856043110085</v>
      </c>
      <c r="BJ982" s="51" t="n">
        <v>7.02848344880677</v>
      </c>
      <c r="BK982" s="51" t="n">
        <v>12.7405696689761</v>
      </c>
      <c r="BL982" s="51" t="n">
        <v>13.2332563510393</v>
      </c>
      <c r="BM982" s="51" t="n">
        <v>9.76135488837567</v>
      </c>
      <c r="BN982" s="52" t="n">
        <f aca="false">(BG982*0.5-BH982*0.25+BI982*0.5)/SUM(BG982:BI982)*1000</f>
        <v>338.996301953533</v>
      </c>
      <c r="BO982" s="93" t="n">
        <v>9.58</v>
      </c>
      <c r="BP982" s="94" t="s">
        <v>1011</v>
      </c>
      <c r="BQ982" s="55" t="n">
        <v>426.352941176471</v>
      </c>
      <c r="BR982" s="56" t="n">
        <v>20.2063005296905</v>
      </c>
      <c r="BS982" s="56" t="n">
        <v>31.1456601049361</v>
      </c>
      <c r="BT982" s="56" t="n">
        <v>12.2164166526209</v>
      </c>
      <c r="BU982" s="55" t="n">
        <v>13137</v>
      </c>
      <c r="BV982" s="55" t="n">
        <v>622</v>
      </c>
      <c r="BW982" s="55" t="n">
        <v>1017</v>
      </c>
      <c r="BX982" s="55" t="n">
        <v>377</v>
      </c>
      <c r="BY982" s="81" t="n">
        <v>0.2385</v>
      </c>
      <c r="BZ982" s="81" t="n">
        <v>1.43780616655461</v>
      </c>
      <c r="CA982" s="81" t="n">
        <v>3.38</v>
      </c>
      <c r="CB982" s="81"/>
      <c r="CC982" s="81" t="n">
        <v>5.38</v>
      </c>
      <c r="CD982" s="81" t="n">
        <v>6.6</v>
      </c>
      <c r="CE982" s="81" t="n">
        <v>68.86</v>
      </c>
      <c r="CF982" s="81" t="n">
        <v>35.68</v>
      </c>
      <c r="CG982" s="81" t="n">
        <v>0.0092</v>
      </c>
      <c r="CH982" s="63" t="n">
        <v>42762.0981830957</v>
      </c>
      <c r="CI982" s="63" t="n">
        <v>2114.70578757121</v>
      </c>
      <c r="CJ982" s="64" t="n">
        <v>446811.955691712</v>
      </c>
      <c r="CK982" s="65" t="n">
        <v>0.473287646096537</v>
      </c>
    </row>
    <row r="983" customFormat="false" ht="15" hidden="false" customHeight="false" outlineLevel="0" collapsed="false">
      <c r="A983" s="7" t="s">
        <v>1006</v>
      </c>
      <c r="B983" s="66" t="n">
        <v>962</v>
      </c>
      <c r="C983" s="8" t="s">
        <v>1081</v>
      </c>
      <c r="D983" s="114" t="s">
        <v>1078</v>
      </c>
      <c r="E983" s="4" t="s">
        <v>1008</v>
      </c>
      <c r="F983" s="7" t="n">
        <v>126</v>
      </c>
      <c r="G983" s="68" t="n">
        <v>2</v>
      </c>
      <c r="H983" s="68" t="n">
        <v>150</v>
      </c>
      <c r="I983" s="7" t="n">
        <v>2</v>
      </c>
      <c r="J983" s="8" t="n">
        <v>589</v>
      </c>
      <c r="K983" s="32" t="n">
        <v>524</v>
      </c>
      <c r="L983" s="32" t="n">
        <v>922</v>
      </c>
      <c r="M983" s="32" t="n">
        <v>170</v>
      </c>
      <c r="N983" s="32" t="n">
        <v>389</v>
      </c>
      <c r="O983" s="33" t="n">
        <v>89.7</v>
      </c>
      <c r="P983" s="33"/>
      <c r="Q983" s="33"/>
      <c r="R983" s="32" t="n">
        <v>140</v>
      </c>
      <c r="S983" s="34" t="s">
        <v>1009</v>
      </c>
      <c r="T983" s="35" t="n">
        <v>12.2</v>
      </c>
      <c r="U983" s="35" t="n">
        <v>10</v>
      </c>
      <c r="V983" s="35" t="n">
        <v>22.2</v>
      </c>
      <c r="W983" s="35" t="n">
        <v>20.4</v>
      </c>
      <c r="X983" s="35" t="n">
        <v>3.78</v>
      </c>
      <c r="Y983" s="35" t="n">
        <v>8.61</v>
      </c>
      <c r="Z983" s="35" t="n">
        <v>1.99</v>
      </c>
      <c r="AA983" s="35"/>
      <c r="AB983" s="35"/>
      <c r="AC983" s="71" t="n">
        <v>3.11</v>
      </c>
      <c r="AD983" s="38" t="n">
        <v>7.29</v>
      </c>
      <c r="AE983" s="38" t="n">
        <v>6.44</v>
      </c>
      <c r="AF983" s="38" t="n">
        <v>1.19</v>
      </c>
      <c r="AG983" s="38" t="n">
        <v>3.82</v>
      </c>
      <c r="AH983" s="38"/>
      <c r="AI983" s="38"/>
      <c r="AJ983" s="102" t="s">
        <v>1010</v>
      </c>
      <c r="AK983" s="111" t="n">
        <v>671</v>
      </c>
      <c r="AL983" s="111" t="n">
        <v>685</v>
      </c>
      <c r="AM983" s="111" t="n">
        <v>684</v>
      </c>
      <c r="AN983" s="111" t="n">
        <v>557</v>
      </c>
      <c r="AO983" s="104" t="n">
        <v>34.2</v>
      </c>
      <c r="AP983" s="105" t="n">
        <v>1.67</v>
      </c>
      <c r="AQ983" s="105" t="n">
        <v>1.17</v>
      </c>
      <c r="AR983" s="105" t="n">
        <v>1.63</v>
      </c>
      <c r="AS983" s="77" t="n">
        <v>38.73</v>
      </c>
      <c r="AT983" s="78" t="n">
        <v>38.3</v>
      </c>
      <c r="AU983" s="78" t="n">
        <v>48.8</v>
      </c>
      <c r="AV983" s="78" t="n">
        <v>34.3</v>
      </c>
      <c r="AW983" s="78" t="n">
        <v>47.7</v>
      </c>
      <c r="AX983" s="78"/>
      <c r="AY983" s="48" t="n">
        <v>1.72522522522523</v>
      </c>
      <c r="AZ983" s="48" t="n">
        <v>25.7711747161862</v>
      </c>
      <c r="BA983" s="48" t="n">
        <v>-3.57117471618618</v>
      </c>
      <c r="BB983" s="49" t="n">
        <f aca="false">AT983/V983</f>
        <v>1.72522522522523</v>
      </c>
      <c r="BC983" s="49" t="n">
        <f aca="false">AS983/V983</f>
        <v>1.74459459459459</v>
      </c>
      <c r="BD983" s="49" t="n">
        <f aca="false">SUM(AP983:AR983)/V983</f>
        <v>0.201351351351351</v>
      </c>
      <c r="BE983" s="53" t="n">
        <v>6.5</v>
      </c>
      <c r="BF983" s="51" t="n">
        <v>141</v>
      </c>
      <c r="BG983" s="51" t="n">
        <v>669.475177304965</v>
      </c>
      <c r="BH983" s="51" t="n">
        <v>175.475177304965</v>
      </c>
      <c r="BI983" s="51" t="n">
        <v>105.113475177305</v>
      </c>
      <c r="BJ983" s="51" t="n">
        <v>8.28368794326241</v>
      </c>
      <c r="BK983" s="51" t="n">
        <v>14.0851063829787</v>
      </c>
      <c r="BL983" s="51" t="n">
        <v>15.8156028368794</v>
      </c>
      <c r="BM983" s="51" t="n">
        <v>11.7517730496454</v>
      </c>
      <c r="BN983" s="52" t="n">
        <f aca="false">(BG983*0.5-BH983*0.25+BI983*0.5)/SUM(BG983:BI983)*1000</f>
        <v>361.476272590867</v>
      </c>
      <c r="BO983" s="93" t="n">
        <v>14.54</v>
      </c>
      <c r="BP983" s="94" t="s">
        <v>1011</v>
      </c>
      <c r="BQ983" s="55" t="n">
        <v>400.941176470588</v>
      </c>
      <c r="BR983" s="56" t="n">
        <v>18.060413354531</v>
      </c>
      <c r="BS983" s="56" t="n">
        <v>28.6919404945319</v>
      </c>
      <c r="BT983" s="56" t="n">
        <v>10.4684380279527</v>
      </c>
      <c r="BU983" s="55" t="n">
        <v>11618</v>
      </c>
      <c r="BV983" s="55" t="n">
        <v>524</v>
      </c>
      <c r="BW983" s="55" t="n">
        <v>885</v>
      </c>
      <c r="BX983" s="55" t="n">
        <v>304</v>
      </c>
      <c r="BY983" s="81" t="n">
        <v>0.1795</v>
      </c>
      <c r="BZ983" s="81" t="n">
        <v>2.61857650561906</v>
      </c>
      <c r="CA983" s="81" t="n">
        <v>2.56</v>
      </c>
      <c r="CB983" s="81"/>
      <c r="CC983" s="81" t="n">
        <v>6.8</v>
      </c>
      <c r="CD983" s="81" t="n">
        <v>9.14</v>
      </c>
      <c r="CE983" s="81" t="n">
        <v>67.46</v>
      </c>
      <c r="CF983" s="81" t="n">
        <v>34.49</v>
      </c>
      <c r="CG983" s="81" t="n">
        <v>0.01</v>
      </c>
      <c r="CH983" s="63" t="n">
        <v>57743.662433477</v>
      </c>
      <c r="CI983" s="63" t="n">
        <v>11520.9922620348</v>
      </c>
      <c r="CJ983" s="64" t="n">
        <v>607739.51203764</v>
      </c>
      <c r="CK983" s="65" t="n">
        <v>1.89571223095352</v>
      </c>
    </row>
    <row r="984" customFormat="false" ht="15" hidden="false" customHeight="false" outlineLevel="0" collapsed="false">
      <c r="A984" s="7" t="s">
        <v>1006</v>
      </c>
      <c r="B984" s="66" t="n">
        <v>963</v>
      </c>
      <c r="C984" s="8" t="s">
        <v>1082</v>
      </c>
      <c r="D984" s="114" t="s">
        <v>1083</v>
      </c>
      <c r="E984" s="4" t="s">
        <v>1008</v>
      </c>
      <c r="F984" s="7" t="n">
        <v>447</v>
      </c>
      <c r="G984" s="68" t="n">
        <v>2</v>
      </c>
      <c r="H984" s="68" t="n">
        <v>124</v>
      </c>
      <c r="I984" s="7" t="n">
        <v>1</v>
      </c>
      <c r="J984" s="8" t="n">
        <v>499</v>
      </c>
      <c r="K984" s="32" t="n">
        <v>536</v>
      </c>
      <c r="L984" s="32" t="n">
        <v>930</v>
      </c>
      <c r="M984" s="32" t="n">
        <v>175</v>
      </c>
      <c r="N984" s="32" t="n">
        <v>380</v>
      </c>
      <c r="O984" s="33" t="n">
        <v>88.3</v>
      </c>
      <c r="P984" s="33"/>
      <c r="Q984" s="33"/>
      <c r="R984" s="32" t="n">
        <v>141</v>
      </c>
      <c r="S984" s="34" t="s">
        <v>1009</v>
      </c>
      <c r="T984" s="35" t="n">
        <v>10.6</v>
      </c>
      <c r="U984" s="35" t="n">
        <v>8.7</v>
      </c>
      <c r="V984" s="35" t="n">
        <v>19.2</v>
      </c>
      <c r="W984" s="35" t="n">
        <v>17.9</v>
      </c>
      <c r="X984" s="35" t="n">
        <v>3.37</v>
      </c>
      <c r="Y984" s="35" t="n">
        <v>7.3</v>
      </c>
      <c r="Z984" s="35" t="n">
        <v>1.7</v>
      </c>
      <c r="AA984" s="35"/>
      <c r="AB984" s="35"/>
      <c r="AC984" s="71" t="n">
        <v>2.71</v>
      </c>
      <c r="AD984" s="38" t="n">
        <v>6.2</v>
      </c>
      <c r="AE984" s="38" t="n">
        <v>5.54</v>
      </c>
      <c r="AF984" s="38" t="n">
        <v>1.03</v>
      </c>
      <c r="AG984" s="38" t="n">
        <v>3.44</v>
      </c>
      <c r="AH984" s="38"/>
      <c r="AI984" s="38"/>
      <c r="AJ984" s="102" t="s">
        <v>1010</v>
      </c>
      <c r="AK984" s="111" t="n">
        <v>677</v>
      </c>
      <c r="AL984" s="111" t="n">
        <v>690</v>
      </c>
      <c r="AM984" s="111" t="n">
        <v>693</v>
      </c>
      <c r="AN984" s="111" t="n">
        <v>529</v>
      </c>
      <c r="AO984" s="104" t="n">
        <v>31.1</v>
      </c>
      <c r="AP984" s="105" t="n">
        <v>1.55</v>
      </c>
      <c r="AQ984" s="105" t="n">
        <v>1.09</v>
      </c>
      <c r="AR984" s="105" t="n">
        <v>1.54</v>
      </c>
      <c r="AS984" s="77" t="n">
        <v>35.69</v>
      </c>
      <c r="AT984" s="78" t="n">
        <v>35.7</v>
      </c>
      <c r="AU984" s="78" t="n">
        <v>50.1</v>
      </c>
      <c r="AV984" s="78" t="n">
        <v>35</v>
      </c>
      <c r="AW984" s="78" t="n">
        <v>49.6</v>
      </c>
      <c r="AX984" s="78"/>
      <c r="AY984" s="48" t="n">
        <v>1.859375</v>
      </c>
      <c r="AZ984" s="48" t="n">
        <v>23.1095195198594</v>
      </c>
      <c r="BA984" s="48" t="n">
        <v>-3.90951951985942</v>
      </c>
      <c r="BB984" s="49" t="n">
        <f aca="false">AT984/V984</f>
        <v>1.859375</v>
      </c>
      <c r="BC984" s="49" t="n">
        <f aca="false">AS984/V984</f>
        <v>1.85885416666667</v>
      </c>
      <c r="BD984" s="49" t="n">
        <f aca="false">SUM(AP984:AR984)/V984</f>
        <v>0.217708333333333</v>
      </c>
      <c r="BE984" s="53" t="n">
        <v>6.53</v>
      </c>
      <c r="BF984" s="51" t="n">
        <v>153.2</v>
      </c>
      <c r="BG984" s="51" t="n">
        <v>686.194516971279</v>
      </c>
      <c r="BH984" s="51" t="n">
        <v>173.968668407311</v>
      </c>
      <c r="BI984" s="51" t="n">
        <v>85.9986945169713</v>
      </c>
      <c r="BJ984" s="51" t="n">
        <v>8.17232375979112</v>
      </c>
      <c r="BK984" s="51" t="n">
        <v>16.6840731070496</v>
      </c>
      <c r="BL984" s="51" t="n">
        <v>14.5169712793734</v>
      </c>
      <c r="BM984" s="51" t="n">
        <v>14.6801566579635</v>
      </c>
      <c r="BN984" s="52" t="n">
        <f aca="false">(BG984*0.5-BH984*0.25+BI984*0.5)/SUM(BG984:BI984)*1000</f>
        <v>362.099177658811</v>
      </c>
      <c r="BO984" s="93" t="n">
        <v>9.1</v>
      </c>
      <c r="BP984" s="94" t="s">
        <v>1011</v>
      </c>
      <c r="BQ984" s="55" t="n">
        <v>448</v>
      </c>
      <c r="BR984" s="56" t="n">
        <v>23.3333333333333</v>
      </c>
      <c r="BS984" s="56" t="n">
        <v>36.2723666099911</v>
      </c>
      <c r="BT984" s="56" t="n">
        <v>12.5490196078431</v>
      </c>
      <c r="BU984" s="55" t="n">
        <v>13148</v>
      </c>
      <c r="BV984" s="55" t="n">
        <v>684</v>
      </c>
      <c r="BW984" s="55" t="n">
        <v>1127</v>
      </c>
      <c r="BX984" s="55" t="n">
        <v>368</v>
      </c>
      <c r="BY984" s="81" t="n">
        <v>0.1788</v>
      </c>
      <c r="BZ984" s="81" t="n">
        <v>1.81894150417827</v>
      </c>
      <c r="CA984" s="81" t="n">
        <v>2.86</v>
      </c>
      <c r="CB984" s="81"/>
      <c r="CC984" s="81" t="n">
        <v>6.22</v>
      </c>
      <c r="CD984" s="81" t="n">
        <v>7.68</v>
      </c>
      <c r="CE984" s="81" t="n">
        <v>57.88</v>
      </c>
      <c r="CF984" s="81" t="n">
        <v>33.36</v>
      </c>
      <c r="CG984" s="81" t="n">
        <v>0.04</v>
      </c>
      <c r="CH984" s="63" t="n">
        <v>18515.6485646052</v>
      </c>
      <c r="CI984" s="63" t="n">
        <v>2057.24222076773</v>
      </c>
      <c r="CJ984" s="63" t="n">
        <v>488185.467556687</v>
      </c>
      <c r="CK984" s="85" t="n">
        <v>0.421405870818728</v>
      </c>
    </row>
    <row r="985" customFormat="false" ht="15" hidden="false" customHeight="false" outlineLevel="0" collapsed="false">
      <c r="A985" s="7" t="s">
        <v>1006</v>
      </c>
      <c r="B985" s="66" t="n">
        <v>964</v>
      </c>
      <c r="C985" s="8" t="s">
        <v>1084</v>
      </c>
      <c r="D985" s="114" t="s">
        <v>1083</v>
      </c>
      <c r="E985" s="4" t="s">
        <v>1008</v>
      </c>
      <c r="F985" s="7" t="n">
        <v>1060</v>
      </c>
      <c r="G985" s="68" t="n">
        <v>2</v>
      </c>
      <c r="H985" s="68" t="n">
        <v>128</v>
      </c>
      <c r="I985" s="7" t="n">
        <v>1</v>
      </c>
      <c r="J985" s="8" t="n">
        <v>579</v>
      </c>
      <c r="K985" s="32" t="n">
        <v>529</v>
      </c>
      <c r="L985" s="32" t="n">
        <v>928</v>
      </c>
      <c r="M985" s="32" t="n">
        <v>175</v>
      </c>
      <c r="N985" s="32" t="n">
        <v>391</v>
      </c>
      <c r="O985" s="33" t="n">
        <v>92</v>
      </c>
      <c r="P985" s="33"/>
      <c r="Q985" s="33"/>
      <c r="R985" s="32" t="n">
        <v>141</v>
      </c>
      <c r="S985" s="34" t="s">
        <v>1009</v>
      </c>
      <c r="T985" s="35" t="n">
        <v>9.5</v>
      </c>
      <c r="U985" s="35" t="n">
        <v>7.8</v>
      </c>
      <c r="V985" s="35" t="n">
        <v>17.2</v>
      </c>
      <c r="W985" s="35" t="n">
        <v>16</v>
      </c>
      <c r="X985" s="35" t="n">
        <v>3.01</v>
      </c>
      <c r="Y985" s="35" t="n">
        <v>6.73</v>
      </c>
      <c r="Z985" s="35" t="n">
        <v>1.59</v>
      </c>
      <c r="AA985" s="35"/>
      <c r="AB985" s="35"/>
      <c r="AC985" s="71" t="n">
        <v>2.43</v>
      </c>
      <c r="AD985" s="38" t="n">
        <v>6.52</v>
      </c>
      <c r="AE985" s="38" t="n">
        <v>5.82</v>
      </c>
      <c r="AF985" s="38" t="n">
        <v>1.01</v>
      </c>
      <c r="AG985" s="38" t="n">
        <v>3.53</v>
      </c>
      <c r="AH985" s="38"/>
      <c r="AI985" s="38"/>
      <c r="AJ985" s="102" t="s">
        <v>1010</v>
      </c>
      <c r="AK985" s="111" t="n">
        <v>622</v>
      </c>
      <c r="AL985" s="111" t="n">
        <v>636</v>
      </c>
      <c r="AM985" s="111" t="n">
        <v>666</v>
      </c>
      <c r="AN985" s="111" t="n">
        <v>475</v>
      </c>
      <c r="AO985" s="104" t="n">
        <v>26.6</v>
      </c>
      <c r="AP985" s="105" t="n">
        <v>1.27</v>
      </c>
      <c r="AQ985" s="105" t="n">
        <v>0.93</v>
      </c>
      <c r="AR985" s="105" t="n">
        <v>1.32</v>
      </c>
      <c r="AS985" s="77" t="n">
        <v>29.69</v>
      </c>
      <c r="AT985" s="78" t="n">
        <v>29.7</v>
      </c>
      <c r="AU985" s="78" t="n">
        <v>47.6</v>
      </c>
      <c r="AV985" s="78" t="n">
        <v>35</v>
      </c>
      <c r="AW985" s="78" t="n">
        <v>49.5</v>
      </c>
      <c r="AX985" s="78"/>
      <c r="AY985" s="48" t="n">
        <v>1.72674418604651</v>
      </c>
      <c r="AZ985" s="48" t="n">
        <v>22.1386432265794</v>
      </c>
      <c r="BA985" s="48" t="n">
        <v>-4.93864322657939</v>
      </c>
      <c r="BB985" s="49" t="n">
        <f aca="false">AT985/V985</f>
        <v>1.72674418604651</v>
      </c>
      <c r="BC985" s="49" t="n">
        <f aca="false">AS985/V985</f>
        <v>1.72616279069767</v>
      </c>
      <c r="BD985" s="49" t="n">
        <f aca="false">SUM(AP985:AR985)/V985</f>
        <v>0.204651162790698</v>
      </c>
      <c r="BE985" s="53" t="n">
        <v>6.6</v>
      </c>
      <c r="BF985" s="51" t="n">
        <v>145.6</v>
      </c>
      <c r="BG985" s="51" t="n">
        <v>675.425824175824</v>
      </c>
      <c r="BH985" s="51" t="n">
        <v>173.173076923077</v>
      </c>
      <c r="BI985" s="51" t="n">
        <v>94.7802197802198</v>
      </c>
      <c r="BJ985" s="51" t="n">
        <v>7.98076923076923</v>
      </c>
      <c r="BK985" s="51" t="n">
        <v>16.6002747252747</v>
      </c>
      <c r="BL985" s="51" t="n">
        <v>16.2706043956044</v>
      </c>
      <c r="BM985" s="51" t="n">
        <v>15.5288461538462</v>
      </c>
      <c r="BN985" s="52" t="n">
        <f aca="false">(BG985*0.5-BH985*0.25+BI985*0.5)/SUM(BG985:BI985)*1000</f>
        <v>362.324907539532</v>
      </c>
      <c r="BO985" s="93" t="n">
        <v>8.97</v>
      </c>
      <c r="BP985" s="94" t="s">
        <v>1011</v>
      </c>
      <c r="BQ985" s="55" t="n">
        <v>396.235294117647</v>
      </c>
      <c r="BR985" s="56" t="n">
        <v>23.0369357045144</v>
      </c>
      <c r="BS985" s="56" t="n">
        <v>38.9382167961524</v>
      </c>
      <c r="BT985" s="56" t="n">
        <v>13.3412556941969</v>
      </c>
      <c r="BU985" s="55" t="n">
        <v>13032</v>
      </c>
      <c r="BV985" s="55" t="n">
        <v>756</v>
      </c>
      <c r="BW985" s="55" t="n">
        <v>1377</v>
      </c>
      <c r="BX985" s="55" t="n">
        <v>438</v>
      </c>
      <c r="BY985" s="81" t="n">
        <v>0.2299</v>
      </c>
      <c r="BZ985" s="81" t="n">
        <v>0.597060801075785</v>
      </c>
      <c r="CA985" s="81" t="n">
        <v>3.28</v>
      </c>
      <c r="CB985" s="81"/>
      <c r="CC985" s="81" t="n">
        <v>6.19</v>
      </c>
      <c r="CD985" s="81" t="n">
        <v>6.3</v>
      </c>
      <c r="CE985" s="81" t="n">
        <v>82.6</v>
      </c>
      <c r="CF985" s="81" t="n">
        <v>34.99</v>
      </c>
      <c r="CG985" s="81" t="n">
        <v>0.04</v>
      </c>
      <c r="CH985" s="63" t="n">
        <v>39125.8575422798</v>
      </c>
      <c r="CI985" s="63" t="n">
        <v>2215.92938455102</v>
      </c>
      <c r="CJ985" s="64" t="n">
        <v>772398.455274605</v>
      </c>
      <c r="CK985" s="65" t="n">
        <v>0.286889411730272</v>
      </c>
    </row>
    <row r="986" customFormat="false" ht="15" hidden="false" customHeight="false" outlineLevel="0" collapsed="false">
      <c r="A986" s="7" t="s">
        <v>1006</v>
      </c>
      <c r="B986" s="66" t="n">
        <v>965</v>
      </c>
      <c r="C986" s="8" t="s">
        <v>1085</v>
      </c>
      <c r="D986" s="114" t="s">
        <v>1083</v>
      </c>
      <c r="E986" s="4" t="s">
        <v>1008</v>
      </c>
      <c r="F986" s="7" t="n">
        <v>808</v>
      </c>
      <c r="G986" s="68" t="n">
        <v>2</v>
      </c>
      <c r="H986" s="68" t="n">
        <v>132</v>
      </c>
      <c r="I986" s="7" t="n">
        <v>1</v>
      </c>
      <c r="J986" s="8" t="n">
        <v>506</v>
      </c>
      <c r="K986" s="32" t="n">
        <v>529</v>
      </c>
      <c r="L986" s="32" t="n">
        <v>928</v>
      </c>
      <c r="M986" s="32" t="n">
        <v>175</v>
      </c>
      <c r="N986" s="32" t="n">
        <v>391</v>
      </c>
      <c r="O986" s="33" t="n">
        <v>92</v>
      </c>
      <c r="P986" s="33"/>
      <c r="Q986" s="33"/>
      <c r="R986" s="32" t="n">
        <v>141</v>
      </c>
      <c r="S986" s="34" t="s">
        <v>1009</v>
      </c>
      <c r="T986" s="35" t="n">
        <v>10.3</v>
      </c>
      <c r="U986" s="35" t="n">
        <v>8.4</v>
      </c>
      <c r="V986" s="35" t="n">
        <v>18.7</v>
      </c>
      <c r="W986" s="35" t="n">
        <v>17.4</v>
      </c>
      <c r="X986" s="35" t="n">
        <v>3.28</v>
      </c>
      <c r="Y986" s="35" t="n">
        <v>7.32</v>
      </c>
      <c r="Z986" s="35" t="n">
        <v>1.73</v>
      </c>
      <c r="AA986" s="35"/>
      <c r="AB986" s="35"/>
      <c r="AC986" s="71" t="n">
        <v>2.65</v>
      </c>
      <c r="AD986" s="38" t="n">
        <v>6.25</v>
      </c>
      <c r="AE986" s="38" t="n">
        <v>5.53</v>
      </c>
      <c r="AF986" s="38" t="n">
        <v>1</v>
      </c>
      <c r="AG986" s="38" t="n">
        <v>3.57</v>
      </c>
      <c r="AH986" s="38"/>
      <c r="AI986" s="38"/>
      <c r="AJ986" s="102" t="s">
        <v>1010</v>
      </c>
      <c r="AK986" s="111" t="n">
        <v>667</v>
      </c>
      <c r="AL986" s="111" t="n">
        <v>682</v>
      </c>
      <c r="AM986" s="111" t="n">
        <v>695</v>
      </c>
      <c r="AN986" s="111" t="n">
        <v>512</v>
      </c>
      <c r="AO986" s="104" t="n">
        <v>28</v>
      </c>
      <c r="AP986" s="105" t="n">
        <v>1.25</v>
      </c>
      <c r="AQ986" s="105" t="n">
        <v>0.86</v>
      </c>
      <c r="AR986" s="105" t="n">
        <v>1.21</v>
      </c>
      <c r="AS986" s="77" t="n">
        <v>29.95</v>
      </c>
      <c r="AT986" s="78" t="n">
        <v>28.5</v>
      </c>
      <c r="AU986" s="78" t="n">
        <v>44.9</v>
      </c>
      <c r="AV986" s="78" t="n">
        <v>30.5</v>
      </c>
      <c r="AW986" s="78" t="n">
        <v>43.1</v>
      </c>
      <c r="AX986" s="78"/>
      <c r="AY986" s="48" t="n">
        <v>1.52406417112299</v>
      </c>
      <c r="AZ986" s="48" t="n">
        <v>21.1846870118398</v>
      </c>
      <c r="BA986" s="48" t="n">
        <v>-2.48468701183985</v>
      </c>
      <c r="BB986" s="49" t="n">
        <f aca="false">AT986/V986</f>
        <v>1.52406417112299</v>
      </c>
      <c r="BC986" s="49" t="n">
        <f aca="false">AS986/V986</f>
        <v>1.60160427807487</v>
      </c>
      <c r="BD986" s="49" t="n">
        <f aca="false">SUM(AP986:AR986)/V986</f>
        <v>0.177540106951872</v>
      </c>
      <c r="BE986" s="53" t="n">
        <v>6.8</v>
      </c>
      <c r="BF986" s="51" t="n">
        <v>127.6</v>
      </c>
      <c r="BG986" s="51" t="n">
        <v>675.611285266458</v>
      </c>
      <c r="BH986" s="51" t="n">
        <v>160.807210031348</v>
      </c>
      <c r="BI986" s="51" t="n">
        <v>108.103448275862</v>
      </c>
      <c r="BJ986" s="51" t="n">
        <v>8.26018808777429</v>
      </c>
      <c r="BK986" s="51" t="n">
        <v>15.2037617554859</v>
      </c>
      <c r="BL986" s="51" t="n">
        <v>16.3244514106583</v>
      </c>
      <c r="BM986" s="51" t="n">
        <v>15.5172413793103</v>
      </c>
      <c r="BN986" s="52" t="n">
        <f aca="false">(BG986*0.5-BH986*0.25+BI986*0.5)/SUM(BG986:BI986)*1000</f>
        <v>372.310634661179</v>
      </c>
      <c r="BO986" s="93" t="n">
        <v>10.24</v>
      </c>
      <c r="BP986" s="94" t="s">
        <v>1011</v>
      </c>
      <c r="BQ986" s="55" t="n">
        <v>387.764705882353</v>
      </c>
      <c r="BR986" s="56" t="n">
        <v>20.7360805284681</v>
      </c>
      <c r="BS986" s="56" t="n">
        <v>32.6764339065589</v>
      </c>
      <c r="BT986" s="56" t="n">
        <v>13.6057791537668</v>
      </c>
      <c r="BU986" s="55" t="n">
        <v>11936</v>
      </c>
      <c r="BV986" s="55" t="n">
        <v>637</v>
      </c>
      <c r="BW986" s="55" t="n">
        <v>1071</v>
      </c>
      <c r="BX986" s="55" t="n">
        <v>419</v>
      </c>
      <c r="BY986" s="81" t="n">
        <v>0.1064</v>
      </c>
      <c r="BZ986" s="81" t="n">
        <v>1.96743828642782</v>
      </c>
      <c r="CA986" s="81" t="n">
        <v>2.6</v>
      </c>
      <c r="CB986" s="81"/>
      <c r="CC986" s="81" t="n">
        <v>7.11</v>
      </c>
      <c r="CD986" s="81" t="n">
        <v>7.17</v>
      </c>
      <c r="CE986" s="81" t="n">
        <v>72.24</v>
      </c>
      <c r="CF986" s="81" t="n">
        <v>32.48</v>
      </c>
      <c r="CG986" s="81" t="n">
        <v>0.0194</v>
      </c>
      <c r="CH986" s="63" t="n">
        <v>81079.9385984567</v>
      </c>
      <c r="CI986" s="63" t="n">
        <v>2909.03260154265</v>
      </c>
      <c r="CJ986" s="64" t="n">
        <v>488355.20931827</v>
      </c>
      <c r="CK986" s="65" t="n">
        <v>0.595679649983374</v>
      </c>
    </row>
    <row r="987" customFormat="false" ht="15" hidden="false" customHeight="false" outlineLevel="0" collapsed="false">
      <c r="A987" s="7" t="s">
        <v>1006</v>
      </c>
      <c r="B987" s="66" t="n">
        <v>966</v>
      </c>
      <c r="C987" s="8" t="s">
        <v>1086</v>
      </c>
      <c r="D987" s="114" t="s">
        <v>1087</v>
      </c>
      <c r="E987" s="4" t="s">
        <v>1008</v>
      </c>
      <c r="F987" s="7" t="n">
        <v>416</v>
      </c>
      <c r="G987" s="68" t="n">
        <v>2</v>
      </c>
      <c r="H987" s="68" t="n">
        <v>101</v>
      </c>
      <c r="I987" s="7" t="n">
        <v>2</v>
      </c>
      <c r="J987" s="8" t="n">
        <v>558</v>
      </c>
      <c r="K987" s="32" t="n">
        <v>536</v>
      </c>
      <c r="L987" s="32" t="n">
        <v>930</v>
      </c>
      <c r="M987" s="32" t="n">
        <v>175</v>
      </c>
      <c r="N987" s="32" t="n">
        <v>380</v>
      </c>
      <c r="O987" s="33" t="n">
        <v>88.3</v>
      </c>
      <c r="P987" s="33"/>
      <c r="Q987" s="33"/>
      <c r="R987" s="32" t="n">
        <v>141</v>
      </c>
      <c r="S987" s="34" t="s">
        <v>1009</v>
      </c>
      <c r="T987" s="35" t="n">
        <v>12.5</v>
      </c>
      <c r="U987" s="35" t="n">
        <v>10.2</v>
      </c>
      <c r="V987" s="35" t="n">
        <v>22.7</v>
      </c>
      <c r="W987" s="35" t="n">
        <v>21.1</v>
      </c>
      <c r="X987" s="35" t="n">
        <v>3.98</v>
      </c>
      <c r="Y987" s="35" t="n">
        <v>8.63</v>
      </c>
      <c r="Z987" s="35" t="n">
        <v>2.01</v>
      </c>
      <c r="AA987" s="35"/>
      <c r="AB987" s="35"/>
      <c r="AC987" s="71" t="n">
        <v>3.21</v>
      </c>
      <c r="AD987" s="38" t="n">
        <v>7.15</v>
      </c>
      <c r="AE987" s="38" t="n">
        <v>6.37</v>
      </c>
      <c r="AF987" s="38" t="n">
        <v>1.17</v>
      </c>
      <c r="AG987" s="38" t="n">
        <v>3.97</v>
      </c>
      <c r="AH987" s="38"/>
      <c r="AI987" s="38"/>
      <c r="AJ987" s="102" t="s">
        <v>1010</v>
      </c>
      <c r="AK987" s="111" t="n">
        <v>685</v>
      </c>
      <c r="AL987" s="111" t="n">
        <v>699</v>
      </c>
      <c r="AM987" s="111" t="n">
        <v>706</v>
      </c>
      <c r="AN987" s="111" t="n">
        <v>540</v>
      </c>
      <c r="AO987" s="104" t="n">
        <v>37.6</v>
      </c>
      <c r="AP987" s="105" t="n">
        <v>1.6</v>
      </c>
      <c r="AQ987" s="105" t="n">
        <v>1.31</v>
      </c>
      <c r="AR987" s="105" t="n">
        <v>1.73</v>
      </c>
      <c r="AS987" s="77" t="n">
        <v>39.04</v>
      </c>
      <c r="AT987" s="78" t="n">
        <v>39</v>
      </c>
      <c r="AU987" s="78" t="n">
        <v>42.6</v>
      </c>
      <c r="AV987" s="78" t="n">
        <v>34.7</v>
      </c>
      <c r="AW987" s="78" t="n">
        <v>46.1</v>
      </c>
      <c r="AX987" s="78"/>
      <c r="AY987" s="48" t="n">
        <v>1.71806167400881</v>
      </c>
      <c r="AZ987" s="48" t="n">
        <v>24.8425754820939</v>
      </c>
      <c r="BA987" s="48" t="n">
        <v>-2.14257548209386</v>
      </c>
      <c r="BB987" s="49" t="n">
        <f aca="false">AT987/V987</f>
        <v>1.71806167400881</v>
      </c>
      <c r="BC987" s="49" t="n">
        <f aca="false">AS987/V987</f>
        <v>1.71982378854626</v>
      </c>
      <c r="BD987" s="49" t="n">
        <f aca="false">SUM(AP987:AR987)/V987</f>
        <v>0.204405286343612</v>
      </c>
      <c r="BE987" s="53" t="n">
        <v>6.78</v>
      </c>
      <c r="BF987" s="51" t="n">
        <v>125.5</v>
      </c>
      <c r="BG987" s="51" t="n">
        <v>674.486055776892</v>
      </c>
      <c r="BH987" s="51" t="n">
        <v>185.083665338645</v>
      </c>
      <c r="BI987" s="51" t="n">
        <v>90.3426294820717</v>
      </c>
      <c r="BJ987" s="51" t="n">
        <v>7.80876494023904</v>
      </c>
      <c r="BK987" s="51" t="n">
        <v>14.8286852589641</v>
      </c>
      <c r="BL987" s="51" t="n">
        <v>15.203187250996</v>
      </c>
      <c r="BM987" s="51" t="n">
        <v>12.4143426294821</v>
      </c>
      <c r="BN987" s="52" t="n">
        <f aca="false">(BG987*0.5-BH987*0.25+BI987*0.5)/SUM(BG987:BI987)*1000</f>
        <v>353.867834314762</v>
      </c>
      <c r="BO987" s="93" t="n">
        <v>7.71</v>
      </c>
      <c r="BP987" s="94" t="s">
        <v>1011</v>
      </c>
      <c r="BQ987" s="55" t="n">
        <v>483.764705882353</v>
      </c>
      <c r="BR987" s="56" t="n">
        <v>21.3112205234517</v>
      </c>
      <c r="BS987" s="56" t="n">
        <v>32.8000532841332</v>
      </c>
      <c r="BT987" s="56" t="n">
        <v>12.4042232277526</v>
      </c>
      <c r="BU987" s="55" t="n">
        <v>14171</v>
      </c>
      <c r="BV987" s="55" t="n">
        <v>623</v>
      </c>
      <c r="BW987" s="55" t="n">
        <v>1013</v>
      </c>
      <c r="BX987" s="55" t="n">
        <v>364</v>
      </c>
      <c r="BY987" s="81"/>
      <c r="BZ987" s="81"/>
      <c r="CA987" s="81"/>
      <c r="CB987" s="81"/>
      <c r="CC987" s="81"/>
      <c r="CD987" s="81"/>
      <c r="CE987" s="81"/>
      <c r="CF987" s="81"/>
      <c r="CG987" s="81" t="n">
        <v>0.0712</v>
      </c>
      <c r="CH987" s="63" t="n">
        <v>34040.059756028</v>
      </c>
      <c r="CI987" s="63" t="n">
        <v>8391.81790242363</v>
      </c>
      <c r="CJ987" s="64" t="n">
        <v>744952.968363154</v>
      </c>
      <c r="CK987" s="65" t="n">
        <v>1.12648962536018</v>
      </c>
    </row>
    <row r="988" customFormat="false" ht="15" hidden="false" customHeight="false" outlineLevel="0" collapsed="false">
      <c r="A988" s="7" t="s">
        <v>1006</v>
      </c>
      <c r="B988" s="66" t="n">
        <v>967</v>
      </c>
      <c r="C988" s="8" t="s">
        <v>1088</v>
      </c>
      <c r="D988" s="114" t="s">
        <v>1080</v>
      </c>
      <c r="E988" s="4" t="s">
        <v>1008</v>
      </c>
      <c r="F988" s="7" t="n">
        <v>4340</v>
      </c>
      <c r="G988" s="68" t="n">
        <v>2</v>
      </c>
      <c r="H988" s="68" t="n">
        <v>99</v>
      </c>
      <c r="I988" s="7" t="n">
        <v>2</v>
      </c>
      <c r="J988" s="8" t="n">
        <v>701</v>
      </c>
      <c r="K988" s="32" t="n">
        <v>536</v>
      </c>
      <c r="L988" s="32" t="n">
        <v>930</v>
      </c>
      <c r="M988" s="32" t="n">
        <v>175</v>
      </c>
      <c r="N988" s="32" t="n">
        <v>380</v>
      </c>
      <c r="O988" s="33" t="n">
        <v>88.3</v>
      </c>
      <c r="P988" s="33"/>
      <c r="Q988" s="33"/>
      <c r="R988" s="32" t="n">
        <v>141</v>
      </c>
      <c r="S988" s="34" t="s">
        <v>1009</v>
      </c>
      <c r="T988" s="35" t="n">
        <v>12.1</v>
      </c>
      <c r="U988" s="35" t="n">
        <v>9.9</v>
      </c>
      <c r="V988" s="35" t="n">
        <v>22.1</v>
      </c>
      <c r="W988" s="35" t="n">
        <v>20.5</v>
      </c>
      <c r="X988" s="35" t="n">
        <v>3.86</v>
      </c>
      <c r="Y988" s="35" t="n">
        <v>8.38</v>
      </c>
      <c r="Z988" s="35" t="n">
        <v>1.95</v>
      </c>
      <c r="AA988" s="35"/>
      <c r="AB988" s="35"/>
      <c r="AC988" s="71" t="n">
        <v>3.12</v>
      </c>
      <c r="AD988" s="38" t="n">
        <v>7.07</v>
      </c>
      <c r="AE988" s="38" t="n">
        <v>6.29</v>
      </c>
      <c r="AF988" s="38" t="n">
        <v>1.07</v>
      </c>
      <c r="AG988" s="38" t="n">
        <v>3.81</v>
      </c>
      <c r="AH988" s="38"/>
      <c r="AI988" s="38"/>
      <c r="AJ988" s="102" t="s">
        <v>1010</v>
      </c>
      <c r="AK988" s="111" t="n">
        <v>679</v>
      </c>
      <c r="AL988" s="111" t="n">
        <v>693</v>
      </c>
      <c r="AM988" s="111" t="n">
        <v>724</v>
      </c>
      <c r="AN988" s="111" t="n">
        <v>545</v>
      </c>
      <c r="AO988" s="104" t="n">
        <v>38.6</v>
      </c>
      <c r="AP988" s="105" t="n">
        <v>1.78</v>
      </c>
      <c r="AQ988" s="105" t="n">
        <v>1.34</v>
      </c>
      <c r="AR988" s="105" t="n">
        <v>1.9</v>
      </c>
      <c r="AS988" s="77" t="n">
        <v>42.14</v>
      </c>
      <c r="AT988" s="78" t="n">
        <v>41.8</v>
      </c>
      <c r="AU988" s="78" t="n">
        <v>45.7</v>
      </c>
      <c r="AV988" s="78" t="n">
        <v>34.3</v>
      </c>
      <c r="AW988" s="78" t="n">
        <v>48.6</v>
      </c>
      <c r="AX988" s="78"/>
      <c r="AY988" s="48" t="n">
        <v>1.89140271493213</v>
      </c>
      <c r="AZ988" s="48" t="n">
        <v>27.9194878263279</v>
      </c>
      <c r="BA988" s="48" t="n">
        <v>-5.81948782632787</v>
      </c>
      <c r="BB988" s="49" t="n">
        <f aca="false">AT988/V988</f>
        <v>1.89140271493213</v>
      </c>
      <c r="BC988" s="49" t="n">
        <f aca="false">AS988/V988</f>
        <v>1.90678733031674</v>
      </c>
      <c r="BD988" s="49" t="n">
        <f aca="false">SUM(AP988:AR988)/V988</f>
        <v>0.227149321266968</v>
      </c>
      <c r="BE988" s="53" t="n">
        <v>6.65</v>
      </c>
      <c r="BF988" s="51" t="n">
        <v>131.9</v>
      </c>
      <c r="BG988" s="51" t="n">
        <v>669.628506444276</v>
      </c>
      <c r="BH988" s="51" t="n">
        <v>188.00606520091</v>
      </c>
      <c r="BI988" s="51" t="n">
        <v>94.8597422289613</v>
      </c>
      <c r="BJ988" s="51" t="n">
        <v>6.94465504169826</v>
      </c>
      <c r="BK988" s="51" t="n">
        <v>14.5413191811979</v>
      </c>
      <c r="BL988" s="51" t="n">
        <v>13.8362395754359</v>
      </c>
      <c r="BM988" s="51" t="n">
        <v>11.918119787718</v>
      </c>
      <c r="BN988" s="52" t="n">
        <f aca="false">(BG988*0.5-BH988*0.25+BI988*0.5)/SUM(BG988:BI988)*1000</f>
        <v>351.962844452935</v>
      </c>
      <c r="BO988" s="93" t="n">
        <v>7.52</v>
      </c>
      <c r="BP988" s="94" t="s">
        <v>1011</v>
      </c>
      <c r="BQ988" s="55" t="n">
        <v>483.764705882353</v>
      </c>
      <c r="BR988" s="56" t="n">
        <v>21.8898056960341</v>
      </c>
      <c r="BS988" s="56" t="n">
        <v>34.0523496908002</v>
      </c>
      <c r="BT988" s="56" t="n">
        <v>11.5733183225443</v>
      </c>
      <c r="BU988" s="55" t="n">
        <v>14874</v>
      </c>
      <c r="BV988" s="55" t="n">
        <v>674</v>
      </c>
      <c r="BW988" s="55" t="n">
        <v>1106</v>
      </c>
      <c r="BX988" s="55" t="n">
        <v>355</v>
      </c>
      <c r="BY988" s="81" t="n">
        <v>0.1484</v>
      </c>
      <c r="BZ988" s="81" t="n">
        <v>1.00902891172798</v>
      </c>
      <c r="CA988" s="81" t="n">
        <v>3.03</v>
      </c>
      <c r="CB988" s="81"/>
      <c r="CC988" s="81" t="n">
        <v>4.95</v>
      </c>
      <c r="CD988" s="81" t="n">
        <v>7.48</v>
      </c>
      <c r="CE988" s="81" t="n">
        <v>59.05</v>
      </c>
      <c r="CF988" s="81" t="n">
        <v>31.35</v>
      </c>
      <c r="CG988" s="81" t="n">
        <v>0.0194</v>
      </c>
      <c r="CH988" s="63" t="n">
        <v>41510.074176527</v>
      </c>
      <c r="CI988" s="63" t="n">
        <v>2301.12640434321</v>
      </c>
      <c r="CJ988" s="64" t="n">
        <v>501871.516827835</v>
      </c>
      <c r="CK988" s="65" t="n">
        <v>0.458509066003162</v>
      </c>
    </row>
    <row r="989" customFormat="false" ht="15" hidden="false" customHeight="false" outlineLevel="0" collapsed="false">
      <c r="A989" s="7" t="s">
        <v>1006</v>
      </c>
      <c r="B989" s="66" t="n">
        <v>968</v>
      </c>
      <c r="C989" s="8" t="s">
        <v>1089</v>
      </c>
      <c r="D989" s="114" t="s">
        <v>1083</v>
      </c>
      <c r="E989" s="4" t="s">
        <v>1008</v>
      </c>
      <c r="F989" s="7" t="n">
        <v>240</v>
      </c>
      <c r="G989" s="68" t="n">
        <v>2</v>
      </c>
      <c r="H989" s="68" t="n">
        <v>129</v>
      </c>
      <c r="I989" s="7" t="n">
        <v>4</v>
      </c>
      <c r="J989" s="8" t="n">
        <v>615</v>
      </c>
      <c r="K989" s="32" t="n">
        <v>529</v>
      </c>
      <c r="L989" s="32" t="n">
        <v>928</v>
      </c>
      <c r="M989" s="32" t="n">
        <v>175</v>
      </c>
      <c r="N989" s="32" t="n">
        <v>391</v>
      </c>
      <c r="O989" s="33" t="n">
        <v>92</v>
      </c>
      <c r="P989" s="33"/>
      <c r="Q989" s="33"/>
      <c r="R989" s="32" t="n">
        <v>141</v>
      </c>
      <c r="S989" s="34" t="s">
        <v>1009</v>
      </c>
      <c r="T989" s="35" t="n">
        <v>12.1</v>
      </c>
      <c r="U989" s="35" t="n">
        <v>9.9</v>
      </c>
      <c r="V989" s="35" t="n">
        <v>22</v>
      </c>
      <c r="W989" s="35" t="n">
        <v>20.4</v>
      </c>
      <c r="X989" s="35" t="n">
        <v>3.85</v>
      </c>
      <c r="Y989" s="35" t="n">
        <v>8.61</v>
      </c>
      <c r="Z989" s="35" t="n">
        <v>2.03</v>
      </c>
      <c r="AA989" s="35"/>
      <c r="AB989" s="35"/>
      <c r="AC989" s="71" t="n">
        <v>3.11</v>
      </c>
      <c r="AD989" s="38" t="n">
        <v>7.1</v>
      </c>
      <c r="AE989" s="38" t="n">
        <v>6.32</v>
      </c>
      <c r="AF989" s="38" t="n">
        <v>1.14</v>
      </c>
      <c r="AG989" s="38" t="n">
        <v>3.89</v>
      </c>
      <c r="AH989" s="38"/>
      <c r="AI989" s="38"/>
      <c r="AJ989" s="102" t="s">
        <v>1010</v>
      </c>
      <c r="AK989" s="111" t="n">
        <v>678</v>
      </c>
      <c r="AL989" s="111" t="n">
        <v>691</v>
      </c>
      <c r="AM989" s="111" t="n">
        <v>704</v>
      </c>
      <c r="AN989" s="111" t="n">
        <v>549</v>
      </c>
      <c r="AO989" s="104" t="n">
        <v>30.3</v>
      </c>
      <c r="AP989" s="105" t="n">
        <v>1.45</v>
      </c>
      <c r="AQ989" s="105" t="n">
        <v>1.04</v>
      </c>
      <c r="AR989" s="105" t="n">
        <v>1.47</v>
      </c>
      <c r="AS989" s="77" t="n">
        <v>33.87</v>
      </c>
      <c r="AT989" s="78" t="n">
        <v>33.5</v>
      </c>
      <c r="AU989" s="78" t="n">
        <v>47.3</v>
      </c>
      <c r="AV989" s="78" t="n">
        <v>34.3</v>
      </c>
      <c r="AW989" s="78" t="n">
        <v>48.5</v>
      </c>
      <c r="AX989" s="78"/>
      <c r="AY989" s="48" t="n">
        <v>1.52272727272727</v>
      </c>
      <c r="AZ989" s="48" t="n">
        <v>24.2014150150809</v>
      </c>
      <c r="BA989" s="48" t="n">
        <v>-2.20141501508089</v>
      </c>
      <c r="BB989" s="49" t="n">
        <f aca="false">AT989/V989</f>
        <v>1.52272727272727</v>
      </c>
      <c r="BC989" s="49" t="n">
        <f aca="false">AS989/V989</f>
        <v>1.53954545454545</v>
      </c>
      <c r="BD989" s="49" t="n">
        <f aca="false">SUM(AP989:AR989)/V989</f>
        <v>0.18</v>
      </c>
      <c r="BE989" s="53" t="n">
        <v>6.68</v>
      </c>
      <c r="BF989" s="51" t="n">
        <v>131.5</v>
      </c>
      <c r="BG989" s="51" t="n">
        <v>674.205323193916</v>
      </c>
      <c r="BH989" s="51" t="n">
        <v>160.859315589354</v>
      </c>
      <c r="BI989" s="51" t="n">
        <v>111.338403041825</v>
      </c>
      <c r="BJ989" s="51" t="n">
        <v>8.06083650190114</v>
      </c>
      <c r="BK989" s="51" t="n">
        <v>13.7338403041825</v>
      </c>
      <c r="BL989" s="51" t="n">
        <v>15.3384030418251</v>
      </c>
      <c r="BM989" s="51" t="n">
        <v>16.8060836501901</v>
      </c>
      <c r="BN989" s="52" t="n">
        <f aca="false">(BG989*0.5-BH989*0.25+BI989*0.5)/SUM(BG989:BI989)*1000</f>
        <v>372.523141452126</v>
      </c>
      <c r="BO989" s="93" t="n">
        <v>10.02</v>
      </c>
      <c r="BP989" s="94" t="s">
        <v>1011</v>
      </c>
      <c r="BQ989" s="55" t="n">
        <v>480</v>
      </c>
      <c r="BR989" s="56" t="n">
        <v>21.8181818181818</v>
      </c>
      <c r="BS989" s="56" t="n">
        <v>34.051247126926</v>
      </c>
      <c r="BT989" s="56" t="n">
        <v>14.3283582089552</v>
      </c>
      <c r="BU989" s="55" t="n">
        <v>14646</v>
      </c>
      <c r="BV989" s="55" t="n">
        <v>664</v>
      </c>
      <c r="BW989" s="55" t="n">
        <v>1098</v>
      </c>
      <c r="BX989" s="55" t="n">
        <v>438</v>
      </c>
      <c r="BY989" s="81" t="n">
        <v>0.1491</v>
      </c>
      <c r="BZ989" s="81" t="n">
        <v>1.55364518297954</v>
      </c>
      <c r="CA989" s="81" t="n">
        <v>3.43</v>
      </c>
      <c r="CB989" s="81"/>
      <c r="CC989" s="81" t="n">
        <v>6.27</v>
      </c>
      <c r="CD989" s="81" t="n">
        <v>7.09</v>
      </c>
      <c r="CE989" s="81" t="n">
        <v>63</v>
      </c>
      <c r="CF989" s="81" t="n">
        <v>33.63</v>
      </c>
      <c r="CG989" s="81" t="n">
        <v>0.01</v>
      </c>
      <c r="CH989" s="63" t="n">
        <v>77617.2182040027</v>
      </c>
      <c r="CI989" s="63" t="n">
        <v>4420.61014818351</v>
      </c>
      <c r="CJ989" s="64" t="n">
        <v>488932.287240899</v>
      </c>
      <c r="CK989" s="65" t="n">
        <v>0.904135452606233</v>
      </c>
    </row>
    <row r="990" customFormat="false" ht="15" hidden="false" customHeight="false" outlineLevel="0" collapsed="false">
      <c r="A990" s="7" t="s">
        <v>1006</v>
      </c>
      <c r="B990" s="66" t="n">
        <v>969</v>
      </c>
      <c r="C990" s="8" t="s">
        <v>1090</v>
      </c>
      <c r="D990" s="114" t="s">
        <v>1087</v>
      </c>
      <c r="E990" s="4" t="s">
        <v>1008</v>
      </c>
      <c r="F990" s="7" t="n">
        <v>3412</v>
      </c>
      <c r="G990" s="68" t="n">
        <v>2</v>
      </c>
      <c r="H990" s="68" t="n">
        <v>113</v>
      </c>
      <c r="I990" s="7" t="n">
        <v>3</v>
      </c>
      <c r="J990" s="8" t="n">
        <v>769</v>
      </c>
      <c r="K990" s="32" t="n">
        <v>529</v>
      </c>
      <c r="L990" s="32" t="n">
        <v>928</v>
      </c>
      <c r="M990" s="32" t="n">
        <v>175</v>
      </c>
      <c r="N990" s="32" t="n">
        <v>391</v>
      </c>
      <c r="O990" s="33" t="n">
        <v>92</v>
      </c>
      <c r="P990" s="33"/>
      <c r="Q990" s="33"/>
      <c r="R990" s="32" t="n">
        <v>141</v>
      </c>
      <c r="S990" s="34" t="s">
        <v>1009</v>
      </c>
      <c r="T990" s="35" t="n">
        <v>14.4</v>
      </c>
      <c r="U990" s="35" t="n">
        <v>11.8</v>
      </c>
      <c r="V990" s="35" t="n">
        <v>26.2</v>
      </c>
      <c r="W990" s="35" t="n">
        <v>24.3</v>
      </c>
      <c r="X990" s="35" t="n">
        <v>4.58</v>
      </c>
      <c r="Y990" s="35" t="n">
        <v>10.25</v>
      </c>
      <c r="Z990" s="35" t="n">
        <v>2.41</v>
      </c>
      <c r="AA990" s="35"/>
      <c r="AB990" s="35"/>
      <c r="AC990" s="71" t="n">
        <v>3.7</v>
      </c>
      <c r="AD990" s="38" t="n">
        <v>8.58</v>
      </c>
      <c r="AE990" s="38" t="n">
        <v>7.63</v>
      </c>
      <c r="AF990" s="38" t="n">
        <v>1.39</v>
      </c>
      <c r="AG990" s="38" t="n">
        <v>4.91</v>
      </c>
      <c r="AH990" s="38"/>
      <c r="AI990" s="38"/>
      <c r="AJ990" s="102" t="s">
        <v>1010</v>
      </c>
      <c r="AK990" s="111" t="n">
        <v>673</v>
      </c>
      <c r="AL990" s="111" t="n">
        <v>687</v>
      </c>
      <c r="AM990" s="111" t="n">
        <v>696</v>
      </c>
      <c r="AN990" s="111" t="n">
        <v>521</v>
      </c>
      <c r="AO990" s="104" t="n">
        <v>43.1</v>
      </c>
      <c r="AP990" s="105" t="n">
        <v>2.07</v>
      </c>
      <c r="AQ990" s="105" t="n">
        <v>1.43</v>
      </c>
      <c r="AR990" s="105" t="n">
        <v>2.02</v>
      </c>
      <c r="AS990" s="77" t="n">
        <v>48.29</v>
      </c>
      <c r="AT990" s="78" t="n">
        <v>48.1</v>
      </c>
      <c r="AU990" s="78" t="n">
        <v>49</v>
      </c>
      <c r="AV990" s="78" t="n">
        <v>33.8</v>
      </c>
      <c r="AW990" s="78" t="n">
        <v>47.9</v>
      </c>
      <c r="AX990" s="78"/>
      <c r="AY990" s="48" t="n">
        <v>1.83587786259542</v>
      </c>
      <c r="AZ990" s="48" t="n">
        <v>31.3844921623712</v>
      </c>
      <c r="BA990" s="48" t="n">
        <v>-5.18449216237116</v>
      </c>
      <c r="BB990" s="49" t="n">
        <f aca="false">AT990/V990</f>
        <v>1.83587786259542</v>
      </c>
      <c r="BC990" s="49" t="n">
        <f aca="false">AS990/V990</f>
        <v>1.84312977099237</v>
      </c>
      <c r="BD990" s="49" t="n">
        <f aca="false">SUM(AP990:AR990)/V990</f>
        <v>0.210687022900763</v>
      </c>
      <c r="BE990" s="53" t="n">
        <v>6.71</v>
      </c>
      <c r="BF990" s="51" t="n">
        <v>138.3</v>
      </c>
      <c r="BG990" s="51" t="n">
        <v>649.370932754881</v>
      </c>
      <c r="BH990" s="51" t="n">
        <v>186.413593637021</v>
      </c>
      <c r="BI990" s="51" t="n">
        <v>107.715112075199</v>
      </c>
      <c r="BJ990" s="51" t="n">
        <v>8.48156182212581</v>
      </c>
      <c r="BK990" s="51" t="n">
        <v>17.8091106290672</v>
      </c>
      <c r="BL990" s="51" t="n">
        <v>14.3383947939262</v>
      </c>
      <c r="BM990" s="51" t="n">
        <v>15.9508315256688</v>
      </c>
      <c r="BN990" s="52" t="n">
        <f aca="false">(BG990*0.5-BH990*0.25+BI990*0.5)/SUM(BG990:BI990)*1000</f>
        <v>351.817436353325</v>
      </c>
      <c r="BO990" s="93" t="n">
        <v>12.68</v>
      </c>
      <c r="BP990" s="94" t="s">
        <v>1011</v>
      </c>
      <c r="BQ990" s="55" t="n">
        <v>576.941176470588</v>
      </c>
      <c r="BR990" s="56" t="n">
        <v>22.0206555904805</v>
      </c>
      <c r="BS990" s="56" t="n">
        <v>34.559585510485</v>
      </c>
      <c r="BT990" s="56" t="n">
        <v>11.9946190534426</v>
      </c>
      <c r="BU990" s="55" t="n">
        <v>18059</v>
      </c>
      <c r="BV990" s="55" t="n">
        <v>689</v>
      </c>
      <c r="BW990" s="55" t="n">
        <v>1147</v>
      </c>
      <c r="BX990" s="55" t="n">
        <v>376</v>
      </c>
      <c r="BY990" s="81"/>
      <c r="BZ990" s="81"/>
      <c r="CA990" s="81"/>
      <c r="CB990" s="81"/>
      <c r="CC990" s="81"/>
      <c r="CD990" s="81"/>
      <c r="CE990" s="81"/>
      <c r="CF990" s="81"/>
      <c r="CG990" s="81" t="n">
        <v>0.0182</v>
      </c>
      <c r="CH990" s="63" t="n">
        <v>37485.0819719059</v>
      </c>
      <c r="CI990" s="63" t="n">
        <v>13049.3125843119</v>
      </c>
      <c r="CJ990" s="64" t="n">
        <v>763374.315658523</v>
      </c>
      <c r="CK990" s="65" t="n">
        <v>1.7094251557383</v>
      </c>
    </row>
    <row r="991" customFormat="false" ht="15" hidden="false" customHeight="false" outlineLevel="0" collapsed="false">
      <c r="A991" s="7" t="s">
        <v>1006</v>
      </c>
      <c r="B991" s="66" t="n">
        <v>970</v>
      </c>
      <c r="C991" s="8" t="s">
        <v>1091</v>
      </c>
      <c r="D991" s="114" t="s">
        <v>1080</v>
      </c>
      <c r="E991" s="4" t="s">
        <v>1008</v>
      </c>
      <c r="F991" s="7" t="n">
        <v>4325</v>
      </c>
      <c r="G991" s="68" t="n">
        <v>2</v>
      </c>
      <c r="H991" s="68" t="n">
        <v>156</v>
      </c>
      <c r="I991" s="7" t="n">
        <v>3</v>
      </c>
      <c r="J991" s="8" t="n">
        <v>677</v>
      </c>
      <c r="K991" s="32" t="n">
        <v>523</v>
      </c>
      <c r="L991" s="32" t="n">
        <v>923</v>
      </c>
      <c r="M991" s="32" t="n">
        <v>174</v>
      </c>
      <c r="N991" s="32" t="n">
        <v>380</v>
      </c>
      <c r="O991" s="33" t="n">
        <v>84.4</v>
      </c>
      <c r="P991" s="33"/>
      <c r="Q991" s="33"/>
      <c r="R991" s="32" t="n">
        <v>140</v>
      </c>
      <c r="S991" s="34" t="s">
        <v>1009</v>
      </c>
      <c r="T991" s="35" t="n">
        <v>11.3</v>
      </c>
      <c r="U991" s="35" t="n">
        <v>9.3</v>
      </c>
      <c r="V991" s="35" t="n">
        <v>20.6</v>
      </c>
      <c r="W991" s="35" t="n">
        <v>19</v>
      </c>
      <c r="X991" s="35" t="n">
        <v>3.58</v>
      </c>
      <c r="Y991" s="35" t="n">
        <v>7.82</v>
      </c>
      <c r="Z991" s="35" t="n">
        <v>1.74</v>
      </c>
      <c r="AA991" s="35"/>
      <c r="AB991" s="35"/>
      <c r="AC991" s="71" t="n">
        <v>2.89</v>
      </c>
      <c r="AD991" s="38" t="n">
        <v>6.29</v>
      </c>
      <c r="AE991" s="38" t="n">
        <v>5.51</v>
      </c>
      <c r="AF991" s="38" t="n">
        <v>1.02</v>
      </c>
      <c r="AG991" s="38" t="n">
        <v>3.39</v>
      </c>
      <c r="AH991" s="38"/>
      <c r="AI991" s="38"/>
      <c r="AJ991" s="102" t="s">
        <v>1010</v>
      </c>
      <c r="AK991" s="111" t="n">
        <v>695</v>
      </c>
      <c r="AL991" s="111" t="n">
        <v>710</v>
      </c>
      <c r="AM991" s="111" t="n">
        <v>715</v>
      </c>
      <c r="AN991" s="111" t="n">
        <v>566</v>
      </c>
      <c r="AO991" s="104" t="n">
        <v>26.6</v>
      </c>
      <c r="AP991" s="105" t="n">
        <v>1.12</v>
      </c>
      <c r="AQ991" s="105" t="n">
        <v>0.82</v>
      </c>
      <c r="AR991" s="105" t="n">
        <v>1.17</v>
      </c>
      <c r="AS991" s="77" t="n">
        <v>27.44</v>
      </c>
      <c r="AT991" s="78" t="n">
        <v>26.3</v>
      </c>
      <c r="AU991" s="78" t="n">
        <v>42.1</v>
      </c>
      <c r="AV991" s="78" t="n">
        <v>31</v>
      </c>
      <c r="AW991" s="78" t="n">
        <v>44.3</v>
      </c>
      <c r="AX991" s="78"/>
      <c r="AY991" s="48" t="n">
        <v>1.27669902912621</v>
      </c>
      <c r="AZ991" s="48" t="n">
        <v>22.8971985894739</v>
      </c>
      <c r="BA991" s="48" t="n">
        <v>-2.29719858947386</v>
      </c>
      <c r="BB991" s="49" t="n">
        <f aca="false">AT991/V991</f>
        <v>1.27669902912621</v>
      </c>
      <c r="BC991" s="49" t="n">
        <f aca="false">AS991/V991</f>
        <v>1.33203883495146</v>
      </c>
      <c r="BD991" s="49" t="n">
        <f aca="false">SUM(AP991:AR991)/V991</f>
        <v>0.150970873786408</v>
      </c>
      <c r="BE991" s="53" t="n">
        <v>6.78</v>
      </c>
      <c r="BF991" s="51" t="n">
        <v>116.1</v>
      </c>
      <c r="BG991" s="51" t="n">
        <v>677.510766580534</v>
      </c>
      <c r="BH991" s="51" t="n">
        <v>158.17398794143</v>
      </c>
      <c r="BI991" s="51" t="n">
        <v>116.546080964686</v>
      </c>
      <c r="BJ991" s="51" t="n">
        <v>8.44099913867356</v>
      </c>
      <c r="BK991" s="51" t="n">
        <v>11.9982773471146</v>
      </c>
      <c r="BL991" s="51" t="n">
        <v>15.7105943152455</v>
      </c>
      <c r="BM991" s="51" t="n">
        <v>11.9121447028424</v>
      </c>
      <c r="BN991" s="52" t="n">
        <f aca="false">(BG991*0.5-BH991*0.25+BI991*0.5)/SUM(BG991:BI991)*1000</f>
        <v>375.418347594841</v>
      </c>
      <c r="BO991" s="93" t="n">
        <v>7.62</v>
      </c>
      <c r="BP991" s="94" t="s">
        <v>1011</v>
      </c>
      <c r="BQ991" s="55" t="n">
        <v>456.470588235294</v>
      </c>
      <c r="BR991" s="56" t="n">
        <v>22.158766419189</v>
      </c>
      <c r="BS991" s="56" t="n">
        <v>33.8377011293769</v>
      </c>
      <c r="BT991" s="56" t="n">
        <v>17.3562961306195</v>
      </c>
      <c r="BU991" s="55" t="n">
        <v>13973</v>
      </c>
      <c r="BV991" s="55" t="n">
        <v>679</v>
      </c>
      <c r="BW991" s="55" t="n">
        <v>1098</v>
      </c>
      <c r="BX991" s="55" t="n">
        <v>531</v>
      </c>
      <c r="BY991" s="81" t="n">
        <v>0.1694</v>
      </c>
      <c r="BZ991" s="81" t="n">
        <v>1.09403515512439</v>
      </c>
      <c r="CA991" s="81" t="n">
        <v>3.72</v>
      </c>
      <c r="CB991" s="81"/>
      <c r="CC991" s="81" t="n">
        <v>5.6</v>
      </c>
      <c r="CD991" s="81" t="n">
        <v>8</v>
      </c>
      <c r="CE991" s="81" t="n">
        <v>68.46</v>
      </c>
      <c r="CF991" s="81" t="n">
        <v>34.41</v>
      </c>
      <c r="CG991" s="81" t="n">
        <v>0.02</v>
      </c>
      <c r="CH991" s="63" t="n">
        <v>112916.760288985</v>
      </c>
      <c r="CI991" s="63" t="n">
        <v>4564.76888107897</v>
      </c>
      <c r="CJ991" s="64" t="n">
        <v>297701.558124961</v>
      </c>
      <c r="CK991" s="65" t="n">
        <v>1.53333724883056</v>
      </c>
    </row>
    <row r="992" customFormat="false" ht="15" hidden="false" customHeight="false" outlineLevel="0" collapsed="false">
      <c r="A992" s="7" t="s">
        <v>1006</v>
      </c>
      <c r="B992" s="66" t="n">
        <v>971</v>
      </c>
      <c r="C992" s="8" t="s">
        <v>1092</v>
      </c>
      <c r="D992" s="114" t="s">
        <v>1078</v>
      </c>
      <c r="E992" s="4" t="s">
        <v>1008</v>
      </c>
      <c r="F992" s="7" t="n">
        <v>983</v>
      </c>
      <c r="G992" s="68" t="n">
        <v>2</v>
      </c>
      <c r="H992" s="68" t="n">
        <v>141</v>
      </c>
      <c r="I992" s="7" t="n">
        <v>3</v>
      </c>
      <c r="J992" s="8" t="n">
        <v>699</v>
      </c>
      <c r="K992" s="32" t="n">
        <v>524</v>
      </c>
      <c r="L992" s="32" t="n">
        <v>922</v>
      </c>
      <c r="M992" s="32" t="n">
        <v>170</v>
      </c>
      <c r="N992" s="32" t="n">
        <v>389</v>
      </c>
      <c r="O992" s="33" t="n">
        <v>89.7</v>
      </c>
      <c r="P992" s="33"/>
      <c r="Q992" s="33"/>
      <c r="R992" s="32" t="n">
        <v>140</v>
      </c>
      <c r="S992" s="34" t="s">
        <v>1009</v>
      </c>
      <c r="T992" s="35" t="n">
        <v>13.8</v>
      </c>
      <c r="U992" s="35" t="n">
        <v>11.3</v>
      </c>
      <c r="V992" s="35" t="n">
        <v>25.1</v>
      </c>
      <c r="W992" s="35" t="n">
        <v>23.2</v>
      </c>
      <c r="X992" s="35" t="n">
        <v>4.28</v>
      </c>
      <c r="Y992" s="35" t="n">
        <v>9.77</v>
      </c>
      <c r="Z992" s="35" t="n">
        <v>2.25</v>
      </c>
      <c r="AA992" s="35"/>
      <c r="AB992" s="35"/>
      <c r="AC992" s="71" t="n">
        <v>3.53</v>
      </c>
      <c r="AD992" s="38" t="n">
        <v>8.13</v>
      </c>
      <c r="AE992" s="38" t="n">
        <v>7.15</v>
      </c>
      <c r="AF992" s="38" t="n">
        <v>1.38</v>
      </c>
      <c r="AG992" s="38" t="n">
        <v>4.5</v>
      </c>
      <c r="AH992" s="38"/>
      <c r="AI992" s="38"/>
      <c r="AJ992" s="102" t="s">
        <v>1010</v>
      </c>
      <c r="AK992" s="111" t="n">
        <v>677</v>
      </c>
      <c r="AL992" s="111" t="n">
        <v>691</v>
      </c>
      <c r="AM992" s="111" t="n">
        <v>678</v>
      </c>
      <c r="AN992" s="111" t="n">
        <v>539</v>
      </c>
      <c r="AO992" s="104" t="n">
        <v>40.8</v>
      </c>
      <c r="AP992" s="105" t="n">
        <v>1.76</v>
      </c>
      <c r="AQ992" s="105" t="n">
        <v>1.38</v>
      </c>
      <c r="AR992" s="105" t="n">
        <v>1.92</v>
      </c>
      <c r="AS992" s="77" t="n">
        <v>42.72</v>
      </c>
      <c r="AT992" s="78" t="n">
        <v>42.5</v>
      </c>
      <c r="AU992" s="78" t="n">
        <v>43.2</v>
      </c>
      <c r="AV992" s="78" t="n">
        <v>33.8</v>
      </c>
      <c r="AW992" s="78" t="n">
        <v>47.1</v>
      </c>
      <c r="AX992" s="78"/>
      <c r="AY992" s="48" t="n">
        <v>1.69322709163347</v>
      </c>
      <c r="AZ992" s="48" t="n">
        <v>28.7508648046851</v>
      </c>
      <c r="BA992" s="48" t="n">
        <v>-3.65086480468509</v>
      </c>
      <c r="BB992" s="49" t="n">
        <f aca="false">AT992/V992</f>
        <v>1.69322709163347</v>
      </c>
      <c r="BC992" s="49" t="n">
        <f aca="false">AS992/V992</f>
        <v>1.70199203187251</v>
      </c>
      <c r="BD992" s="49" t="n">
        <f aca="false">SUM(AP992:AR992)/V992</f>
        <v>0.201593625498008</v>
      </c>
      <c r="BE992" s="53" t="n">
        <v>6.6</v>
      </c>
      <c r="BF992" s="51" t="n">
        <v>143.8</v>
      </c>
      <c r="BG992" s="51" t="n">
        <v>688.636995827538</v>
      </c>
      <c r="BH992" s="51" t="n">
        <v>171.662030598053</v>
      </c>
      <c r="BI992" s="51" t="n">
        <v>81.5438108484006</v>
      </c>
      <c r="BJ992" s="51" t="n">
        <v>9.31849791376912</v>
      </c>
      <c r="BK992" s="51" t="n">
        <v>16.9888734353268</v>
      </c>
      <c r="BL992" s="51" t="n">
        <v>17.8164116828929</v>
      </c>
      <c r="BM992" s="51" t="n">
        <v>14.2420027816412</v>
      </c>
      <c r="BN992" s="52" t="n">
        <f aca="false">(BG992*0.5-BH992*0.25+BI992*0.5)/SUM(BG992:BI992)*1000</f>
        <v>363.30360241293</v>
      </c>
      <c r="BO992" s="93" t="n">
        <v>14.83</v>
      </c>
      <c r="BP992" s="94" t="s">
        <v>1011</v>
      </c>
      <c r="BQ992" s="55" t="n">
        <v>472.470588235294</v>
      </c>
      <c r="BR992" s="56" t="n">
        <v>18.8235294117647</v>
      </c>
      <c r="BS992" s="56" t="n">
        <v>29.4719414788222</v>
      </c>
      <c r="BT992" s="56" t="n">
        <v>11.116955017301</v>
      </c>
      <c r="BU992" s="55" t="n">
        <v>13865</v>
      </c>
      <c r="BV992" s="55" t="n">
        <v>552</v>
      </c>
      <c r="BW992" s="55" t="n">
        <v>921</v>
      </c>
      <c r="BX992" s="55" t="n">
        <v>326</v>
      </c>
      <c r="BY992" s="81" t="n">
        <v>0.1184</v>
      </c>
      <c r="BZ992" s="81" t="n">
        <v>1.8110652194794</v>
      </c>
      <c r="CA992" s="81" t="n">
        <v>2.41</v>
      </c>
      <c r="CB992" s="81"/>
      <c r="CC992" s="81" t="n">
        <v>8.59</v>
      </c>
      <c r="CD992" s="81" t="n">
        <v>8.38</v>
      </c>
      <c r="CE992" s="81" t="n">
        <v>78.24</v>
      </c>
      <c r="CF992" s="81" t="n">
        <v>36.69</v>
      </c>
      <c r="CG992" s="81" t="n">
        <v>0.0704</v>
      </c>
      <c r="CH992" s="63" t="n">
        <v>34135.674441654</v>
      </c>
      <c r="CI992" s="63" t="n">
        <v>12289.2879906611</v>
      </c>
      <c r="CJ992" s="64" t="n">
        <v>708483.702704618</v>
      </c>
      <c r="CK992" s="65" t="n">
        <v>1.73459007507824</v>
      </c>
    </row>
    <row r="993" customFormat="false" ht="15" hidden="false" customHeight="false" outlineLevel="0" collapsed="false">
      <c r="A993" s="7" t="s">
        <v>1006</v>
      </c>
      <c r="B993" s="66" t="n">
        <v>972</v>
      </c>
      <c r="C993" s="8" t="s">
        <v>1093</v>
      </c>
      <c r="D993" s="114" t="s">
        <v>1094</v>
      </c>
      <c r="E993" s="4" t="s">
        <v>1008</v>
      </c>
      <c r="F993" s="7" t="n">
        <v>1072</v>
      </c>
      <c r="G993" s="68" t="n">
        <v>2</v>
      </c>
      <c r="H993" s="68" t="n">
        <v>103</v>
      </c>
      <c r="I993" s="7" t="n">
        <v>1</v>
      </c>
      <c r="J993" s="8" t="n">
        <v>669</v>
      </c>
      <c r="K993" s="32" t="n">
        <v>521</v>
      </c>
      <c r="L993" s="32" t="n">
        <v>923</v>
      </c>
      <c r="M993" s="32" t="n">
        <v>174</v>
      </c>
      <c r="N993" s="32" t="n">
        <v>389</v>
      </c>
      <c r="O993" s="33" t="n">
        <v>84.8</v>
      </c>
      <c r="P993" s="33"/>
      <c r="Q993" s="33"/>
      <c r="R993" s="32" t="n">
        <v>140</v>
      </c>
      <c r="S993" s="34" t="s">
        <v>1009</v>
      </c>
      <c r="T993" s="35" t="n">
        <v>10.9</v>
      </c>
      <c r="U993" s="35" t="n">
        <v>8.9</v>
      </c>
      <c r="V993" s="35" t="n">
        <v>19.9</v>
      </c>
      <c r="W993" s="35" t="n">
        <v>18.4</v>
      </c>
      <c r="X993" s="35" t="n">
        <v>3.45</v>
      </c>
      <c r="Y993" s="35" t="n">
        <v>7.73</v>
      </c>
      <c r="Z993" s="35" t="n">
        <v>1.69</v>
      </c>
      <c r="AA993" s="35"/>
      <c r="AB993" s="35"/>
      <c r="AC993" s="71" t="n">
        <v>2.79</v>
      </c>
      <c r="AD993" s="38" t="n">
        <v>6.97</v>
      </c>
      <c r="AE993" s="38" t="n">
        <v>6.12</v>
      </c>
      <c r="AF993" s="38" t="n">
        <v>1.09</v>
      </c>
      <c r="AG993" s="38" t="n">
        <v>3.87</v>
      </c>
      <c r="AH993" s="38"/>
      <c r="AI993" s="38"/>
      <c r="AJ993" s="102" t="s">
        <v>1010</v>
      </c>
      <c r="AK993" s="111" t="n">
        <v>649</v>
      </c>
      <c r="AL993" s="111" t="n">
        <v>667</v>
      </c>
      <c r="AM993" s="111" t="n">
        <v>684</v>
      </c>
      <c r="AN993" s="111" t="n">
        <v>500</v>
      </c>
      <c r="AO993" s="104" t="n">
        <v>31.5</v>
      </c>
      <c r="AP993" s="105" t="n">
        <v>1.24</v>
      </c>
      <c r="AQ993" s="105" t="n">
        <v>1.07</v>
      </c>
      <c r="AR993" s="105" t="n">
        <v>1.53</v>
      </c>
      <c r="AS993" s="77" t="n">
        <v>31.2</v>
      </c>
      <c r="AT993" s="78" t="n">
        <v>31.6</v>
      </c>
      <c r="AU993" s="78" t="n">
        <v>39.4</v>
      </c>
      <c r="AV993" s="78" t="n">
        <v>33.8</v>
      </c>
      <c r="AW993" s="78" t="n">
        <v>48.5</v>
      </c>
      <c r="AX993" s="78"/>
      <c r="AY993" s="48" t="n">
        <v>1.58793969849246</v>
      </c>
      <c r="AZ993" s="48" t="n">
        <v>23.6263853510433</v>
      </c>
      <c r="BA993" s="48" t="n">
        <v>-3.72638535104328</v>
      </c>
      <c r="BB993" s="49" t="n">
        <f aca="false">AT993/V993</f>
        <v>1.58793969849246</v>
      </c>
      <c r="BC993" s="49" t="n">
        <f aca="false">AS993/V993</f>
        <v>1.5678391959799</v>
      </c>
      <c r="BD993" s="49" t="n">
        <f aca="false">SUM(AP993:AR993)/V993</f>
        <v>0.192964824120603</v>
      </c>
      <c r="BE993" s="53" t="n">
        <v>6.84</v>
      </c>
      <c r="BF993" s="51" t="n">
        <v>108.7</v>
      </c>
      <c r="BG993" s="51" t="n">
        <v>706.117755289788</v>
      </c>
      <c r="BH993" s="51" t="n">
        <v>166.872125114995</v>
      </c>
      <c r="BI993" s="51" t="n">
        <v>93.1830726770929</v>
      </c>
      <c r="BJ993" s="51" t="n">
        <v>6.94572217111316</v>
      </c>
      <c r="BK993" s="51" t="n">
        <v>8.93284268629255</v>
      </c>
      <c r="BL993" s="51" t="n">
        <v>10.0459981600736</v>
      </c>
      <c r="BM993" s="51" t="n">
        <v>7.8656853725851</v>
      </c>
      <c r="BN993" s="52" t="n">
        <f aca="false">(BG993*0.5-BH993*0.25+BI993*0.5)/SUM(BG993:BI993)*1000</f>
        <v>370.46408881864</v>
      </c>
      <c r="BO993" s="93" t="n">
        <v>2.76</v>
      </c>
      <c r="BP993" s="94" t="s">
        <v>1011</v>
      </c>
      <c r="BQ993" s="55" t="n">
        <v>466.823529411765</v>
      </c>
      <c r="BR993" s="56" t="n">
        <v>23.4584688146615</v>
      </c>
      <c r="BS993" s="56" t="n">
        <v>38.0372473609742</v>
      </c>
      <c r="BT993" s="56" t="n">
        <v>14.7728965003723</v>
      </c>
      <c r="BU993" s="55" t="n">
        <v>14425</v>
      </c>
      <c r="BV993" s="55" t="n">
        <v>726</v>
      </c>
      <c r="BW993" s="55" t="n">
        <v>1267</v>
      </c>
      <c r="BX993" s="55" t="n">
        <v>456</v>
      </c>
      <c r="BY993" s="81" t="n">
        <v>0.0884</v>
      </c>
      <c r="BZ993" s="81" t="n">
        <v>0.998943425223322</v>
      </c>
      <c r="CA993" s="81" t="n">
        <v>2.85</v>
      </c>
      <c r="CB993" s="81"/>
      <c r="CC993" s="81" t="n">
        <v>5.75</v>
      </c>
      <c r="CD993" s="81" t="n">
        <v>8.23</v>
      </c>
      <c r="CE993" s="81" t="n">
        <v>68.18</v>
      </c>
      <c r="CF993" s="81" t="n">
        <v>30.93</v>
      </c>
      <c r="CG993" s="81" t="n">
        <v>0.02</v>
      </c>
      <c r="CH993" s="63" t="n">
        <v>58835.6840394886</v>
      </c>
      <c r="CI993" s="63" t="n">
        <v>5635.44088453381</v>
      </c>
      <c r="CJ993" s="64" t="n">
        <v>619900.318502112</v>
      </c>
      <c r="CK993" s="65" t="n">
        <v>0.909088238275298</v>
      </c>
    </row>
    <row r="994" customFormat="false" ht="15" hidden="false" customHeight="false" outlineLevel="0" collapsed="false">
      <c r="A994" s="7" t="s">
        <v>1006</v>
      </c>
      <c r="B994" s="66" t="n">
        <v>973</v>
      </c>
      <c r="C994" s="8" t="s">
        <v>1095</v>
      </c>
      <c r="D994" s="114" t="s">
        <v>1094</v>
      </c>
      <c r="E994" s="4" t="s">
        <v>1008</v>
      </c>
      <c r="F994" s="7" t="n">
        <v>459</v>
      </c>
      <c r="G994" s="68" t="n">
        <v>2</v>
      </c>
      <c r="H994" s="68" t="n">
        <v>117</v>
      </c>
      <c r="I994" s="7" t="n">
        <v>1</v>
      </c>
      <c r="J994" s="8" t="n">
        <v>524</v>
      </c>
      <c r="K994" s="32" t="n">
        <v>521</v>
      </c>
      <c r="L994" s="32" t="n">
        <v>923</v>
      </c>
      <c r="M994" s="32" t="n">
        <v>174</v>
      </c>
      <c r="N994" s="32" t="n">
        <v>389</v>
      </c>
      <c r="O994" s="33" t="n">
        <v>84.8</v>
      </c>
      <c r="P994" s="33"/>
      <c r="Q994" s="33"/>
      <c r="R994" s="32" t="n">
        <v>140</v>
      </c>
      <c r="S994" s="34" t="s">
        <v>1009</v>
      </c>
      <c r="T994" s="35" t="n">
        <v>11</v>
      </c>
      <c r="U994" s="35" t="n">
        <v>9</v>
      </c>
      <c r="V994" s="35" t="n">
        <v>20.1</v>
      </c>
      <c r="W994" s="35" t="n">
        <v>18.5</v>
      </c>
      <c r="X994" s="35" t="n">
        <v>3.48</v>
      </c>
      <c r="Y994" s="35" t="n">
        <v>7.81</v>
      </c>
      <c r="Z994" s="35" t="n">
        <v>1.7</v>
      </c>
      <c r="AA994" s="35"/>
      <c r="AB994" s="35"/>
      <c r="AC994" s="71" t="n">
        <v>2.82</v>
      </c>
      <c r="AD994" s="38" t="n">
        <v>6.66</v>
      </c>
      <c r="AE994" s="38" t="n">
        <v>5.88</v>
      </c>
      <c r="AF994" s="38" t="n">
        <v>1.1</v>
      </c>
      <c r="AG994" s="38" t="n">
        <v>3.63</v>
      </c>
      <c r="AH994" s="38"/>
      <c r="AI994" s="38"/>
      <c r="AJ994" s="102" t="s">
        <v>1010</v>
      </c>
      <c r="AK994" s="111" t="n">
        <v>668</v>
      </c>
      <c r="AL994" s="111" t="n">
        <v>683</v>
      </c>
      <c r="AM994" s="111" t="n">
        <v>684</v>
      </c>
      <c r="AN994" s="111" t="n">
        <v>535</v>
      </c>
      <c r="AO994" s="104" t="n">
        <v>31.6</v>
      </c>
      <c r="AP994" s="105" t="n">
        <v>1.51</v>
      </c>
      <c r="AQ994" s="105" t="n">
        <v>1.07</v>
      </c>
      <c r="AR994" s="105" t="n">
        <v>1.53</v>
      </c>
      <c r="AS994" s="77" t="n">
        <v>35.29</v>
      </c>
      <c r="AT994" s="78" t="n">
        <v>34.9</v>
      </c>
      <c r="AU994" s="78" t="n">
        <v>47.9</v>
      </c>
      <c r="AV994" s="78" t="n">
        <v>33.9</v>
      </c>
      <c r="AW994" s="78" t="n">
        <v>48.4</v>
      </c>
      <c r="AX994" s="78"/>
      <c r="AY994" s="48" t="n">
        <v>1.7363184079602</v>
      </c>
      <c r="AZ994" s="48" t="n">
        <v>23.2557824895536</v>
      </c>
      <c r="BA994" s="48" t="n">
        <v>-3.15578248955358</v>
      </c>
      <c r="BB994" s="49" t="n">
        <f aca="false">AT994/V994</f>
        <v>1.7363184079602</v>
      </c>
      <c r="BC994" s="49" t="n">
        <f aca="false">AS994/V994</f>
        <v>1.75572139303483</v>
      </c>
      <c r="BD994" s="49" t="n">
        <f aca="false">SUM(AP994:AR994)/V994</f>
        <v>0.204477611940298</v>
      </c>
      <c r="BE994" s="53" t="n">
        <v>6.87</v>
      </c>
      <c r="BF994" s="51" t="n">
        <v>109.5</v>
      </c>
      <c r="BG994" s="51" t="n">
        <v>703.853881278539</v>
      </c>
      <c r="BH994" s="51" t="n">
        <v>169.662100456621</v>
      </c>
      <c r="BI994" s="51" t="n">
        <v>85.4246575342466</v>
      </c>
      <c r="BJ994" s="51" t="n">
        <v>6.61187214611872</v>
      </c>
      <c r="BK994" s="51" t="n">
        <v>10.7579908675799</v>
      </c>
      <c r="BL994" s="51" t="n">
        <v>13.7351598173516</v>
      </c>
      <c r="BM994" s="51" t="n">
        <v>9.88127853881279</v>
      </c>
      <c r="BN994" s="52" t="n">
        <f aca="false">(BG994*0.5-BH994*0.25+BI994*0.5)/SUM(BG994:BI994)*1000</f>
        <v>367.305055045522</v>
      </c>
      <c r="BO994" s="93" t="n">
        <v>6.11</v>
      </c>
      <c r="BP994" s="94" t="s">
        <v>1011</v>
      </c>
      <c r="BQ994" s="55" t="n">
        <v>462.117647058824</v>
      </c>
      <c r="BR994" s="56" t="n">
        <v>22.9909277143693</v>
      </c>
      <c r="BS994" s="56" t="n">
        <v>36.5729608688871</v>
      </c>
      <c r="BT994" s="56" t="n">
        <v>13.2411933254677</v>
      </c>
      <c r="BU994" s="55" t="n">
        <v>13505</v>
      </c>
      <c r="BV994" s="55" t="n">
        <v>673</v>
      </c>
      <c r="BW994" s="55" t="n">
        <v>1139</v>
      </c>
      <c r="BX994" s="55" t="n">
        <v>386</v>
      </c>
      <c r="BY994" s="81" t="n">
        <v>0.136</v>
      </c>
      <c r="BZ994" s="81" t="n">
        <v>1.17558351743348</v>
      </c>
      <c r="CA994" s="81" t="n">
        <v>2.79</v>
      </c>
      <c r="CB994" s="81"/>
      <c r="CC994" s="81" t="n">
        <v>6.92</v>
      </c>
      <c r="CD994" s="81" t="n">
        <v>9.43</v>
      </c>
      <c r="CE994" s="81" t="n">
        <v>60.1</v>
      </c>
      <c r="CF994" s="81" t="n">
        <v>32.94</v>
      </c>
      <c r="CG994" s="81" t="n">
        <v>0.02</v>
      </c>
      <c r="CH994" s="63" t="n">
        <v>40483.4681891679</v>
      </c>
      <c r="CI994" s="63" t="n">
        <v>5730.93764935849</v>
      </c>
      <c r="CJ994" s="63" t="n">
        <v>587387.886665874</v>
      </c>
      <c r="CK994" s="85" t="n">
        <v>0.975664936144392</v>
      </c>
    </row>
    <row r="995" customFormat="false" ht="15" hidden="false" customHeight="false" outlineLevel="0" collapsed="false">
      <c r="A995" s="7" t="s">
        <v>1006</v>
      </c>
      <c r="B995" s="66" t="n">
        <v>974</v>
      </c>
      <c r="C995" s="8" t="s">
        <v>1096</v>
      </c>
      <c r="D995" s="114" t="s">
        <v>1094</v>
      </c>
      <c r="E995" s="4" t="s">
        <v>1008</v>
      </c>
      <c r="F995" s="7" t="n">
        <v>457</v>
      </c>
      <c r="G995" s="68" t="n">
        <v>2</v>
      </c>
      <c r="H995" s="68" t="n">
        <v>100</v>
      </c>
      <c r="I995" s="7" t="n">
        <v>2</v>
      </c>
      <c r="J995" s="8" t="n">
        <v>555</v>
      </c>
      <c r="K995" s="32" t="n">
        <v>531</v>
      </c>
      <c r="L995" s="32" t="n">
        <v>931</v>
      </c>
      <c r="M995" s="32" t="n">
        <v>175</v>
      </c>
      <c r="N995" s="32" t="n">
        <v>387</v>
      </c>
      <c r="O995" s="33" t="n">
        <v>89.7</v>
      </c>
      <c r="P995" s="33"/>
      <c r="Q995" s="33"/>
      <c r="R995" s="32" t="n">
        <v>141</v>
      </c>
      <c r="S995" s="34" t="s">
        <v>1009</v>
      </c>
      <c r="T995" s="35" t="n">
        <v>10.1</v>
      </c>
      <c r="U995" s="35" t="n">
        <v>8.2</v>
      </c>
      <c r="V995" s="35" t="n">
        <v>18.3</v>
      </c>
      <c r="W995" s="35" t="n">
        <v>17</v>
      </c>
      <c r="X995" s="35" t="n">
        <v>3.21</v>
      </c>
      <c r="Y995" s="35" t="n">
        <v>7.09</v>
      </c>
      <c r="Z995" s="35" t="n">
        <v>1.64</v>
      </c>
      <c r="AA995" s="35"/>
      <c r="AB995" s="35"/>
      <c r="AC995" s="71" t="n">
        <v>2.59</v>
      </c>
      <c r="AD995" s="38" t="n">
        <v>6.75</v>
      </c>
      <c r="AE995" s="38" t="n">
        <v>5.98</v>
      </c>
      <c r="AF995" s="38" t="n">
        <v>1.06</v>
      </c>
      <c r="AG995" s="38" t="n">
        <v>3.86</v>
      </c>
      <c r="AH995" s="38"/>
      <c r="AI995" s="38"/>
      <c r="AJ995" s="102" t="s">
        <v>1010</v>
      </c>
      <c r="AK995" s="111" t="n">
        <v>631</v>
      </c>
      <c r="AL995" s="111" t="n">
        <v>649</v>
      </c>
      <c r="AM995" s="111" t="n">
        <v>668</v>
      </c>
      <c r="AN995" s="111" t="n">
        <v>455</v>
      </c>
      <c r="AO995" s="104" t="n">
        <v>36.3</v>
      </c>
      <c r="AP995" s="105" t="n">
        <v>1.51</v>
      </c>
      <c r="AQ995" s="105" t="n">
        <v>1.2</v>
      </c>
      <c r="AR995" s="105" t="n">
        <v>1.7</v>
      </c>
      <c r="AS995" s="77" t="n">
        <v>37.17</v>
      </c>
      <c r="AT995" s="78" t="n">
        <v>37</v>
      </c>
      <c r="AU995" s="78" t="n">
        <v>41.9</v>
      </c>
      <c r="AV995" s="78" t="n">
        <v>33.1</v>
      </c>
      <c r="AW995" s="78" t="n">
        <v>47.1</v>
      </c>
      <c r="AX995" s="78"/>
      <c r="AY995" s="48" t="n">
        <v>2.02185792349727</v>
      </c>
      <c r="AZ995" s="48" t="n">
        <v>24.1035844042961</v>
      </c>
      <c r="BA995" s="48" t="n">
        <v>-5.8035844042961</v>
      </c>
      <c r="BB995" s="49" t="n">
        <f aca="false">AT995/V995</f>
        <v>2.02185792349727</v>
      </c>
      <c r="BC995" s="49" t="n">
        <f aca="false">AS995/V995</f>
        <v>2.03114754098361</v>
      </c>
      <c r="BD995" s="49" t="n">
        <f aca="false">SUM(AP995:AR995)/V995</f>
        <v>0.240983606557377</v>
      </c>
      <c r="BE995" s="53" t="n">
        <v>6.66</v>
      </c>
      <c r="BF995" s="51" t="n">
        <v>127.8</v>
      </c>
      <c r="BG995" s="51" t="n">
        <v>694.859154929577</v>
      </c>
      <c r="BH995" s="51" t="n">
        <v>164.569640062598</v>
      </c>
      <c r="BI995" s="51" t="n">
        <v>91.6901408450704</v>
      </c>
      <c r="BJ995" s="51" t="n">
        <v>8.38028169014085</v>
      </c>
      <c r="BK995" s="51" t="n">
        <v>13.7323943661972</v>
      </c>
      <c r="BL995" s="51" t="n">
        <v>13.6854460093897</v>
      </c>
      <c r="BM995" s="51" t="n">
        <v>12.8169014084507</v>
      </c>
      <c r="BN995" s="52" t="n">
        <f aca="false">(BG995*0.5-BH995*0.25+BI995*0.5)/SUM(BG995:BI995)*1000</f>
        <v>370.229447237008</v>
      </c>
      <c r="BO995" s="93" t="n">
        <v>10.17</v>
      </c>
      <c r="BP995" s="94" t="s">
        <v>1011</v>
      </c>
      <c r="BQ995" s="55" t="n">
        <v>450.823529411765</v>
      </c>
      <c r="BR995" s="56" t="n">
        <v>24.6351655416265</v>
      </c>
      <c r="BS995" s="56" t="n">
        <v>40.8613730999515</v>
      </c>
      <c r="BT995" s="56" t="n">
        <v>12.1844197138315</v>
      </c>
      <c r="BU995" s="55" t="n">
        <v>13133</v>
      </c>
      <c r="BV995" s="55" t="n">
        <v>717</v>
      </c>
      <c r="BW995" s="55" t="n">
        <v>1276</v>
      </c>
      <c r="BX995" s="55" t="n">
        <v>355</v>
      </c>
      <c r="BY995" s="81" t="n">
        <v>0.095</v>
      </c>
      <c r="BZ995" s="81" t="n">
        <v>1.24839112477188</v>
      </c>
      <c r="CA995" s="81" t="n">
        <v>3.08</v>
      </c>
      <c r="CB995" s="81"/>
      <c r="CC995" s="81" t="n">
        <v>7.56</v>
      </c>
      <c r="CD995" s="81" t="n">
        <v>8.92</v>
      </c>
      <c r="CE995" s="81" t="n">
        <v>70.97</v>
      </c>
      <c r="CF995" s="81" t="n">
        <v>34.55</v>
      </c>
      <c r="CG995" s="81" t="n">
        <v>0.02</v>
      </c>
      <c r="CH995" s="63" t="n">
        <v>99535.7542928031</v>
      </c>
      <c r="CI995" s="63" t="n">
        <v>5975.01119218672</v>
      </c>
      <c r="CJ995" s="64" t="n">
        <v>605318.644608281</v>
      </c>
      <c r="CK995" s="65" t="n">
        <v>0.987085272427602</v>
      </c>
    </row>
    <row r="996" customFormat="false" ht="15" hidden="false" customHeight="false" outlineLevel="0" collapsed="false">
      <c r="A996" s="7" t="s">
        <v>1006</v>
      </c>
      <c r="B996" s="66" t="n">
        <v>975</v>
      </c>
      <c r="C996" s="8" t="s">
        <v>1097</v>
      </c>
      <c r="D996" s="114" t="s">
        <v>1080</v>
      </c>
      <c r="E996" s="4" t="s">
        <v>1008</v>
      </c>
      <c r="F996" s="7" t="n">
        <v>3246</v>
      </c>
      <c r="G996" s="68" t="n">
        <v>2</v>
      </c>
      <c r="H996" s="68" t="n">
        <v>149</v>
      </c>
      <c r="I996" s="7" t="n">
        <v>5</v>
      </c>
      <c r="J996" s="8" t="n">
        <v>667</v>
      </c>
      <c r="K996" s="32" t="n">
        <v>523</v>
      </c>
      <c r="L996" s="32" t="n">
        <v>923</v>
      </c>
      <c r="M996" s="32" t="n">
        <v>174</v>
      </c>
      <c r="N996" s="32" t="n">
        <v>380</v>
      </c>
      <c r="O996" s="33" t="n">
        <v>84.4</v>
      </c>
      <c r="P996" s="33"/>
      <c r="Q996" s="33"/>
      <c r="R996" s="32" t="n">
        <v>140</v>
      </c>
      <c r="S996" s="34" t="s">
        <v>1009</v>
      </c>
      <c r="T996" s="35" t="n">
        <v>11.5</v>
      </c>
      <c r="U996" s="35" t="n">
        <v>9.4</v>
      </c>
      <c r="V996" s="35" t="n">
        <v>21</v>
      </c>
      <c r="W996" s="35" t="n">
        <v>19.4</v>
      </c>
      <c r="X996" s="35" t="n">
        <v>3.65</v>
      </c>
      <c r="Y996" s="35" t="n">
        <v>7.97</v>
      </c>
      <c r="Z996" s="35" t="n">
        <v>1.77</v>
      </c>
      <c r="AA996" s="35"/>
      <c r="AB996" s="35"/>
      <c r="AC996" s="71" t="n">
        <v>2.95</v>
      </c>
      <c r="AD996" s="38" t="n">
        <v>6.95</v>
      </c>
      <c r="AE996" s="38" t="n">
        <v>6.18</v>
      </c>
      <c r="AF996" s="38" t="n">
        <v>1.18</v>
      </c>
      <c r="AG996" s="38" t="n">
        <v>3.76</v>
      </c>
      <c r="AH996" s="38"/>
      <c r="AI996" s="38"/>
      <c r="AJ996" s="102" t="s">
        <v>1010</v>
      </c>
      <c r="AK996" s="111" t="n">
        <v>669</v>
      </c>
      <c r="AL996" s="111" t="n">
        <v>681</v>
      </c>
      <c r="AM996" s="111" t="n">
        <v>678</v>
      </c>
      <c r="AN996" s="111" t="n">
        <v>528</v>
      </c>
      <c r="AO996" s="104" t="n">
        <v>35.9</v>
      </c>
      <c r="AP996" s="105" t="n">
        <v>1.56</v>
      </c>
      <c r="AQ996" s="105" t="n">
        <v>1.22</v>
      </c>
      <c r="AR996" s="105" t="n">
        <v>1.71</v>
      </c>
      <c r="AS996" s="77" t="n">
        <v>37.76</v>
      </c>
      <c r="AT996" s="78" t="n">
        <v>37.7</v>
      </c>
      <c r="AU996" s="78" t="n">
        <v>43.6</v>
      </c>
      <c r="AV996" s="78" t="n">
        <v>33.9</v>
      </c>
      <c r="AW996" s="78" t="n">
        <v>47.7</v>
      </c>
      <c r="AX996" s="78"/>
      <c r="AY996" s="48" t="n">
        <v>1.7952380952381</v>
      </c>
      <c r="AZ996" s="48" t="n">
        <v>26.5295369232708</v>
      </c>
      <c r="BA996" s="48" t="n">
        <v>-5.52953692327085</v>
      </c>
      <c r="BB996" s="49" t="n">
        <f aca="false">AT996/V996</f>
        <v>1.7952380952381</v>
      </c>
      <c r="BC996" s="49" t="n">
        <f aca="false">AS996/V996</f>
        <v>1.79809523809524</v>
      </c>
      <c r="BD996" s="49" t="n">
        <f aca="false">SUM(AP996:AR996)/V996</f>
        <v>0.213809523809524</v>
      </c>
      <c r="BE996" s="53" t="n">
        <v>7.03</v>
      </c>
      <c r="BF996" s="51" t="n">
        <v>98.7</v>
      </c>
      <c r="BG996" s="51" t="n">
        <v>695.673758865248</v>
      </c>
      <c r="BH996" s="51" t="n">
        <v>177.355623100304</v>
      </c>
      <c r="BI996" s="51" t="n">
        <v>90.4457953394124</v>
      </c>
      <c r="BJ996" s="51" t="n">
        <v>7.93313069908815</v>
      </c>
      <c r="BK996" s="51" t="n">
        <v>9.68591691995947</v>
      </c>
      <c r="BL996" s="51" t="n">
        <v>10.1722391084093</v>
      </c>
      <c r="BM996" s="51" t="n">
        <v>8.3080040526849</v>
      </c>
      <c r="BN996" s="52" t="n">
        <f aca="false">(BG996*0.5-BH996*0.25+BI996*0.5)/SUM(BG996:BI996)*1000</f>
        <v>361.940690888059</v>
      </c>
      <c r="BO996" s="93" t="n">
        <v>2.98</v>
      </c>
      <c r="BP996" s="94" t="s">
        <v>1011</v>
      </c>
      <c r="BQ996" s="55" t="n">
        <v>394.352941176471</v>
      </c>
      <c r="BR996" s="56" t="n">
        <v>18.7787114845938</v>
      </c>
      <c r="BS996" s="56" t="n">
        <v>29.8494437513413</v>
      </c>
      <c r="BT996" s="56" t="n">
        <v>10.4602902168825</v>
      </c>
      <c r="BU996" s="55" t="n">
        <v>12490</v>
      </c>
      <c r="BV996" s="55" t="n">
        <v>595</v>
      </c>
      <c r="BW996" s="55" t="n">
        <v>1005</v>
      </c>
      <c r="BX996" s="55" t="n">
        <v>331</v>
      </c>
      <c r="BY996" s="81" t="n">
        <v>0.1472</v>
      </c>
      <c r="BZ996" s="81" t="n">
        <v>0.769186437421957</v>
      </c>
      <c r="CA996" s="81" t="n">
        <v>3.43</v>
      </c>
      <c r="CB996" s="81"/>
      <c r="CC996" s="81" t="n">
        <v>5.35</v>
      </c>
      <c r="CD996" s="81" t="n">
        <v>6.46</v>
      </c>
      <c r="CE996" s="81" t="n">
        <v>66.87</v>
      </c>
      <c r="CF996" s="81" t="n">
        <v>35.18</v>
      </c>
      <c r="CG996" s="81" t="n">
        <v>0.02</v>
      </c>
      <c r="CH996" s="63" t="n">
        <v>32873.1809951389</v>
      </c>
      <c r="CI996" s="63" t="n">
        <v>8367.69874667453</v>
      </c>
      <c r="CJ996" s="64" t="n">
        <v>593351.308231509</v>
      </c>
      <c r="CK996" s="65" t="n">
        <v>1.41024358261121</v>
      </c>
    </row>
    <row r="997" customFormat="false" ht="15" hidden="false" customHeight="false" outlineLevel="0" collapsed="false">
      <c r="A997" s="7" t="s">
        <v>1006</v>
      </c>
      <c r="B997" s="66" t="n">
        <v>976</v>
      </c>
      <c r="C997" s="8" t="s">
        <v>1098</v>
      </c>
      <c r="D997" s="114" t="s">
        <v>1099</v>
      </c>
      <c r="E997" s="4" t="s">
        <v>1008</v>
      </c>
      <c r="F997" s="7" t="n">
        <v>3490</v>
      </c>
      <c r="G997" s="68" t="n">
        <v>2</v>
      </c>
      <c r="H997" s="68" t="n">
        <v>127</v>
      </c>
      <c r="I997" s="7" t="n">
        <v>2</v>
      </c>
      <c r="J997" s="8" t="n">
        <v>758</v>
      </c>
      <c r="K997" s="32" t="n">
        <v>531</v>
      </c>
      <c r="L997" s="32" t="n">
        <v>924</v>
      </c>
      <c r="M997" s="32" t="n">
        <v>178</v>
      </c>
      <c r="N997" s="32" t="n">
        <v>401</v>
      </c>
      <c r="O997" s="33" t="n">
        <v>80.4</v>
      </c>
      <c r="P997" s="33"/>
      <c r="Q997" s="33"/>
      <c r="R997" s="32" t="n">
        <v>135</v>
      </c>
      <c r="S997" s="34" t="s">
        <v>1009</v>
      </c>
      <c r="T997" s="35" t="n">
        <v>13.2</v>
      </c>
      <c r="U997" s="35" t="n">
        <v>10.8</v>
      </c>
      <c r="V997" s="35" t="n">
        <v>23.9</v>
      </c>
      <c r="W997" s="35" t="n">
        <v>22.1</v>
      </c>
      <c r="X997" s="35" t="n">
        <v>4.27</v>
      </c>
      <c r="Y997" s="35" t="n">
        <v>9.59</v>
      </c>
      <c r="Z997" s="35" t="n">
        <v>1.92</v>
      </c>
      <c r="AA997" s="35"/>
      <c r="AB997" s="35"/>
      <c r="AC997" s="71" t="n">
        <v>3.24</v>
      </c>
      <c r="AD997" s="38" t="n">
        <v>8.16</v>
      </c>
      <c r="AE997" s="38" t="n">
        <v>7.19</v>
      </c>
      <c r="AF997" s="38" t="n">
        <v>1.42</v>
      </c>
      <c r="AG997" s="38" t="n">
        <v>4.24</v>
      </c>
      <c r="AH997" s="38"/>
      <c r="AI997" s="38"/>
      <c r="AJ997" s="102" t="s">
        <v>1010</v>
      </c>
      <c r="AK997" s="111" t="n">
        <v>659</v>
      </c>
      <c r="AL997" s="111" t="n">
        <v>675</v>
      </c>
      <c r="AM997" s="111" t="n">
        <v>666</v>
      </c>
      <c r="AN997" s="111" t="n">
        <v>558</v>
      </c>
      <c r="AO997" s="104" t="n">
        <v>38.2</v>
      </c>
      <c r="AP997" s="105" t="n">
        <v>1.64</v>
      </c>
      <c r="AQ997" s="105" t="n">
        <v>1.27</v>
      </c>
      <c r="AR997" s="105" t="n">
        <v>1.82</v>
      </c>
      <c r="AS997" s="77" t="n">
        <v>39.88</v>
      </c>
      <c r="AT997" s="78" t="n">
        <v>39.6</v>
      </c>
      <c r="AU997" s="78" t="n">
        <v>42.9</v>
      </c>
      <c r="AV997" s="78" t="n">
        <v>33.3</v>
      </c>
      <c r="AW997" s="78" t="n">
        <v>47.8</v>
      </c>
      <c r="AX997" s="78"/>
      <c r="AY997" s="48" t="n">
        <v>1.65690376569038</v>
      </c>
      <c r="AZ997" s="48" t="n">
        <v>28.3818781502973</v>
      </c>
      <c r="BA997" s="48" t="n">
        <v>-4.48187815029732</v>
      </c>
      <c r="BB997" s="49" t="n">
        <f aca="false">AT997/V997</f>
        <v>1.65690376569038</v>
      </c>
      <c r="BC997" s="49" t="n">
        <f aca="false">AS997/V997</f>
        <v>1.66861924686192</v>
      </c>
      <c r="BD997" s="49" t="n">
        <f aca="false">SUM(AP997:AR997)/V997</f>
        <v>0.197907949790795</v>
      </c>
      <c r="BE997" s="53" t="n">
        <v>6.67</v>
      </c>
      <c r="BF997" s="51" t="n">
        <v>104.7</v>
      </c>
      <c r="BG997" s="51" t="n">
        <v>686.007640878701</v>
      </c>
      <c r="BH997" s="51" t="n">
        <v>168.156638013372</v>
      </c>
      <c r="BI997" s="51" t="n">
        <v>102.063037249284</v>
      </c>
      <c r="BJ997" s="51" t="n">
        <v>7.24928366762178</v>
      </c>
      <c r="BK997" s="51" t="n">
        <v>11.6809933142311</v>
      </c>
      <c r="BL997" s="51" t="n">
        <v>12.5023877745941</v>
      </c>
      <c r="BM997" s="51" t="n">
        <v>12.5023877745941</v>
      </c>
      <c r="BN997" s="52" t="n">
        <f aca="false">(BG997*0.5-BH997*0.25+BI997*0.5)/SUM(BG997:BI997)*1000</f>
        <v>368.109312104837</v>
      </c>
      <c r="BO997" s="93" t="n">
        <v>11.84</v>
      </c>
      <c r="BP997" s="94" t="s">
        <v>1011</v>
      </c>
      <c r="BQ997" s="55" t="n">
        <v>592.941176470588</v>
      </c>
      <c r="BR997" s="56" t="n">
        <v>24.8092542456313</v>
      </c>
      <c r="BS997" s="56" t="n">
        <v>39.7480259071955</v>
      </c>
      <c r="BT997" s="56" t="n">
        <v>14.9732620320856</v>
      </c>
      <c r="BU997" s="55" t="n">
        <v>17700</v>
      </c>
      <c r="BV997" s="55" t="n">
        <v>740</v>
      </c>
      <c r="BW997" s="55" t="n">
        <v>1268</v>
      </c>
      <c r="BX997" s="55" t="n">
        <v>447</v>
      </c>
      <c r="BY997" s="81" t="n">
        <v>0.1423</v>
      </c>
      <c r="BZ997" s="81" t="n">
        <v>1.73931418691768</v>
      </c>
      <c r="CA997" s="81" t="n">
        <v>3.38</v>
      </c>
      <c r="CB997" s="81"/>
      <c r="CC997" s="81" t="n">
        <v>6.16</v>
      </c>
      <c r="CD997" s="81" t="n">
        <v>6.65</v>
      </c>
      <c r="CE997" s="81" t="n">
        <v>59.12</v>
      </c>
      <c r="CF997" s="81" t="n">
        <v>32.99</v>
      </c>
      <c r="CG997" s="81" t="n">
        <v>0.01</v>
      </c>
      <c r="CH997" s="63" t="n">
        <v>66657.6987737257</v>
      </c>
      <c r="CI997" s="63" t="n">
        <v>1598.50376359025</v>
      </c>
      <c r="CJ997" s="64" t="n">
        <v>430666.521478329</v>
      </c>
      <c r="CK997" s="65" t="n">
        <v>0.371169729679275</v>
      </c>
    </row>
    <row r="998" customFormat="false" ht="15" hidden="false" customHeight="false" outlineLevel="0" collapsed="false">
      <c r="A998" s="7" t="s">
        <v>1006</v>
      </c>
      <c r="B998" s="66" t="n">
        <v>977</v>
      </c>
      <c r="C998" s="8" t="s">
        <v>1100</v>
      </c>
      <c r="D998" s="114" t="s">
        <v>1101</v>
      </c>
      <c r="E998" s="4" t="s">
        <v>1008</v>
      </c>
      <c r="F998" s="7" t="n">
        <v>1049</v>
      </c>
      <c r="G998" s="68" t="n">
        <v>2</v>
      </c>
      <c r="H998" s="68" t="n">
        <v>105</v>
      </c>
      <c r="I998" s="7" t="n">
        <v>1</v>
      </c>
      <c r="J998" s="8" t="n">
        <v>643</v>
      </c>
      <c r="K998" s="32" t="n">
        <v>527</v>
      </c>
      <c r="L998" s="32" t="n">
        <v>921</v>
      </c>
      <c r="M998" s="32" t="n">
        <v>182</v>
      </c>
      <c r="N998" s="32" t="n">
        <v>398</v>
      </c>
      <c r="O998" s="33" t="n">
        <v>87.7</v>
      </c>
      <c r="P998" s="33"/>
      <c r="Q998" s="33"/>
      <c r="R998" s="32" t="n">
        <v>140</v>
      </c>
      <c r="S998" s="34" t="s">
        <v>1009</v>
      </c>
      <c r="T998" s="35" t="n">
        <v>11.8</v>
      </c>
      <c r="U998" s="35" t="n">
        <v>9.6</v>
      </c>
      <c r="V998" s="35" t="n">
        <v>21.4</v>
      </c>
      <c r="W998" s="35" t="n">
        <v>19.7</v>
      </c>
      <c r="X998" s="35" t="n">
        <v>3.89</v>
      </c>
      <c r="Y998" s="35" t="n">
        <v>8.5</v>
      </c>
      <c r="Z998" s="35" t="n">
        <v>1.88</v>
      </c>
      <c r="AA998" s="35"/>
      <c r="AB998" s="35"/>
      <c r="AC998" s="71" t="n">
        <v>2.99</v>
      </c>
      <c r="AD998" s="38" t="n">
        <v>7.18</v>
      </c>
      <c r="AE998" s="38" t="n">
        <v>6.33</v>
      </c>
      <c r="AF998" s="38" t="n">
        <v>1.13</v>
      </c>
      <c r="AG998" s="38" t="n">
        <v>3.77</v>
      </c>
      <c r="AH998" s="38"/>
      <c r="AI998" s="38"/>
      <c r="AJ998" s="102" t="s">
        <v>1010</v>
      </c>
      <c r="AK998" s="111" t="n">
        <v>664</v>
      </c>
      <c r="AL998" s="111" t="n">
        <v>679</v>
      </c>
      <c r="AM998" s="111" t="n">
        <v>710</v>
      </c>
      <c r="AN998" s="111" t="n">
        <v>556</v>
      </c>
      <c r="AO998" s="104" t="n">
        <v>39.1</v>
      </c>
      <c r="AP998" s="105" t="n">
        <v>1.68</v>
      </c>
      <c r="AQ998" s="105" t="n">
        <v>1.33</v>
      </c>
      <c r="AR998" s="105" t="n">
        <v>1.9</v>
      </c>
      <c r="AS998" s="77" t="n">
        <v>40.84</v>
      </c>
      <c r="AT998" s="78" t="n">
        <v>40.8</v>
      </c>
      <c r="AU998" s="78" t="n">
        <v>42.7</v>
      </c>
      <c r="AV998" s="78" t="n">
        <v>33.9</v>
      </c>
      <c r="AW998" s="78" t="n">
        <v>48.6</v>
      </c>
      <c r="AX998" s="78"/>
      <c r="AY998" s="48" t="n">
        <v>1.90654205607477</v>
      </c>
      <c r="AZ998" s="48" t="n">
        <v>26.788409131458</v>
      </c>
      <c r="BA998" s="48" t="n">
        <v>-5.38840913145796</v>
      </c>
      <c r="BB998" s="49" t="n">
        <f aca="false">AT998/V998</f>
        <v>1.90654205607477</v>
      </c>
      <c r="BC998" s="49" t="n">
        <f aca="false">AS998/V998</f>
        <v>1.90841121495327</v>
      </c>
      <c r="BD998" s="49" t="n">
        <f aca="false">SUM(AP998:AR998)/V998</f>
        <v>0.229439252336449</v>
      </c>
      <c r="BE998" s="53" t="n">
        <v>6.61</v>
      </c>
      <c r="BF998" s="51" t="n">
        <v>129.5</v>
      </c>
      <c r="BG998" s="51" t="n">
        <v>695.042471042471</v>
      </c>
      <c r="BH998" s="51" t="n">
        <v>176.779922779923</v>
      </c>
      <c r="BI998" s="51" t="n">
        <v>83.5289575289575</v>
      </c>
      <c r="BJ998" s="51" t="n">
        <v>6.61776061776062</v>
      </c>
      <c r="BK998" s="51" t="n">
        <v>12.7953667953668</v>
      </c>
      <c r="BL998" s="51" t="n">
        <v>13.953667953668</v>
      </c>
      <c r="BM998" s="51" t="n">
        <v>11.5057915057915</v>
      </c>
      <c r="BN998" s="52" t="n">
        <f aca="false">(BG998*0.5-BH998*0.25+BI998*0.5)/SUM(BG998:BI998)*1000</f>
        <v>361.218658562214</v>
      </c>
      <c r="BO998" s="93" t="n">
        <v>5.84</v>
      </c>
      <c r="BP998" s="94" t="s">
        <v>1011</v>
      </c>
      <c r="BQ998" s="55" t="n">
        <v>451.764705882353</v>
      </c>
      <c r="BR998" s="56" t="n">
        <v>21.1105002748763</v>
      </c>
      <c r="BS998" s="56" t="n">
        <v>33.77351778013</v>
      </c>
      <c r="BT998" s="56" t="n">
        <v>11.0726643598616</v>
      </c>
      <c r="BU998" s="55" t="n">
        <v>14244</v>
      </c>
      <c r="BV998" s="55" t="n">
        <v>666</v>
      </c>
      <c r="BW998" s="55" t="n">
        <v>1137</v>
      </c>
      <c r="BX998" s="55" t="n">
        <v>349</v>
      </c>
      <c r="BY998" s="81" t="n">
        <v>0.1814</v>
      </c>
      <c r="BZ998" s="81" t="n">
        <v>1.17539141292863</v>
      </c>
      <c r="CA998" s="81" t="n">
        <v>0.68</v>
      </c>
      <c r="CB998" s="81"/>
      <c r="CC998" s="81" t="n">
        <v>7.4</v>
      </c>
      <c r="CD998" s="81" t="n">
        <v>8.66</v>
      </c>
      <c r="CE998" s="81" t="n">
        <v>77.34</v>
      </c>
      <c r="CF998" s="81" t="n">
        <v>35.56</v>
      </c>
      <c r="CG998" s="81" t="n">
        <v>0.0806</v>
      </c>
      <c r="CH998" s="63" t="n">
        <v>38888.3606141637</v>
      </c>
      <c r="CI998" s="63" t="n">
        <v>4231.78671730833</v>
      </c>
      <c r="CJ998" s="64" t="n">
        <v>775046.77671859</v>
      </c>
      <c r="CK998" s="65" t="n">
        <v>0.546004040585133</v>
      </c>
    </row>
    <row r="999" customFormat="false" ht="15" hidden="false" customHeight="false" outlineLevel="0" collapsed="false">
      <c r="A999" s="7" t="s">
        <v>1006</v>
      </c>
      <c r="B999" s="66" t="n">
        <v>978</v>
      </c>
      <c r="C999" s="8" t="s">
        <v>1102</v>
      </c>
      <c r="D999" s="114" t="s">
        <v>1101</v>
      </c>
      <c r="E999" s="4" t="s">
        <v>1008</v>
      </c>
      <c r="F999" s="7" t="n">
        <v>3493</v>
      </c>
      <c r="G999" s="68" t="n">
        <v>2</v>
      </c>
      <c r="H999" s="68" t="n">
        <v>189</v>
      </c>
      <c r="I999" s="7" t="n">
        <v>2</v>
      </c>
      <c r="J999" s="8" t="n">
        <v>679</v>
      </c>
      <c r="K999" s="32" t="n">
        <v>523</v>
      </c>
      <c r="L999" s="32" t="n">
        <v>923</v>
      </c>
      <c r="M999" s="32" t="n">
        <v>174</v>
      </c>
      <c r="N999" s="32" t="n">
        <v>401</v>
      </c>
      <c r="O999" s="33" t="n">
        <v>93.9</v>
      </c>
      <c r="P999" s="33"/>
      <c r="Q999" s="33"/>
      <c r="R999" s="32" t="n">
        <v>140</v>
      </c>
      <c r="S999" s="34" t="s">
        <v>1009</v>
      </c>
      <c r="T999" s="35" t="n">
        <v>11.6</v>
      </c>
      <c r="U999" s="35" t="n">
        <v>9.5</v>
      </c>
      <c r="V999" s="35" t="n">
        <v>21.1</v>
      </c>
      <c r="W999" s="35" t="n">
        <v>19.4</v>
      </c>
      <c r="X999" s="35" t="n">
        <v>3.66</v>
      </c>
      <c r="Y999" s="35" t="n">
        <v>8.44</v>
      </c>
      <c r="Z999" s="35" t="n">
        <v>1.98</v>
      </c>
      <c r="AA999" s="35"/>
      <c r="AB999" s="35"/>
      <c r="AC999" s="71" t="n">
        <v>2.95</v>
      </c>
      <c r="AD999" s="38" t="n">
        <v>7.11</v>
      </c>
      <c r="AE999" s="38" t="n">
        <v>6.31</v>
      </c>
      <c r="AF999" s="38" t="n">
        <v>1.09</v>
      </c>
      <c r="AG999" s="38" t="n">
        <v>3.87</v>
      </c>
      <c r="AH999" s="38"/>
      <c r="AI999" s="38"/>
      <c r="AJ999" s="102" t="s">
        <v>1010</v>
      </c>
      <c r="AK999" s="111" t="n">
        <v>662</v>
      </c>
      <c r="AL999" s="111" t="n">
        <v>676</v>
      </c>
      <c r="AM999" s="111" t="n">
        <v>703</v>
      </c>
      <c r="AN999" s="111" t="n">
        <v>542</v>
      </c>
      <c r="AO999" s="104" t="n">
        <v>30.7</v>
      </c>
      <c r="AP999" s="105" t="n">
        <v>1.36</v>
      </c>
      <c r="AQ999" s="105" t="n">
        <v>1.06</v>
      </c>
      <c r="AR999" s="105" t="n">
        <v>1.48</v>
      </c>
      <c r="AS999" s="77" t="n">
        <v>32.68</v>
      </c>
      <c r="AT999" s="78" t="n">
        <v>32.7</v>
      </c>
      <c r="AU999" s="78" t="n">
        <v>44.3</v>
      </c>
      <c r="AV999" s="78" t="n">
        <v>34.7</v>
      </c>
      <c r="AW999" s="78" t="n">
        <v>48.2</v>
      </c>
      <c r="AX999" s="78"/>
      <c r="AY999" s="48" t="n">
        <v>1.54976303317536</v>
      </c>
      <c r="AZ999" s="48" t="n">
        <v>24.9635031419419</v>
      </c>
      <c r="BA999" s="48" t="n">
        <v>-3.86350314194187</v>
      </c>
      <c r="BB999" s="49" t="n">
        <f aca="false">AT999/V999</f>
        <v>1.54976303317536</v>
      </c>
      <c r="BC999" s="49" t="n">
        <f aca="false">AS999/V999</f>
        <v>1.54881516587678</v>
      </c>
      <c r="BD999" s="49" t="n">
        <f aca="false">SUM(AP999:AR999)/V999</f>
        <v>0.184834123222749</v>
      </c>
      <c r="BE999" s="53" t="n">
        <v>6.82</v>
      </c>
      <c r="BF999" s="51" t="n">
        <v>126.3</v>
      </c>
      <c r="BG999" s="51" t="n">
        <v>681.884402216944</v>
      </c>
      <c r="BH999" s="51" t="n">
        <v>161.828978622328</v>
      </c>
      <c r="BI999" s="51" t="n">
        <v>103.444180522565</v>
      </c>
      <c r="BJ999" s="51" t="n">
        <v>8.84402216943785</v>
      </c>
      <c r="BK999" s="51" t="n">
        <v>14.3942992874109</v>
      </c>
      <c r="BL999" s="51" t="n">
        <v>15.882818685669</v>
      </c>
      <c r="BM999" s="51" t="n">
        <v>13.7450514647664</v>
      </c>
      <c r="BN999" s="52" t="n">
        <f aca="false">(BG999*0.5-BH999*0.25+BI999*0.5)/SUM(BG999:BI999)*1000</f>
        <v>371.856870579974</v>
      </c>
      <c r="BO999" s="93" t="n">
        <v>8.58</v>
      </c>
      <c r="BP999" s="94" t="s">
        <v>1011</v>
      </c>
      <c r="BQ999" s="55" t="n">
        <v>483.764705882353</v>
      </c>
      <c r="BR999" s="56" t="n">
        <v>22.9272372456091</v>
      </c>
      <c r="BS999" s="56" t="n">
        <v>36.888054801009</v>
      </c>
      <c r="BT999" s="56" t="n">
        <v>14.7940277028242</v>
      </c>
      <c r="BU999" s="55" t="n">
        <v>14644</v>
      </c>
      <c r="BV999" s="55" t="n">
        <v>695</v>
      </c>
      <c r="BW999" s="55" t="n">
        <v>1187</v>
      </c>
      <c r="BX999" s="55" t="n">
        <v>447</v>
      </c>
      <c r="BY999" s="81"/>
      <c r="BZ999" s="81"/>
      <c r="CA999" s="81"/>
      <c r="CB999" s="81"/>
      <c r="CC999" s="81"/>
      <c r="CD999" s="81"/>
      <c r="CE999" s="81"/>
      <c r="CF999" s="81"/>
      <c r="CG999" s="81" t="n">
        <v>0.02</v>
      </c>
      <c r="CH999" s="63" t="n">
        <v>138726.302809593</v>
      </c>
      <c r="CI999" s="63" t="n">
        <v>4799.93271877752</v>
      </c>
      <c r="CJ999" s="64" t="n">
        <v>374235.98711907</v>
      </c>
      <c r="CK999" s="65" t="n">
        <v>1.28259517630258</v>
      </c>
    </row>
    <row r="1000" customFormat="false" ht="15" hidden="false" customHeight="false" outlineLevel="0" collapsed="false">
      <c r="A1000" s="7" t="s">
        <v>1006</v>
      </c>
      <c r="B1000" s="66" t="n">
        <v>979</v>
      </c>
      <c r="C1000" s="8" t="s">
        <v>1103</v>
      </c>
      <c r="D1000" s="114" t="s">
        <v>1101</v>
      </c>
      <c r="E1000" s="4" t="s">
        <v>1008</v>
      </c>
      <c r="F1000" s="7" t="n">
        <v>142</v>
      </c>
      <c r="G1000" s="68" t="n">
        <v>2</v>
      </c>
      <c r="H1000" s="68" t="n">
        <v>183</v>
      </c>
      <c r="I1000" s="7" t="n">
        <v>2</v>
      </c>
      <c r="J1000" s="8" t="n">
        <v>660</v>
      </c>
      <c r="K1000" s="32" t="n">
        <v>523</v>
      </c>
      <c r="L1000" s="32" t="n">
        <v>923</v>
      </c>
      <c r="M1000" s="32" t="n">
        <v>174</v>
      </c>
      <c r="N1000" s="32" t="n">
        <v>401</v>
      </c>
      <c r="O1000" s="33" t="n">
        <v>93.9</v>
      </c>
      <c r="P1000" s="33"/>
      <c r="Q1000" s="33"/>
      <c r="R1000" s="32" t="n">
        <v>140</v>
      </c>
      <c r="S1000" s="34" t="s">
        <v>1009</v>
      </c>
      <c r="T1000" s="35" t="n">
        <v>12.8</v>
      </c>
      <c r="U1000" s="35" t="n">
        <v>10.5</v>
      </c>
      <c r="V1000" s="35" t="n">
        <v>23.3</v>
      </c>
      <c r="W1000" s="35" t="n">
        <v>21.5</v>
      </c>
      <c r="X1000" s="35" t="n">
        <v>4.05</v>
      </c>
      <c r="Y1000" s="35" t="n">
        <v>9.33</v>
      </c>
      <c r="Z1000" s="35" t="n">
        <v>2.19</v>
      </c>
      <c r="AA1000" s="35"/>
      <c r="AB1000" s="35"/>
      <c r="AC1000" s="71" t="n">
        <v>3.26</v>
      </c>
      <c r="AD1000" s="38" t="n">
        <v>7.52</v>
      </c>
      <c r="AE1000" s="38" t="n">
        <v>6.67</v>
      </c>
      <c r="AF1000" s="38" t="n">
        <v>1.23</v>
      </c>
      <c r="AG1000" s="38" t="n">
        <v>3.91</v>
      </c>
      <c r="AH1000" s="38"/>
      <c r="AI1000" s="38"/>
      <c r="AJ1000" s="102" t="s">
        <v>1010</v>
      </c>
      <c r="AK1000" s="111" t="n">
        <v>677</v>
      </c>
      <c r="AL1000" s="111" t="n">
        <v>690</v>
      </c>
      <c r="AM1000" s="111" t="n">
        <v>695</v>
      </c>
      <c r="AN1000" s="111" t="n">
        <v>581</v>
      </c>
      <c r="AO1000" s="104" t="n">
        <v>31.7</v>
      </c>
      <c r="AP1000" s="105" t="n">
        <v>1.51</v>
      </c>
      <c r="AQ1000" s="105" t="n">
        <v>1.12</v>
      </c>
      <c r="AR1000" s="105" t="n">
        <v>1.55</v>
      </c>
      <c r="AS1000" s="77" t="n">
        <v>35.33</v>
      </c>
      <c r="AT1000" s="78" t="n">
        <v>35.4</v>
      </c>
      <c r="AU1000" s="78" t="n">
        <v>47.6</v>
      </c>
      <c r="AV1000" s="78" t="n">
        <v>35.3</v>
      </c>
      <c r="AW1000" s="78" t="n">
        <v>49</v>
      </c>
      <c r="AX1000" s="78"/>
      <c r="AY1000" s="48" t="n">
        <v>1.51931330472103</v>
      </c>
      <c r="AZ1000" s="48" t="n">
        <v>25.6633816515899</v>
      </c>
      <c r="BA1000" s="48" t="n">
        <v>-2.36338165158992</v>
      </c>
      <c r="BB1000" s="49" t="n">
        <f aca="false">AT1000/V1000</f>
        <v>1.51931330472103</v>
      </c>
      <c r="BC1000" s="49" t="n">
        <f aca="false">AS1000/V1000</f>
        <v>1.51630901287554</v>
      </c>
      <c r="BD1000" s="49" t="n">
        <f aca="false">SUM(AP1000:AR1000)/V1000</f>
        <v>0.179399141630901</v>
      </c>
      <c r="BE1000" s="53" t="n">
        <v>6.78</v>
      </c>
      <c r="BF1000" s="51" t="n">
        <v>140.6</v>
      </c>
      <c r="BG1000" s="51" t="n">
        <v>676.308677098151</v>
      </c>
      <c r="BH1000" s="51" t="n">
        <v>173.719772403983</v>
      </c>
      <c r="BI1000" s="51" t="n">
        <v>95.8392603129445</v>
      </c>
      <c r="BJ1000" s="51" t="n">
        <v>9.08250355618777</v>
      </c>
      <c r="BK1000" s="51" t="n">
        <v>16.4011379800853</v>
      </c>
      <c r="BL1000" s="51" t="n">
        <v>14.7297297297297</v>
      </c>
      <c r="BM1000" s="51" t="n">
        <v>14.0753911806543</v>
      </c>
      <c r="BN1000" s="52" t="n">
        <f aca="false">(BG1000*0.5-BH1000*0.25+BI1000*0.5)/SUM(BG1000:BI1000)*1000</f>
        <v>362.253645038311</v>
      </c>
      <c r="BO1000" s="93" t="n">
        <v>12.32</v>
      </c>
      <c r="BP1000" s="94" t="s">
        <v>1011</v>
      </c>
      <c r="BQ1000" s="55" t="n">
        <v>480</v>
      </c>
      <c r="BR1000" s="56" t="n">
        <v>20.6008583690987</v>
      </c>
      <c r="BS1000" s="56" t="n">
        <v>32.355915065723</v>
      </c>
      <c r="BT1000" s="56" t="n">
        <v>13.5593220338983</v>
      </c>
      <c r="BU1000" s="55" t="n">
        <v>14649</v>
      </c>
      <c r="BV1000" s="55" t="n">
        <v>629</v>
      </c>
      <c r="BW1000" s="55" t="n">
        <v>1048</v>
      </c>
      <c r="BX1000" s="55" t="n">
        <v>414</v>
      </c>
      <c r="BY1000" s="81" t="n">
        <v>0.15</v>
      </c>
      <c r="BZ1000" s="81" t="n">
        <v>1.14167707232735</v>
      </c>
      <c r="CA1000" s="81" t="n">
        <v>1.68</v>
      </c>
      <c r="CB1000" s="81"/>
      <c r="CC1000" s="81" t="n">
        <v>7.32</v>
      </c>
      <c r="CD1000" s="81" t="n">
        <v>7.27</v>
      </c>
      <c r="CE1000" s="81" t="n">
        <v>65.5</v>
      </c>
      <c r="CF1000" s="81" t="n">
        <v>35.79</v>
      </c>
      <c r="CG1000" s="81" t="n">
        <v>0.02</v>
      </c>
      <c r="CH1000" s="63" t="n">
        <v>75252.2774434041</v>
      </c>
      <c r="CI1000" s="63" t="n">
        <v>3971.69046457645</v>
      </c>
      <c r="CJ1000" s="64" t="n">
        <v>426309.630432409</v>
      </c>
      <c r="CK1000" s="65" t="n">
        <v>0.931644556222655</v>
      </c>
    </row>
    <row r="1001" customFormat="false" ht="15" hidden="false" customHeight="false" outlineLevel="0" collapsed="false">
      <c r="A1001" s="7" t="s">
        <v>1006</v>
      </c>
      <c r="B1001" s="66" t="n">
        <v>980</v>
      </c>
      <c r="C1001" s="8" t="s">
        <v>1104</v>
      </c>
      <c r="D1001" s="114" t="s">
        <v>1105</v>
      </c>
      <c r="E1001" s="4" t="s">
        <v>1008</v>
      </c>
      <c r="F1001" s="7" t="n">
        <v>3364</v>
      </c>
      <c r="G1001" s="68" t="n">
        <v>2</v>
      </c>
      <c r="H1001" s="68" t="n">
        <v>168</v>
      </c>
      <c r="I1001" s="7" t="n">
        <v>3</v>
      </c>
      <c r="J1001" s="8" t="n">
        <v>774</v>
      </c>
      <c r="K1001" s="32" t="n">
        <v>521</v>
      </c>
      <c r="L1001" s="32" t="n">
        <v>923</v>
      </c>
      <c r="M1001" s="32" t="n">
        <v>189</v>
      </c>
      <c r="N1001" s="32" t="n">
        <v>413</v>
      </c>
      <c r="O1001" s="33" t="n">
        <v>88</v>
      </c>
      <c r="P1001" s="33"/>
      <c r="Q1001" s="33"/>
      <c r="R1001" s="32" t="n">
        <v>140</v>
      </c>
      <c r="S1001" s="34" t="s">
        <v>1009</v>
      </c>
      <c r="T1001" s="35" t="n">
        <v>13.5</v>
      </c>
      <c r="U1001" s="35" t="n">
        <v>11</v>
      </c>
      <c r="V1001" s="35" t="n">
        <v>24.5</v>
      </c>
      <c r="W1001" s="35" t="n">
        <v>22.6</v>
      </c>
      <c r="X1001" s="35" t="n">
        <v>4.63</v>
      </c>
      <c r="Y1001" s="35" t="n">
        <v>10.11</v>
      </c>
      <c r="Z1001" s="35" t="n">
        <v>2.15</v>
      </c>
      <c r="AA1001" s="35"/>
      <c r="AB1001" s="35"/>
      <c r="AC1001" s="71" t="n">
        <v>3.43</v>
      </c>
      <c r="AD1001" s="38" t="n">
        <v>8.37</v>
      </c>
      <c r="AE1001" s="38" t="n">
        <v>7.35</v>
      </c>
      <c r="AF1001" s="38" t="n">
        <v>1.42</v>
      </c>
      <c r="AG1001" s="38" t="n">
        <v>4.41</v>
      </c>
      <c r="AH1001" s="38"/>
      <c r="AI1001" s="38"/>
      <c r="AJ1001" s="102" t="s">
        <v>1010</v>
      </c>
      <c r="AK1001" s="111" t="n">
        <v>658</v>
      </c>
      <c r="AL1001" s="111" t="n">
        <v>675</v>
      </c>
      <c r="AM1001" s="111" t="n">
        <v>693</v>
      </c>
      <c r="AN1001" s="111" t="n">
        <v>564</v>
      </c>
      <c r="AO1001" s="104" t="n">
        <v>47.6</v>
      </c>
      <c r="AP1001" s="105" t="n">
        <v>1.86</v>
      </c>
      <c r="AQ1001" s="105" t="n">
        <v>1.57</v>
      </c>
      <c r="AR1001" s="105" t="n">
        <v>2.19</v>
      </c>
      <c r="AS1001" s="77" t="n">
        <v>46.94</v>
      </c>
      <c r="AT1001" s="78" t="n">
        <v>46.7</v>
      </c>
      <c r="AU1001" s="78" t="n">
        <v>39.1</v>
      </c>
      <c r="AV1001" s="78" t="n">
        <v>33.1</v>
      </c>
      <c r="AW1001" s="78" t="n">
        <v>46</v>
      </c>
      <c r="AX1001" s="78"/>
      <c r="AY1001" s="48" t="n">
        <v>1.90612244897959</v>
      </c>
      <c r="AZ1001" s="48" t="n">
        <v>31.5102675069536</v>
      </c>
      <c r="BA1001" s="48" t="n">
        <v>-7.01026750695364</v>
      </c>
      <c r="BB1001" s="49" t="n">
        <f aca="false">AT1001/V1001</f>
        <v>1.90612244897959</v>
      </c>
      <c r="BC1001" s="49" t="n">
        <f aca="false">AS1001/V1001</f>
        <v>1.91591836734694</v>
      </c>
      <c r="BD1001" s="49" t="n">
        <f aca="false">SUM(AP1001:AR1001)/V1001</f>
        <v>0.229387755102041</v>
      </c>
      <c r="BE1001" s="53"/>
      <c r="BF1001" s="51" t="n">
        <v>118.4</v>
      </c>
      <c r="BG1001" s="51" t="n">
        <v>713.885135135135</v>
      </c>
      <c r="BH1001" s="51" t="n">
        <v>170.481418918919</v>
      </c>
      <c r="BI1001" s="51" t="n">
        <v>75.6841216216216</v>
      </c>
      <c r="BJ1001" s="51" t="n">
        <v>6.77364864864865</v>
      </c>
      <c r="BK1001" s="51" t="n">
        <v>11.8581081081081</v>
      </c>
      <c r="BL1001" s="51" t="n">
        <v>11.1993243243243</v>
      </c>
      <c r="BM1001" s="51" t="n">
        <v>9.95777027027027</v>
      </c>
      <c r="BN1001" s="52" t="n">
        <f aca="false">(BG1001*0.5-BH1001*0.25+BI1001*0.5)/SUM(BG1001:BI1001)*1000</f>
        <v>366.818421747163</v>
      </c>
      <c r="BO1001" s="93" t="n">
        <v>3.13</v>
      </c>
      <c r="BP1001" s="94" t="s">
        <v>1011</v>
      </c>
      <c r="BQ1001" s="55" t="n">
        <v>518.588235294118</v>
      </c>
      <c r="BR1001" s="56" t="n">
        <v>21.1668667466987</v>
      </c>
      <c r="BS1001" s="56" t="n">
        <v>33.9946401372742</v>
      </c>
      <c r="BT1001" s="56" t="n">
        <v>11.1046731326364</v>
      </c>
      <c r="BU1001" s="55" t="n">
        <v>15885</v>
      </c>
      <c r="BV1001" s="55" t="n">
        <v>649</v>
      </c>
      <c r="BW1001" s="55" t="n">
        <v>1117</v>
      </c>
      <c r="BX1001" s="55" t="n">
        <v>340</v>
      </c>
      <c r="BY1001" s="81" t="n">
        <v>0.2117</v>
      </c>
      <c r="BZ1001" s="81" t="n">
        <v>0.975890884641245</v>
      </c>
      <c r="CA1001" s="81" t="n">
        <v>2.08</v>
      </c>
      <c r="CB1001" s="81"/>
      <c r="CC1001" s="81" t="n">
        <v>8.03</v>
      </c>
      <c r="CD1001" s="81" t="n">
        <v>7.75</v>
      </c>
      <c r="CE1001" s="81" t="n">
        <v>77.48</v>
      </c>
      <c r="CF1001" s="81" t="n">
        <v>34.84</v>
      </c>
      <c r="CG1001" s="81" t="n">
        <v>0.01</v>
      </c>
      <c r="CH1001" s="63" t="n">
        <v>36094.9233543453</v>
      </c>
      <c r="CI1001" s="63" t="n">
        <v>4592.13400378848</v>
      </c>
      <c r="CJ1001" s="64" t="n">
        <v>434975.786507699</v>
      </c>
      <c r="CK1001" s="65" t="n">
        <v>1.05572175422854</v>
      </c>
    </row>
    <row r="1002" customFormat="false" ht="15" hidden="false" customHeight="false" outlineLevel="0" collapsed="false">
      <c r="A1002" s="7" t="s">
        <v>1006</v>
      </c>
      <c r="B1002" s="66" t="n">
        <v>981</v>
      </c>
      <c r="C1002" s="8" t="s">
        <v>1106</v>
      </c>
      <c r="D1002" s="114" t="s">
        <v>1105</v>
      </c>
      <c r="E1002" s="4" t="s">
        <v>1008</v>
      </c>
      <c r="F1002" s="7" t="n">
        <v>834</v>
      </c>
      <c r="G1002" s="68" t="n">
        <v>2</v>
      </c>
      <c r="H1002" s="68" t="n">
        <v>177</v>
      </c>
      <c r="I1002" s="7" t="n">
        <v>2</v>
      </c>
      <c r="J1002" s="8" t="n">
        <v>605</v>
      </c>
      <c r="K1002" s="32" t="n">
        <v>521</v>
      </c>
      <c r="L1002" s="32" t="n">
        <v>923</v>
      </c>
      <c r="M1002" s="32" t="n">
        <v>189</v>
      </c>
      <c r="N1002" s="32" t="n">
        <v>413</v>
      </c>
      <c r="O1002" s="33" t="n">
        <v>88</v>
      </c>
      <c r="P1002" s="33"/>
      <c r="Q1002" s="33"/>
      <c r="R1002" s="32" t="n">
        <v>140</v>
      </c>
      <c r="S1002" s="34" t="s">
        <v>1009</v>
      </c>
      <c r="T1002" s="35" t="n">
        <v>10.8</v>
      </c>
      <c r="U1002" s="35" t="n">
        <v>8.9</v>
      </c>
      <c r="V1002" s="35" t="n">
        <v>19.7</v>
      </c>
      <c r="W1002" s="35" t="n">
        <v>18.2</v>
      </c>
      <c r="X1002" s="35" t="n">
        <v>3.72</v>
      </c>
      <c r="Y1002" s="35" t="n">
        <v>8.13</v>
      </c>
      <c r="Z1002" s="35" t="n">
        <v>1.73</v>
      </c>
      <c r="AA1002" s="35"/>
      <c r="AB1002" s="35"/>
      <c r="AC1002" s="71" t="n">
        <v>2.75</v>
      </c>
      <c r="AD1002" s="38" t="n">
        <v>6.29</v>
      </c>
      <c r="AE1002" s="38" t="n">
        <v>5.49</v>
      </c>
      <c r="AF1002" s="38" t="n">
        <v>1.06</v>
      </c>
      <c r="AG1002" s="38" t="n">
        <v>3.45</v>
      </c>
      <c r="AH1002" s="38"/>
      <c r="AI1002" s="38"/>
      <c r="AJ1002" s="102" t="s">
        <v>1010</v>
      </c>
      <c r="AK1002" s="111" t="n">
        <v>681</v>
      </c>
      <c r="AL1002" s="111" t="n">
        <v>698</v>
      </c>
      <c r="AM1002" s="111" t="n">
        <v>715</v>
      </c>
      <c r="AN1002" s="111" t="n">
        <v>576</v>
      </c>
      <c r="AO1002" s="104" t="n">
        <v>32.3</v>
      </c>
      <c r="AP1002" s="105" t="n">
        <v>1.41</v>
      </c>
      <c r="AQ1002" s="105" t="n">
        <v>1.13</v>
      </c>
      <c r="AR1002" s="105" t="n">
        <v>1.54</v>
      </c>
      <c r="AS1002" s="77" t="n">
        <v>34.07</v>
      </c>
      <c r="AT1002" s="78" t="n">
        <v>34.2</v>
      </c>
      <c r="AU1002" s="78" t="n">
        <v>43.6</v>
      </c>
      <c r="AV1002" s="78" t="n">
        <v>34.8</v>
      </c>
      <c r="AW1002" s="78" t="n">
        <v>47.6</v>
      </c>
      <c r="AX1002" s="78"/>
      <c r="AY1002" s="48" t="n">
        <v>1.73604060913706</v>
      </c>
      <c r="AZ1002" s="48" t="n">
        <v>24.3881877080683</v>
      </c>
      <c r="BA1002" s="48" t="n">
        <v>-4.68818770806827</v>
      </c>
      <c r="BB1002" s="49" t="n">
        <f aca="false">AT1002/V1002</f>
        <v>1.73604060913706</v>
      </c>
      <c r="BC1002" s="49" t="n">
        <f aca="false">AS1002/V1002</f>
        <v>1.72944162436548</v>
      </c>
      <c r="BD1002" s="49" t="n">
        <f aca="false">SUM(AP1002:AR1002)/V1002</f>
        <v>0.207106598984772</v>
      </c>
      <c r="BE1002" s="53"/>
      <c r="BF1002" s="51" t="n">
        <v>143.3</v>
      </c>
      <c r="BG1002" s="51" t="n">
        <v>705.82693649686</v>
      </c>
      <c r="BH1002" s="51" t="n">
        <v>152.498255408235</v>
      </c>
      <c r="BI1002" s="51" t="n">
        <v>80.0418702023726</v>
      </c>
      <c r="BJ1002" s="51" t="n">
        <v>10.5303558967202</v>
      </c>
      <c r="BK1002" s="51" t="n">
        <v>16.7271458478716</v>
      </c>
      <c r="BL1002" s="51" t="n">
        <v>17.7669225401256</v>
      </c>
      <c r="BM1002" s="51" t="n">
        <v>16.7759944173063</v>
      </c>
      <c r="BN1002" s="52" t="n">
        <f aca="false">(BG1002*0.5-BH1002*0.25+BI1002*0.5)/SUM(BG1002:BI1002)*1000</f>
        <v>378.114123806407</v>
      </c>
      <c r="BO1002" s="93" t="n">
        <v>14.58</v>
      </c>
      <c r="BP1002" s="94" t="s">
        <v>1011</v>
      </c>
      <c r="BQ1002" s="55" t="n">
        <v>468.705882352941</v>
      </c>
      <c r="BR1002" s="56" t="n">
        <v>23.7921767691848</v>
      </c>
      <c r="BS1002" s="56" t="n">
        <v>36.8955164168378</v>
      </c>
      <c r="BT1002" s="56" t="n">
        <v>13.7048503611971</v>
      </c>
      <c r="BU1002" s="55" t="n">
        <v>13188</v>
      </c>
      <c r="BV1002" s="55" t="n">
        <v>670</v>
      </c>
      <c r="BW1002" s="55" t="n">
        <v>1110</v>
      </c>
      <c r="BX1002" s="55" t="n">
        <v>386</v>
      </c>
      <c r="BY1002" s="81" t="n">
        <v>0.258</v>
      </c>
      <c r="BZ1002" s="81" t="n">
        <v>1.30189222937278</v>
      </c>
      <c r="CA1002" s="81" t="n">
        <v>1.75</v>
      </c>
      <c r="CB1002" s="81"/>
      <c r="CC1002" s="81" t="n">
        <v>6.82</v>
      </c>
      <c r="CD1002" s="81" t="n">
        <v>9.14</v>
      </c>
      <c r="CE1002" s="81" t="n">
        <v>74.5</v>
      </c>
      <c r="CF1002" s="81" t="n">
        <v>36.29</v>
      </c>
      <c r="CG1002" s="81" t="n">
        <v>0.3</v>
      </c>
      <c r="CH1002" s="63" t="n">
        <v>55528.9103587595</v>
      </c>
      <c r="CI1002" s="63" t="n">
        <v>5829.74289932811</v>
      </c>
      <c r="CJ1002" s="64" t="n">
        <v>473455.433117612</v>
      </c>
      <c r="CK1002" s="65" t="n">
        <v>1.23131819629577</v>
      </c>
    </row>
    <row r="1003" customFormat="false" ht="15" hidden="false" customHeight="false" outlineLevel="0" collapsed="false">
      <c r="A1003" s="7" t="s">
        <v>1006</v>
      </c>
      <c r="B1003" s="66" t="n">
        <v>982</v>
      </c>
      <c r="C1003" s="8" t="s">
        <v>1107</v>
      </c>
      <c r="D1003" s="114" t="s">
        <v>1108</v>
      </c>
      <c r="E1003" s="4" t="s">
        <v>1008</v>
      </c>
      <c r="F1003" s="7" t="n">
        <v>3484</v>
      </c>
      <c r="G1003" s="68" t="n">
        <v>2</v>
      </c>
      <c r="H1003" s="68" t="n">
        <v>162</v>
      </c>
      <c r="I1003" s="7" t="n">
        <v>2</v>
      </c>
      <c r="J1003" s="8" t="n">
        <v>598</v>
      </c>
      <c r="K1003" s="32" t="n">
        <v>529</v>
      </c>
      <c r="L1003" s="32" t="n">
        <v>924</v>
      </c>
      <c r="M1003" s="32" t="n">
        <v>185</v>
      </c>
      <c r="N1003" s="32" t="n">
        <v>412</v>
      </c>
      <c r="O1003" s="33"/>
      <c r="P1003" s="33"/>
      <c r="Q1003" s="33"/>
      <c r="R1003" s="32" t="n">
        <v>140</v>
      </c>
      <c r="S1003" s="34" t="s">
        <v>1009</v>
      </c>
      <c r="T1003" s="35" t="n">
        <v>13</v>
      </c>
      <c r="U1003" s="35" t="n">
        <v>10.7</v>
      </c>
      <c r="V1003" s="35" t="n">
        <v>23.7</v>
      </c>
      <c r="W1003" s="35" t="n">
        <v>21.9</v>
      </c>
      <c r="X1003" s="35" t="n">
        <v>4.37</v>
      </c>
      <c r="Y1003" s="35" t="n">
        <v>9.75</v>
      </c>
      <c r="Z1003" s="35"/>
      <c r="AA1003" s="35"/>
      <c r="AB1003" s="35"/>
      <c r="AC1003" s="71" t="n">
        <v>3.31</v>
      </c>
      <c r="AD1003" s="38" t="n">
        <v>9.5</v>
      </c>
      <c r="AE1003" s="38" t="n">
        <v>8.35</v>
      </c>
      <c r="AF1003" s="38" t="n">
        <v>1.61</v>
      </c>
      <c r="AG1003" s="38" t="n">
        <v>4.83</v>
      </c>
      <c r="AH1003" s="38"/>
      <c r="AI1003" s="38"/>
      <c r="AJ1003" s="102" t="s">
        <v>1010</v>
      </c>
      <c r="AK1003" s="111" t="n">
        <v>599</v>
      </c>
      <c r="AL1003" s="111" t="n">
        <v>618</v>
      </c>
      <c r="AM1003" s="111" t="n">
        <v>632</v>
      </c>
      <c r="AN1003" s="111" t="n">
        <v>504</v>
      </c>
      <c r="AO1003" s="104" t="n">
        <v>44.4</v>
      </c>
      <c r="AP1003" s="105" t="n">
        <v>1.73</v>
      </c>
      <c r="AQ1003" s="105" t="n">
        <v>1.48</v>
      </c>
      <c r="AR1003" s="105" t="n">
        <v>2.12</v>
      </c>
      <c r="AS1003" s="77" t="n">
        <v>43.71</v>
      </c>
      <c r="AT1003" s="78" t="n">
        <v>43.9</v>
      </c>
      <c r="AU1003" s="78" t="n">
        <v>39</v>
      </c>
      <c r="AV1003" s="78" t="n">
        <v>33.3</v>
      </c>
      <c r="AW1003" s="78" t="n">
        <v>47.8</v>
      </c>
      <c r="AX1003" s="78"/>
      <c r="AY1003" s="48" t="n">
        <v>1.85232067510549</v>
      </c>
      <c r="AZ1003" s="48" t="n">
        <v>27.8034246606828</v>
      </c>
      <c r="BA1003" s="48" t="n">
        <v>-4.10342466068282</v>
      </c>
      <c r="BB1003" s="49" t="n">
        <f aca="false">AT1003/V1003</f>
        <v>1.85232067510549</v>
      </c>
      <c r="BC1003" s="49" t="n">
        <f aca="false">AS1003/V1003</f>
        <v>1.84430379746835</v>
      </c>
      <c r="BD1003" s="49" t="n">
        <f aca="false">SUM(AP1003:AR1003)/V1003</f>
        <v>0.224894514767933</v>
      </c>
      <c r="BE1003" s="53" t="n">
        <v>6.46</v>
      </c>
      <c r="BF1003" s="51" t="n">
        <v>135.2</v>
      </c>
      <c r="BG1003" s="51" t="n">
        <v>682.62573964497</v>
      </c>
      <c r="BH1003" s="51" t="n">
        <v>193.705621301775</v>
      </c>
      <c r="BI1003" s="51" t="n">
        <v>93.3505917159764</v>
      </c>
      <c r="BJ1003" s="51" t="n">
        <v>4.65976331360947</v>
      </c>
      <c r="BK1003" s="51" t="n">
        <v>10.9541420118343</v>
      </c>
      <c r="BL1003" s="51" t="n">
        <v>6.64940828402367</v>
      </c>
      <c r="BM1003" s="51" t="n">
        <v>7.7292899408284</v>
      </c>
      <c r="BN1003" s="52" t="n">
        <f aca="false">(BG1003*0.5-BH1003*0.25+BI1003*0.5)/SUM(BG1003:BI1003)*1000</f>
        <v>350.17848834105</v>
      </c>
      <c r="BO1003" s="93" t="n">
        <v>1.55</v>
      </c>
      <c r="BP1003" s="94" t="s">
        <v>1011</v>
      </c>
      <c r="BQ1003" s="55" t="n">
        <v>513.882352941176</v>
      </c>
      <c r="BR1003" s="56" t="n">
        <v>21.6827997021593</v>
      </c>
      <c r="BS1003" s="56" t="n">
        <v>37.9691709108168</v>
      </c>
      <c r="BT1003" s="56" t="n">
        <v>11.7057483585689</v>
      </c>
      <c r="BU1003" s="55" t="n">
        <v>16051</v>
      </c>
      <c r="BV1003" s="55" t="n">
        <v>678</v>
      </c>
      <c r="BW1003" s="55" t="n">
        <v>1297</v>
      </c>
      <c r="BX1003" s="55" t="n">
        <v>365</v>
      </c>
      <c r="BY1003" s="81" t="n">
        <v>0.1005</v>
      </c>
      <c r="BZ1003" s="81" t="n">
        <v>0.904620113341658</v>
      </c>
      <c r="CA1003" s="81" t="n">
        <v>2.45</v>
      </c>
      <c r="CB1003" s="81"/>
      <c r="CC1003" s="81" t="n">
        <v>7.35</v>
      </c>
      <c r="CD1003" s="81" t="n">
        <v>9.45</v>
      </c>
      <c r="CE1003" s="81" t="n">
        <v>66.69</v>
      </c>
      <c r="CF1003" s="81" t="n">
        <v>34.23</v>
      </c>
      <c r="CG1003" s="81" t="n">
        <v>0.0092</v>
      </c>
      <c r="CH1003" s="63" t="n">
        <v>37939.0329520554</v>
      </c>
      <c r="CI1003" s="63" t="n">
        <v>3020.47450924753</v>
      </c>
      <c r="CJ1003" s="64" t="n">
        <v>448543.866903132</v>
      </c>
      <c r="CK1003" s="65" t="n">
        <v>0.673395565544503</v>
      </c>
    </row>
    <row r="1004" customFormat="false" ht="15" hidden="false" customHeight="false" outlineLevel="0" collapsed="false">
      <c r="A1004" s="7" t="s">
        <v>1006</v>
      </c>
      <c r="B1004" s="66" t="n">
        <v>983</v>
      </c>
      <c r="C1004" s="8" t="s">
        <v>1109</v>
      </c>
      <c r="D1004" s="114" t="s">
        <v>1105</v>
      </c>
      <c r="E1004" s="4" t="s">
        <v>1008</v>
      </c>
      <c r="F1004" s="7" t="n">
        <v>1088</v>
      </c>
      <c r="G1004" s="68" t="n">
        <v>2</v>
      </c>
      <c r="H1004" s="68" t="n">
        <v>115</v>
      </c>
      <c r="I1004" s="7" t="n">
        <v>1</v>
      </c>
      <c r="J1004" s="8" t="n">
        <v>544</v>
      </c>
      <c r="K1004" s="32" t="n">
        <v>521</v>
      </c>
      <c r="L1004" s="32" t="n">
        <v>923</v>
      </c>
      <c r="M1004" s="32" t="n">
        <v>189</v>
      </c>
      <c r="N1004" s="32" t="n">
        <v>413</v>
      </c>
      <c r="O1004" s="33" t="n">
        <v>88</v>
      </c>
      <c r="P1004" s="33"/>
      <c r="Q1004" s="33"/>
      <c r="R1004" s="32" t="n">
        <v>140</v>
      </c>
      <c r="S1004" s="34" t="s">
        <v>1009</v>
      </c>
      <c r="T1004" s="35" t="n">
        <v>9.2</v>
      </c>
      <c r="U1004" s="35" t="n">
        <v>7.5</v>
      </c>
      <c r="V1004" s="35" t="n">
        <v>16.7</v>
      </c>
      <c r="W1004" s="35" t="n">
        <v>15.4</v>
      </c>
      <c r="X1004" s="35" t="n">
        <v>3.16</v>
      </c>
      <c r="Y1004" s="35" t="n">
        <v>6.91</v>
      </c>
      <c r="Z1004" s="35" t="n">
        <v>1.47</v>
      </c>
      <c r="AA1004" s="35"/>
      <c r="AB1004" s="35"/>
      <c r="AC1004" s="71" t="n">
        <v>2.34</v>
      </c>
      <c r="AD1004" s="38" t="n">
        <v>6.11</v>
      </c>
      <c r="AE1004" s="38" t="n">
        <v>5.4</v>
      </c>
      <c r="AF1004" s="38" t="n">
        <v>1.02</v>
      </c>
      <c r="AG1004" s="38" t="n">
        <v>3.13</v>
      </c>
      <c r="AH1004" s="38"/>
      <c r="AI1004" s="38"/>
      <c r="AJ1004" s="102" t="s">
        <v>1010</v>
      </c>
      <c r="AK1004" s="111" t="n">
        <v>634</v>
      </c>
      <c r="AL1004" s="111" t="n">
        <v>650</v>
      </c>
      <c r="AM1004" s="111" t="n">
        <v>679</v>
      </c>
      <c r="AN1004" s="111" t="n">
        <v>547</v>
      </c>
      <c r="AO1004" s="104" t="n">
        <v>26.2</v>
      </c>
      <c r="AP1004" s="105" t="n">
        <v>1.12</v>
      </c>
      <c r="AQ1004" s="105" t="n">
        <v>0.93</v>
      </c>
      <c r="AR1004" s="105" t="n">
        <v>1.3</v>
      </c>
      <c r="AS1004" s="77" t="n">
        <v>27.28</v>
      </c>
      <c r="AT1004" s="78" t="n">
        <v>27.8</v>
      </c>
      <c r="AU1004" s="78" t="n">
        <v>42.5</v>
      </c>
      <c r="AV1004" s="78" t="n">
        <v>35.6</v>
      </c>
      <c r="AW1004" s="78" t="n">
        <v>49.6</v>
      </c>
      <c r="AX1004" s="78"/>
      <c r="AY1004" s="48" t="n">
        <v>1.66467065868263</v>
      </c>
      <c r="AZ1004" s="48" t="n">
        <v>20.6078783822838</v>
      </c>
      <c r="BA1004" s="48" t="n">
        <v>-3.90787838228379</v>
      </c>
      <c r="BB1004" s="49" t="n">
        <f aca="false">AT1004/V1004</f>
        <v>1.66467065868263</v>
      </c>
      <c r="BC1004" s="49" t="n">
        <f aca="false">AS1004/V1004</f>
        <v>1.63353293413174</v>
      </c>
      <c r="BD1004" s="49" t="n">
        <f aca="false">SUM(AP1004:AR1004)/V1004</f>
        <v>0.20059880239521</v>
      </c>
      <c r="BE1004" s="53"/>
      <c r="BF1004" s="51" t="n">
        <v>89</v>
      </c>
      <c r="BG1004" s="51" t="n">
        <v>704.876404494382</v>
      </c>
      <c r="BH1004" s="51" t="n">
        <v>170.280898876404</v>
      </c>
      <c r="BI1004" s="51" t="n">
        <v>85.7303370786517</v>
      </c>
      <c r="BJ1004" s="51" t="n">
        <v>9.68539325842697</v>
      </c>
      <c r="BK1004" s="51" t="n">
        <v>7.58426966292135</v>
      </c>
      <c r="BL1004" s="51" t="n">
        <v>13.6966292134831</v>
      </c>
      <c r="BM1004" s="51" t="n">
        <v>7.82022471910112</v>
      </c>
      <c r="BN1004" s="52" t="n">
        <f aca="false">(BG1004*0.5-BH1004*0.25+BI1004*0.5)/SUM(BG1004:BI1004)*1000</f>
        <v>367.090938855693</v>
      </c>
      <c r="BO1004" s="93" t="n">
        <v>4.9</v>
      </c>
      <c r="BP1004" s="94" t="s">
        <v>1011</v>
      </c>
      <c r="BQ1004" s="55" t="n">
        <v>389.647058823529</v>
      </c>
      <c r="BR1004" s="56" t="n">
        <v>23.3321592109898</v>
      </c>
      <c r="BS1004" s="56" t="n">
        <v>38.9257801022507</v>
      </c>
      <c r="BT1004" s="56" t="n">
        <v>14.0160812526449</v>
      </c>
      <c r="BU1004" s="55" t="n">
        <v>12088</v>
      </c>
      <c r="BV1004" s="55" t="n">
        <v>723</v>
      </c>
      <c r="BW1004" s="55" t="n">
        <v>1297</v>
      </c>
      <c r="BX1004" s="55" t="n">
        <v>435</v>
      </c>
      <c r="BY1004" s="81" t="n">
        <v>0.1532</v>
      </c>
      <c r="BZ1004" s="81" t="n">
        <v>0.659494765152243</v>
      </c>
      <c r="CA1004" s="81" t="n">
        <v>1.23</v>
      </c>
      <c r="CB1004" s="81"/>
      <c r="CC1004" s="81" t="n">
        <v>7.07</v>
      </c>
      <c r="CD1004" s="81" t="n">
        <v>7.53</v>
      </c>
      <c r="CE1004" s="81" t="n">
        <v>94.04</v>
      </c>
      <c r="CF1004" s="81" t="n">
        <v>33.68</v>
      </c>
      <c r="CG1004" s="81" t="n">
        <v>0.02</v>
      </c>
      <c r="CH1004" s="63" t="n">
        <v>37656.2307395763</v>
      </c>
      <c r="CI1004" s="63" t="n">
        <v>3334.10752782397</v>
      </c>
      <c r="CJ1004" s="64" t="n">
        <v>484770.581976029</v>
      </c>
      <c r="CK1004" s="65" t="n">
        <v>0.687770184864238</v>
      </c>
    </row>
    <row r="1005" customFormat="false" ht="15" hidden="false" customHeight="false" outlineLevel="0" collapsed="false">
      <c r="A1005" s="7" t="s">
        <v>1006</v>
      </c>
      <c r="B1005" s="66" t="n">
        <v>984</v>
      </c>
      <c r="C1005" s="8" t="s">
        <v>1110</v>
      </c>
      <c r="D1005" s="114" t="s">
        <v>1108</v>
      </c>
      <c r="E1005" s="4" t="s">
        <v>1008</v>
      </c>
      <c r="F1005" s="7" t="n">
        <v>185</v>
      </c>
      <c r="G1005" s="68" t="n">
        <v>2</v>
      </c>
      <c r="H1005" s="68" t="n">
        <v>183</v>
      </c>
      <c r="I1005" s="7" t="n">
        <v>2</v>
      </c>
      <c r="J1005" s="8" t="n">
        <v>572</v>
      </c>
      <c r="K1005" s="32" t="n">
        <v>529</v>
      </c>
      <c r="L1005" s="32" t="n">
        <v>924</v>
      </c>
      <c r="M1005" s="32" t="n">
        <v>185</v>
      </c>
      <c r="N1005" s="32" t="n">
        <v>412</v>
      </c>
      <c r="O1005" s="33"/>
      <c r="P1005" s="33"/>
      <c r="Q1005" s="33"/>
      <c r="R1005" s="32" t="n">
        <v>140</v>
      </c>
      <c r="S1005" s="34" t="s">
        <v>1009</v>
      </c>
      <c r="T1005" s="35" t="n">
        <v>11.5</v>
      </c>
      <c r="U1005" s="35" t="n">
        <v>9.4</v>
      </c>
      <c r="V1005" s="35" t="n">
        <v>20.8</v>
      </c>
      <c r="W1005" s="35" t="n">
        <v>19.2</v>
      </c>
      <c r="X1005" s="35" t="n">
        <v>3.85</v>
      </c>
      <c r="Y1005" s="35" t="n">
        <v>8.57</v>
      </c>
      <c r="Z1005" s="35"/>
      <c r="AA1005" s="35"/>
      <c r="AB1005" s="35"/>
      <c r="AC1005" s="71" t="n">
        <v>2.92</v>
      </c>
      <c r="AD1005" s="38" t="n">
        <v>7.01</v>
      </c>
      <c r="AE1005" s="38" t="n">
        <v>6.18</v>
      </c>
      <c r="AF1005" s="38" t="n">
        <v>1.19</v>
      </c>
      <c r="AG1005" s="38" t="n">
        <v>3.71</v>
      </c>
      <c r="AH1005" s="38"/>
      <c r="AI1005" s="38"/>
      <c r="AJ1005" s="102" t="s">
        <v>1010</v>
      </c>
      <c r="AK1005" s="111" t="n">
        <v>664</v>
      </c>
      <c r="AL1005" s="111" t="n">
        <v>679</v>
      </c>
      <c r="AM1005" s="111" t="n">
        <v>689</v>
      </c>
      <c r="AN1005" s="111" t="n">
        <v>567</v>
      </c>
      <c r="AO1005" s="104" t="n">
        <v>30.8</v>
      </c>
      <c r="AP1005" s="105" t="n">
        <v>1.62</v>
      </c>
      <c r="AQ1005" s="105" t="n">
        <v>1.04</v>
      </c>
      <c r="AR1005" s="105" t="n">
        <v>1.48</v>
      </c>
      <c r="AS1005" s="77" t="n">
        <v>36.62</v>
      </c>
      <c r="AT1005" s="78" t="n">
        <v>35.8</v>
      </c>
      <c r="AU1005" s="78" t="n">
        <v>52.8</v>
      </c>
      <c r="AV1005" s="78" t="n">
        <v>33.7</v>
      </c>
      <c r="AW1005" s="78" t="n">
        <v>48</v>
      </c>
      <c r="AX1005" s="78"/>
      <c r="AY1005" s="48" t="n">
        <v>1.72115384615385</v>
      </c>
      <c r="AZ1005" s="48" t="n">
        <v>24.8631409198076</v>
      </c>
      <c r="BA1005" s="48" t="n">
        <v>-4.06314091980762</v>
      </c>
      <c r="BB1005" s="49" t="n">
        <f aca="false">AT1005/V1005</f>
        <v>1.72115384615385</v>
      </c>
      <c r="BC1005" s="49" t="n">
        <f aca="false">AS1005/V1005</f>
        <v>1.76057692307692</v>
      </c>
      <c r="BD1005" s="49" t="n">
        <f aca="false">SUM(AP1005:AR1005)/V1005</f>
        <v>0.199038461538462</v>
      </c>
      <c r="BE1005" s="53" t="n">
        <v>6.54</v>
      </c>
      <c r="BF1005" s="51" t="n">
        <v>141.7</v>
      </c>
      <c r="BG1005" s="51" t="n">
        <v>665.561044460127</v>
      </c>
      <c r="BH1005" s="51" t="n">
        <v>169.103740296401</v>
      </c>
      <c r="BI1005" s="51" t="n">
        <v>114.502470007057</v>
      </c>
      <c r="BJ1005" s="51" t="n">
        <v>9.18136908962597</v>
      </c>
      <c r="BK1005" s="51" t="n">
        <v>14.1778405081157</v>
      </c>
      <c r="BL1005" s="51" t="n">
        <v>16.1609033168666</v>
      </c>
      <c r="BM1005" s="51" t="n">
        <v>11.1926605504587</v>
      </c>
      <c r="BN1005" s="52" t="n">
        <f aca="false">(BG1005*0.5-BH1005*0.25+BI1005*0.5)/SUM(BG1005:BI1005)*1000</f>
        <v>366.379919254705</v>
      </c>
      <c r="BO1005" s="93" t="n">
        <v>11.56</v>
      </c>
      <c r="BP1005" s="94" t="s">
        <v>1011</v>
      </c>
      <c r="BQ1005" s="55" t="n">
        <v>496.941176470588</v>
      </c>
      <c r="BR1005" s="56" t="n">
        <v>23.8914027149321</v>
      </c>
      <c r="BS1005" s="56" t="n">
        <v>38.118340119553</v>
      </c>
      <c r="BT1005" s="56" t="n">
        <v>13.8810384488991</v>
      </c>
      <c r="BU1005" s="55" t="n">
        <v>14806</v>
      </c>
      <c r="BV1005" s="55" t="n">
        <v>711</v>
      </c>
      <c r="BW1005" s="55" t="n">
        <v>1210</v>
      </c>
      <c r="BX1005" s="55" t="n">
        <v>414</v>
      </c>
      <c r="BY1005" s="81" t="n">
        <v>0.2546</v>
      </c>
      <c r="BZ1005" s="81" t="n">
        <v>1.06358659110556</v>
      </c>
      <c r="CA1005" s="81" t="n">
        <v>3.06</v>
      </c>
      <c r="CB1005" s="81"/>
      <c r="CC1005" s="81" t="n">
        <v>6.9</v>
      </c>
      <c r="CD1005" s="81" t="n">
        <v>6.46</v>
      </c>
      <c r="CE1005" s="81" t="n">
        <v>57.34</v>
      </c>
      <c r="CF1005" s="81" t="n">
        <v>36.72</v>
      </c>
      <c r="CG1005" s="81" t="n">
        <v>0.0194</v>
      </c>
      <c r="CH1005" s="63" t="n">
        <v>33861.849633516</v>
      </c>
      <c r="CI1005" s="63" t="n">
        <v>4488.33971317446</v>
      </c>
      <c r="CJ1005" s="64" t="n">
        <v>723176.054244536</v>
      </c>
      <c r="CK1005" s="65" t="n">
        <v>0.620642744851832</v>
      </c>
    </row>
    <row r="1006" customFormat="false" ht="15" hidden="false" customHeight="false" outlineLevel="0" collapsed="false">
      <c r="A1006" s="7" t="s">
        <v>1006</v>
      </c>
      <c r="B1006" s="66" t="n">
        <v>985</v>
      </c>
      <c r="C1006" s="8" t="s">
        <v>1111</v>
      </c>
      <c r="D1006" s="114" t="s">
        <v>1099</v>
      </c>
      <c r="E1006" s="4" t="s">
        <v>1008</v>
      </c>
      <c r="F1006" s="7" t="n">
        <v>3499</v>
      </c>
      <c r="G1006" s="68" t="n">
        <v>2</v>
      </c>
      <c r="H1006" s="68" t="n">
        <v>159</v>
      </c>
      <c r="I1006" s="7" t="n">
        <v>2</v>
      </c>
      <c r="J1006" s="8" t="n">
        <v>638</v>
      </c>
      <c r="K1006" s="32" t="n">
        <v>531</v>
      </c>
      <c r="L1006" s="32" t="n">
        <v>924</v>
      </c>
      <c r="M1006" s="32" t="n">
        <v>178</v>
      </c>
      <c r="N1006" s="32" t="n">
        <v>401</v>
      </c>
      <c r="O1006" s="33" t="n">
        <v>80.4</v>
      </c>
      <c r="P1006" s="33"/>
      <c r="Q1006" s="33"/>
      <c r="R1006" s="32" t="n">
        <v>135</v>
      </c>
      <c r="S1006" s="34" t="s">
        <v>1009</v>
      </c>
      <c r="T1006" s="35" t="n">
        <v>10.8</v>
      </c>
      <c r="U1006" s="35" t="n">
        <v>8.8</v>
      </c>
      <c r="V1006" s="35" t="n">
        <v>19.6</v>
      </c>
      <c r="W1006" s="35" t="n">
        <v>18.1</v>
      </c>
      <c r="X1006" s="35" t="n">
        <v>3.5</v>
      </c>
      <c r="Y1006" s="35" t="n">
        <v>7.87</v>
      </c>
      <c r="Z1006" s="35" t="n">
        <v>1.58</v>
      </c>
      <c r="AA1006" s="35"/>
      <c r="AB1006" s="35"/>
      <c r="AC1006" s="71" t="n">
        <v>2.66</v>
      </c>
      <c r="AD1006" s="38" t="n">
        <v>6.52</v>
      </c>
      <c r="AE1006" s="38" t="n">
        <v>5.75</v>
      </c>
      <c r="AF1006" s="38" t="n">
        <v>1.15</v>
      </c>
      <c r="AG1006" s="38" t="n">
        <v>3.41</v>
      </c>
      <c r="AH1006" s="38"/>
      <c r="AI1006" s="38"/>
      <c r="AJ1006" s="102" t="s">
        <v>1010</v>
      </c>
      <c r="AK1006" s="111" t="n">
        <v>668</v>
      </c>
      <c r="AL1006" s="111" t="n">
        <v>683</v>
      </c>
      <c r="AM1006" s="111" t="n">
        <v>672</v>
      </c>
      <c r="AN1006" s="111" t="n">
        <v>567</v>
      </c>
      <c r="AO1006" s="104" t="n">
        <v>33.2</v>
      </c>
      <c r="AP1006" s="105" t="n">
        <v>1.61</v>
      </c>
      <c r="AQ1006" s="105" t="n">
        <v>1.11</v>
      </c>
      <c r="AR1006" s="105" t="n">
        <v>1.59</v>
      </c>
      <c r="AS1006" s="77" t="n">
        <v>37.43</v>
      </c>
      <c r="AT1006" s="78" t="n">
        <v>36.7</v>
      </c>
      <c r="AU1006" s="78" t="n">
        <v>48.3</v>
      </c>
      <c r="AV1006" s="78" t="n">
        <v>33.5</v>
      </c>
      <c r="AW1006" s="78" t="n">
        <v>47.9</v>
      </c>
      <c r="AX1006" s="78"/>
      <c r="AY1006" s="48" t="n">
        <v>1.87244897959184</v>
      </c>
      <c r="AZ1006" s="48" t="n">
        <v>26.0468612353518</v>
      </c>
      <c r="BA1006" s="48" t="n">
        <v>-6.44686123535177</v>
      </c>
      <c r="BB1006" s="49" t="n">
        <f aca="false">AT1006/V1006</f>
        <v>1.87244897959184</v>
      </c>
      <c r="BC1006" s="49" t="n">
        <f aca="false">AS1006/V1006</f>
        <v>1.90969387755102</v>
      </c>
      <c r="BD1006" s="49" t="n">
        <f aca="false">SUM(AP1006:AR1006)/V1006</f>
        <v>0.219897959183673</v>
      </c>
      <c r="BE1006" s="53" t="n">
        <v>6.61</v>
      </c>
      <c r="BF1006" s="51" t="n">
        <v>120.3</v>
      </c>
      <c r="BG1006" s="51" t="n">
        <v>679.484621778886</v>
      </c>
      <c r="BH1006" s="51" t="n">
        <v>158.886118038238</v>
      </c>
      <c r="BI1006" s="51" t="n">
        <v>104.098088113051</v>
      </c>
      <c r="BJ1006" s="51" t="n">
        <v>9.58437240232752</v>
      </c>
      <c r="BK1006" s="51" t="n">
        <v>14.954280964256</v>
      </c>
      <c r="BL1006" s="51" t="n">
        <v>18.021612635079</v>
      </c>
      <c r="BM1006" s="51" t="n">
        <v>14.9293433083957</v>
      </c>
      <c r="BN1006" s="52" t="n">
        <f aca="false">(BG1006*0.5-BH1006*0.25+BI1006*0.5)/SUM(BG1006:BI1006)*1000</f>
        <v>373.561241499749</v>
      </c>
      <c r="BO1006" s="93" t="n">
        <v>13.51</v>
      </c>
      <c r="BP1006" s="94" t="s">
        <v>1011</v>
      </c>
      <c r="BQ1006" s="55" t="n">
        <v>472.470588235294</v>
      </c>
      <c r="BR1006" s="56" t="n">
        <v>24.1056422569028</v>
      </c>
      <c r="BS1006" s="56" t="n">
        <v>38.2186638599042</v>
      </c>
      <c r="BT1006" s="56" t="n">
        <v>12.8738579900625</v>
      </c>
      <c r="BU1006" s="55" t="n">
        <v>14044</v>
      </c>
      <c r="BV1006" s="55" t="n">
        <v>716</v>
      </c>
      <c r="BW1006" s="55" t="n">
        <v>1210</v>
      </c>
      <c r="BX1006" s="55" t="n">
        <v>383</v>
      </c>
      <c r="BY1006" s="81" t="n">
        <v>0.1974</v>
      </c>
      <c r="BZ1006" s="81" t="n">
        <v>2.87570838536164</v>
      </c>
      <c r="CA1006" s="81" t="n">
        <v>2.77</v>
      </c>
      <c r="CB1006" s="81"/>
      <c r="CC1006" s="81" t="n">
        <v>6.6</v>
      </c>
      <c r="CD1006" s="81" t="n">
        <v>8.98</v>
      </c>
      <c r="CE1006" s="81" t="n">
        <v>55.24</v>
      </c>
      <c r="CF1006" s="81" t="n">
        <v>33.96</v>
      </c>
      <c r="CG1006" s="81" t="n">
        <v>0.01</v>
      </c>
      <c r="CH1006" s="63" t="n">
        <v>58758.7827386729</v>
      </c>
      <c r="CI1006" s="63" t="n">
        <v>8514.82593300762</v>
      </c>
      <c r="CJ1006" s="64" t="n">
        <v>762354.214906941</v>
      </c>
      <c r="CK1006" s="65" t="n">
        <v>1.11691202940972</v>
      </c>
    </row>
    <row r="1007" customFormat="false" ht="15" hidden="false" customHeight="false" outlineLevel="0" collapsed="false">
      <c r="A1007" s="7" t="s">
        <v>1006</v>
      </c>
      <c r="B1007" s="66" t="n">
        <v>986</v>
      </c>
      <c r="C1007" s="8" t="s">
        <v>1112</v>
      </c>
      <c r="D1007" s="114" t="s">
        <v>1113</v>
      </c>
      <c r="E1007" s="4" t="s">
        <v>1008</v>
      </c>
      <c r="F1007" s="7" t="n">
        <v>744</v>
      </c>
      <c r="G1007" s="68" t="n">
        <v>2</v>
      </c>
      <c r="H1007" s="68" t="n">
        <v>110</v>
      </c>
      <c r="I1007" s="7" t="n">
        <v>1</v>
      </c>
      <c r="J1007" s="8" t="n">
        <v>633</v>
      </c>
      <c r="K1007" s="32" t="n">
        <v>533</v>
      </c>
      <c r="L1007" s="32" t="n">
        <v>926</v>
      </c>
      <c r="M1007" s="32" t="n">
        <v>172</v>
      </c>
      <c r="N1007" s="32" t="n">
        <v>400</v>
      </c>
      <c r="O1007" s="33" t="n">
        <v>85.6</v>
      </c>
      <c r="P1007" s="33"/>
      <c r="Q1007" s="33"/>
      <c r="R1007" s="32" t="n">
        <v>135</v>
      </c>
      <c r="S1007" s="34" t="s">
        <v>1009</v>
      </c>
      <c r="T1007" s="35" t="n">
        <v>11.3</v>
      </c>
      <c r="U1007" s="35" t="n">
        <v>9.2</v>
      </c>
      <c r="V1007" s="35" t="n">
        <v>20.5</v>
      </c>
      <c r="W1007" s="35" t="n">
        <v>19</v>
      </c>
      <c r="X1007" s="35" t="n">
        <v>3.51</v>
      </c>
      <c r="Y1007" s="35" t="n">
        <v>8.2</v>
      </c>
      <c r="Z1007" s="35" t="n">
        <v>1.75</v>
      </c>
      <c r="AA1007" s="35"/>
      <c r="AB1007" s="35"/>
      <c r="AC1007" s="71" t="n">
        <v>2.77</v>
      </c>
      <c r="AD1007" s="38" t="n">
        <v>7.15</v>
      </c>
      <c r="AE1007" s="38" t="n">
        <v>6.29</v>
      </c>
      <c r="AF1007" s="38" t="n">
        <v>1.3</v>
      </c>
      <c r="AG1007" s="38" t="n">
        <v>3.72</v>
      </c>
      <c r="AH1007" s="38"/>
      <c r="AI1007" s="38"/>
      <c r="AJ1007" s="102" t="s">
        <v>1010</v>
      </c>
      <c r="AK1007" s="111" t="n">
        <v>651</v>
      </c>
      <c r="AL1007" s="111" t="n">
        <v>668</v>
      </c>
      <c r="AM1007" s="111" t="n">
        <v>630</v>
      </c>
      <c r="AN1007" s="111" t="n">
        <v>547</v>
      </c>
      <c r="AO1007" s="104" t="n">
        <v>34.1</v>
      </c>
      <c r="AP1007" s="105" t="n">
        <v>1.62</v>
      </c>
      <c r="AQ1007" s="105" t="n">
        <v>1.16</v>
      </c>
      <c r="AR1007" s="105" t="n">
        <v>1.66</v>
      </c>
      <c r="AS1007" s="77" t="n">
        <v>37.94</v>
      </c>
      <c r="AT1007" s="78" t="n">
        <v>37.7</v>
      </c>
      <c r="AU1007" s="78" t="n">
        <v>47.7</v>
      </c>
      <c r="AV1007" s="78" t="n">
        <v>34</v>
      </c>
      <c r="AW1007" s="78" t="n">
        <v>48.7</v>
      </c>
      <c r="AX1007" s="78"/>
      <c r="AY1007" s="48" t="n">
        <v>1.8390243902439</v>
      </c>
      <c r="AZ1007" s="48" t="n">
        <v>25.6927196901622</v>
      </c>
      <c r="BA1007" s="48" t="n">
        <v>-5.19271969016216</v>
      </c>
      <c r="BB1007" s="49" t="n">
        <f aca="false">AT1007/V1007</f>
        <v>1.8390243902439</v>
      </c>
      <c r="BC1007" s="49" t="n">
        <f aca="false">AS1007/V1007</f>
        <v>1.85073170731707</v>
      </c>
      <c r="BD1007" s="49" t="n">
        <f aca="false">SUM(AP1007:AR1007)/V1007</f>
        <v>0.216585365853659</v>
      </c>
      <c r="BE1007" s="53" t="n">
        <v>6.71</v>
      </c>
      <c r="BF1007" s="51" t="n">
        <v>127</v>
      </c>
      <c r="BG1007" s="51" t="n">
        <v>673.55905511811</v>
      </c>
      <c r="BH1007" s="51" t="n">
        <v>172.661417322835</v>
      </c>
      <c r="BI1007" s="51" t="n">
        <v>109.393700787402</v>
      </c>
      <c r="BJ1007" s="51" t="n">
        <v>6.76377952755905</v>
      </c>
      <c r="BK1007" s="51" t="n">
        <v>13.1102362204724</v>
      </c>
      <c r="BL1007" s="51" t="n">
        <v>12.7244094488189</v>
      </c>
      <c r="BM1007" s="51" t="n">
        <v>11.7244094488189</v>
      </c>
      <c r="BN1007" s="52" t="n">
        <f aca="false">(BG1007*0.5-BH1007*0.25+BI1007*0.5)/SUM(BG1007:BI1007)*1000</f>
        <v>364.489177096809</v>
      </c>
      <c r="BO1007" s="93" t="n">
        <v>7.89</v>
      </c>
      <c r="BP1007" s="94" t="s">
        <v>1011</v>
      </c>
      <c r="BQ1007" s="55" t="n">
        <v>475.294117647059</v>
      </c>
      <c r="BR1007" s="56" t="n">
        <v>23.1850789096126</v>
      </c>
      <c r="BS1007" s="56" t="n">
        <v>37.4483231679057</v>
      </c>
      <c r="BT1007" s="56" t="n">
        <v>12.6072710251209</v>
      </c>
      <c r="BU1007" s="55" t="n">
        <v>14495</v>
      </c>
      <c r="BV1007" s="55" t="n">
        <v>708</v>
      </c>
      <c r="BW1007" s="55" t="n">
        <v>1227</v>
      </c>
      <c r="BX1007" s="55" t="n">
        <v>384</v>
      </c>
      <c r="BY1007" s="81" t="n">
        <v>0.2064</v>
      </c>
      <c r="BZ1007" s="81" t="n">
        <v>1.06060897128038</v>
      </c>
      <c r="CA1007" s="81" t="n">
        <v>3.23</v>
      </c>
      <c r="CB1007" s="81"/>
      <c r="CC1007" s="81" t="n">
        <v>6.33</v>
      </c>
      <c r="CD1007" s="81" t="n">
        <v>7.08</v>
      </c>
      <c r="CE1007" s="81" t="n">
        <v>66.98</v>
      </c>
      <c r="CF1007" s="81" t="n">
        <v>33.44</v>
      </c>
      <c r="CG1007" s="81" t="n">
        <v>0.01</v>
      </c>
      <c r="CH1007" s="63" t="n">
        <v>27478.4176959905</v>
      </c>
      <c r="CI1007" s="63" t="n">
        <v>6033.96246984727</v>
      </c>
      <c r="CJ1007" s="64" t="n">
        <v>874924.895642323</v>
      </c>
      <c r="CK1007" s="65" t="n">
        <v>0.689654906369702</v>
      </c>
    </row>
    <row r="1008" customFormat="false" ht="15" hidden="false" customHeight="false" outlineLevel="0" collapsed="false">
      <c r="A1008" s="7" t="s">
        <v>1006</v>
      </c>
      <c r="B1008" s="66" t="n">
        <v>987</v>
      </c>
      <c r="C1008" s="8" t="s">
        <v>1114</v>
      </c>
      <c r="D1008" s="115" t="s">
        <v>1115</v>
      </c>
      <c r="E1008" s="4" t="s">
        <v>1008</v>
      </c>
      <c r="F1008" s="7" t="n">
        <v>4219</v>
      </c>
      <c r="G1008" s="68" t="n">
        <v>2</v>
      </c>
      <c r="H1008" s="68" t="n">
        <v>130</v>
      </c>
      <c r="I1008" s="7" t="n">
        <v>6</v>
      </c>
      <c r="J1008" s="8" t="n">
        <v>748</v>
      </c>
      <c r="K1008" s="32" t="n">
        <v>528</v>
      </c>
      <c r="L1008" s="32" t="n">
        <v>926</v>
      </c>
      <c r="M1008" s="32" t="n">
        <v>175</v>
      </c>
      <c r="N1008" s="32" t="n">
        <v>396</v>
      </c>
      <c r="O1008" s="33" t="n">
        <v>87.7</v>
      </c>
      <c r="P1008" s="33"/>
      <c r="Q1008" s="33"/>
      <c r="R1008" s="32" t="n">
        <v>150</v>
      </c>
      <c r="S1008" s="34" t="s">
        <v>1009</v>
      </c>
      <c r="T1008" s="35" t="n">
        <v>12.5</v>
      </c>
      <c r="U1008" s="35" t="n">
        <v>10.2</v>
      </c>
      <c r="V1008" s="35" t="n">
        <v>22.7</v>
      </c>
      <c r="W1008" s="35" t="n">
        <v>21</v>
      </c>
      <c r="X1008" s="35" t="n">
        <v>3.96</v>
      </c>
      <c r="Y1008" s="35" t="n">
        <v>8.99</v>
      </c>
      <c r="Z1008" s="35" t="n">
        <v>1.99</v>
      </c>
      <c r="AA1008" s="35"/>
      <c r="AB1008" s="35"/>
      <c r="AC1008" s="71" t="n">
        <v>3.41</v>
      </c>
      <c r="AD1008" s="38" t="n">
        <v>7.7</v>
      </c>
      <c r="AE1008" s="38" t="n">
        <v>6.85</v>
      </c>
      <c r="AF1008" s="38" t="n">
        <v>1.26</v>
      </c>
      <c r="AG1008" s="38" t="n">
        <v>4.04</v>
      </c>
      <c r="AH1008" s="38"/>
      <c r="AI1008" s="38"/>
      <c r="AJ1008" s="102" t="s">
        <v>1010</v>
      </c>
      <c r="AK1008" s="111" t="n">
        <v>660</v>
      </c>
      <c r="AL1008" s="111" t="n">
        <v>674</v>
      </c>
      <c r="AM1008" s="111" t="n">
        <v>682</v>
      </c>
      <c r="AN1008" s="111" t="n">
        <v>550</v>
      </c>
      <c r="AO1008" s="104" t="n">
        <v>34.9</v>
      </c>
      <c r="AP1008" s="105" t="n">
        <v>1.51</v>
      </c>
      <c r="AQ1008" s="105" t="n">
        <v>1.15</v>
      </c>
      <c r="AR1008" s="105" t="n">
        <v>1.63</v>
      </c>
      <c r="AS1008" s="77" t="n">
        <v>36.61</v>
      </c>
      <c r="AT1008" s="78" t="n">
        <v>35.4</v>
      </c>
      <c r="AU1008" s="78" t="n">
        <v>41.6</v>
      </c>
      <c r="AV1008" s="78" t="n">
        <v>33</v>
      </c>
      <c r="AW1008" s="78" t="n">
        <v>46.8</v>
      </c>
      <c r="AX1008" s="78"/>
      <c r="AY1008" s="48" t="n">
        <v>1.55947136563877</v>
      </c>
      <c r="AZ1008" s="48" t="n">
        <v>27.0803316408558</v>
      </c>
      <c r="BA1008" s="48" t="n">
        <v>-4.38033164085577</v>
      </c>
      <c r="BB1008" s="49" t="n">
        <f aca="false">AT1008/V1008</f>
        <v>1.55947136563877</v>
      </c>
      <c r="BC1008" s="49" t="n">
        <f aca="false">AS1008/V1008</f>
        <v>1.61277533039648</v>
      </c>
      <c r="BD1008" s="49" t="n">
        <f aca="false">SUM(AP1008:AR1008)/V1008</f>
        <v>0.188986784140969</v>
      </c>
      <c r="BE1008" s="53" t="n">
        <v>6.31</v>
      </c>
      <c r="BF1008" s="51" t="n">
        <v>136.4</v>
      </c>
      <c r="BG1008" s="51" t="n">
        <v>732.492668621701</v>
      </c>
      <c r="BH1008" s="51" t="n">
        <v>162.939882697947</v>
      </c>
      <c r="BI1008" s="51" t="n">
        <v>80.6818181818182</v>
      </c>
      <c r="BJ1008" s="51" t="n">
        <v>3.79032258064516</v>
      </c>
      <c r="BK1008" s="51" t="n">
        <v>7.32404692082111</v>
      </c>
      <c r="BL1008" s="51" t="n">
        <v>5.46187683284458</v>
      </c>
      <c r="BM1008" s="51" t="n">
        <v>7.16275659824047</v>
      </c>
      <c r="BN1008" s="52" t="n">
        <f aca="false">(BG1008*0.5-BH1008*0.25+BI1008*0.5)/SUM(BG1008:BI1008)*1000</f>
        <v>374.804719772874</v>
      </c>
      <c r="BO1008" s="93" t="n">
        <v>0.84</v>
      </c>
      <c r="BP1008" s="94" t="s">
        <v>1011</v>
      </c>
      <c r="BQ1008" s="55" t="n">
        <v>472.470588235294</v>
      </c>
      <c r="BR1008" s="56" t="n">
        <v>20.8136823011143</v>
      </c>
      <c r="BS1008" s="56" t="n">
        <v>33.3807113349791</v>
      </c>
      <c r="BT1008" s="56" t="n">
        <v>13.3466267863077</v>
      </c>
      <c r="BU1008" s="55" t="n">
        <v>15137</v>
      </c>
      <c r="BV1008" s="55" t="n">
        <v>668</v>
      </c>
      <c r="BW1008" s="55" t="n">
        <v>1138</v>
      </c>
      <c r="BX1008" s="55" t="n">
        <v>428</v>
      </c>
      <c r="BY1008" s="81" t="n">
        <v>0.1467</v>
      </c>
      <c r="BZ1008" s="81" t="n">
        <v>0.887234655652675</v>
      </c>
      <c r="CA1008" s="81" t="n">
        <v>3.17</v>
      </c>
      <c r="CB1008" s="81"/>
      <c r="CC1008" s="81" t="n">
        <v>6.78</v>
      </c>
      <c r="CD1008" s="81" t="n">
        <v>5.24</v>
      </c>
      <c r="CE1008" s="81" t="n">
        <v>92.37</v>
      </c>
      <c r="CF1008" s="81" t="n">
        <v>32.77</v>
      </c>
      <c r="CG1008" s="81" t="n">
        <v>0.0092</v>
      </c>
      <c r="CH1008" s="63" t="n">
        <v>65099.5964849417</v>
      </c>
      <c r="CI1008" s="63" t="n">
        <v>3031.04345131645</v>
      </c>
      <c r="CJ1008" s="64" t="n">
        <v>470304.034537703</v>
      </c>
      <c r="CK1008" s="65" t="n">
        <v>0.64448595562143</v>
      </c>
    </row>
    <row r="1009" customFormat="false" ht="15" hidden="false" customHeight="false" outlineLevel="0" collapsed="false">
      <c r="A1009" s="7" t="s">
        <v>1006</v>
      </c>
      <c r="B1009" s="66" t="n">
        <v>988</v>
      </c>
      <c r="C1009" s="8" t="s">
        <v>1116</v>
      </c>
      <c r="D1009" s="114" t="s">
        <v>1117</v>
      </c>
      <c r="E1009" s="4" t="s">
        <v>1008</v>
      </c>
      <c r="F1009" s="7" t="n">
        <v>1096</v>
      </c>
      <c r="G1009" s="68" t="n">
        <v>2</v>
      </c>
      <c r="H1009" s="68" t="n">
        <v>81</v>
      </c>
      <c r="I1009" s="7" t="n">
        <v>1</v>
      </c>
      <c r="J1009" s="8" t="n">
        <v>544</v>
      </c>
      <c r="K1009" s="32" t="n">
        <v>529</v>
      </c>
      <c r="L1009" s="32" t="n">
        <v>925</v>
      </c>
      <c r="M1009" s="32" t="n">
        <v>176</v>
      </c>
      <c r="N1009" s="32" t="n">
        <v>403</v>
      </c>
      <c r="O1009" s="33" t="n">
        <v>85.6</v>
      </c>
      <c r="P1009" s="33"/>
      <c r="Q1009" s="33"/>
      <c r="R1009" s="32" t="n">
        <v>135</v>
      </c>
      <c r="S1009" s="34" t="s">
        <v>1009</v>
      </c>
      <c r="T1009" s="35" t="n">
        <v>9.3</v>
      </c>
      <c r="U1009" s="35" t="n">
        <v>7.6</v>
      </c>
      <c r="V1009" s="35" t="n">
        <v>16.9</v>
      </c>
      <c r="W1009" s="35" t="n">
        <v>15.6</v>
      </c>
      <c r="X1009" s="35" t="n">
        <v>2.96</v>
      </c>
      <c r="Y1009" s="35" t="n">
        <v>6.8</v>
      </c>
      <c r="Z1009" s="35" t="n">
        <v>1.45</v>
      </c>
      <c r="AA1009" s="35"/>
      <c r="AB1009" s="35"/>
      <c r="AC1009" s="71" t="n">
        <v>2.29</v>
      </c>
      <c r="AD1009" s="38" t="n">
        <v>5.41</v>
      </c>
      <c r="AE1009" s="38" t="n">
        <v>4.75</v>
      </c>
      <c r="AF1009" s="38" t="n">
        <v>0.92</v>
      </c>
      <c r="AG1009" s="38" t="n">
        <v>2.85</v>
      </c>
      <c r="AH1009" s="38"/>
      <c r="AI1009" s="38"/>
      <c r="AJ1009" s="102" t="s">
        <v>1010</v>
      </c>
      <c r="AK1009" s="111" t="n">
        <v>679</v>
      </c>
      <c r="AL1009" s="111" t="n">
        <v>696</v>
      </c>
      <c r="AM1009" s="111" t="n">
        <v>690</v>
      </c>
      <c r="AN1009" s="111" t="n">
        <v>581</v>
      </c>
      <c r="AO1009" s="104" t="n">
        <v>32.3</v>
      </c>
      <c r="AP1009" s="105" t="n">
        <v>1.43</v>
      </c>
      <c r="AQ1009" s="105" t="n">
        <v>1.07</v>
      </c>
      <c r="AR1009" s="105" t="n">
        <v>1.52</v>
      </c>
      <c r="AS1009" s="77" t="n">
        <v>34.37</v>
      </c>
      <c r="AT1009" s="78" t="n">
        <v>33.9</v>
      </c>
      <c r="AU1009" s="78" t="n">
        <v>44.4</v>
      </c>
      <c r="AV1009" s="78" t="n">
        <v>33.2</v>
      </c>
      <c r="AW1009" s="78" t="n">
        <v>47</v>
      </c>
      <c r="AX1009" s="78"/>
      <c r="AY1009" s="48" t="n">
        <v>2.00591715976331</v>
      </c>
      <c r="AZ1009" s="48" t="n">
        <v>22.4197945417431</v>
      </c>
      <c r="BA1009" s="48" t="n">
        <v>-5.51979454174309</v>
      </c>
      <c r="BB1009" s="49" t="n">
        <f aca="false">AT1009/V1009</f>
        <v>2.00591715976331</v>
      </c>
      <c r="BC1009" s="49" t="n">
        <f aca="false">AS1009/V1009</f>
        <v>2.03372781065089</v>
      </c>
      <c r="BD1009" s="49" t="n">
        <f aca="false">SUM(AP1009:AR1009)/V1009</f>
        <v>0.237869822485207</v>
      </c>
      <c r="BE1009" s="53" t="n">
        <v>6.34</v>
      </c>
      <c r="BF1009" s="51" t="n">
        <v>145.5</v>
      </c>
      <c r="BG1009" s="51" t="n">
        <v>662.33676975945</v>
      </c>
      <c r="BH1009" s="51" t="n">
        <v>195.491408934708</v>
      </c>
      <c r="BI1009" s="51" t="n">
        <v>94.192439862543</v>
      </c>
      <c r="BJ1009" s="51" t="n">
        <v>7.98625429553265</v>
      </c>
      <c r="BK1009" s="51" t="n">
        <v>13.7525773195876</v>
      </c>
      <c r="BL1009" s="51" t="n">
        <v>15.6838487972509</v>
      </c>
      <c r="BM1009" s="51" t="n">
        <v>10.6116838487973</v>
      </c>
      <c r="BN1009" s="52" t="n">
        <f aca="false">(BG1009*0.5-BH1009*0.25+BI1009*0.5)/SUM(BG1009:BI1009)*1000</f>
        <v>345.992246551015</v>
      </c>
      <c r="BO1009" s="93" t="n">
        <v>12.59</v>
      </c>
      <c r="BP1009" s="94" t="s">
        <v>1011</v>
      </c>
      <c r="BQ1009" s="55" t="n">
        <v>410.352941176471</v>
      </c>
      <c r="BR1009" s="56" t="n">
        <v>24.2812391228681</v>
      </c>
      <c r="BS1009" s="56" t="n">
        <v>37.7940743052305</v>
      </c>
      <c r="BT1009" s="56" t="n">
        <v>12.1048065243797</v>
      </c>
      <c r="BU1009" s="55" t="n">
        <v>12258</v>
      </c>
      <c r="BV1009" s="55" t="n">
        <v>726</v>
      </c>
      <c r="BW1009" s="55" t="n">
        <v>1201</v>
      </c>
      <c r="BX1009" s="55" t="n">
        <v>361</v>
      </c>
      <c r="BY1009" s="81" t="n">
        <v>0.1715</v>
      </c>
      <c r="BZ1009" s="81" t="n">
        <v>1.03621169916435</v>
      </c>
      <c r="CA1009" s="81" t="n">
        <v>2.79</v>
      </c>
      <c r="CB1009" s="81"/>
      <c r="CC1009" s="81" t="n">
        <v>7.15</v>
      </c>
      <c r="CD1009" s="81" t="n">
        <v>7.6</v>
      </c>
      <c r="CE1009" s="81" t="n">
        <v>73.11</v>
      </c>
      <c r="CF1009" s="81" t="n">
        <v>31.65</v>
      </c>
      <c r="CG1009" s="81" t="n">
        <v>0.0602</v>
      </c>
      <c r="CH1009" s="63" t="n">
        <v>31764.1011627252</v>
      </c>
      <c r="CI1009" s="63" t="n">
        <v>2076.93719557184</v>
      </c>
      <c r="CJ1009" s="64" t="n">
        <v>683370.087524766</v>
      </c>
      <c r="CK1009" s="65" t="n">
        <v>0.303925681484641</v>
      </c>
    </row>
    <row r="1010" customFormat="false" ht="15" hidden="false" customHeight="false" outlineLevel="0" collapsed="false">
      <c r="A1010" s="7" t="s">
        <v>1006</v>
      </c>
      <c r="B1010" s="66" t="n">
        <v>989</v>
      </c>
      <c r="C1010" s="8" t="s">
        <v>1118</v>
      </c>
      <c r="D1010" s="114" t="s">
        <v>1119</v>
      </c>
      <c r="E1010" s="4" t="s">
        <v>1008</v>
      </c>
      <c r="F1010" s="7" t="n">
        <v>1019</v>
      </c>
      <c r="G1010" s="68" t="n">
        <v>2</v>
      </c>
      <c r="H1010" s="68" t="n">
        <v>188</v>
      </c>
      <c r="I1010" s="7" t="n">
        <v>2</v>
      </c>
      <c r="J1010" s="8" t="n">
        <v>712</v>
      </c>
      <c r="K1010" s="32" t="n">
        <v>531</v>
      </c>
      <c r="L1010" s="32" t="n">
        <v>927</v>
      </c>
      <c r="M1010" s="32" t="n">
        <v>173</v>
      </c>
      <c r="N1010" s="32" t="n">
        <v>398</v>
      </c>
      <c r="O1010" s="33" t="n">
        <v>86.6</v>
      </c>
      <c r="P1010" s="33"/>
      <c r="Q1010" s="33"/>
      <c r="R1010" s="32" t="n">
        <v>135</v>
      </c>
      <c r="S1010" s="34" t="s">
        <v>1009</v>
      </c>
      <c r="T1010" s="35" t="n">
        <v>9.6</v>
      </c>
      <c r="U1010" s="35" t="n">
        <v>7.8</v>
      </c>
      <c r="V1010" s="35" t="n">
        <v>17.4</v>
      </c>
      <c r="W1010" s="35" t="n">
        <v>16.1</v>
      </c>
      <c r="X1010" s="35" t="n">
        <v>3.01</v>
      </c>
      <c r="Y1010" s="35" t="n">
        <v>6.93</v>
      </c>
      <c r="Z1010" s="35" t="n">
        <v>1.51</v>
      </c>
      <c r="AA1010" s="35"/>
      <c r="AB1010" s="35"/>
      <c r="AC1010" s="71" t="n">
        <v>2.36</v>
      </c>
      <c r="AD1010" s="38" t="n">
        <v>5.7</v>
      </c>
      <c r="AE1010" s="38" t="n">
        <v>5.02</v>
      </c>
      <c r="AF1010" s="38" t="n">
        <v>0.93</v>
      </c>
      <c r="AG1010" s="38" t="n">
        <v>3.06</v>
      </c>
      <c r="AH1010" s="38"/>
      <c r="AI1010" s="38"/>
      <c r="AJ1010" s="102" t="s">
        <v>1010</v>
      </c>
      <c r="AK1010" s="111" t="n">
        <v>672</v>
      </c>
      <c r="AL1010" s="111" t="n">
        <v>689</v>
      </c>
      <c r="AM1010" s="111" t="n">
        <v>691</v>
      </c>
      <c r="AN1010" s="111" t="n">
        <v>558</v>
      </c>
      <c r="AO1010" s="104" t="n">
        <v>28.2</v>
      </c>
      <c r="AP1010" s="105" t="n">
        <v>1.59</v>
      </c>
      <c r="AQ1010" s="105" t="n">
        <v>1.03</v>
      </c>
      <c r="AR1010" s="105" t="n">
        <v>1.45</v>
      </c>
      <c r="AS1010" s="77" t="n">
        <v>35.13</v>
      </c>
      <c r="AT1010" s="78" t="n">
        <v>35.2</v>
      </c>
      <c r="AU1010" s="78" t="n">
        <v>56.5</v>
      </c>
      <c r="AV1010" s="78" t="n">
        <v>36.5</v>
      </c>
      <c r="AW1010" s="78" t="n">
        <v>51.5</v>
      </c>
      <c r="AX1010" s="78"/>
      <c r="AY1010" s="48" t="n">
        <v>2.02298850574713</v>
      </c>
      <c r="AZ1010" s="48" t="n">
        <v>26.3355904241792</v>
      </c>
      <c r="BA1010" s="48" t="n">
        <v>-8.93559042417922</v>
      </c>
      <c r="BB1010" s="49" t="n">
        <f aca="false">AT1010/V1010</f>
        <v>2.02298850574713</v>
      </c>
      <c r="BC1010" s="49" t="n">
        <f aca="false">AS1010/V1010</f>
        <v>2.01896551724138</v>
      </c>
      <c r="BD1010" s="49" t="n">
        <f aca="false">SUM(AP1010:AR1010)/V1010</f>
        <v>0.233908045977012</v>
      </c>
      <c r="BE1010" s="53" t="n">
        <v>6.4</v>
      </c>
      <c r="BF1010" s="51" t="n">
        <v>122.5</v>
      </c>
      <c r="BG1010" s="51" t="n">
        <v>665.959183673469</v>
      </c>
      <c r="BH1010" s="51" t="n">
        <v>172.138775510204</v>
      </c>
      <c r="BI1010" s="51" t="n">
        <v>104.228571428571</v>
      </c>
      <c r="BJ1010" s="51" t="n">
        <v>9.50204081632653</v>
      </c>
      <c r="BK1010" s="51" t="n">
        <v>17.1183673469388</v>
      </c>
      <c r="BL1010" s="51" t="n">
        <v>15.4285714285714</v>
      </c>
      <c r="BM1010" s="51" t="n">
        <v>15.5591836734694</v>
      </c>
      <c r="BN1010" s="52" t="n">
        <f aca="false">(BG1010*0.5-BH1010*0.25+BI1010*0.5)/SUM(BG1010:BI1010)*1000</f>
        <v>362.994325811062</v>
      </c>
      <c r="BO1010" s="93" t="n">
        <v>12.85</v>
      </c>
      <c r="BP1010" s="94" t="s">
        <v>1011</v>
      </c>
      <c r="BQ1010" s="55" t="n">
        <v>406.588235294118</v>
      </c>
      <c r="BR1010" s="56" t="n">
        <v>23.367139959432</v>
      </c>
      <c r="BS1010" s="56" t="n">
        <v>36.653015468824</v>
      </c>
      <c r="BT1010" s="56" t="n">
        <v>11.5508021390374</v>
      </c>
      <c r="BU1010" s="55" t="n">
        <v>13158</v>
      </c>
      <c r="BV1010" s="55" t="n">
        <v>756</v>
      </c>
      <c r="BW1010" s="55" t="n">
        <v>1262</v>
      </c>
      <c r="BX1010" s="55" t="n">
        <v>373</v>
      </c>
      <c r="BY1010" s="81" t="n">
        <v>0.1774</v>
      </c>
      <c r="BZ1010" s="81" t="n">
        <v>0.937277879166266</v>
      </c>
      <c r="CA1010" s="81" t="n">
        <v>3.91</v>
      </c>
      <c r="CB1010" s="81"/>
      <c r="CC1010" s="81" t="n">
        <v>5.48</v>
      </c>
      <c r="CD1010" s="81" t="n">
        <v>4.44</v>
      </c>
      <c r="CE1010" s="81" t="n">
        <v>78.38</v>
      </c>
      <c r="CF1010" s="81" t="n">
        <v>36.62</v>
      </c>
      <c r="CG1010" s="81" t="n">
        <v>0.4274</v>
      </c>
      <c r="CH1010" s="63" t="n">
        <v>114836.944568069</v>
      </c>
      <c r="CI1010" s="63" t="n">
        <v>3041.9668963911</v>
      </c>
      <c r="CJ1010" s="64" t="n">
        <v>438124.823455352</v>
      </c>
      <c r="CK1010" s="65" t="n">
        <v>0.694315120608796</v>
      </c>
    </row>
    <row r="1011" customFormat="false" ht="15" hidden="false" customHeight="false" outlineLevel="0" collapsed="false">
      <c r="A1011" s="7" t="s">
        <v>1006</v>
      </c>
      <c r="B1011" s="66" t="n">
        <v>990</v>
      </c>
      <c r="C1011" s="8" t="s">
        <v>1120</v>
      </c>
      <c r="D1011" s="114" t="s">
        <v>1115</v>
      </c>
      <c r="E1011" s="4" t="s">
        <v>1008</v>
      </c>
      <c r="F1011" s="7" t="n">
        <v>1037</v>
      </c>
      <c r="G1011" s="68" t="n">
        <v>2</v>
      </c>
      <c r="H1011" s="68" t="n">
        <v>105</v>
      </c>
      <c r="I1011" s="7" t="n">
        <v>2</v>
      </c>
      <c r="J1011" s="8" t="n">
        <v>609</v>
      </c>
      <c r="K1011" s="32" t="n">
        <v>528</v>
      </c>
      <c r="L1011" s="32" t="n">
        <v>926</v>
      </c>
      <c r="M1011" s="32" t="n">
        <v>175</v>
      </c>
      <c r="N1011" s="32" t="n">
        <v>396</v>
      </c>
      <c r="O1011" s="33" t="n">
        <v>87.7</v>
      </c>
      <c r="P1011" s="33"/>
      <c r="Q1011" s="33"/>
      <c r="R1011" s="32" t="n">
        <v>150</v>
      </c>
      <c r="S1011" s="34" t="s">
        <v>1009</v>
      </c>
      <c r="T1011" s="35" t="n">
        <v>12.5</v>
      </c>
      <c r="U1011" s="35" t="n">
        <v>10.2</v>
      </c>
      <c r="V1011" s="35" t="n">
        <v>22.8</v>
      </c>
      <c r="W1011" s="35" t="n">
        <v>21.1</v>
      </c>
      <c r="X1011" s="35" t="n">
        <v>3.98</v>
      </c>
      <c r="Y1011" s="35" t="n">
        <v>9.02</v>
      </c>
      <c r="Z1011" s="35" t="n">
        <v>2</v>
      </c>
      <c r="AA1011" s="35"/>
      <c r="AB1011" s="35"/>
      <c r="AC1011" s="71" t="n">
        <v>3.42</v>
      </c>
      <c r="AD1011" s="38" t="n">
        <v>7.63</v>
      </c>
      <c r="AE1011" s="38" t="n">
        <v>6.71</v>
      </c>
      <c r="AF1011" s="38" t="n">
        <v>1.39</v>
      </c>
      <c r="AG1011" s="38" t="n">
        <v>4.03</v>
      </c>
      <c r="AH1011" s="38"/>
      <c r="AI1011" s="38"/>
      <c r="AJ1011" s="102" t="s">
        <v>1010</v>
      </c>
      <c r="AK1011" s="111" t="n">
        <v>665</v>
      </c>
      <c r="AL1011" s="111" t="n">
        <v>682</v>
      </c>
      <c r="AM1011" s="111" t="n">
        <v>650</v>
      </c>
      <c r="AN1011" s="111" t="n">
        <v>553</v>
      </c>
      <c r="AO1011" s="104" t="n">
        <v>37.7</v>
      </c>
      <c r="AP1011" s="105" t="n">
        <v>1.73</v>
      </c>
      <c r="AQ1011" s="105" t="n">
        <v>1.38</v>
      </c>
      <c r="AR1011" s="105" t="n">
        <v>1.77</v>
      </c>
      <c r="AS1011" s="77" t="n">
        <v>41.03</v>
      </c>
      <c r="AT1011" s="78" t="n">
        <v>41.3</v>
      </c>
      <c r="AU1011" s="78" t="n">
        <v>46</v>
      </c>
      <c r="AV1011" s="78" t="n">
        <v>36.5</v>
      </c>
      <c r="AW1011" s="78" t="n">
        <v>46.9</v>
      </c>
      <c r="AX1011" s="78"/>
      <c r="AY1011" s="48" t="n">
        <v>1.81140350877193</v>
      </c>
      <c r="AZ1011" s="48" t="n">
        <v>26.3773193335472</v>
      </c>
      <c r="BA1011" s="48" t="n">
        <v>-3.57731933354718</v>
      </c>
      <c r="BB1011" s="49" t="n">
        <f aca="false">AT1011/V1011</f>
        <v>1.81140350877193</v>
      </c>
      <c r="BC1011" s="49" t="n">
        <f aca="false">AS1011/V1011</f>
        <v>1.79956140350877</v>
      </c>
      <c r="BD1011" s="49" t="n">
        <f aca="false">SUM(AP1011:AR1011)/V1011</f>
        <v>0.214035087719298</v>
      </c>
      <c r="BE1011" s="53" t="n">
        <v>6.42</v>
      </c>
      <c r="BF1011" s="51" t="n">
        <v>103.6</v>
      </c>
      <c r="BG1011" s="51" t="n">
        <v>677.84749034749</v>
      </c>
      <c r="BH1011" s="51" t="n">
        <v>179.411196911197</v>
      </c>
      <c r="BI1011" s="51" t="n">
        <v>86.7084942084942</v>
      </c>
      <c r="BJ1011" s="51" t="n">
        <v>7.88610038610039</v>
      </c>
      <c r="BK1011" s="51" t="n">
        <v>16.6409266409266</v>
      </c>
      <c r="BL1011" s="51" t="n">
        <v>15.9942084942085</v>
      </c>
      <c r="BM1011" s="51" t="n">
        <v>15.5405405405405</v>
      </c>
      <c r="BN1011" s="52" t="n">
        <f aca="false">(BG1011*0.5-BH1011*0.25+BI1011*0.5)/SUM(BG1011:BI1011)*1000</f>
        <v>357.454368832762</v>
      </c>
      <c r="BO1011" s="93" t="n">
        <v>7.67</v>
      </c>
      <c r="BP1011" s="94" t="s">
        <v>1011</v>
      </c>
      <c r="BQ1011" s="55" t="n">
        <v>542.117647058824</v>
      </c>
      <c r="BR1011" s="56" t="n">
        <v>23.7770897832817</v>
      </c>
      <c r="BS1011" s="56" t="n">
        <v>37.6726971868927</v>
      </c>
      <c r="BT1011" s="56" t="n">
        <v>13.1263352798747</v>
      </c>
      <c r="BU1011" s="55" t="n">
        <v>15340</v>
      </c>
      <c r="BV1011" s="55" t="n">
        <v>674</v>
      </c>
      <c r="BW1011" s="55" t="n">
        <v>1140</v>
      </c>
      <c r="BX1011" s="55" t="n">
        <v>371</v>
      </c>
      <c r="BY1011" s="81"/>
      <c r="BZ1011" s="81"/>
      <c r="CA1011" s="81"/>
      <c r="CB1011" s="81"/>
      <c r="CC1011" s="81"/>
      <c r="CD1011" s="81"/>
      <c r="CE1011" s="81"/>
      <c r="CF1011" s="81"/>
      <c r="CG1011" s="81" t="n">
        <v>0.01</v>
      </c>
      <c r="CH1011" s="63" t="n">
        <v>47478.8571210933</v>
      </c>
      <c r="CI1011" s="63" t="n">
        <v>3643.52797615091</v>
      </c>
      <c r="CJ1011" s="64" t="n">
        <v>649278.452010909</v>
      </c>
      <c r="CK1011" s="65" t="n">
        <v>0.561165700920211</v>
      </c>
    </row>
    <row r="1012" customFormat="false" ht="15" hidden="false" customHeight="false" outlineLevel="0" collapsed="false">
      <c r="A1012" s="7" t="s">
        <v>1006</v>
      </c>
      <c r="B1012" s="66" t="n">
        <v>991</v>
      </c>
      <c r="C1012" s="8" t="s">
        <v>1121</v>
      </c>
      <c r="D1012" s="116" t="s">
        <v>1122</v>
      </c>
      <c r="E1012" s="4" t="s">
        <v>1008</v>
      </c>
      <c r="F1012" s="7" t="n">
        <v>592</v>
      </c>
      <c r="G1012" s="68" t="n">
        <v>2</v>
      </c>
      <c r="H1012" s="68" t="n">
        <v>94</v>
      </c>
      <c r="I1012" s="7" t="n">
        <v>1</v>
      </c>
      <c r="J1012" s="8" t="n">
        <v>603</v>
      </c>
      <c r="K1012" s="32" t="n">
        <v>525</v>
      </c>
      <c r="L1012" s="32" t="n">
        <v>928</v>
      </c>
      <c r="M1012" s="32" t="n">
        <v>172</v>
      </c>
      <c r="N1012" s="32" t="n">
        <v>396</v>
      </c>
      <c r="O1012" s="33" t="n">
        <v>82.4</v>
      </c>
      <c r="P1012" s="33"/>
      <c r="Q1012" s="33"/>
      <c r="R1012" s="32" t="n">
        <v>150</v>
      </c>
      <c r="S1012" s="34" t="s">
        <v>1009</v>
      </c>
      <c r="T1012" s="35" t="n">
        <v>10.7</v>
      </c>
      <c r="U1012" s="35" t="n">
        <v>8.7</v>
      </c>
      <c r="V1012" s="35" t="n">
        <v>19.4</v>
      </c>
      <c r="W1012" s="35" t="n">
        <v>18</v>
      </c>
      <c r="X1012" s="35" t="n">
        <v>3.34</v>
      </c>
      <c r="Y1012" s="35" t="n">
        <v>7.68</v>
      </c>
      <c r="Z1012" s="35" t="n">
        <v>1.6</v>
      </c>
      <c r="AA1012" s="35"/>
      <c r="AB1012" s="35"/>
      <c r="AC1012" s="71" t="n">
        <v>2.92</v>
      </c>
      <c r="AD1012" s="38" t="n">
        <v>6.49</v>
      </c>
      <c r="AE1012" s="38" t="n">
        <v>5.74</v>
      </c>
      <c r="AF1012" s="38" t="n">
        <v>1.17</v>
      </c>
      <c r="AG1012" s="38" t="n">
        <v>3.53</v>
      </c>
      <c r="AH1012" s="38"/>
      <c r="AI1012" s="38"/>
      <c r="AJ1012" s="102" t="s">
        <v>1010</v>
      </c>
      <c r="AK1012" s="111" t="n">
        <v>665</v>
      </c>
      <c r="AL1012" s="111" t="n">
        <v>681</v>
      </c>
      <c r="AM1012" s="111" t="n">
        <v>650</v>
      </c>
      <c r="AN1012" s="111" t="n">
        <v>540</v>
      </c>
      <c r="AO1012" s="104" t="n">
        <v>31.2</v>
      </c>
      <c r="AP1012" s="105" t="n">
        <v>1.3</v>
      </c>
      <c r="AQ1012" s="105" t="n">
        <v>1.1</v>
      </c>
      <c r="AR1012" s="105" t="n">
        <v>1.59</v>
      </c>
      <c r="AS1012" s="77" t="n">
        <v>31.98</v>
      </c>
      <c r="AT1012" s="78" t="n">
        <v>33</v>
      </c>
      <c r="AU1012" s="78" t="n">
        <v>41.8</v>
      </c>
      <c r="AV1012" s="78" t="n">
        <v>35.1</v>
      </c>
      <c r="AW1012" s="78" t="n">
        <v>51.1</v>
      </c>
      <c r="AX1012" s="78"/>
      <c r="AY1012" s="48" t="n">
        <v>1.70103092783505</v>
      </c>
      <c r="AZ1012" s="48" t="n">
        <v>22.7874209959735</v>
      </c>
      <c r="BA1012" s="48" t="n">
        <v>-3.38742099597352</v>
      </c>
      <c r="BB1012" s="49" t="n">
        <f aca="false">AT1012/V1012</f>
        <v>1.70103092783505</v>
      </c>
      <c r="BC1012" s="49" t="n">
        <f aca="false">AS1012/V1012</f>
        <v>1.64845360824742</v>
      </c>
      <c r="BD1012" s="49" t="n">
        <f aca="false">SUM(AP1012:AR1012)/V1012</f>
        <v>0.205670103092784</v>
      </c>
      <c r="BE1012" s="53" t="n">
        <v>6.63</v>
      </c>
      <c r="BF1012" s="51" t="n">
        <v>103.7</v>
      </c>
      <c r="BG1012" s="51" t="n">
        <v>710.202507232401</v>
      </c>
      <c r="BH1012" s="51" t="n">
        <v>162.410800385728</v>
      </c>
      <c r="BI1012" s="51" t="n">
        <v>77.7627772420444</v>
      </c>
      <c r="BJ1012" s="51" t="n">
        <v>7.17454194792671</v>
      </c>
      <c r="BK1012" s="51" t="n">
        <v>13.2594021215043</v>
      </c>
      <c r="BL1012" s="51" t="n">
        <v>14.5708775313404</v>
      </c>
      <c r="BM1012" s="51" t="n">
        <v>14.5419479267117</v>
      </c>
      <c r="BN1012" s="52" t="n">
        <f aca="false">(BG1012*0.5-BH1012*0.25+BI1012*0.5)/SUM(BG1012:BI1012)*1000</f>
        <v>371.831686182194</v>
      </c>
      <c r="BO1012" s="93" t="n">
        <v>6.21</v>
      </c>
      <c r="BP1012" s="94" t="s">
        <v>1011</v>
      </c>
      <c r="BQ1012" s="55" t="n">
        <v>448</v>
      </c>
      <c r="BR1012" s="56" t="n">
        <v>23.0927835051546</v>
      </c>
      <c r="BS1012" s="56" t="n">
        <v>36.5475607766357</v>
      </c>
      <c r="BT1012" s="56" t="n">
        <v>13.5757575757576</v>
      </c>
      <c r="BU1012" s="55" t="n">
        <v>13774</v>
      </c>
      <c r="BV1012" s="55" t="n">
        <v>710</v>
      </c>
      <c r="BW1012" s="55" t="n">
        <v>1198</v>
      </c>
      <c r="BX1012" s="55" t="n">
        <v>418</v>
      </c>
      <c r="BY1012" s="81" t="n">
        <v>0.1688</v>
      </c>
      <c r="BZ1012" s="81" t="n">
        <v>1.02631831716454</v>
      </c>
      <c r="CA1012" s="81" t="n">
        <v>3.52</v>
      </c>
      <c r="CB1012" s="81"/>
      <c r="CC1012" s="81" t="n">
        <v>5.97</v>
      </c>
      <c r="CD1012" s="81" t="n">
        <v>6.35</v>
      </c>
      <c r="CE1012" s="81" t="n">
        <v>77.74</v>
      </c>
      <c r="CF1012" s="81" t="n">
        <v>32.45</v>
      </c>
      <c r="CG1012" s="81" t="n">
        <v>0.01</v>
      </c>
      <c r="CH1012" s="63" t="n">
        <v>27232.281197628</v>
      </c>
      <c r="CI1012" s="63" t="n">
        <v>4592.24054872601</v>
      </c>
      <c r="CJ1012" s="64" t="n">
        <v>630386.338325939</v>
      </c>
      <c r="CK1012" s="65" t="n">
        <v>0.728480341265202</v>
      </c>
    </row>
    <row r="1013" customFormat="false" ht="15" hidden="false" customHeight="false" outlineLevel="0" collapsed="false">
      <c r="A1013" s="7" t="s">
        <v>1006</v>
      </c>
      <c r="B1013" s="66" t="n">
        <v>992</v>
      </c>
      <c r="C1013" s="8" t="s">
        <v>1123</v>
      </c>
      <c r="D1013" s="114" t="s">
        <v>1113</v>
      </c>
      <c r="E1013" s="4" t="s">
        <v>1008</v>
      </c>
      <c r="F1013" s="7" t="n">
        <v>453</v>
      </c>
      <c r="G1013" s="68" t="n">
        <v>2</v>
      </c>
      <c r="H1013" s="68" t="n">
        <v>188</v>
      </c>
      <c r="I1013" s="7" t="n">
        <v>3</v>
      </c>
      <c r="J1013" s="8" t="n">
        <v>603</v>
      </c>
      <c r="K1013" s="32" t="n">
        <v>533</v>
      </c>
      <c r="L1013" s="32" t="n">
        <v>926</v>
      </c>
      <c r="M1013" s="32" t="n">
        <v>172</v>
      </c>
      <c r="N1013" s="32" t="n">
        <v>400</v>
      </c>
      <c r="O1013" s="33" t="n">
        <v>85.6</v>
      </c>
      <c r="P1013" s="33"/>
      <c r="Q1013" s="33"/>
      <c r="R1013" s="32" t="n">
        <v>135</v>
      </c>
      <c r="S1013" s="34" t="s">
        <v>1009</v>
      </c>
      <c r="T1013" s="35" t="n">
        <v>12</v>
      </c>
      <c r="U1013" s="35" t="n">
        <v>9.8</v>
      </c>
      <c r="V1013" s="35" t="n">
        <v>21.8</v>
      </c>
      <c r="W1013" s="35" t="n">
        <v>20.2</v>
      </c>
      <c r="X1013" s="35" t="n">
        <v>3.74</v>
      </c>
      <c r="Y1013" s="35" t="n">
        <v>8.72</v>
      </c>
      <c r="Z1013" s="35" t="n">
        <v>1.86</v>
      </c>
      <c r="AA1013" s="35"/>
      <c r="AB1013" s="35"/>
      <c r="AC1013" s="71" t="n">
        <v>2.95</v>
      </c>
      <c r="AD1013" s="38" t="n">
        <v>7.63</v>
      </c>
      <c r="AE1013" s="38" t="n">
        <v>6.68</v>
      </c>
      <c r="AF1013" s="38" t="n">
        <v>1.23</v>
      </c>
      <c r="AG1013" s="38" t="n">
        <v>3.9</v>
      </c>
      <c r="AH1013" s="38"/>
      <c r="AI1013" s="38"/>
      <c r="AJ1013" s="102" t="s">
        <v>1010</v>
      </c>
      <c r="AK1013" s="111" t="n">
        <v>650</v>
      </c>
      <c r="AL1013" s="111" t="n">
        <v>669</v>
      </c>
      <c r="AM1013" s="111" t="n">
        <v>670</v>
      </c>
      <c r="AN1013" s="111" t="n">
        <v>553</v>
      </c>
      <c r="AO1013" s="104" t="n">
        <v>31.2</v>
      </c>
      <c r="AP1013" s="105" t="n">
        <v>1.5</v>
      </c>
      <c r="AQ1013" s="105" t="n">
        <v>1.08</v>
      </c>
      <c r="AR1013" s="105" t="n">
        <v>1.54</v>
      </c>
      <c r="AS1013" s="77" t="n">
        <v>34.98</v>
      </c>
      <c r="AT1013" s="78" t="n">
        <v>34.7</v>
      </c>
      <c r="AU1013" s="78" t="n">
        <v>47.5</v>
      </c>
      <c r="AV1013" s="78" t="n">
        <v>34.5</v>
      </c>
      <c r="AW1013" s="78" t="n">
        <v>49.3</v>
      </c>
      <c r="AX1013" s="78"/>
      <c r="AY1013" s="48" t="n">
        <v>1.59174311926606</v>
      </c>
      <c r="AZ1013" s="48" t="n">
        <v>24.7210918530427</v>
      </c>
      <c r="BA1013" s="48" t="n">
        <v>-2.92109185304269</v>
      </c>
      <c r="BB1013" s="49" t="n">
        <f aca="false">AT1013/V1013</f>
        <v>1.59174311926606</v>
      </c>
      <c r="BC1013" s="49" t="n">
        <f aca="false">AS1013/V1013</f>
        <v>1.6045871559633</v>
      </c>
      <c r="BD1013" s="49" t="n">
        <f aca="false">SUM(AP1013:AR1013)/V1013</f>
        <v>0.188990825688073</v>
      </c>
      <c r="BE1013" s="53" t="n">
        <v>6.77</v>
      </c>
      <c r="BF1013" s="51" t="n">
        <v>101.8</v>
      </c>
      <c r="BG1013" s="51" t="n">
        <v>674.165029469548</v>
      </c>
      <c r="BH1013" s="51" t="n">
        <v>166.041257367387</v>
      </c>
      <c r="BI1013" s="51" t="n">
        <v>111.326129666012</v>
      </c>
      <c r="BJ1013" s="51" t="n">
        <v>7.4950884086444</v>
      </c>
      <c r="BK1013" s="51" t="n">
        <v>13.3104125736739</v>
      </c>
      <c r="BL1013" s="51" t="n">
        <v>13.7229862475442</v>
      </c>
      <c r="BM1013" s="51" t="n">
        <v>13.6836935166994</v>
      </c>
      <c r="BN1013" s="52" t="n">
        <f aca="false">(BG1013*0.5-BH1013*0.25+BI1013*0.5)/SUM(BG1013:BI1013)*1000</f>
        <v>369.125905890612</v>
      </c>
      <c r="BO1013" s="93" t="n">
        <v>8.32</v>
      </c>
      <c r="BP1013" s="94" t="s">
        <v>1011</v>
      </c>
      <c r="BQ1013" s="55" t="n">
        <v>503.529411764706</v>
      </c>
      <c r="BR1013" s="56" t="n">
        <v>23.097679438748</v>
      </c>
      <c r="BS1013" s="56" t="n">
        <v>37.2603865503934</v>
      </c>
      <c r="BT1013" s="56" t="n">
        <v>14.5109340566198</v>
      </c>
      <c r="BU1013" s="55" t="n">
        <v>14445</v>
      </c>
      <c r="BV1013" s="55" t="n">
        <v>663</v>
      </c>
      <c r="BW1013" s="55" t="n">
        <v>1152</v>
      </c>
      <c r="BX1013" s="55" t="n">
        <v>416</v>
      </c>
      <c r="BY1013" s="81" t="n">
        <v>0.1353</v>
      </c>
      <c r="BZ1013" s="81" t="n">
        <v>1.64883296513303</v>
      </c>
      <c r="CA1013" s="81" t="n">
        <v>3.15</v>
      </c>
      <c r="CB1013" s="81"/>
      <c r="CC1013" s="81" t="n">
        <v>7.66</v>
      </c>
      <c r="CD1013" s="81" t="n">
        <v>8.43</v>
      </c>
      <c r="CE1013" s="81" t="n">
        <v>50.8</v>
      </c>
      <c r="CF1013" s="81" t="n">
        <v>34.7</v>
      </c>
      <c r="CG1013" s="81" t="n">
        <v>0.01</v>
      </c>
      <c r="CH1013" s="63" t="n">
        <v>48316.028070463</v>
      </c>
      <c r="CI1013" s="63" t="n">
        <v>4736.42644706399</v>
      </c>
      <c r="CJ1013" s="64" t="n">
        <v>552062.579745429</v>
      </c>
      <c r="CK1013" s="65" t="n">
        <v>0.857951004258988</v>
      </c>
    </row>
    <row r="1014" customFormat="false" ht="15" hidden="false" customHeight="false" outlineLevel="0" collapsed="false">
      <c r="A1014" s="7" t="s">
        <v>1006</v>
      </c>
      <c r="B1014" s="66" t="n">
        <v>993</v>
      </c>
      <c r="C1014" s="8" t="s">
        <v>1124</v>
      </c>
      <c r="D1014" s="114" t="s">
        <v>1113</v>
      </c>
      <c r="E1014" s="4" t="s">
        <v>1008</v>
      </c>
      <c r="F1014" s="7" t="n">
        <v>191</v>
      </c>
      <c r="G1014" s="68" t="n">
        <v>2</v>
      </c>
      <c r="H1014" s="68" t="n">
        <v>179</v>
      </c>
      <c r="I1014" s="7" t="n">
        <v>2</v>
      </c>
      <c r="J1014" s="8" t="n">
        <v>607</v>
      </c>
      <c r="K1014" s="32" t="n">
        <v>533</v>
      </c>
      <c r="L1014" s="32" t="n">
        <v>926</v>
      </c>
      <c r="M1014" s="32" t="n">
        <v>172</v>
      </c>
      <c r="N1014" s="32" t="n">
        <v>400</v>
      </c>
      <c r="O1014" s="33" t="n">
        <v>85.6</v>
      </c>
      <c r="P1014" s="33"/>
      <c r="Q1014" s="33"/>
      <c r="R1014" s="32" t="n">
        <v>135</v>
      </c>
      <c r="S1014" s="34" t="s">
        <v>1009</v>
      </c>
      <c r="T1014" s="35" t="n">
        <v>12.4</v>
      </c>
      <c r="U1014" s="35" t="n">
        <v>10.2</v>
      </c>
      <c r="V1014" s="35" t="n">
        <v>22.6</v>
      </c>
      <c r="W1014" s="35" t="n">
        <v>20.9</v>
      </c>
      <c r="X1014" s="35" t="n">
        <v>3.88</v>
      </c>
      <c r="Y1014" s="35" t="n">
        <v>9.05</v>
      </c>
      <c r="Z1014" s="35" t="n">
        <v>1.93</v>
      </c>
      <c r="AA1014" s="35"/>
      <c r="AB1014" s="35"/>
      <c r="AC1014" s="71" t="n">
        <v>3.06</v>
      </c>
      <c r="AD1014" s="38" t="n">
        <v>7.01</v>
      </c>
      <c r="AE1014" s="38" t="n">
        <v>6.17</v>
      </c>
      <c r="AF1014" s="38" t="n">
        <v>1.24</v>
      </c>
      <c r="AG1014" s="38" t="n">
        <v>3.67</v>
      </c>
      <c r="AH1014" s="38"/>
      <c r="AI1014" s="38"/>
      <c r="AJ1014" s="102" t="s">
        <v>1010</v>
      </c>
      <c r="AK1014" s="111" t="n">
        <v>690</v>
      </c>
      <c r="AL1014" s="111" t="n">
        <v>706</v>
      </c>
      <c r="AM1014" s="111" t="n">
        <v>680</v>
      </c>
      <c r="AN1014" s="111" t="n">
        <v>595</v>
      </c>
      <c r="AO1014" s="104" t="n">
        <v>34</v>
      </c>
      <c r="AP1014" s="105" t="n">
        <v>1.76</v>
      </c>
      <c r="AQ1014" s="105" t="n">
        <v>1.22</v>
      </c>
      <c r="AR1014" s="105" t="n">
        <v>1.74</v>
      </c>
      <c r="AS1014" s="77" t="n">
        <v>40</v>
      </c>
      <c r="AT1014" s="78" t="n">
        <v>40.3</v>
      </c>
      <c r="AU1014" s="78" t="n">
        <v>51.9</v>
      </c>
      <c r="AV1014" s="78" t="n">
        <v>35.9</v>
      </c>
      <c r="AW1014" s="78" t="n">
        <v>51.3</v>
      </c>
      <c r="AX1014" s="78"/>
      <c r="AY1014" s="48" t="n">
        <v>1.78318584070796</v>
      </c>
      <c r="AZ1014" s="48" t="n">
        <v>26.6202973092232</v>
      </c>
      <c r="BA1014" s="48" t="n">
        <v>-4.02029730922316</v>
      </c>
      <c r="BB1014" s="49" t="n">
        <f aca="false">AT1014/V1014</f>
        <v>1.78318584070796</v>
      </c>
      <c r="BC1014" s="49" t="n">
        <f aca="false">AS1014/V1014</f>
        <v>1.76991150442478</v>
      </c>
      <c r="BD1014" s="49" t="n">
        <f aca="false">SUM(AP1014:AR1014)/V1014</f>
        <v>0.208849557522124</v>
      </c>
      <c r="BE1014" s="53" t="n">
        <v>6.47</v>
      </c>
      <c r="BF1014" s="51" t="n">
        <v>147</v>
      </c>
      <c r="BG1014" s="51" t="n">
        <v>683.482993197279</v>
      </c>
      <c r="BH1014" s="51" t="n">
        <v>166.034013605442</v>
      </c>
      <c r="BI1014" s="51" t="n">
        <v>104.972789115646</v>
      </c>
      <c r="BJ1014" s="51" t="n">
        <v>7.45578231292517</v>
      </c>
      <c r="BK1014" s="51" t="n">
        <v>13.9591836734694</v>
      </c>
      <c r="BL1014" s="51" t="n">
        <v>11.6190476190476</v>
      </c>
      <c r="BM1014" s="51" t="n">
        <v>12.5918367346939</v>
      </c>
      <c r="BN1014" s="52" t="n">
        <f aca="false">(BG1014*0.5-BH1014*0.25+BI1014*0.5)/SUM(BG1014:BI1014)*1000</f>
        <v>369.537096429335</v>
      </c>
      <c r="BO1014" s="93" t="n">
        <v>4.41</v>
      </c>
      <c r="BP1014" s="94" t="s">
        <v>1011</v>
      </c>
      <c r="BQ1014" s="55" t="n">
        <v>504.470588235294</v>
      </c>
      <c r="BR1014" s="56" t="n">
        <v>22.3217074440396</v>
      </c>
      <c r="BS1014" s="56" t="n">
        <v>34.1888792059378</v>
      </c>
      <c r="BT1014" s="56" t="n">
        <v>12.5178806013721</v>
      </c>
      <c r="BU1014" s="55" t="n">
        <v>14306</v>
      </c>
      <c r="BV1014" s="55" t="n">
        <v>633</v>
      </c>
      <c r="BW1014" s="55" t="n">
        <v>1027</v>
      </c>
      <c r="BX1014" s="55" t="n">
        <v>355</v>
      </c>
      <c r="BY1014" s="81" t="n">
        <v>0.1068</v>
      </c>
      <c r="BZ1014" s="81" t="n">
        <v>2.3243684564403</v>
      </c>
      <c r="CA1014" s="81" t="n">
        <v>2.54</v>
      </c>
      <c r="CB1014" s="81"/>
      <c r="CC1014" s="81" t="n">
        <v>7.85</v>
      </c>
      <c r="CD1014" s="81" t="n">
        <v>7.84</v>
      </c>
      <c r="CE1014" s="81" t="n">
        <v>64.42</v>
      </c>
      <c r="CF1014" s="81" t="n">
        <v>34.84</v>
      </c>
      <c r="CG1014" s="81" t="n">
        <v>0.01</v>
      </c>
      <c r="CH1014" s="63" t="n">
        <v>38054.3289125268</v>
      </c>
      <c r="CI1014" s="63" t="n">
        <v>4966.36606099119</v>
      </c>
      <c r="CJ1014" s="64" t="n">
        <v>729872.341860938</v>
      </c>
      <c r="CK1014" s="65" t="n">
        <v>0.680443109863371</v>
      </c>
    </row>
    <row r="1015" customFormat="false" ht="15" hidden="false" customHeight="false" outlineLevel="0" collapsed="false">
      <c r="A1015" s="7" t="s">
        <v>1006</v>
      </c>
      <c r="B1015" s="66" t="n">
        <v>994</v>
      </c>
      <c r="C1015" s="8" t="s">
        <v>1125</v>
      </c>
      <c r="D1015" s="114" t="s">
        <v>1113</v>
      </c>
      <c r="E1015" s="4" t="s">
        <v>1008</v>
      </c>
      <c r="F1015" s="7" t="n">
        <v>1032</v>
      </c>
      <c r="G1015" s="68" t="n">
        <v>2</v>
      </c>
      <c r="H1015" s="68" t="n">
        <v>107</v>
      </c>
      <c r="I1015" s="7" t="n">
        <v>2</v>
      </c>
      <c r="J1015" s="8" t="n">
        <v>592</v>
      </c>
      <c r="K1015" s="32" t="n">
        <v>521</v>
      </c>
      <c r="L1015" s="32" t="n">
        <v>923</v>
      </c>
      <c r="M1015" s="32" t="n">
        <v>189</v>
      </c>
      <c r="N1015" s="32" t="n">
        <v>413</v>
      </c>
      <c r="O1015" s="33" t="n">
        <v>88</v>
      </c>
      <c r="P1015" s="33"/>
      <c r="Q1015" s="33"/>
      <c r="R1015" s="32" t="n">
        <v>140</v>
      </c>
      <c r="S1015" s="34" t="s">
        <v>1009</v>
      </c>
      <c r="T1015" s="35" t="n">
        <v>11</v>
      </c>
      <c r="U1015" s="35" t="n">
        <v>9</v>
      </c>
      <c r="V1015" s="35" t="n">
        <v>20</v>
      </c>
      <c r="W1015" s="35" t="n">
        <v>18.5</v>
      </c>
      <c r="X1015" s="35" t="n">
        <v>3.79</v>
      </c>
      <c r="Y1015" s="35" t="n">
        <v>8.27</v>
      </c>
      <c r="Z1015" s="35" t="n">
        <v>1.76</v>
      </c>
      <c r="AA1015" s="35"/>
      <c r="AB1015" s="35"/>
      <c r="AC1015" s="71" t="n">
        <v>2.8</v>
      </c>
      <c r="AD1015" s="38" t="n">
        <v>7.06</v>
      </c>
      <c r="AE1015" s="38" t="n">
        <v>6.23</v>
      </c>
      <c r="AF1015" s="38" t="n">
        <v>1.23</v>
      </c>
      <c r="AG1015" s="38" t="n">
        <v>3.71</v>
      </c>
      <c r="AH1015" s="38"/>
      <c r="AI1015" s="38"/>
      <c r="AJ1015" s="102" t="s">
        <v>1010</v>
      </c>
      <c r="AK1015" s="111" t="n">
        <v>647</v>
      </c>
      <c r="AL1015" s="111" t="n">
        <v>663</v>
      </c>
      <c r="AM1015" s="111" t="n">
        <v>675</v>
      </c>
      <c r="AN1015" s="111" t="n">
        <v>552</v>
      </c>
      <c r="AO1015" s="104" t="n">
        <v>33.7</v>
      </c>
      <c r="AP1015" s="105" t="n">
        <v>1.46</v>
      </c>
      <c r="AQ1015" s="105" t="n">
        <v>1.18</v>
      </c>
      <c r="AR1015" s="105" t="n">
        <v>1.67</v>
      </c>
      <c r="AS1015" s="77" t="n">
        <v>35.38</v>
      </c>
      <c r="AT1015" s="78" t="n">
        <v>35.6</v>
      </c>
      <c r="AU1015" s="78" t="n">
        <v>42.9</v>
      </c>
      <c r="AV1015" s="78" t="n">
        <v>34.6</v>
      </c>
      <c r="AW1015" s="78" t="n">
        <v>49.1</v>
      </c>
      <c r="AX1015" s="78"/>
      <c r="AY1015" s="48" t="n">
        <v>1.78</v>
      </c>
      <c r="AZ1015" s="48" t="n">
        <v>24.1281327020443</v>
      </c>
      <c r="BA1015" s="48" t="n">
        <v>-4.12813270204427</v>
      </c>
      <c r="BB1015" s="49" t="n">
        <f aca="false">AT1015/V1015</f>
        <v>1.78</v>
      </c>
      <c r="BC1015" s="49" t="n">
        <f aca="false">AS1015/V1015</f>
        <v>1.769</v>
      </c>
      <c r="BD1015" s="49" t="n">
        <f aca="false">SUM(AP1015:AR1015)/V1015</f>
        <v>0.2155</v>
      </c>
      <c r="BE1015" s="53" t="n">
        <v>6.56</v>
      </c>
      <c r="BF1015" s="51" t="n">
        <v>131.4</v>
      </c>
      <c r="BG1015" s="51" t="n">
        <v>662.237442922374</v>
      </c>
      <c r="BH1015" s="51" t="n">
        <v>178.812785388128</v>
      </c>
      <c r="BI1015" s="51" t="n">
        <v>110.17503805175</v>
      </c>
      <c r="BJ1015" s="51" t="n">
        <v>7.83866057838661</v>
      </c>
      <c r="BK1015" s="51" t="n">
        <v>15.3424657534247</v>
      </c>
      <c r="BL1015" s="51" t="n">
        <v>11.6971080669711</v>
      </c>
      <c r="BM1015" s="51" t="n">
        <v>13.5920852359209</v>
      </c>
      <c r="BN1015" s="52" t="n">
        <f aca="false">(BG1015*0.5-BH1015*0.25+BI1015*0.5)/SUM(BG1015:BI1015)*1000</f>
        <v>359.013848997128</v>
      </c>
      <c r="BO1015" s="93" t="n">
        <v>9.76</v>
      </c>
      <c r="BP1015" s="94" t="s">
        <v>1011</v>
      </c>
      <c r="BQ1015" s="55" t="n">
        <v>478.117647058824</v>
      </c>
      <c r="BR1015" s="56" t="n">
        <v>23.9058823529412</v>
      </c>
      <c r="BS1015" s="56" t="n">
        <v>38.9806894997206</v>
      </c>
      <c r="BT1015" s="56" t="n">
        <v>13.4302709847984</v>
      </c>
      <c r="BU1015" s="55" t="n">
        <v>14596</v>
      </c>
      <c r="BV1015" s="55" t="n">
        <v>729</v>
      </c>
      <c r="BW1015" s="55" t="n">
        <v>1278</v>
      </c>
      <c r="BX1015" s="55" t="n">
        <v>411</v>
      </c>
      <c r="BY1015" s="81" t="n">
        <v>0.1803</v>
      </c>
      <c r="BZ1015" s="81" t="n">
        <v>1.12044952454135</v>
      </c>
      <c r="CA1015" s="81" t="n">
        <v>2.67</v>
      </c>
      <c r="CB1015" s="81"/>
      <c r="CC1015" s="81" t="n">
        <v>6.66</v>
      </c>
      <c r="CD1015" s="81" t="n">
        <v>6.64</v>
      </c>
      <c r="CE1015" s="81" t="n">
        <v>70.46</v>
      </c>
      <c r="CF1015" s="81" t="n">
        <v>33.65</v>
      </c>
      <c r="CG1015" s="81" t="n">
        <v>0.01</v>
      </c>
      <c r="CH1015" s="63" t="n">
        <v>33659.5598687989</v>
      </c>
      <c r="CI1015" s="63" t="n">
        <v>6222.54870078423</v>
      </c>
      <c r="CJ1015" s="64" t="n">
        <v>706369.827528877</v>
      </c>
      <c r="CK1015" s="65" t="n">
        <v>0.880919379378481</v>
      </c>
    </row>
    <row r="1016" customFormat="false" ht="15" hidden="false" customHeight="false" outlineLevel="0" collapsed="false">
      <c r="A1016" s="7" t="s">
        <v>1006</v>
      </c>
      <c r="B1016" s="66" t="n">
        <v>995</v>
      </c>
      <c r="C1016" s="8" t="s">
        <v>1126</v>
      </c>
      <c r="D1016" s="114" t="s">
        <v>1117</v>
      </c>
      <c r="E1016" s="4" t="s">
        <v>1008</v>
      </c>
      <c r="F1016" s="7" t="n">
        <v>1027</v>
      </c>
      <c r="G1016" s="68" t="n">
        <v>2</v>
      </c>
      <c r="H1016" s="68" t="n">
        <v>99</v>
      </c>
      <c r="I1016" s="7" t="n">
        <v>2</v>
      </c>
      <c r="J1016" s="8" t="n">
        <v>652</v>
      </c>
      <c r="K1016" s="32" t="n">
        <v>529</v>
      </c>
      <c r="L1016" s="32" t="n">
        <v>925</v>
      </c>
      <c r="M1016" s="32" t="n">
        <v>176</v>
      </c>
      <c r="N1016" s="32" t="n">
        <v>403</v>
      </c>
      <c r="O1016" s="33" t="n">
        <v>85.6</v>
      </c>
      <c r="P1016" s="33"/>
      <c r="Q1016" s="33"/>
      <c r="R1016" s="32" t="n">
        <v>135</v>
      </c>
      <c r="S1016" s="34" t="s">
        <v>1009</v>
      </c>
      <c r="T1016" s="35" t="n">
        <v>11.1</v>
      </c>
      <c r="U1016" s="35" t="n">
        <v>9.1</v>
      </c>
      <c r="V1016" s="35" t="n">
        <v>20.1</v>
      </c>
      <c r="W1016" s="35" t="n">
        <v>18.6</v>
      </c>
      <c r="X1016" s="35" t="n">
        <v>3.54</v>
      </c>
      <c r="Y1016" s="35" t="n">
        <v>8.11</v>
      </c>
      <c r="Z1016" s="35" t="n">
        <v>1.72</v>
      </c>
      <c r="AA1016" s="35"/>
      <c r="AB1016" s="35"/>
      <c r="AC1016" s="71" t="n">
        <v>2.73</v>
      </c>
      <c r="AD1016" s="38" t="n">
        <v>6.93</v>
      </c>
      <c r="AE1016" s="38" t="n">
        <v>6.12</v>
      </c>
      <c r="AF1016" s="38" t="n">
        <v>1.2</v>
      </c>
      <c r="AG1016" s="38" t="n">
        <v>3.55</v>
      </c>
      <c r="AH1016" s="38"/>
      <c r="AI1016" s="38"/>
      <c r="AJ1016" s="102" t="s">
        <v>1010</v>
      </c>
      <c r="AK1016" s="111" t="n">
        <v>656</v>
      </c>
      <c r="AL1016" s="111" t="n">
        <v>671</v>
      </c>
      <c r="AM1016" s="111" t="n">
        <v>661</v>
      </c>
      <c r="AN1016" s="111" t="n">
        <v>562</v>
      </c>
      <c r="AO1016" s="104" t="n">
        <v>31</v>
      </c>
      <c r="AP1016" s="105" t="n">
        <v>1.23</v>
      </c>
      <c r="AQ1016" s="105" t="n">
        <v>1.13</v>
      </c>
      <c r="AR1016" s="105" t="n">
        <v>1.67</v>
      </c>
      <c r="AS1016" s="77" t="n">
        <v>30.85</v>
      </c>
      <c r="AT1016" s="78" t="n">
        <v>31.1</v>
      </c>
      <c r="AU1016" s="78" t="n">
        <v>37.8</v>
      </c>
      <c r="AV1016" s="78" t="n">
        <v>34.5</v>
      </c>
      <c r="AW1016" s="78" t="n">
        <v>51.1</v>
      </c>
      <c r="AX1016" s="78"/>
      <c r="AY1016" s="48" t="n">
        <v>1.54726368159204</v>
      </c>
      <c r="AZ1016" s="48" t="n">
        <v>23.1822224911687</v>
      </c>
      <c r="BA1016" s="48" t="n">
        <v>-3.08222249116874</v>
      </c>
      <c r="BB1016" s="49" t="n">
        <f aca="false">AT1016/V1016</f>
        <v>1.54726368159204</v>
      </c>
      <c r="BC1016" s="49" t="n">
        <f aca="false">AS1016/V1016</f>
        <v>1.53482587064677</v>
      </c>
      <c r="BD1016" s="49" t="n">
        <f aca="false">SUM(AP1016:AR1016)/V1016</f>
        <v>0.200497512437811</v>
      </c>
      <c r="BE1016" s="53" t="n">
        <v>6.59</v>
      </c>
      <c r="BF1016" s="51" t="n">
        <v>139.6</v>
      </c>
      <c r="BG1016" s="51" t="n">
        <v>658.65329512894</v>
      </c>
      <c r="BH1016" s="51" t="n">
        <v>189.183381088825</v>
      </c>
      <c r="BI1016" s="51" t="n">
        <v>93.3954154727794</v>
      </c>
      <c r="BJ1016" s="51" t="n">
        <v>9.68481375358166</v>
      </c>
      <c r="BK1016" s="51" t="n">
        <v>16.89111747851</v>
      </c>
      <c r="BL1016" s="51" t="n">
        <v>17.5214899713467</v>
      </c>
      <c r="BM1016" s="51" t="n">
        <v>14.3767908309456</v>
      </c>
      <c r="BN1016" s="52" t="n">
        <f aca="false">(BG1016*0.5-BH1016*0.25+BI1016*0.5)/SUM(BG1016:BI1016)*1000</f>
        <v>349.253401930044</v>
      </c>
      <c r="BO1016" s="93" t="n">
        <v>16.48</v>
      </c>
      <c r="BP1016" s="94" t="s">
        <v>1011</v>
      </c>
      <c r="BQ1016" s="55" t="n">
        <v>492.235294117647</v>
      </c>
      <c r="BR1016" s="56" t="n">
        <v>24.4893181153058</v>
      </c>
      <c r="BS1016" s="56" t="n">
        <v>39.4400344628982</v>
      </c>
      <c r="BT1016" s="56" t="n">
        <v>15.8275014185739</v>
      </c>
      <c r="BU1016" s="55" t="n">
        <v>14710</v>
      </c>
      <c r="BV1016" s="55" t="n">
        <v>730</v>
      </c>
      <c r="BW1016" s="55" t="n">
        <v>1257</v>
      </c>
      <c r="BX1016" s="55" t="n">
        <v>473</v>
      </c>
      <c r="BY1016" s="81" t="n">
        <v>0.0939</v>
      </c>
      <c r="BZ1016" s="81" t="n">
        <v>1.11017193353184</v>
      </c>
      <c r="CA1016" s="81" t="n">
        <v>2.6</v>
      </c>
      <c r="CB1016" s="81"/>
      <c r="CC1016" s="81" t="n">
        <v>7.46</v>
      </c>
      <c r="CD1016" s="81" t="n">
        <v>7.54</v>
      </c>
      <c r="CE1016" s="81" t="n">
        <v>70.79</v>
      </c>
      <c r="CF1016" s="81" t="n">
        <v>32.34</v>
      </c>
      <c r="CG1016" s="81" t="n">
        <v>0.08</v>
      </c>
      <c r="CH1016" s="63" t="n">
        <v>68830.7581510602</v>
      </c>
      <c r="CI1016" s="63" t="n">
        <v>2889.90341634571</v>
      </c>
      <c r="CJ1016" s="64" t="n">
        <v>365689.741683073</v>
      </c>
      <c r="CK1016" s="65" t="n">
        <v>0.790261001865967</v>
      </c>
    </row>
    <row r="1017" customFormat="false" ht="15" hidden="false" customHeight="false" outlineLevel="0" collapsed="false">
      <c r="A1017" s="7" t="s">
        <v>1006</v>
      </c>
      <c r="B1017" s="66" t="n">
        <v>996</v>
      </c>
      <c r="C1017" s="8" t="s">
        <v>1127</v>
      </c>
      <c r="D1017" s="114" t="s">
        <v>1122</v>
      </c>
      <c r="E1017" s="4" t="s">
        <v>1008</v>
      </c>
      <c r="F1017" s="7" t="n">
        <v>1002</v>
      </c>
      <c r="G1017" s="68" t="n">
        <v>2</v>
      </c>
      <c r="H1017" s="68" t="n">
        <v>164</v>
      </c>
      <c r="I1017" s="7" t="n">
        <v>2</v>
      </c>
      <c r="J1017" s="8" t="n">
        <v>609</v>
      </c>
      <c r="K1017" s="32" t="n">
        <v>525</v>
      </c>
      <c r="L1017" s="32" t="n">
        <v>928</v>
      </c>
      <c r="M1017" s="32" t="n">
        <v>172</v>
      </c>
      <c r="N1017" s="32" t="n">
        <v>396</v>
      </c>
      <c r="O1017" s="33" t="n">
        <v>82.4</v>
      </c>
      <c r="P1017" s="33"/>
      <c r="Q1017" s="33"/>
      <c r="R1017" s="32" t="n">
        <v>150</v>
      </c>
      <c r="S1017" s="34" t="s">
        <v>1009</v>
      </c>
      <c r="T1017" s="35" t="n">
        <v>12</v>
      </c>
      <c r="U1017" s="35" t="n">
        <v>9.8</v>
      </c>
      <c r="V1017" s="35" t="n">
        <v>21.8</v>
      </c>
      <c r="W1017" s="35" t="n">
        <v>20.2</v>
      </c>
      <c r="X1017" s="35" t="n">
        <v>3.76</v>
      </c>
      <c r="Y1017" s="35" t="n">
        <v>8.63</v>
      </c>
      <c r="Z1017" s="35" t="n">
        <v>1.8</v>
      </c>
      <c r="AA1017" s="35"/>
      <c r="AB1017" s="35"/>
      <c r="AC1017" s="71" t="n">
        <v>3.28</v>
      </c>
      <c r="AD1017" s="38" t="n">
        <v>7.25</v>
      </c>
      <c r="AE1017" s="38" t="n">
        <v>6.4</v>
      </c>
      <c r="AF1017" s="38" t="n">
        <v>1.22</v>
      </c>
      <c r="AG1017" s="38" t="n">
        <v>4.02</v>
      </c>
      <c r="AH1017" s="38"/>
      <c r="AI1017" s="38"/>
      <c r="AJ1017" s="102" t="s">
        <v>1010</v>
      </c>
      <c r="AK1017" s="111" t="n">
        <v>667</v>
      </c>
      <c r="AL1017" s="111" t="n">
        <v>684</v>
      </c>
      <c r="AM1017" s="111" t="n">
        <v>677</v>
      </c>
      <c r="AN1017" s="111" t="n">
        <v>535</v>
      </c>
      <c r="AO1017" s="104" t="n">
        <v>37.7</v>
      </c>
      <c r="AP1017" s="105" t="n">
        <v>1.64</v>
      </c>
      <c r="AQ1017" s="105" t="n">
        <v>1.3</v>
      </c>
      <c r="AR1017" s="105" t="n">
        <v>1.88</v>
      </c>
      <c r="AS1017" s="77" t="n">
        <v>39.68</v>
      </c>
      <c r="AT1017" s="78" t="n">
        <v>40.1</v>
      </c>
      <c r="AU1017" s="78" t="n">
        <v>43.6</v>
      </c>
      <c r="AV1017" s="78" t="n">
        <v>34.4</v>
      </c>
      <c r="AW1017" s="78" t="n">
        <v>50</v>
      </c>
      <c r="AX1017" s="78"/>
      <c r="AY1017" s="48" t="n">
        <v>1.8394495412844</v>
      </c>
      <c r="AZ1017" s="48" t="n">
        <v>26.4814232107002</v>
      </c>
      <c r="BA1017" s="48" t="n">
        <v>-4.68142321070023</v>
      </c>
      <c r="BB1017" s="49" t="n">
        <f aca="false">AT1017/V1017</f>
        <v>1.8394495412844</v>
      </c>
      <c r="BC1017" s="49" t="n">
        <f aca="false">AS1017/V1017</f>
        <v>1.82018348623853</v>
      </c>
      <c r="BD1017" s="49" t="n">
        <f aca="false">SUM(AP1017:AR1017)/V1017</f>
        <v>0.221100917431193</v>
      </c>
      <c r="BE1017" s="53" t="n">
        <v>6.77</v>
      </c>
      <c r="BF1017" s="51" t="n">
        <v>98</v>
      </c>
      <c r="BG1017" s="51" t="n">
        <v>695.918367346939</v>
      </c>
      <c r="BH1017" s="51" t="n">
        <v>160.734693877551</v>
      </c>
      <c r="BI1017" s="51" t="n">
        <v>90.6224489795918</v>
      </c>
      <c r="BJ1017" s="51" t="n">
        <v>8.48979591836735</v>
      </c>
      <c r="BK1017" s="51" t="n">
        <v>14.1020408163265</v>
      </c>
      <c r="BL1017" s="51" t="n">
        <v>14.0510204081633</v>
      </c>
      <c r="BM1017" s="51" t="n">
        <v>15.8265306122449</v>
      </c>
      <c r="BN1017" s="52" t="n">
        <f aca="false">(BG1017*0.5-BH1017*0.25+BI1017*0.5)/SUM(BG1017:BI1017)*1000</f>
        <v>372.739219889479</v>
      </c>
      <c r="BO1017" s="93" t="n">
        <v>6.73</v>
      </c>
      <c r="BP1017" s="94" t="s">
        <v>1011</v>
      </c>
      <c r="BQ1017" s="55" t="n">
        <v>465.882352941177</v>
      </c>
      <c r="BR1017" s="56" t="n">
        <v>21.3707501349163</v>
      </c>
      <c r="BS1017" s="56" t="n">
        <v>33.7185421328511</v>
      </c>
      <c r="BT1017" s="56" t="n">
        <v>11.6180137890568</v>
      </c>
      <c r="BU1017" s="55" t="n">
        <v>14428</v>
      </c>
      <c r="BV1017" s="55" t="n">
        <v>662</v>
      </c>
      <c r="BW1017" s="55" t="n">
        <v>1113</v>
      </c>
      <c r="BX1017" s="55" t="n">
        <v>359</v>
      </c>
      <c r="BY1017" s="81" t="n">
        <v>0.1681</v>
      </c>
      <c r="BZ1017" s="81" t="n">
        <v>0.85409662856594</v>
      </c>
      <c r="CA1017" s="81" t="n">
        <v>3.01</v>
      </c>
      <c r="CB1017" s="81"/>
      <c r="CC1017" s="81" t="n">
        <v>6.73</v>
      </c>
      <c r="CD1017" s="81" t="n">
        <v>7.14</v>
      </c>
      <c r="CE1017" s="81" t="n">
        <v>72.73</v>
      </c>
      <c r="CF1017" s="81" t="n">
        <v>34.36</v>
      </c>
      <c r="CG1017" s="81" t="n">
        <v>0.01</v>
      </c>
      <c r="CH1017" s="63" t="n">
        <v>36788.638666039</v>
      </c>
      <c r="CI1017" s="63" t="n">
        <v>5527.59285928962</v>
      </c>
      <c r="CJ1017" s="64" t="n">
        <v>817581.614238763</v>
      </c>
      <c r="CK1017" s="65" t="n">
        <v>0.676090651137779</v>
      </c>
    </row>
    <row r="1018" customFormat="false" ht="15" hidden="false" customHeight="false" outlineLevel="0" collapsed="false">
      <c r="A1018" s="7" t="s">
        <v>1006</v>
      </c>
      <c r="B1018" s="66" t="n">
        <v>997</v>
      </c>
      <c r="C1018" s="8" t="s">
        <v>1128</v>
      </c>
      <c r="D1018" s="114" t="s">
        <v>1129</v>
      </c>
      <c r="E1018" s="4" t="s">
        <v>1008</v>
      </c>
      <c r="F1018" s="7" t="n">
        <v>3474</v>
      </c>
      <c r="G1018" s="68" t="n">
        <v>2</v>
      </c>
      <c r="H1018" s="68" t="n">
        <v>106</v>
      </c>
      <c r="I1018" s="7" t="n">
        <v>2</v>
      </c>
      <c r="J1018" s="8" t="n">
        <v>673</v>
      </c>
      <c r="K1018" s="32" t="n">
        <v>525</v>
      </c>
      <c r="L1018" s="32" t="n">
        <v>929</v>
      </c>
      <c r="M1018" s="32" t="n">
        <v>176</v>
      </c>
      <c r="N1018" s="32" t="n">
        <v>412</v>
      </c>
      <c r="O1018" s="33"/>
      <c r="P1018" s="33"/>
      <c r="Q1018" s="33"/>
      <c r="R1018" s="32" t="n">
        <v>150</v>
      </c>
      <c r="S1018" s="34" t="s">
        <v>1009</v>
      </c>
      <c r="T1018" s="35" t="n">
        <v>11.9</v>
      </c>
      <c r="U1018" s="35" t="n">
        <v>9.8</v>
      </c>
      <c r="V1018" s="35" t="n">
        <v>21.7</v>
      </c>
      <c r="W1018" s="35" t="n">
        <v>20.2</v>
      </c>
      <c r="X1018" s="35" t="n">
        <v>3.83</v>
      </c>
      <c r="Y1018" s="35" t="n">
        <v>8.95</v>
      </c>
      <c r="Z1018" s="35"/>
      <c r="AA1018" s="35"/>
      <c r="AB1018" s="35"/>
      <c r="AC1018" s="71" t="n">
        <v>3.27</v>
      </c>
      <c r="AD1018" s="38" t="n">
        <v>7.89</v>
      </c>
      <c r="AE1018" s="38" t="n">
        <v>6.95</v>
      </c>
      <c r="AF1018" s="38" t="n">
        <v>1.28</v>
      </c>
      <c r="AG1018" s="38" t="n">
        <v>4.12</v>
      </c>
      <c r="AH1018" s="38"/>
      <c r="AI1018" s="38"/>
      <c r="AJ1018" s="102" t="s">
        <v>1010</v>
      </c>
      <c r="AK1018" s="111" t="n">
        <v>637</v>
      </c>
      <c r="AL1018" s="111" t="n">
        <v>655</v>
      </c>
      <c r="AM1018" s="111" t="n">
        <v>666</v>
      </c>
      <c r="AN1018" s="111" t="n">
        <v>540</v>
      </c>
      <c r="AO1018" s="104" t="n">
        <v>40.9</v>
      </c>
      <c r="AP1018" s="105" t="n">
        <v>1.85</v>
      </c>
      <c r="AQ1018" s="105" t="n">
        <v>1.4</v>
      </c>
      <c r="AR1018" s="105" t="n">
        <v>2.07</v>
      </c>
      <c r="AS1018" s="77" t="n">
        <v>44.11</v>
      </c>
      <c r="AT1018" s="78" t="n">
        <v>42.7</v>
      </c>
      <c r="AU1018" s="78" t="n">
        <v>45</v>
      </c>
      <c r="AV1018" s="78" t="n">
        <v>28.6</v>
      </c>
      <c r="AW1018" s="78" t="n">
        <v>50.7</v>
      </c>
      <c r="AX1018" s="78"/>
      <c r="AY1018" s="48" t="n">
        <v>1.96774193548387</v>
      </c>
      <c r="AZ1018" s="48" t="n">
        <v>28.4111292013592</v>
      </c>
      <c r="BA1018" s="48" t="n">
        <v>-6.71112920135918</v>
      </c>
      <c r="BB1018" s="49" t="n">
        <f aca="false">AT1018/V1018</f>
        <v>1.96774193548387</v>
      </c>
      <c r="BC1018" s="49" t="n">
        <f aca="false">AS1018/V1018</f>
        <v>2.03271889400922</v>
      </c>
      <c r="BD1018" s="49" t="n">
        <f aca="false">SUM(AP1018:AR1018)/V1018</f>
        <v>0.245161290322581</v>
      </c>
      <c r="BE1018" s="53" t="n">
        <v>6.73</v>
      </c>
      <c r="BF1018" s="51" t="n">
        <v>96.3</v>
      </c>
      <c r="BG1018" s="51" t="n">
        <v>701.10072689512</v>
      </c>
      <c r="BH1018" s="51" t="n">
        <v>158.089304257529</v>
      </c>
      <c r="BI1018" s="51" t="n">
        <v>90.7892004153687</v>
      </c>
      <c r="BJ1018" s="51" t="n">
        <v>7.86085150571132</v>
      </c>
      <c r="BK1018" s="51" t="n">
        <v>12.0560747663551</v>
      </c>
      <c r="BL1018" s="51" t="n">
        <v>16.147455867082</v>
      </c>
      <c r="BM1018" s="51" t="n">
        <v>14.1640706126687</v>
      </c>
      <c r="BN1018" s="52" t="n">
        <f aca="false">(BG1018*0.5-BH1018*0.25+BI1018*0.5)/SUM(BG1018:BI1018)*1000</f>
        <v>375.18992599718</v>
      </c>
      <c r="BO1018" s="93" t="n">
        <v>7.3</v>
      </c>
      <c r="BP1018" s="94" t="s">
        <v>1011</v>
      </c>
      <c r="BQ1018" s="55" t="n">
        <v>518.588235294118</v>
      </c>
      <c r="BR1018" s="56" t="n">
        <v>23.8980753591759</v>
      </c>
      <c r="BS1018" s="56" t="n">
        <v>39.194938802367</v>
      </c>
      <c r="BT1018" s="56" t="n">
        <v>12.1449235431878</v>
      </c>
      <c r="BU1018" s="55" t="n">
        <v>15078</v>
      </c>
      <c r="BV1018" s="55" t="n">
        <v>694</v>
      </c>
      <c r="BW1018" s="55" t="n">
        <v>1227</v>
      </c>
      <c r="BX1018" s="55" t="n">
        <v>353</v>
      </c>
      <c r="BY1018" s="81" t="n">
        <v>0.5679</v>
      </c>
      <c r="BZ1018" s="81" t="n">
        <v>1.01613677840745</v>
      </c>
      <c r="CA1018" s="81" t="n">
        <v>2.74</v>
      </c>
      <c r="CB1018" s="81"/>
      <c r="CC1018" s="81" t="n">
        <v>6.51</v>
      </c>
      <c r="CD1018" s="81" t="n">
        <v>7.07</v>
      </c>
      <c r="CE1018" s="81" t="n">
        <v>68.5</v>
      </c>
      <c r="CF1018" s="81" t="n">
        <v>34.19</v>
      </c>
      <c r="CG1018" s="81" t="n">
        <v>0.01</v>
      </c>
      <c r="CH1018" s="63" t="n">
        <v>45411.816953249</v>
      </c>
      <c r="CI1018" s="63" t="n">
        <v>15567.3102567686</v>
      </c>
      <c r="CJ1018" s="64" t="n">
        <v>772915.260281864</v>
      </c>
      <c r="CK1018" s="65" t="n">
        <v>2.01410310505341</v>
      </c>
    </row>
    <row r="1019" customFormat="false" ht="15" hidden="false" customHeight="false" outlineLevel="0" collapsed="false">
      <c r="A1019" s="7" t="s">
        <v>1006</v>
      </c>
      <c r="B1019" s="66" t="n">
        <v>998</v>
      </c>
      <c r="C1019" s="8" t="s">
        <v>1130</v>
      </c>
      <c r="D1019" s="114" t="s">
        <v>1119</v>
      </c>
      <c r="E1019" s="4" t="s">
        <v>1008</v>
      </c>
      <c r="F1019" s="7" t="n">
        <v>979</v>
      </c>
      <c r="G1019" s="68" t="n">
        <v>2</v>
      </c>
      <c r="H1019" s="68" t="n">
        <v>146</v>
      </c>
      <c r="I1019" s="7" t="n">
        <v>1</v>
      </c>
      <c r="J1019" s="8" t="n">
        <v>568</v>
      </c>
      <c r="K1019" s="32" t="n">
        <v>531</v>
      </c>
      <c r="L1019" s="32" t="n">
        <v>927</v>
      </c>
      <c r="M1019" s="32" t="n">
        <v>173</v>
      </c>
      <c r="N1019" s="32" t="n">
        <v>398</v>
      </c>
      <c r="O1019" s="33" t="n">
        <v>86.6</v>
      </c>
      <c r="P1019" s="33"/>
      <c r="Q1019" s="33"/>
      <c r="R1019" s="32" t="n">
        <v>135</v>
      </c>
      <c r="S1019" s="34" t="s">
        <v>1009</v>
      </c>
      <c r="T1019" s="35" t="n">
        <v>10.2</v>
      </c>
      <c r="U1019" s="35" t="n">
        <v>8.3</v>
      </c>
      <c r="V1019" s="35" t="n">
        <v>18.5</v>
      </c>
      <c r="W1019" s="35" t="n">
        <v>17.1</v>
      </c>
      <c r="X1019" s="35" t="n">
        <v>3.2</v>
      </c>
      <c r="Y1019" s="35" t="n">
        <v>7.35</v>
      </c>
      <c r="Z1019" s="35" t="n">
        <v>1.6</v>
      </c>
      <c r="AA1019" s="35"/>
      <c r="AB1019" s="35"/>
      <c r="AC1019" s="71" t="n">
        <v>2.5</v>
      </c>
      <c r="AD1019" s="38" t="n">
        <v>6.54</v>
      </c>
      <c r="AE1019" s="38" t="n">
        <v>5.8</v>
      </c>
      <c r="AF1019" s="38" t="n">
        <v>1.17</v>
      </c>
      <c r="AG1019" s="38" t="n">
        <v>3.38</v>
      </c>
      <c r="AH1019" s="38"/>
      <c r="AI1019" s="38"/>
      <c r="AJ1019" s="102" t="s">
        <v>1010</v>
      </c>
      <c r="AK1019" s="111" t="n">
        <v>646</v>
      </c>
      <c r="AL1019" s="111" t="n">
        <v>661</v>
      </c>
      <c r="AM1019" s="111" t="n">
        <v>635</v>
      </c>
      <c r="AN1019" s="111" t="n">
        <v>540</v>
      </c>
      <c r="AO1019" s="104" t="n">
        <v>28.4</v>
      </c>
      <c r="AP1019" s="105" t="n">
        <v>1.67</v>
      </c>
      <c r="AQ1019" s="105" t="n">
        <v>1.08</v>
      </c>
      <c r="AR1019" s="105" t="n">
        <v>1.52</v>
      </c>
      <c r="AS1019" s="77" t="n">
        <v>36.41</v>
      </c>
      <c r="AT1019" s="78" t="n">
        <v>36.9</v>
      </c>
      <c r="AU1019" s="78" t="n">
        <v>58.8</v>
      </c>
      <c r="AV1019" s="78" t="n">
        <v>37.9</v>
      </c>
      <c r="AW1019" s="78" t="n">
        <v>53.6</v>
      </c>
      <c r="AX1019" s="78"/>
      <c r="AY1019" s="48" t="n">
        <v>1.99459459459459</v>
      </c>
      <c r="AZ1019" s="48" t="n">
        <v>24.583508470288</v>
      </c>
      <c r="BA1019" s="48" t="n">
        <v>-6.08350847028796</v>
      </c>
      <c r="BB1019" s="49" t="n">
        <f aca="false">AT1019/V1019</f>
        <v>1.99459459459459</v>
      </c>
      <c r="BC1019" s="49" t="n">
        <f aca="false">AS1019/V1019</f>
        <v>1.96810810810811</v>
      </c>
      <c r="BD1019" s="49" t="n">
        <f aca="false">SUM(AP1019:AR1019)/V1019</f>
        <v>0.230810810810811</v>
      </c>
      <c r="BE1019" s="53" t="n">
        <v>6.57</v>
      </c>
      <c r="BF1019" s="51" t="n">
        <v>120.2</v>
      </c>
      <c r="BG1019" s="51" t="n">
        <v>660.266222961731</v>
      </c>
      <c r="BH1019" s="51" t="n">
        <v>175.906821963394</v>
      </c>
      <c r="BI1019" s="51" t="n">
        <v>105.648918469218</v>
      </c>
      <c r="BJ1019" s="51" t="n">
        <v>8.4026622296173</v>
      </c>
      <c r="BK1019" s="51" t="n">
        <v>15.6738768718802</v>
      </c>
      <c r="BL1019" s="51" t="n">
        <v>19.2845257903494</v>
      </c>
      <c r="BM1019" s="51" t="n">
        <v>14.5840266222962</v>
      </c>
      <c r="BN1019" s="52" t="n">
        <f aca="false">(BG1019*0.5-BH1019*0.25+BI1019*0.5)/SUM(BG1019:BI1019)*1000</f>
        <v>359.920322948228</v>
      </c>
      <c r="BO1019" s="93" t="n">
        <v>12.92</v>
      </c>
      <c r="BP1019" s="94" t="s">
        <v>1011</v>
      </c>
      <c r="BQ1019" s="55" t="n">
        <v>433.882352941177</v>
      </c>
      <c r="BR1019" s="56" t="n">
        <v>23.4531001589825</v>
      </c>
      <c r="BS1019" s="56" t="n">
        <v>38.3861376915339</v>
      </c>
      <c r="BT1019" s="56" t="n">
        <v>11.7583293479994</v>
      </c>
      <c r="BU1019" s="55" t="n">
        <v>13169</v>
      </c>
      <c r="BV1019" s="55" t="n">
        <v>713</v>
      </c>
      <c r="BW1019" s="55" t="n">
        <v>1246</v>
      </c>
      <c r="BX1019" s="55" t="n">
        <v>357</v>
      </c>
      <c r="BY1019" s="81" t="n">
        <v>0.1268</v>
      </c>
      <c r="BZ1019" s="81" t="n">
        <v>0.811737585246374</v>
      </c>
      <c r="CA1019" s="81" t="n">
        <v>3.11</v>
      </c>
      <c r="CB1019" s="81"/>
      <c r="CC1019" s="81" t="n">
        <v>6.38</v>
      </c>
      <c r="CD1019" s="81" t="n">
        <v>7.15</v>
      </c>
      <c r="CE1019" s="81" t="n">
        <v>59.97</v>
      </c>
      <c r="CF1019" s="81" t="n">
        <v>29.91</v>
      </c>
      <c r="CG1019" s="81" t="n">
        <v>0.0296</v>
      </c>
      <c r="CH1019" s="63" t="n">
        <v>65614.6106863297</v>
      </c>
      <c r="CI1019" s="63" t="n">
        <v>4607.82815709017</v>
      </c>
      <c r="CJ1019" s="64" t="n">
        <v>620038.523748885</v>
      </c>
      <c r="CK1019" s="65" t="n">
        <v>0.743151914050479</v>
      </c>
    </row>
    <row r="1020" customFormat="false" ht="15" hidden="false" customHeight="false" outlineLevel="0" collapsed="false">
      <c r="A1020" s="7" t="s">
        <v>1006</v>
      </c>
      <c r="B1020" s="66" t="n">
        <v>999</v>
      </c>
      <c r="C1020" s="8" t="s">
        <v>1131</v>
      </c>
      <c r="D1020" s="114" t="s">
        <v>1129</v>
      </c>
      <c r="E1020" s="4" t="s">
        <v>1008</v>
      </c>
      <c r="F1020" s="7" t="n">
        <v>4270</v>
      </c>
      <c r="G1020" s="68" t="n">
        <v>2</v>
      </c>
      <c r="H1020" s="68" t="n">
        <v>96</v>
      </c>
      <c r="I1020" s="7" t="n">
        <v>5</v>
      </c>
      <c r="J1020" s="8" t="n">
        <v>737</v>
      </c>
      <c r="K1020" s="32" t="n">
        <v>525</v>
      </c>
      <c r="L1020" s="32" t="n">
        <v>929</v>
      </c>
      <c r="M1020" s="32" t="n">
        <v>176</v>
      </c>
      <c r="N1020" s="32" t="n">
        <v>412</v>
      </c>
      <c r="O1020" s="33"/>
      <c r="P1020" s="33"/>
      <c r="Q1020" s="33"/>
      <c r="R1020" s="32" t="n">
        <v>150</v>
      </c>
      <c r="S1020" s="34" t="s">
        <v>1009</v>
      </c>
      <c r="T1020" s="35" t="n">
        <v>10.1</v>
      </c>
      <c r="U1020" s="35" t="n">
        <v>8.2</v>
      </c>
      <c r="V1020" s="35" t="n">
        <v>18.3</v>
      </c>
      <c r="W1020" s="35" t="n">
        <v>17</v>
      </c>
      <c r="X1020" s="35" t="n">
        <v>3.22</v>
      </c>
      <c r="Y1020" s="35" t="n">
        <v>7.54</v>
      </c>
      <c r="Z1020" s="35"/>
      <c r="AA1020" s="35"/>
      <c r="AB1020" s="35"/>
      <c r="AC1020" s="71" t="n">
        <v>2.75</v>
      </c>
      <c r="AD1020" s="38" t="n">
        <v>6.22</v>
      </c>
      <c r="AE1020" s="38" t="n">
        <v>5.47</v>
      </c>
      <c r="AF1020" s="38" t="n">
        <v>0.98</v>
      </c>
      <c r="AG1020" s="38" t="n">
        <v>3.27</v>
      </c>
      <c r="AH1020" s="38"/>
      <c r="AI1020" s="38"/>
      <c r="AJ1020" s="102" t="s">
        <v>1010</v>
      </c>
      <c r="AK1020" s="111" t="n">
        <v>660</v>
      </c>
      <c r="AL1020" s="111" t="n">
        <v>678</v>
      </c>
      <c r="AM1020" s="111" t="n">
        <v>696</v>
      </c>
      <c r="AN1020" s="111" t="n">
        <v>566</v>
      </c>
      <c r="AO1020" s="104" t="n">
        <v>35.6</v>
      </c>
      <c r="AP1020" s="105" t="n">
        <v>1.62</v>
      </c>
      <c r="AQ1020" s="105" t="n">
        <v>1.22</v>
      </c>
      <c r="AR1020" s="105" t="n">
        <v>1.8</v>
      </c>
      <c r="AS1020" s="77" t="n">
        <v>38.54</v>
      </c>
      <c r="AT1020" s="78" t="n">
        <v>38.8</v>
      </c>
      <c r="AU1020" s="78" t="n">
        <v>45.3</v>
      </c>
      <c r="AV1020" s="78" t="n">
        <v>34.3</v>
      </c>
      <c r="AW1020" s="78" t="n">
        <v>50.5</v>
      </c>
      <c r="AX1020" s="78"/>
      <c r="AY1020" s="48" t="n">
        <v>2.12021857923497</v>
      </c>
      <c r="AZ1020" s="48" t="n">
        <v>27.0336933103001</v>
      </c>
      <c r="BA1020" s="48" t="n">
        <v>-8.73369331030007</v>
      </c>
      <c r="BB1020" s="49" t="n">
        <f aca="false">AT1020/V1020</f>
        <v>2.12021857923497</v>
      </c>
      <c r="BC1020" s="49" t="n">
        <f aca="false">AS1020/V1020</f>
        <v>2.10601092896175</v>
      </c>
      <c r="BD1020" s="49" t="n">
        <f aca="false">SUM(AP1020:AR1020)/V1020</f>
        <v>0.253551912568306</v>
      </c>
      <c r="BE1020" s="53" t="n">
        <v>6.69</v>
      </c>
      <c r="BF1020" s="51" t="n">
        <v>108.1</v>
      </c>
      <c r="BG1020" s="51" t="n">
        <v>697.45605920444</v>
      </c>
      <c r="BH1020" s="51" t="n">
        <v>165.31914893617</v>
      </c>
      <c r="BI1020" s="51" t="n">
        <v>82.5069380203516</v>
      </c>
      <c r="BJ1020" s="51" t="n">
        <v>7.89084181313599</v>
      </c>
      <c r="BK1020" s="51" t="n">
        <v>12.8769657724329</v>
      </c>
      <c r="BL1020" s="51" t="n">
        <v>20.1572617946346</v>
      </c>
      <c r="BM1020" s="51" t="n">
        <v>13.7095282146161</v>
      </c>
      <c r="BN1020" s="52" t="n">
        <f aca="false">(BG1020*0.5-BH1020*0.25+BI1020*0.5)/SUM(BG1020:BI1020)*1000</f>
        <v>368.833488281059</v>
      </c>
      <c r="BO1020" s="93" t="n">
        <v>7.57</v>
      </c>
      <c r="BP1020" s="94" t="s">
        <v>1011</v>
      </c>
      <c r="BQ1020" s="55" t="n">
        <v>463.058823529412</v>
      </c>
      <c r="BR1020" s="56" t="n">
        <v>25.3037608486017</v>
      </c>
      <c r="BS1020" s="56" t="n">
        <v>40.1751538720642</v>
      </c>
      <c r="BT1020" s="56" t="n">
        <v>11.9345057610673</v>
      </c>
      <c r="BU1020" s="55" t="n">
        <v>15013</v>
      </c>
      <c r="BV1020" s="55" t="n">
        <v>820</v>
      </c>
      <c r="BW1020" s="55" t="n">
        <v>1392</v>
      </c>
      <c r="BX1020" s="55" t="n">
        <v>387</v>
      </c>
      <c r="BY1020" s="81" t="n">
        <v>0.4448</v>
      </c>
      <c r="BZ1020" s="81" t="n">
        <v>0.603400249735856</v>
      </c>
      <c r="CA1020" s="81" t="n">
        <v>3.22</v>
      </c>
      <c r="CB1020" s="81"/>
      <c r="CC1020" s="81" t="n">
        <v>4.73</v>
      </c>
      <c r="CD1020" s="81" t="n">
        <v>8.64</v>
      </c>
      <c r="CE1020" s="81" t="n">
        <v>68.21</v>
      </c>
      <c r="CF1020" s="81" t="n">
        <v>32.76</v>
      </c>
      <c r="CG1020" s="81" t="n">
        <v>0.01</v>
      </c>
      <c r="CH1020" s="63" t="n">
        <v>56288.7765168481</v>
      </c>
      <c r="CI1020" s="63" t="n">
        <v>3939.60756952561</v>
      </c>
      <c r="CJ1020" s="64" t="n">
        <v>515949.078298995</v>
      </c>
      <c r="CK1020" s="65" t="n">
        <v>0.763565191842943</v>
      </c>
    </row>
    <row r="1021" customFormat="false" ht="15" hidden="false" customHeight="false" outlineLevel="0" collapsed="false">
      <c r="A1021" s="7"/>
      <c r="B1021" s="66"/>
      <c r="C1021" s="8"/>
      <c r="D1021" s="7"/>
      <c r="E1021" s="4"/>
      <c r="F1021" s="7"/>
      <c r="G1021" s="117"/>
      <c r="H1021" s="117"/>
      <c r="I1021" s="88"/>
      <c r="J1021" s="118"/>
      <c r="K1021" s="88"/>
      <c r="L1021" s="88"/>
      <c r="M1021" s="88"/>
      <c r="N1021" s="88"/>
      <c r="O1021" s="88"/>
      <c r="P1021" s="88"/>
      <c r="Q1021" s="88"/>
      <c r="R1021" s="88"/>
      <c r="S1021" s="34"/>
      <c r="T1021" s="119"/>
      <c r="U1021" s="120"/>
      <c r="V1021" s="74"/>
      <c r="W1021" s="74"/>
      <c r="X1021" s="74"/>
      <c r="Y1021" s="74"/>
      <c r="Z1021" s="74"/>
      <c r="AA1021" s="74"/>
      <c r="AB1021" s="74"/>
      <c r="AC1021" s="121"/>
      <c r="AD1021" s="72"/>
      <c r="AE1021" s="72"/>
      <c r="AF1021" s="72"/>
      <c r="AG1021" s="72"/>
      <c r="AH1021" s="72"/>
      <c r="AI1021" s="72"/>
      <c r="AJ1021" s="91"/>
      <c r="AK1021" s="74"/>
      <c r="AL1021" s="74"/>
      <c r="AM1021" s="74"/>
      <c r="AN1021" s="74"/>
      <c r="AO1021" s="92"/>
      <c r="AP1021" s="92"/>
      <c r="AQ1021" s="92"/>
      <c r="AR1021" s="92"/>
      <c r="AS1021" s="92"/>
      <c r="AT1021" s="92"/>
      <c r="AU1021" s="92"/>
      <c r="AV1021" s="92"/>
      <c r="AW1021" s="92"/>
      <c r="AX1021" s="92"/>
      <c r="AY1021" s="48"/>
      <c r="AZ1021" s="48"/>
      <c r="BA1021" s="48"/>
      <c r="BB1021" s="48"/>
      <c r="BC1021" s="48"/>
      <c r="BD1021" s="48"/>
      <c r="BE1021" s="120"/>
      <c r="BF1021" s="120"/>
      <c r="BG1021" s="120"/>
      <c r="BH1021" s="120"/>
      <c r="BI1021" s="120"/>
      <c r="BJ1021" s="120"/>
      <c r="BK1021" s="120"/>
      <c r="BL1021" s="120"/>
      <c r="BM1021" s="120"/>
      <c r="BN1021" s="120"/>
      <c r="BO1021" s="122"/>
      <c r="BP1021" s="123"/>
      <c r="BQ1021" s="120"/>
      <c r="BR1021" s="120"/>
      <c r="BS1021" s="120"/>
      <c r="BT1021" s="120"/>
      <c r="BV1021" s="120"/>
      <c r="BW1021" s="120"/>
      <c r="BY1021" s="81"/>
      <c r="BZ1021" s="81"/>
      <c r="CA1021" s="81"/>
      <c r="CB1021" s="81"/>
      <c r="CC1021" s="81"/>
      <c r="CD1021" s="81"/>
      <c r="CE1021" s="81"/>
      <c r="CF1021" s="81"/>
      <c r="CG1021" s="81"/>
      <c r="CH1021" s="63"/>
      <c r="CI1021" s="63"/>
      <c r="CJ1021" s="64"/>
      <c r="CK1021" s="65"/>
    </row>
    <row r="1022" customFormat="false" ht="15" hidden="false" customHeight="false" outlineLevel="0" collapsed="false">
      <c r="A1022" s="7"/>
      <c r="B1022" s="66"/>
      <c r="C1022" s="8"/>
      <c r="D1022" s="7"/>
      <c r="E1022" s="4"/>
      <c r="F1022" s="7"/>
      <c r="G1022" s="117"/>
      <c r="H1022" s="117"/>
      <c r="I1022" s="88"/>
      <c r="J1022" s="118"/>
      <c r="K1022" s="88"/>
      <c r="L1022" s="88"/>
      <c r="M1022" s="88"/>
      <c r="N1022" s="88"/>
      <c r="O1022" s="88"/>
      <c r="P1022" s="88"/>
      <c r="Q1022" s="88"/>
      <c r="R1022" s="88"/>
      <c r="S1022" s="34"/>
      <c r="T1022" s="119"/>
      <c r="U1022" s="120"/>
      <c r="V1022" s="74"/>
      <c r="W1022" s="74"/>
      <c r="X1022" s="74"/>
      <c r="Y1022" s="74"/>
      <c r="Z1022" s="74"/>
      <c r="AA1022" s="74"/>
      <c r="AB1022" s="74"/>
      <c r="AC1022" s="121"/>
      <c r="AD1022" s="72"/>
      <c r="AE1022" s="72"/>
      <c r="AF1022" s="72"/>
      <c r="AG1022" s="72"/>
      <c r="AH1022" s="72"/>
      <c r="AI1022" s="72"/>
      <c r="AJ1022" s="91"/>
      <c r="AK1022" s="74"/>
      <c r="AL1022" s="74"/>
      <c r="AM1022" s="74"/>
      <c r="AN1022" s="74"/>
      <c r="AO1022" s="92"/>
      <c r="AP1022" s="92"/>
      <c r="AQ1022" s="92"/>
      <c r="AR1022" s="92"/>
      <c r="AS1022" s="92"/>
      <c r="AT1022" s="92"/>
      <c r="AU1022" s="92"/>
      <c r="AV1022" s="92"/>
      <c r="AW1022" s="92"/>
      <c r="AX1022" s="92"/>
      <c r="AZ1022" s="1"/>
      <c r="BE1022" s="120"/>
      <c r="BF1022" s="120"/>
      <c r="BG1022" s="120"/>
      <c r="BH1022" s="120"/>
      <c r="BI1022" s="120"/>
      <c r="BJ1022" s="120"/>
      <c r="BK1022" s="120"/>
      <c r="BL1022" s="120"/>
      <c r="BM1022" s="120"/>
      <c r="BN1022" s="120"/>
      <c r="BO1022" s="122"/>
      <c r="BP1022" s="123"/>
      <c r="BQ1022" s="120"/>
      <c r="BR1022" s="120"/>
      <c r="BS1022" s="120"/>
      <c r="BT1022" s="120"/>
      <c r="BV1022" s="120"/>
      <c r="BW1022" s="120"/>
      <c r="BY1022" s="81"/>
      <c r="BZ1022" s="81"/>
      <c r="CA1022" s="81"/>
      <c r="CB1022" s="81"/>
      <c r="CC1022" s="81"/>
      <c r="CD1022" s="81"/>
      <c r="CE1022" s="81"/>
      <c r="CF1022" s="81"/>
      <c r="CG1022" s="81"/>
      <c r="CH1022" s="63"/>
      <c r="CI1022" s="63"/>
      <c r="CJ1022" s="64"/>
      <c r="CK1022" s="65"/>
    </row>
    <row r="1023" customFormat="false" ht="15" hidden="false" customHeight="false" outlineLevel="0" collapsed="false">
      <c r="A1023" s="7"/>
      <c r="B1023" s="66"/>
      <c r="C1023" s="8"/>
      <c r="D1023" s="7"/>
      <c r="E1023" s="4"/>
      <c r="F1023" s="7"/>
      <c r="G1023" s="117"/>
      <c r="H1023" s="117"/>
      <c r="I1023" s="88"/>
      <c r="J1023" s="118"/>
      <c r="K1023" s="88"/>
      <c r="L1023" s="88"/>
      <c r="M1023" s="88"/>
      <c r="N1023" s="88"/>
      <c r="O1023" s="88"/>
      <c r="P1023" s="88"/>
      <c r="Q1023" s="88"/>
      <c r="R1023" s="88"/>
      <c r="S1023" s="34"/>
      <c r="T1023" s="119"/>
      <c r="U1023" s="120"/>
      <c r="V1023" s="74"/>
      <c r="W1023" s="74"/>
      <c r="X1023" s="74"/>
      <c r="Y1023" s="74"/>
      <c r="Z1023" s="74"/>
      <c r="AA1023" s="74"/>
      <c r="AB1023" s="74"/>
      <c r="AC1023" s="121"/>
      <c r="AD1023" s="72"/>
      <c r="AE1023" s="72"/>
      <c r="AF1023" s="72"/>
      <c r="AG1023" s="72"/>
      <c r="AH1023" s="72"/>
      <c r="AI1023" s="72"/>
      <c r="AJ1023" s="91"/>
      <c r="AK1023" s="74"/>
      <c r="AL1023" s="74"/>
      <c r="AM1023" s="74"/>
      <c r="AN1023" s="74"/>
      <c r="AO1023" s="92"/>
      <c r="AP1023" s="92"/>
      <c r="AQ1023" s="92"/>
      <c r="AR1023" s="92"/>
      <c r="AS1023" s="92"/>
      <c r="AT1023" s="92"/>
      <c r="AU1023" s="92"/>
      <c r="AV1023" s="92"/>
      <c r="AW1023" s="92"/>
      <c r="AX1023" s="92"/>
      <c r="BE1023" s="120"/>
      <c r="BF1023" s="120"/>
      <c r="BG1023" s="120"/>
      <c r="BH1023" s="120"/>
      <c r="BI1023" s="120"/>
      <c r="BJ1023" s="120"/>
      <c r="BK1023" s="120"/>
      <c r="BL1023" s="120"/>
      <c r="BM1023" s="120"/>
      <c r="BN1023" s="120"/>
      <c r="BO1023" s="122"/>
      <c r="BP1023" s="123"/>
      <c r="BQ1023" s="120"/>
      <c r="BR1023" s="120"/>
      <c r="BS1023" s="120"/>
      <c r="BT1023" s="120"/>
      <c r="BV1023" s="120"/>
      <c r="BW1023" s="120"/>
      <c r="BY1023" s="81"/>
      <c r="BZ1023" s="81"/>
      <c r="CA1023" s="81"/>
      <c r="CB1023" s="81"/>
      <c r="CC1023" s="81"/>
      <c r="CD1023" s="81"/>
      <c r="CE1023" s="81"/>
      <c r="CF1023" s="81"/>
      <c r="CG1023" s="81"/>
      <c r="CH1023" s="63"/>
      <c r="CI1023" s="63"/>
      <c r="CJ1023" s="64"/>
      <c r="CK1023" s="65"/>
    </row>
    <row r="1024" customFormat="false" ht="15" hidden="false" customHeight="false" outlineLevel="0" collapsed="false">
      <c r="A1024" s="7"/>
      <c r="B1024" s="66"/>
      <c r="C1024" s="8"/>
      <c r="D1024" s="7"/>
      <c r="E1024" s="4"/>
      <c r="F1024" s="7"/>
      <c r="G1024" s="117"/>
      <c r="H1024" s="117"/>
      <c r="I1024" s="88"/>
      <c r="J1024" s="118"/>
      <c r="K1024" s="88"/>
      <c r="L1024" s="88"/>
      <c r="M1024" s="88"/>
      <c r="N1024" s="88"/>
      <c r="O1024" s="88"/>
      <c r="P1024" s="88"/>
      <c r="Q1024" s="88"/>
      <c r="R1024" s="88"/>
      <c r="S1024" s="34"/>
      <c r="T1024" s="119"/>
      <c r="U1024" s="120"/>
      <c r="V1024" s="74"/>
      <c r="W1024" s="74"/>
      <c r="X1024" s="74"/>
      <c r="Y1024" s="74"/>
      <c r="Z1024" s="74"/>
      <c r="AA1024" s="74"/>
      <c r="AB1024" s="74"/>
      <c r="AC1024" s="121"/>
      <c r="AD1024" s="72"/>
      <c r="AE1024" s="72"/>
      <c r="AF1024" s="72"/>
      <c r="AG1024" s="72"/>
      <c r="AH1024" s="72"/>
      <c r="AI1024" s="72"/>
      <c r="AJ1024" s="91"/>
      <c r="AK1024" s="74"/>
      <c r="AL1024" s="74"/>
      <c r="AM1024" s="74"/>
      <c r="AN1024" s="74"/>
      <c r="AO1024" s="92"/>
      <c r="AP1024" s="92"/>
      <c r="AQ1024" s="92"/>
      <c r="AR1024" s="92"/>
      <c r="AS1024" s="92"/>
      <c r="AT1024" s="92"/>
      <c r="AU1024" s="92"/>
      <c r="AV1024" s="92"/>
      <c r="AW1024" s="92"/>
      <c r="AX1024" s="92"/>
      <c r="BE1024" s="120"/>
      <c r="BF1024" s="120"/>
      <c r="BG1024" s="120"/>
      <c r="BH1024" s="120"/>
      <c r="BI1024" s="120"/>
      <c r="BJ1024" s="120"/>
      <c r="BK1024" s="120"/>
      <c r="BL1024" s="120"/>
      <c r="BM1024" s="120"/>
      <c r="BN1024" s="120"/>
      <c r="BO1024" s="122"/>
      <c r="BP1024" s="123"/>
      <c r="BQ1024" s="120"/>
      <c r="BR1024" s="120"/>
      <c r="BS1024" s="120"/>
      <c r="BT1024" s="120"/>
      <c r="BV1024" s="120"/>
      <c r="BW1024" s="120"/>
      <c r="BY1024" s="81"/>
      <c r="BZ1024" s="81"/>
      <c r="CA1024" s="81"/>
      <c r="CB1024" s="81"/>
      <c r="CC1024" s="81"/>
      <c r="CD1024" s="81"/>
      <c r="CE1024" s="81"/>
      <c r="CF1024" s="81"/>
      <c r="CG1024" s="81"/>
      <c r="CH1024" s="63"/>
      <c r="CI1024" s="63"/>
      <c r="CJ1024" s="64"/>
      <c r="CK1024" s="65"/>
    </row>
    <row r="1025" customFormat="false" ht="15" hidden="false" customHeight="false" outlineLevel="0" collapsed="false">
      <c r="A1025" s="7"/>
      <c r="B1025" s="66"/>
      <c r="C1025" s="8"/>
      <c r="D1025" s="7"/>
      <c r="E1025" s="4"/>
      <c r="F1025" s="7"/>
      <c r="G1025" s="117"/>
      <c r="H1025" s="117"/>
      <c r="I1025" s="88"/>
      <c r="J1025" s="118"/>
      <c r="K1025" s="88"/>
      <c r="L1025" s="88"/>
      <c r="M1025" s="88"/>
      <c r="N1025" s="88"/>
      <c r="O1025" s="88"/>
      <c r="P1025" s="88"/>
      <c r="Q1025" s="88"/>
      <c r="R1025" s="88"/>
      <c r="S1025" s="34"/>
      <c r="T1025" s="119"/>
      <c r="U1025" s="120"/>
      <c r="V1025" s="74"/>
      <c r="W1025" s="74"/>
      <c r="X1025" s="74"/>
      <c r="Y1025" s="74"/>
      <c r="Z1025" s="74"/>
      <c r="AA1025" s="74"/>
      <c r="AB1025" s="74"/>
      <c r="AC1025" s="121"/>
      <c r="AD1025" s="72"/>
      <c r="AE1025" s="72"/>
      <c r="AF1025" s="72"/>
      <c r="AG1025" s="72"/>
      <c r="AH1025" s="72"/>
      <c r="AI1025" s="72"/>
      <c r="AJ1025" s="91"/>
      <c r="AK1025" s="74"/>
      <c r="AL1025" s="74"/>
      <c r="AM1025" s="74"/>
      <c r="AN1025" s="74"/>
      <c r="AO1025" s="92"/>
      <c r="AP1025" s="92"/>
      <c r="AQ1025" s="92"/>
      <c r="AR1025" s="92"/>
      <c r="AS1025" s="92"/>
      <c r="AT1025" s="92"/>
      <c r="AU1025" s="92"/>
      <c r="AV1025" s="92"/>
      <c r="AW1025" s="92"/>
      <c r="AX1025" s="92"/>
      <c r="BE1025" s="120"/>
      <c r="BF1025" s="120"/>
      <c r="BG1025" s="120"/>
      <c r="BH1025" s="120"/>
      <c r="BI1025" s="120"/>
      <c r="BJ1025" s="120"/>
      <c r="BK1025" s="120"/>
      <c r="BL1025" s="120"/>
      <c r="BM1025" s="120"/>
      <c r="BN1025" s="120"/>
      <c r="BO1025" s="122"/>
      <c r="BP1025" s="123"/>
      <c r="BQ1025" s="120"/>
      <c r="BR1025" s="120"/>
      <c r="BS1025" s="120"/>
      <c r="BT1025" s="120"/>
      <c r="BV1025" s="120"/>
      <c r="BW1025" s="120"/>
      <c r="BY1025" s="81"/>
      <c r="BZ1025" s="81"/>
      <c r="CA1025" s="81"/>
      <c r="CB1025" s="81"/>
      <c r="CC1025" s="81"/>
      <c r="CD1025" s="81"/>
      <c r="CE1025" s="81"/>
      <c r="CF1025" s="81"/>
      <c r="CG1025" s="81"/>
      <c r="CH1025" s="63"/>
      <c r="CI1025" s="63"/>
      <c r="CJ1025" s="64"/>
      <c r="CK1025" s="65"/>
    </row>
    <row r="1026" customFormat="false" ht="15" hidden="false" customHeight="false" outlineLevel="0" collapsed="false">
      <c r="A1026" s="7"/>
      <c r="B1026" s="66"/>
      <c r="C1026" s="8"/>
      <c r="D1026" s="7"/>
      <c r="E1026" s="4"/>
      <c r="F1026" s="7"/>
      <c r="G1026" s="117"/>
      <c r="H1026" s="117"/>
      <c r="I1026" s="88"/>
      <c r="J1026" s="118"/>
      <c r="K1026" s="88"/>
      <c r="L1026" s="88"/>
      <c r="M1026" s="88"/>
      <c r="N1026" s="88"/>
      <c r="O1026" s="88"/>
      <c r="P1026" s="88"/>
      <c r="Q1026" s="88"/>
      <c r="R1026" s="88"/>
      <c r="S1026" s="34"/>
      <c r="T1026" s="119"/>
      <c r="U1026" s="120"/>
      <c r="V1026" s="74"/>
      <c r="W1026" s="74"/>
      <c r="X1026" s="74"/>
      <c r="Y1026" s="74"/>
      <c r="Z1026" s="74"/>
      <c r="AA1026" s="74"/>
      <c r="AB1026" s="74"/>
      <c r="AC1026" s="121"/>
      <c r="AD1026" s="72"/>
      <c r="AE1026" s="72"/>
      <c r="AF1026" s="72"/>
      <c r="AG1026" s="72"/>
      <c r="AH1026" s="72"/>
      <c r="AI1026" s="72"/>
      <c r="AJ1026" s="91"/>
      <c r="AK1026" s="74"/>
      <c r="AL1026" s="74"/>
      <c r="AM1026" s="74"/>
      <c r="AN1026" s="74"/>
      <c r="AO1026" s="92"/>
      <c r="AP1026" s="92"/>
      <c r="AQ1026" s="92"/>
      <c r="AR1026" s="92"/>
      <c r="AS1026" s="92"/>
      <c r="AT1026" s="92"/>
      <c r="AU1026" s="92"/>
      <c r="AV1026" s="92"/>
      <c r="AW1026" s="92"/>
      <c r="AX1026" s="92"/>
      <c r="BE1026" s="120"/>
      <c r="BF1026" s="120"/>
      <c r="BG1026" s="120"/>
      <c r="BH1026" s="120"/>
      <c r="BI1026" s="120"/>
      <c r="BJ1026" s="120"/>
      <c r="BK1026" s="120"/>
      <c r="BL1026" s="120"/>
      <c r="BM1026" s="120"/>
      <c r="BN1026" s="120"/>
      <c r="BO1026" s="122"/>
      <c r="BP1026" s="123"/>
      <c r="BQ1026" s="120"/>
      <c r="BR1026" s="120"/>
      <c r="BS1026" s="120"/>
      <c r="BT1026" s="120"/>
      <c r="BV1026" s="120"/>
      <c r="BW1026" s="120"/>
      <c r="BY1026" s="81"/>
      <c r="BZ1026" s="81"/>
      <c r="CA1026" s="81"/>
      <c r="CB1026" s="81"/>
      <c r="CC1026" s="81"/>
      <c r="CD1026" s="81"/>
      <c r="CE1026" s="81"/>
      <c r="CF1026" s="81"/>
      <c r="CG1026" s="81"/>
      <c r="CH1026" s="63"/>
      <c r="CI1026" s="63"/>
      <c r="CJ1026" s="64"/>
      <c r="CK1026" s="65"/>
    </row>
    <row r="1027" customFormat="false" ht="15" hidden="false" customHeight="false" outlineLevel="0" collapsed="false">
      <c r="A1027" s="7"/>
      <c r="B1027" s="66"/>
      <c r="C1027" s="8"/>
      <c r="D1027" s="7"/>
      <c r="E1027" s="4"/>
      <c r="F1027" s="7"/>
      <c r="G1027" s="117"/>
      <c r="H1027" s="117"/>
      <c r="I1027" s="88"/>
      <c r="J1027" s="118"/>
      <c r="K1027" s="88"/>
      <c r="L1027" s="88"/>
      <c r="M1027" s="88"/>
      <c r="N1027" s="88"/>
      <c r="O1027" s="88"/>
      <c r="P1027" s="88"/>
      <c r="Q1027" s="88"/>
      <c r="R1027" s="88"/>
      <c r="S1027" s="34"/>
      <c r="T1027" s="119"/>
      <c r="U1027" s="120"/>
      <c r="V1027" s="74"/>
      <c r="W1027" s="74"/>
      <c r="X1027" s="74"/>
      <c r="Y1027" s="74"/>
      <c r="Z1027" s="74"/>
      <c r="AA1027" s="74"/>
      <c r="AB1027" s="74"/>
      <c r="AC1027" s="121"/>
      <c r="AD1027" s="72"/>
      <c r="AE1027" s="72"/>
      <c r="AF1027" s="72"/>
      <c r="AG1027" s="72"/>
      <c r="AH1027" s="72"/>
      <c r="AI1027" s="72"/>
      <c r="AJ1027" s="91"/>
      <c r="AK1027" s="74"/>
      <c r="AL1027" s="74"/>
      <c r="AM1027" s="74"/>
      <c r="AN1027" s="74"/>
      <c r="AO1027" s="92"/>
      <c r="AP1027" s="92"/>
      <c r="AQ1027" s="92"/>
      <c r="AR1027" s="92"/>
      <c r="AS1027" s="92"/>
      <c r="AT1027" s="92"/>
      <c r="AU1027" s="92"/>
      <c r="AV1027" s="92"/>
      <c r="AW1027" s="92"/>
      <c r="AX1027" s="92"/>
      <c r="BE1027" s="120"/>
      <c r="BF1027" s="120"/>
      <c r="BG1027" s="120"/>
      <c r="BH1027" s="120"/>
      <c r="BI1027" s="120"/>
      <c r="BJ1027" s="120"/>
      <c r="BK1027" s="120"/>
      <c r="BL1027" s="120"/>
      <c r="BM1027" s="120"/>
      <c r="BN1027" s="120"/>
      <c r="BO1027" s="122"/>
      <c r="BP1027" s="123"/>
      <c r="BQ1027" s="120"/>
      <c r="BR1027" s="120"/>
      <c r="BS1027" s="120"/>
      <c r="BT1027" s="120"/>
      <c r="BV1027" s="120"/>
      <c r="BW1027" s="120"/>
      <c r="BY1027" s="81"/>
      <c r="BZ1027" s="81"/>
      <c r="CA1027" s="81"/>
      <c r="CB1027" s="81"/>
      <c r="CC1027" s="81"/>
      <c r="CD1027" s="81"/>
      <c r="CE1027" s="81"/>
      <c r="CF1027" s="81"/>
      <c r="CG1027" s="81"/>
      <c r="CH1027" s="63"/>
      <c r="CI1027" s="63"/>
      <c r="CJ1027" s="64"/>
      <c r="CK1027" s="65"/>
    </row>
    <row r="1028" customFormat="false" ht="15" hidden="false" customHeight="false" outlineLevel="0" collapsed="false">
      <c r="A1028" s="7"/>
      <c r="B1028" s="66"/>
      <c r="C1028" s="8"/>
      <c r="D1028" s="7"/>
      <c r="E1028" s="4"/>
      <c r="F1028" s="7"/>
      <c r="G1028" s="117"/>
      <c r="H1028" s="117"/>
      <c r="I1028" s="88"/>
      <c r="J1028" s="118"/>
      <c r="K1028" s="88"/>
      <c r="L1028" s="88"/>
      <c r="M1028" s="88"/>
      <c r="N1028" s="88"/>
      <c r="O1028" s="88"/>
      <c r="P1028" s="88"/>
      <c r="Q1028" s="88"/>
      <c r="R1028" s="88"/>
      <c r="S1028" s="34"/>
      <c r="T1028" s="119"/>
      <c r="U1028" s="120"/>
      <c r="V1028" s="74"/>
      <c r="W1028" s="74"/>
      <c r="X1028" s="74"/>
      <c r="Y1028" s="74"/>
      <c r="Z1028" s="74"/>
      <c r="AA1028" s="74"/>
      <c r="AB1028" s="74"/>
      <c r="AC1028" s="121"/>
      <c r="AD1028" s="72"/>
      <c r="AE1028" s="72"/>
      <c r="AF1028" s="72"/>
      <c r="AG1028" s="72"/>
      <c r="AH1028" s="72"/>
      <c r="AI1028" s="72"/>
      <c r="AJ1028" s="91"/>
      <c r="AK1028" s="74"/>
      <c r="AL1028" s="74"/>
      <c r="AM1028" s="74"/>
      <c r="AN1028" s="74"/>
      <c r="AO1028" s="92"/>
      <c r="AP1028" s="92"/>
      <c r="AQ1028" s="92"/>
      <c r="AR1028" s="92"/>
      <c r="AS1028" s="92"/>
      <c r="AT1028" s="92"/>
      <c r="AU1028" s="92"/>
      <c r="AV1028" s="92"/>
      <c r="AW1028" s="92"/>
      <c r="AX1028" s="92"/>
      <c r="BE1028" s="120"/>
      <c r="BF1028" s="120"/>
      <c r="BG1028" s="120"/>
      <c r="BH1028" s="120"/>
      <c r="BI1028" s="120"/>
      <c r="BJ1028" s="120"/>
      <c r="BK1028" s="120"/>
      <c r="BL1028" s="120"/>
      <c r="BM1028" s="120"/>
      <c r="BN1028" s="120"/>
      <c r="BO1028" s="122"/>
      <c r="BP1028" s="123"/>
      <c r="BQ1028" s="120"/>
      <c r="BR1028" s="120"/>
      <c r="BS1028" s="120"/>
      <c r="BT1028" s="120"/>
      <c r="BV1028" s="120"/>
      <c r="BW1028" s="120"/>
      <c r="BY1028" s="81"/>
      <c r="BZ1028" s="81"/>
      <c r="CA1028" s="81"/>
      <c r="CB1028" s="81"/>
      <c r="CC1028" s="81"/>
      <c r="CD1028" s="81"/>
      <c r="CE1028" s="81"/>
      <c r="CF1028" s="81"/>
      <c r="CG1028" s="81"/>
      <c r="CH1028" s="63"/>
      <c r="CI1028" s="63"/>
      <c r="CJ1028" s="64"/>
      <c r="CK1028" s="65"/>
    </row>
    <row r="1029" customFormat="false" ht="15" hidden="false" customHeight="false" outlineLevel="0" collapsed="false">
      <c r="A1029" s="7"/>
      <c r="B1029" s="66"/>
      <c r="C1029" s="8"/>
      <c r="D1029" s="7"/>
      <c r="E1029" s="4"/>
      <c r="F1029" s="7"/>
      <c r="G1029" s="117"/>
      <c r="H1029" s="117"/>
      <c r="I1029" s="88"/>
      <c r="J1029" s="118"/>
      <c r="K1029" s="88"/>
      <c r="L1029" s="88"/>
      <c r="M1029" s="88"/>
      <c r="N1029" s="88"/>
      <c r="O1029" s="88"/>
      <c r="P1029" s="88"/>
      <c r="Q1029" s="88"/>
      <c r="R1029" s="88"/>
      <c r="S1029" s="34"/>
      <c r="T1029" s="119"/>
      <c r="U1029" s="120"/>
      <c r="V1029" s="74"/>
      <c r="W1029" s="74"/>
      <c r="X1029" s="74"/>
      <c r="Y1029" s="74"/>
      <c r="Z1029" s="74"/>
      <c r="AA1029" s="74"/>
      <c r="AB1029" s="74"/>
      <c r="AC1029" s="121"/>
      <c r="AD1029" s="72"/>
      <c r="AE1029" s="72"/>
      <c r="AF1029" s="72"/>
      <c r="AG1029" s="72"/>
      <c r="AH1029" s="72"/>
      <c r="AI1029" s="72"/>
      <c r="AJ1029" s="91"/>
      <c r="AK1029" s="74"/>
      <c r="AL1029" s="74"/>
      <c r="AM1029" s="74"/>
      <c r="AN1029" s="74"/>
      <c r="AO1029" s="92"/>
      <c r="AP1029" s="92"/>
      <c r="AQ1029" s="92"/>
      <c r="AR1029" s="92"/>
      <c r="AS1029" s="92"/>
      <c r="AT1029" s="92"/>
      <c r="AU1029" s="92"/>
      <c r="AV1029" s="92"/>
      <c r="AW1029" s="92"/>
      <c r="AX1029" s="92"/>
      <c r="BE1029" s="120"/>
      <c r="BF1029" s="120"/>
      <c r="BG1029" s="120"/>
      <c r="BH1029" s="120"/>
      <c r="BI1029" s="120"/>
      <c r="BJ1029" s="120"/>
      <c r="BK1029" s="120"/>
      <c r="BL1029" s="120"/>
      <c r="BM1029" s="120"/>
      <c r="BN1029" s="120"/>
      <c r="BO1029" s="122"/>
      <c r="BP1029" s="123"/>
      <c r="BQ1029" s="120"/>
      <c r="BR1029" s="120"/>
      <c r="BS1029" s="120"/>
      <c r="BT1029" s="120"/>
      <c r="BV1029" s="120"/>
      <c r="BW1029" s="120"/>
      <c r="BY1029" s="81"/>
      <c r="BZ1029" s="81"/>
      <c r="CA1029" s="81"/>
      <c r="CB1029" s="81"/>
      <c r="CC1029" s="81"/>
      <c r="CD1029" s="81"/>
      <c r="CE1029" s="81"/>
      <c r="CF1029" s="81"/>
      <c r="CG1029" s="81"/>
      <c r="CH1029" s="63"/>
      <c r="CI1029" s="63"/>
      <c r="CJ1029" s="64"/>
      <c r="CK1029" s="65"/>
    </row>
    <row r="1030" customFormat="false" ht="15" hidden="false" customHeight="false" outlineLevel="0" collapsed="false">
      <c r="A1030" s="7"/>
      <c r="B1030" s="66"/>
      <c r="C1030" s="8"/>
      <c r="D1030" s="7"/>
      <c r="E1030" s="4"/>
      <c r="F1030" s="7"/>
      <c r="G1030" s="117"/>
      <c r="H1030" s="117"/>
      <c r="I1030" s="88"/>
      <c r="J1030" s="118"/>
      <c r="K1030" s="88"/>
      <c r="L1030" s="88"/>
      <c r="M1030" s="88"/>
      <c r="N1030" s="88"/>
      <c r="O1030" s="88"/>
      <c r="P1030" s="88"/>
      <c r="Q1030" s="88"/>
      <c r="R1030" s="88"/>
      <c r="S1030" s="34"/>
      <c r="T1030" s="119"/>
      <c r="U1030" s="120"/>
      <c r="V1030" s="74"/>
      <c r="W1030" s="74"/>
      <c r="X1030" s="74"/>
      <c r="Y1030" s="74"/>
      <c r="Z1030" s="74"/>
      <c r="AA1030" s="74"/>
      <c r="AB1030" s="74"/>
      <c r="AC1030" s="121"/>
      <c r="AD1030" s="72"/>
      <c r="AE1030" s="72"/>
      <c r="AF1030" s="72"/>
      <c r="AG1030" s="72"/>
      <c r="AH1030" s="72"/>
      <c r="AI1030" s="72"/>
      <c r="AJ1030" s="91"/>
      <c r="AK1030" s="74"/>
      <c r="AL1030" s="74"/>
      <c r="AM1030" s="74"/>
      <c r="AN1030" s="74"/>
      <c r="AO1030" s="92"/>
      <c r="AP1030" s="92"/>
      <c r="AQ1030" s="92"/>
      <c r="AR1030" s="92"/>
      <c r="AS1030" s="92"/>
      <c r="AT1030" s="92"/>
      <c r="AU1030" s="92"/>
      <c r="AV1030" s="92"/>
      <c r="AW1030" s="92"/>
      <c r="AX1030" s="92"/>
      <c r="BE1030" s="120"/>
      <c r="BF1030" s="120"/>
      <c r="BG1030" s="120"/>
      <c r="BH1030" s="120"/>
      <c r="BI1030" s="120"/>
      <c r="BJ1030" s="120"/>
      <c r="BK1030" s="120"/>
      <c r="BL1030" s="120"/>
      <c r="BM1030" s="120"/>
      <c r="BN1030" s="120"/>
      <c r="BO1030" s="122"/>
      <c r="BP1030" s="123"/>
      <c r="BQ1030" s="120"/>
      <c r="BR1030" s="120"/>
      <c r="BS1030" s="120"/>
      <c r="BT1030" s="120"/>
      <c r="BV1030" s="120"/>
      <c r="BW1030" s="120"/>
      <c r="BY1030" s="81"/>
      <c r="BZ1030" s="81"/>
      <c r="CA1030" s="81"/>
      <c r="CB1030" s="81"/>
      <c r="CC1030" s="81"/>
      <c r="CD1030" s="81"/>
      <c r="CE1030" s="81"/>
      <c r="CF1030" s="81"/>
      <c r="CG1030" s="81"/>
      <c r="CH1030" s="63"/>
      <c r="CI1030" s="63"/>
      <c r="CJ1030" s="64"/>
      <c r="CK1030" s="65"/>
    </row>
    <row r="1031" customFormat="false" ht="15" hidden="false" customHeight="false" outlineLevel="0" collapsed="false">
      <c r="A1031" s="7"/>
      <c r="B1031" s="66"/>
      <c r="C1031" s="8"/>
      <c r="D1031" s="7"/>
      <c r="E1031" s="4"/>
      <c r="F1031" s="7"/>
      <c r="G1031" s="117"/>
      <c r="H1031" s="117"/>
      <c r="I1031" s="88"/>
      <c r="J1031" s="118"/>
      <c r="K1031" s="88"/>
      <c r="L1031" s="88"/>
      <c r="M1031" s="88"/>
      <c r="N1031" s="88"/>
      <c r="O1031" s="88"/>
      <c r="P1031" s="88"/>
      <c r="Q1031" s="88"/>
      <c r="R1031" s="88"/>
      <c r="S1031" s="34"/>
      <c r="T1031" s="119"/>
      <c r="U1031" s="120"/>
      <c r="V1031" s="74"/>
      <c r="W1031" s="74"/>
      <c r="X1031" s="74"/>
      <c r="Y1031" s="74"/>
      <c r="Z1031" s="74"/>
      <c r="AA1031" s="74"/>
      <c r="AB1031" s="74"/>
      <c r="AC1031" s="121"/>
      <c r="AD1031" s="72"/>
      <c r="AE1031" s="72"/>
      <c r="AF1031" s="72"/>
      <c r="AG1031" s="72"/>
      <c r="AH1031" s="72"/>
      <c r="AI1031" s="72"/>
      <c r="AJ1031" s="91"/>
      <c r="AK1031" s="74"/>
      <c r="AL1031" s="74"/>
      <c r="AM1031" s="74"/>
      <c r="AN1031" s="74"/>
      <c r="AO1031" s="92"/>
      <c r="AP1031" s="92"/>
      <c r="AQ1031" s="92"/>
      <c r="AR1031" s="92"/>
      <c r="AS1031" s="92"/>
      <c r="AT1031" s="92"/>
      <c r="AU1031" s="92"/>
      <c r="AV1031" s="92"/>
      <c r="AW1031" s="92"/>
      <c r="AX1031" s="92"/>
      <c r="BE1031" s="120"/>
      <c r="BF1031" s="120"/>
      <c r="BG1031" s="120"/>
      <c r="BH1031" s="120"/>
      <c r="BI1031" s="120"/>
      <c r="BJ1031" s="120"/>
      <c r="BK1031" s="120"/>
      <c r="BL1031" s="120"/>
      <c r="BM1031" s="120"/>
      <c r="BN1031" s="120"/>
      <c r="BO1031" s="122"/>
      <c r="BP1031" s="123"/>
      <c r="BQ1031" s="120"/>
      <c r="BR1031" s="120"/>
      <c r="BS1031" s="120"/>
      <c r="BT1031" s="120"/>
      <c r="BV1031" s="120"/>
      <c r="BW1031" s="120"/>
      <c r="BY1031" s="81"/>
      <c r="BZ1031" s="81"/>
      <c r="CA1031" s="81"/>
      <c r="CB1031" s="81"/>
      <c r="CC1031" s="81"/>
      <c r="CD1031" s="81"/>
      <c r="CE1031" s="81"/>
      <c r="CF1031" s="81"/>
      <c r="CG1031" s="81"/>
      <c r="CH1031" s="63"/>
      <c r="CI1031" s="63"/>
      <c r="CJ1031" s="64"/>
      <c r="CK1031" s="65"/>
    </row>
    <row r="1032" customFormat="false" ht="15" hidden="false" customHeight="false" outlineLevel="0" collapsed="false">
      <c r="A1032" s="7"/>
      <c r="B1032" s="66"/>
      <c r="C1032" s="8"/>
      <c r="D1032" s="7"/>
      <c r="E1032" s="4"/>
      <c r="F1032" s="7"/>
      <c r="G1032" s="117"/>
      <c r="H1032" s="117"/>
      <c r="I1032" s="88"/>
      <c r="J1032" s="118"/>
      <c r="K1032" s="88"/>
      <c r="L1032" s="88"/>
      <c r="M1032" s="88"/>
      <c r="N1032" s="88"/>
      <c r="O1032" s="88"/>
      <c r="P1032" s="88"/>
      <c r="Q1032" s="88"/>
      <c r="R1032" s="88"/>
      <c r="S1032" s="34"/>
      <c r="T1032" s="119"/>
      <c r="U1032" s="120"/>
      <c r="V1032" s="74"/>
      <c r="W1032" s="74"/>
      <c r="X1032" s="74"/>
      <c r="Y1032" s="74"/>
      <c r="Z1032" s="74"/>
      <c r="AA1032" s="74"/>
      <c r="AB1032" s="74"/>
      <c r="AC1032" s="121"/>
      <c r="AD1032" s="72"/>
      <c r="AE1032" s="72"/>
      <c r="AF1032" s="72"/>
      <c r="AG1032" s="72"/>
      <c r="AH1032" s="72"/>
      <c r="AI1032" s="72"/>
      <c r="AJ1032" s="91"/>
      <c r="AK1032" s="74"/>
      <c r="AL1032" s="74"/>
      <c r="AM1032" s="74"/>
      <c r="AN1032" s="74"/>
      <c r="AO1032" s="92"/>
      <c r="AP1032" s="92"/>
      <c r="AQ1032" s="92"/>
      <c r="AR1032" s="92"/>
      <c r="AS1032" s="92"/>
      <c r="AT1032" s="92"/>
      <c r="AU1032" s="92"/>
      <c r="AV1032" s="92"/>
      <c r="AW1032" s="92"/>
      <c r="AX1032" s="92"/>
      <c r="BE1032" s="120"/>
      <c r="BF1032" s="120"/>
      <c r="BG1032" s="120"/>
      <c r="BH1032" s="120"/>
      <c r="BI1032" s="120"/>
      <c r="BJ1032" s="120"/>
      <c r="BK1032" s="120"/>
      <c r="BL1032" s="120"/>
      <c r="BM1032" s="120"/>
      <c r="BN1032" s="120"/>
      <c r="BO1032" s="122"/>
      <c r="BP1032" s="123"/>
      <c r="BQ1032" s="120"/>
      <c r="BR1032" s="120"/>
      <c r="BS1032" s="120"/>
      <c r="BT1032" s="120"/>
      <c r="BV1032" s="120"/>
      <c r="BW1032" s="120"/>
      <c r="BY1032" s="81"/>
      <c r="BZ1032" s="81"/>
      <c r="CA1032" s="81"/>
      <c r="CB1032" s="81"/>
      <c r="CC1032" s="81"/>
      <c r="CD1032" s="81"/>
      <c r="CE1032" s="81"/>
      <c r="CF1032" s="81"/>
      <c r="CG1032" s="81"/>
      <c r="CH1032" s="63"/>
      <c r="CI1032" s="63"/>
      <c r="CJ1032" s="64"/>
      <c r="CK1032" s="65"/>
    </row>
    <row r="1033" customFormat="false" ht="15" hidden="false" customHeight="false" outlineLevel="0" collapsed="false">
      <c r="A1033" s="7"/>
      <c r="B1033" s="66"/>
      <c r="C1033" s="8"/>
      <c r="D1033" s="7"/>
      <c r="E1033" s="4"/>
      <c r="F1033" s="7"/>
      <c r="G1033" s="117"/>
      <c r="H1033" s="117"/>
      <c r="I1033" s="88"/>
      <c r="J1033" s="118"/>
      <c r="K1033" s="88"/>
      <c r="L1033" s="88"/>
      <c r="M1033" s="88"/>
      <c r="N1033" s="88"/>
      <c r="O1033" s="88"/>
      <c r="P1033" s="88"/>
      <c r="Q1033" s="88"/>
      <c r="R1033" s="88"/>
      <c r="S1033" s="34"/>
      <c r="T1033" s="119"/>
      <c r="U1033" s="120"/>
      <c r="V1033" s="74"/>
      <c r="W1033" s="74"/>
      <c r="X1033" s="74"/>
      <c r="Y1033" s="74"/>
      <c r="Z1033" s="74"/>
      <c r="AA1033" s="74"/>
      <c r="AB1033" s="74"/>
      <c r="AC1033" s="121"/>
      <c r="AD1033" s="72"/>
      <c r="AE1033" s="72"/>
      <c r="AF1033" s="72"/>
      <c r="AG1033" s="72"/>
      <c r="AH1033" s="72"/>
      <c r="AI1033" s="72"/>
      <c r="AJ1033" s="91"/>
      <c r="AK1033" s="74"/>
      <c r="AL1033" s="74"/>
      <c r="AM1033" s="74"/>
      <c r="AN1033" s="74"/>
      <c r="AO1033" s="92"/>
      <c r="AP1033" s="92"/>
      <c r="AQ1033" s="92"/>
      <c r="AR1033" s="92"/>
      <c r="AS1033" s="92"/>
      <c r="AT1033" s="92"/>
      <c r="AU1033" s="92"/>
      <c r="AV1033" s="92"/>
      <c r="AW1033" s="92"/>
      <c r="AX1033" s="92"/>
      <c r="BE1033" s="120"/>
      <c r="BF1033" s="120"/>
      <c r="BG1033" s="120"/>
      <c r="BH1033" s="120"/>
      <c r="BI1033" s="120"/>
      <c r="BJ1033" s="120"/>
      <c r="BK1033" s="120"/>
      <c r="BL1033" s="120"/>
      <c r="BM1033" s="120"/>
      <c r="BN1033" s="120"/>
      <c r="BO1033" s="122"/>
      <c r="BP1033" s="123"/>
      <c r="BQ1033" s="120"/>
      <c r="BR1033" s="120"/>
      <c r="BS1033" s="120"/>
      <c r="BT1033" s="120"/>
      <c r="BV1033" s="120"/>
      <c r="BW1033" s="120"/>
      <c r="BY1033" s="81"/>
      <c r="BZ1033" s="81"/>
      <c r="CA1033" s="81"/>
      <c r="CB1033" s="81"/>
      <c r="CC1033" s="81"/>
      <c r="CD1033" s="81"/>
      <c r="CE1033" s="81"/>
      <c r="CF1033" s="81"/>
      <c r="CG1033" s="81"/>
      <c r="CH1033" s="63"/>
      <c r="CI1033" s="63"/>
      <c r="CJ1033" s="64"/>
      <c r="CK1033" s="65"/>
    </row>
    <row r="1034" customFormat="false" ht="15" hidden="false" customHeight="false" outlineLevel="0" collapsed="false">
      <c r="A1034" s="7"/>
      <c r="B1034" s="66"/>
      <c r="C1034" s="8"/>
      <c r="D1034" s="7"/>
      <c r="E1034" s="4"/>
      <c r="F1034" s="7"/>
      <c r="G1034" s="117"/>
      <c r="H1034" s="117"/>
      <c r="I1034" s="88"/>
      <c r="J1034" s="118"/>
      <c r="K1034" s="88"/>
      <c r="L1034" s="88"/>
      <c r="M1034" s="88"/>
      <c r="N1034" s="88"/>
      <c r="O1034" s="88"/>
      <c r="P1034" s="88"/>
      <c r="Q1034" s="88"/>
      <c r="R1034" s="88"/>
      <c r="S1034" s="34"/>
      <c r="T1034" s="119"/>
      <c r="U1034" s="120"/>
      <c r="V1034" s="74"/>
      <c r="W1034" s="74"/>
      <c r="X1034" s="74"/>
      <c r="Y1034" s="74"/>
      <c r="Z1034" s="74"/>
      <c r="AA1034" s="74"/>
      <c r="AB1034" s="74"/>
      <c r="AC1034" s="121"/>
      <c r="AD1034" s="72"/>
      <c r="AE1034" s="72"/>
      <c r="AF1034" s="72"/>
      <c r="AG1034" s="72"/>
      <c r="AH1034" s="72"/>
      <c r="AI1034" s="72"/>
      <c r="AJ1034" s="91"/>
      <c r="AK1034" s="74"/>
      <c r="AL1034" s="74"/>
      <c r="AM1034" s="74"/>
      <c r="AN1034" s="74"/>
      <c r="AO1034" s="92"/>
      <c r="AP1034" s="92"/>
      <c r="AQ1034" s="92"/>
      <c r="AR1034" s="92"/>
      <c r="AS1034" s="92"/>
      <c r="AT1034" s="92"/>
      <c r="AU1034" s="92"/>
      <c r="AV1034" s="92"/>
      <c r="AW1034" s="92"/>
      <c r="AX1034" s="92"/>
      <c r="BE1034" s="120"/>
      <c r="BF1034" s="120"/>
      <c r="BG1034" s="120"/>
      <c r="BH1034" s="120"/>
      <c r="BI1034" s="120"/>
      <c r="BJ1034" s="120"/>
      <c r="BK1034" s="120"/>
      <c r="BL1034" s="120"/>
      <c r="BM1034" s="120"/>
      <c r="BN1034" s="120"/>
      <c r="BO1034" s="122"/>
      <c r="BP1034" s="123"/>
      <c r="BQ1034" s="120"/>
      <c r="BR1034" s="120"/>
      <c r="BS1034" s="120"/>
      <c r="BT1034" s="120"/>
      <c r="BV1034" s="120"/>
      <c r="BW1034" s="120"/>
      <c r="BY1034" s="81"/>
      <c r="BZ1034" s="81"/>
      <c r="CA1034" s="81"/>
      <c r="CB1034" s="81"/>
      <c r="CC1034" s="81"/>
      <c r="CD1034" s="81"/>
      <c r="CE1034" s="81"/>
      <c r="CF1034" s="81"/>
      <c r="CG1034" s="81"/>
      <c r="CH1034" s="63"/>
      <c r="CI1034" s="63"/>
      <c r="CJ1034" s="64"/>
      <c r="CK1034" s="65"/>
    </row>
    <row r="1035" customFormat="false" ht="15" hidden="false" customHeight="false" outlineLevel="0" collapsed="false">
      <c r="A1035" s="7"/>
      <c r="B1035" s="66"/>
      <c r="C1035" s="8"/>
      <c r="D1035" s="7"/>
      <c r="E1035" s="4"/>
      <c r="F1035" s="7"/>
      <c r="G1035" s="117"/>
      <c r="H1035" s="117"/>
      <c r="I1035" s="88"/>
      <c r="J1035" s="118"/>
      <c r="K1035" s="88"/>
      <c r="L1035" s="88"/>
      <c r="M1035" s="88"/>
      <c r="N1035" s="88"/>
      <c r="O1035" s="88"/>
      <c r="P1035" s="88"/>
      <c r="Q1035" s="88"/>
      <c r="R1035" s="88"/>
      <c r="S1035" s="34"/>
      <c r="T1035" s="119"/>
      <c r="U1035" s="120"/>
      <c r="V1035" s="74"/>
      <c r="W1035" s="74"/>
      <c r="X1035" s="74"/>
      <c r="Y1035" s="74"/>
      <c r="Z1035" s="74"/>
      <c r="AA1035" s="74"/>
      <c r="AB1035" s="74"/>
      <c r="AC1035" s="121"/>
      <c r="AD1035" s="72"/>
      <c r="AE1035" s="72"/>
      <c r="AF1035" s="72"/>
      <c r="AG1035" s="72"/>
      <c r="AH1035" s="72"/>
      <c r="AI1035" s="72"/>
      <c r="AJ1035" s="91"/>
      <c r="AK1035" s="74"/>
      <c r="AL1035" s="74"/>
      <c r="AM1035" s="74"/>
      <c r="AN1035" s="74"/>
      <c r="AO1035" s="92"/>
      <c r="AP1035" s="92"/>
      <c r="AQ1035" s="92"/>
      <c r="AR1035" s="92"/>
      <c r="AS1035" s="92"/>
      <c r="AT1035" s="92"/>
      <c r="AU1035" s="92"/>
      <c r="AV1035" s="92"/>
      <c r="AW1035" s="92"/>
      <c r="AX1035" s="92"/>
      <c r="BE1035" s="120"/>
      <c r="BF1035" s="120"/>
      <c r="BG1035" s="120"/>
      <c r="BH1035" s="120"/>
      <c r="BI1035" s="120"/>
      <c r="BJ1035" s="120"/>
      <c r="BK1035" s="120"/>
      <c r="BL1035" s="120"/>
      <c r="BM1035" s="120"/>
      <c r="BN1035" s="120"/>
      <c r="BO1035" s="122"/>
      <c r="BP1035" s="123"/>
      <c r="BQ1035" s="120"/>
      <c r="BR1035" s="120"/>
      <c r="BS1035" s="120"/>
      <c r="BT1035" s="120"/>
      <c r="BV1035" s="120"/>
      <c r="BW1035" s="120"/>
      <c r="BY1035" s="81"/>
      <c r="BZ1035" s="81"/>
      <c r="CA1035" s="81"/>
      <c r="CB1035" s="81"/>
      <c r="CC1035" s="81"/>
      <c r="CD1035" s="81"/>
      <c r="CE1035" s="81"/>
      <c r="CF1035" s="81"/>
      <c r="CG1035" s="81"/>
      <c r="CH1035" s="63"/>
      <c r="CI1035" s="63"/>
      <c r="CJ1035" s="64"/>
      <c r="CK1035" s="65"/>
    </row>
    <row r="1036" customFormat="false" ht="15" hidden="false" customHeight="false" outlineLevel="0" collapsed="false">
      <c r="A1036" s="7"/>
      <c r="B1036" s="66"/>
      <c r="C1036" s="8"/>
      <c r="D1036" s="7"/>
      <c r="E1036" s="4"/>
      <c r="F1036" s="7"/>
      <c r="G1036" s="117"/>
      <c r="H1036" s="117"/>
      <c r="I1036" s="88"/>
      <c r="J1036" s="118"/>
      <c r="K1036" s="88"/>
      <c r="L1036" s="88"/>
      <c r="M1036" s="88"/>
      <c r="N1036" s="88"/>
      <c r="O1036" s="88"/>
      <c r="P1036" s="88"/>
      <c r="Q1036" s="88"/>
      <c r="R1036" s="88"/>
      <c r="S1036" s="34"/>
      <c r="T1036" s="119"/>
      <c r="U1036" s="120"/>
      <c r="V1036" s="74"/>
      <c r="W1036" s="74"/>
      <c r="X1036" s="74"/>
      <c r="Y1036" s="74"/>
      <c r="Z1036" s="74"/>
      <c r="AA1036" s="74"/>
      <c r="AB1036" s="74"/>
      <c r="AC1036" s="121"/>
      <c r="AD1036" s="72"/>
      <c r="AE1036" s="72"/>
      <c r="AF1036" s="72"/>
      <c r="AG1036" s="72"/>
      <c r="AH1036" s="72"/>
      <c r="AI1036" s="72"/>
      <c r="AJ1036" s="91"/>
      <c r="AK1036" s="74"/>
      <c r="AL1036" s="74"/>
      <c r="AM1036" s="74"/>
      <c r="AN1036" s="74"/>
      <c r="AO1036" s="92"/>
      <c r="AP1036" s="92"/>
      <c r="AQ1036" s="92"/>
      <c r="AR1036" s="92"/>
      <c r="AS1036" s="92"/>
      <c r="AT1036" s="92"/>
      <c r="AU1036" s="92"/>
      <c r="AV1036" s="92"/>
      <c r="AW1036" s="92"/>
      <c r="AX1036" s="92"/>
      <c r="BE1036" s="120"/>
      <c r="BF1036" s="120"/>
      <c r="BG1036" s="120"/>
      <c r="BH1036" s="120"/>
      <c r="BI1036" s="120"/>
      <c r="BJ1036" s="120"/>
      <c r="BK1036" s="120"/>
      <c r="BL1036" s="120"/>
      <c r="BM1036" s="120"/>
      <c r="BN1036" s="120"/>
      <c r="BO1036" s="122"/>
      <c r="BP1036" s="123"/>
      <c r="BQ1036" s="120"/>
      <c r="BR1036" s="120"/>
      <c r="BS1036" s="120"/>
      <c r="BT1036" s="120"/>
      <c r="BV1036" s="120"/>
      <c r="BW1036" s="120"/>
      <c r="BY1036" s="81"/>
      <c r="BZ1036" s="81"/>
      <c r="CA1036" s="81"/>
      <c r="CB1036" s="81"/>
      <c r="CC1036" s="81"/>
      <c r="CD1036" s="81"/>
      <c r="CE1036" s="81"/>
      <c r="CF1036" s="81"/>
      <c r="CG1036" s="81"/>
      <c r="CH1036" s="63"/>
      <c r="CI1036" s="63"/>
      <c r="CJ1036" s="64"/>
      <c r="CK1036" s="65"/>
    </row>
    <row r="1037" customFormat="false" ht="15" hidden="false" customHeight="false" outlineLevel="0" collapsed="false">
      <c r="A1037" s="7"/>
      <c r="B1037" s="66"/>
      <c r="C1037" s="8"/>
      <c r="D1037" s="7"/>
      <c r="E1037" s="4"/>
      <c r="F1037" s="7"/>
      <c r="G1037" s="117"/>
      <c r="H1037" s="117"/>
      <c r="I1037" s="88"/>
      <c r="J1037" s="118"/>
      <c r="K1037" s="88"/>
      <c r="L1037" s="88"/>
      <c r="M1037" s="88"/>
      <c r="N1037" s="88"/>
      <c r="O1037" s="88"/>
      <c r="P1037" s="88"/>
      <c r="Q1037" s="88"/>
      <c r="R1037" s="88"/>
      <c r="S1037" s="34"/>
      <c r="T1037" s="119"/>
      <c r="U1037" s="120"/>
      <c r="V1037" s="74"/>
      <c r="W1037" s="74"/>
      <c r="X1037" s="74"/>
      <c r="Y1037" s="74"/>
      <c r="Z1037" s="74"/>
      <c r="AA1037" s="74"/>
      <c r="AB1037" s="74"/>
      <c r="AC1037" s="121"/>
      <c r="AD1037" s="72"/>
      <c r="AE1037" s="72"/>
      <c r="AF1037" s="72"/>
      <c r="AG1037" s="72"/>
      <c r="AH1037" s="72"/>
      <c r="AI1037" s="72"/>
      <c r="AJ1037" s="91"/>
      <c r="AK1037" s="74"/>
      <c r="AL1037" s="74"/>
      <c r="AM1037" s="74"/>
      <c r="AN1037" s="74"/>
      <c r="AO1037" s="92"/>
      <c r="AP1037" s="92"/>
      <c r="AQ1037" s="92"/>
      <c r="AR1037" s="92"/>
      <c r="AS1037" s="92"/>
      <c r="AT1037" s="92"/>
      <c r="AU1037" s="92"/>
      <c r="AV1037" s="92"/>
      <c r="AW1037" s="92"/>
      <c r="AX1037" s="92"/>
      <c r="BE1037" s="120"/>
      <c r="BF1037" s="120"/>
      <c r="BG1037" s="120"/>
      <c r="BH1037" s="120"/>
      <c r="BI1037" s="120"/>
      <c r="BJ1037" s="120"/>
      <c r="BK1037" s="120"/>
      <c r="BL1037" s="120"/>
      <c r="BM1037" s="120"/>
      <c r="BN1037" s="120"/>
      <c r="BO1037" s="122"/>
      <c r="BP1037" s="123"/>
      <c r="BQ1037" s="120"/>
      <c r="BR1037" s="120"/>
      <c r="BS1037" s="120"/>
      <c r="BT1037" s="120"/>
      <c r="BV1037" s="120"/>
      <c r="BW1037" s="120"/>
      <c r="BY1037" s="81"/>
      <c r="BZ1037" s="81"/>
      <c r="CA1037" s="81"/>
      <c r="CB1037" s="81"/>
      <c r="CC1037" s="81"/>
      <c r="CD1037" s="81"/>
      <c r="CE1037" s="81"/>
      <c r="CF1037" s="81"/>
      <c r="CG1037" s="81"/>
      <c r="CH1037" s="63"/>
      <c r="CI1037" s="63"/>
      <c r="CJ1037" s="64"/>
      <c r="CK1037" s="65"/>
    </row>
    <row r="1038" customFormat="false" ht="15" hidden="false" customHeight="false" outlineLevel="0" collapsed="false">
      <c r="A1038" s="7"/>
      <c r="B1038" s="66"/>
      <c r="C1038" s="8"/>
      <c r="D1038" s="7"/>
      <c r="E1038" s="4"/>
      <c r="F1038" s="7"/>
      <c r="G1038" s="117"/>
      <c r="H1038" s="117"/>
      <c r="I1038" s="88"/>
      <c r="J1038" s="118"/>
      <c r="K1038" s="88"/>
      <c r="L1038" s="88"/>
      <c r="M1038" s="88"/>
      <c r="N1038" s="88"/>
      <c r="O1038" s="88"/>
      <c r="P1038" s="88"/>
      <c r="Q1038" s="88"/>
      <c r="R1038" s="88"/>
      <c r="S1038" s="34"/>
      <c r="T1038" s="119"/>
      <c r="U1038" s="120"/>
      <c r="V1038" s="74"/>
      <c r="W1038" s="74"/>
      <c r="X1038" s="74"/>
      <c r="Y1038" s="74"/>
      <c r="Z1038" s="74"/>
      <c r="AA1038" s="74"/>
      <c r="AB1038" s="74"/>
      <c r="AC1038" s="121"/>
      <c r="AD1038" s="72"/>
      <c r="AE1038" s="72"/>
      <c r="AF1038" s="72"/>
      <c r="AG1038" s="72"/>
      <c r="AH1038" s="72"/>
      <c r="AI1038" s="72"/>
      <c r="AJ1038" s="91"/>
      <c r="AK1038" s="74"/>
      <c r="AL1038" s="74"/>
      <c r="AM1038" s="74"/>
      <c r="AN1038" s="74"/>
      <c r="AO1038" s="92"/>
      <c r="AP1038" s="92"/>
      <c r="AQ1038" s="92"/>
      <c r="AR1038" s="92"/>
      <c r="AS1038" s="92"/>
      <c r="AT1038" s="92"/>
      <c r="AU1038" s="92"/>
      <c r="AV1038" s="92"/>
      <c r="AW1038" s="92"/>
      <c r="AX1038" s="92"/>
      <c r="BE1038" s="120"/>
      <c r="BF1038" s="120"/>
      <c r="BG1038" s="120"/>
      <c r="BH1038" s="120"/>
      <c r="BI1038" s="120"/>
      <c r="BJ1038" s="120"/>
      <c r="BK1038" s="120"/>
      <c r="BL1038" s="120"/>
      <c r="BM1038" s="120"/>
      <c r="BN1038" s="120"/>
      <c r="BO1038" s="122"/>
      <c r="BP1038" s="123"/>
      <c r="BQ1038" s="120"/>
      <c r="BR1038" s="120"/>
      <c r="BS1038" s="120"/>
      <c r="BT1038" s="120"/>
      <c r="BV1038" s="120"/>
      <c r="BW1038" s="120"/>
      <c r="BY1038" s="81"/>
      <c r="BZ1038" s="81"/>
      <c r="CA1038" s="81"/>
      <c r="CB1038" s="81"/>
      <c r="CC1038" s="81"/>
      <c r="CD1038" s="81"/>
      <c r="CE1038" s="81"/>
      <c r="CF1038" s="81"/>
      <c r="CG1038" s="81"/>
      <c r="CH1038" s="63"/>
      <c r="CI1038" s="63"/>
      <c r="CJ1038" s="64"/>
      <c r="CK1038" s="65"/>
    </row>
    <row r="1039" customFormat="false" ht="15" hidden="false" customHeight="false" outlineLevel="0" collapsed="false">
      <c r="A1039" s="7"/>
      <c r="B1039" s="66"/>
      <c r="C1039" s="8"/>
      <c r="D1039" s="7"/>
      <c r="E1039" s="4"/>
      <c r="F1039" s="7"/>
      <c r="G1039" s="117"/>
      <c r="H1039" s="117"/>
      <c r="I1039" s="88"/>
      <c r="J1039" s="118"/>
      <c r="K1039" s="88"/>
      <c r="L1039" s="88"/>
      <c r="M1039" s="88"/>
      <c r="N1039" s="88"/>
      <c r="O1039" s="88"/>
      <c r="P1039" s="88"/>
      <c r="Q1039" s="88"/>
      <c r="R1039" s="88"/>
      <c r="S1039" s="34"/>
      <c r="T1039" s="119"/>
      <c r="U1039" s="120"/>
      <c r="V1039" s="74"/>
      <c r="W1039" s="74"/>
      <c r="X1039" s="74"/>
      <c r="Y1039" s="74"/>
      <c r="Z1039" s="74"/>
      <c r="AA1039" s="74"/>
      <c r="AB1039" s="74"/>
      <c r="AC1039" s="121"/>
      <c r="AD1039" s="72"/>
      <c r="AE1039" s="72"/>
      <c r="AF1039" s="72"/>
      <c r="AG1039" s="72"/>
      <c r="AH1039" s="72"/>
      <c r="AI1039" s="72"/>
      <c r="AJ1039" s="91"/>
      <c r="AK1039" s="74"/>
      <c r="AL1039" s="74"/>
      <c r="AM1039" s="74"/>
      <c r="AN1039" s="74"/>
      <c r="AO1039" s="92"/>
      <c r="AP1039" s="92"/>
      <c r="AQ1039" s="92"/>
      <c r="AR1039" s="92"/>
      <c r="AS1039" s="92"/>
      <c r="AT1039" s="92"/>
      <c r="AU1039" s="92"/>
      <c r="AV1039" s="92"/>
      <c r="AW1039" s="92"/>
      <c r="AX1039" s="92"/>
      <c r="BE1039" s="120"/>
      <c r="BF1039" s="120"/>
      <c r="BG1039" s="120"/>
      <c r="BH1039" s="120"/>
      <c r="BI1039" s="120"/>
      <c r="BJ1039" s="120"/>
      <c r="BK1039" s="120"/>
      <c r="BL1039" s="120"/>
      <c r="BM1039" s="120"/>
      <c r="BN1039" s="120"/>
      <c r="BO1039" s="122"/>
      <c r="BP1039" s="123"/>
      <c r="BQ1039" s="120"/>
      <c r="BR1039" s="120"/>
      <c r="BS1039" s="120"/>
      <c r="BT1039" s="120"/>
      <c r="BV1039" s="120"/>
      <c r="BW1039" s="120"/>
      <c r="BY1039" s="81"/>
      <c r="BZ1039" s="81"/>
      <c r="CA1039" s="81"/>
      <c r="CB1039" s="81"/>
      <c r="CC1039" s="81"/>
      <c r="CD1039" s="81"/>
      <c r="CE1039" s="81"/>
      <c r="CF1039" s="81"/>
      <c r="CG1039" s="81"/>
    </row>
    <row r="1040" customFormat="false" ht="15" hidden="false" customHeight="false" outlineLevel="0" collapsed="false">
      <c r="A1040" s="7"/>
      <c r="B1040" s="66"/>
      <c r="C1040" s="8"/>
      <c r="D1040" s="7"/>
      <c r="E1040" s="4"/>
      <c r="F1040" s="7"/>
      <c r="G1040" s="117"/>
      <c r="H1040" s="117"/>
      <c r="I1040" s="88"/>
      <c r="J1040" s="118"/>
      <c r="K1040" s="88"/>
      <c r="L1040" s="88"/>
      <c r="M1040" s="88"/>
      <c r="N1040" s="88"/>
      <c r="O1040" s="88"/>
      <c r="P1040" s="88"/>
      <c r="Q1040" s="88"/>
      <c r="R1040" s="88"/>
      <c r="S1040" s="34"/>
      <c r="T1040" s="119"/>
      <c r="U1040" s="120"/>
      <c r="V1040" s="74"/>
      <c r="W1040" s="74"/>
      <c r="X1040" s="74"/>
      <c r="Y1040" s="74"/>
      <c r="Z1040" s="74"/>
      <c r="AA1040" s="74"/>
      <c r="AB1040" s="74"/>
      <c r="AC1040" s="121"/>
      <c r="AD1040" s="72"/>
      <c r="AE1040" s="72"/>
      <c r="AF1040" s="72"/>
      <c r="AG1040" s="72"/>
      <c r="AH1040" s="72"/>
      <c r="AI1040" s="72"/>
      <c r="AJ1040" s="91"/>
      <c r="AK1040" s="74"/>
      <c r="AL1040" s="74"/>
      <c r="AM1040" s="74"/>
      <c r="AN1040" s="74"/>
      <c r="AO1040" s="92"/>
      <c r="AP1040" s="92"/>
      <c r="AQ1040" s="92"/>
      <c r="AR1040" s="92"/>
      <c r="AS1040" s="92"/>
      <c r="AT1040" s="92"/>
      <c r="AU1040" s="92"/>
      <c r="AV1040" s="92"/>
      <c r="AW1040" s="92"/>
      <c r="AX1040" s="92"/>
      <c r="BE1040" s="120"/>
      <c r="BF1040" s="120"/>
      <c r="BG1040" s="120"/>
      <c r="BH1040" s="120"/>
      <c r="BI1040" s="120"/>
      <c r="BJ1040" s="120"/>
      <c r="BK1040" s="120"/>
      <c r="BL1040" s="120"/>
      <c r="BM1040" s="120"/>
      <c r="BN1040" s="120"/>
      <c r="BO1040" s="122"/>
      <c r="BP1040" s="123"/>
      <c r="BQ1040" s="120"/>
      <c r="BR1040" s="120"/>
      <c r="BS1040" s="120"/>
      <c r="BT1040" s="120"/>
      <c r="BV1040" s="120"/>
      <c r="BW1040" s="120"/>
      <c r="BY1040" s="81"/>
      <c r="BZ1040" s="81"/>
      <c r="CA1040" s="81"/>
      <c r="CB1040" s="81"/>
      <c r="CC1040" s="81"/>
      <c r="CD1040" s="81"/>
      <c r="CE1040" s="81"/>
      <c r="CF1040" s="81"/>
      <c r="CG1040" s="81"/>
    </row>
    <row r="1041" customFormat="false" ht="15" hidden="false" customHeight="false" outlineLevel="0" collapsed="false">
      <c r="A1041" s="7"/>
      <c r="B1041" s="66"/>
      <c r="C1041" s="8"/>
      <c r="D1041" s="7"/>
      <c r="E1041" s="4"/>
      <c r="F1041" s="7"/>
      <c r="G1041" s="117"/>
      <c r="H1041" s="117"/>
      <c r="I1041" s="88"/>
      <c r="J1041" s="118"/>
      <c r="K1041" s="88"/>
      <c r="L1041" s="88"/>
      <c r="M1041" s="88"/>
      <c r="N1041" s="88"/>
      <c r="O1041" s="88"/>
      <c r="P1041" s="88"/>
      <c r="Q1041" s="88"/>
      <c r="R1041" s="88"/>
      <c r="S1041" s="34"/>
      <c r="T1041" s="119"/>
      <c r="U1041" s="120"/>
      <c r="V1041" s="74"/>
      <c r="W1041" s="74"/>
      <c r="X1041" s="74"/>
      <c r="Y1041" s="74"/>
      <c r="Z1041" s="74"/>
      <c r="AA1041" s="74"/>
      <c r="AB1041" s="74"/>
      <c r="AC1041" s="121"/>
      <c r="AD1041" s="72"/>
      <c r="AE1041" s="72"/>
      <c r="AF1041" s="72"/>
      <c r="AG1041" s="72"/>
      <c r="AH1041" s="72"/>
      <c r="AI1041" s="72"/>
      <c r="AJ1041" s="91"/>
      <c r="AK1041" s="74"/>
      <c r="AL1041" s="74"/>
      <c r="AM1041" s="74"/>
      <c r="AN1041" s="74"/>
      <c r="AO1041" s="92"/>
      <c r="AP1041" s="92"/>
      <c r="AQ1041" s="92"/>
      <c r="AR1041" s="92"/>
      <c r="AS1041" s="92"/>
      <c r="AT1041" s="92"/>
      <c r="AU1041" s="92"/>
      <c r="AV1041" s="92"/>
      <c r="AW1041" s="92"/>
      <c r="AX1041" s="92"/>
      <c r="BE1041" s="120"/>
      <c r="BF1041" s="120"/>
      <c r="BG1041" s="120"/>
      <c r="BH1041" s="120"/>
      <c r="BI1041" s="120"/>
      <c r="BJ1041" s="120"/>
      <c r="BK1041" s="120"/>
      <c r="BL1041" s="120"/>
      <c r="BM1041" s="120"/>
      <c r="BN1041" s="120"/>
      <c r="BO1041" s="122"/>
      <c r="BP1041" s="123"/>
      <c r="BQ1041" s="120"/>
      <c r="BR1041" s="120"/>
      <c r="BS1041" s="120"/>
      <c r="BT1041" s="120"/>
      <c r="BV1041" s="120"/>
      <c r="BW1041" s="120"/>
      <c r="BY1041" s="81"/>
      <c r="BZ1041" s="81"/>
      <c r="CA1041" s="81"/>
      <c r="CB1041" s="81"/>
      <c r="CC1041" s="81"/>
      <c r="CD1041" s="81"/>
      <c r="CE1041" s="81"/>
      <c r="CF1041" s="81"/>
      <c r="CG1041" s="81"/>
    </row>
    <row r="1042" customFormat="false" ht="15" hidden="false" customHeight="false" outlineLevel="0" collapsed="false">
      <c r="A1042" s="7"/>
      <c r="B1042" s="66"/>
      <c r="C1042" s="8"/>
      <c r="D1042" s="7"/>
      <c r="E1042" s="4"/>
      <c r="F1042" s="7"/>
      <c r="G1042" s="117"/>
      <c r="H1042" s="117"/>
      <c r="I1042" s="88"/>
      <c r="J1042" s="118"/>
      <c r="K1042" s="88"/>
      <c r="L1042" s="88"/>
      <c r="M1042" s="88"/>
      <c r="N1042" s="88"/>
      <c r="O1042" s="88"/>
      <c r="P1042" s="88"/>
      <c r="Q1042" s="88"/>
      <c r="R1042" s="88"/>
      <c r="S1042" s="34"/>
      <c r="T1042" s="119"/>
      <c r="U1042" s="120"/>
      <c r="V1042" s="74"/>
      <c r="W1042" s="74"/>
      <c r="X1042" s="74"/>
      <c r="Y1042" s="74"/>
      <c r="Z1042" s="74"/>
      <c r="AA1042" s="74"/>
      <c r="AB1042" s="74"/>
      <c r="AC1042" s="121"/>
      <c r="AD1042" s="72"/>
      <c r="AE1042" s="72"/>
      <c r="AF1042" s="72"/>
      <c r="AG1042" s="72"/>
      <c r="AH1042" s="72"/>
      <c r="AI1042" s="72"/>
      <c r="AJ1042" s="91"/>
      <c r="AK1042" s="74"/>
      <c r="AL1042" s="74"/>
      <c r="AM1042" s="74"/>
      <c r="AN1042" s="74"/>
      <c r="AO1042" s="92"/>
      <c r="AP1042" s="92"/>
      <c r="AQ1042" s="92"/>
      <c r="AR1042" s="92"/>
      <c r="AS1042" s="92"/>
      <c r="AT1042" s="92"/>
      <c r="AU1042" s="92"/>
      <c r="AV1042" s="92"/>
      <c r="AW1042" s="92"/>
      <c r="AX1042" s="92"/>
      <c r="BE1042" s="120"/>
      <c r="BF1042" s="120"/>
      <c r="BG1042" s="120"/>
      <c r="BH1042" s="120"/>
      <c r="BI1042" s="120"/>
      <c r="BJ1042" s="120"/>
      <c r="BK1042" s="120"/>
      <c r="BL1042" s="120"/>
      <c r="BM1042" s="120"/>
      <c r="BN1042" s="120"/>
      <c r="BO1042" s="122"/>
      <c r="BP1042" s="123"/>
      <c r="BQ1042" s="120"/>
      <c r="BR1042" s="120"/>
      <c r="BS1042" s="120"/>
      <c r="BT1042" s="120"/>
      <c r="BV1042" s="120"/>
      <c r="BW1042" s="120"/>
      <c r="BY1042" s="81"/>
      <c r="BZ1042" s="81"/>
      <c r="CA1042" s="81"/>
      <c r="CB1042" s="81"/>
      <c r="CC1042" s="81"/>
      <c r="CD1042" s="81"/>
      <c r="CE1042" s="81"/>
      <c r="CF1042" s="81"/>
      <c r="CG1042" s="81"/>
    </row>
    <row r="1043" customFormat="false" ht="15" hidden="false" customHeight="false" outlineLevel="0" collapsed="false">
      <c r="A1043" s="7"/>
      <c r="B1043" s="66"/>
      <c r="C1043" s="8"/>
      <c r="D1043" s="7"/>
      <c r="E1043" s="4"/>
      <c r="F1043" s="7"/>
      <c r="G1043" s="117"/>
      <c r="H1043" s="117"/>
      <c r="I1043" s="88"/>
      <c r="J1043" s="118"/>
      <c r="K1043" s="88"/>
      <c r="L1043" s="88"/>
      <c r="M1043" s="88"/>
      <c r="N1043" s="88"/>
      <c r="O1043" s="88"/>
      <c r="P1043" s="88"/>
      <c r="Q1043" s="88"/>
      <c r="R1043" s="88"/>
      <c r="S1043" s="34"/>
      <c r="T1043" s="119"/>
      <c r="U1043" s="120"/>
      <c r="V1043" s="74"/>
      <c r="W1043" s="74"/>
      <c r="X1043" s="74"/>
      <c r="Y1043" s="74"/>
      <c r="Z1043" s="74"/>
      <c r="AA1043" s="74"/>
      <c r="AB1043" s="74"/>
      <c r="AC1043" s="121"/>
      <c r="AD1043" s="72"/>
      <c r="AE1043" s="72"/>
      <c r="AF1043" s="72"/>
      <c r="AG1043" s="72"/>
      <c r="AH1043" s="72"/>
      <c r="AI1043" s="72"/>
      <c r="AJ1043" s="91"/>
      <c r="AK1043" s="74"/>
      <c r="AL1043" s="74"/>
      <c r="AM1043" s="74"/>
      <c r="AN1043" s="74"/>
      <c r="AO1043" s="92"/>
      <c r="AP1043" s="92"/>
      <c r="AQ1043" s="92"/>
      <c r="AR1043" s="92"/>
      <c r="AS1043" s="92"/>
      <c r="AT1043" s="92"/>
      <c r="AU1043" s="92"/>
      <c r="AV1043" s="92"/>
      <c r="AW1043" s="92"/>
      <c r="AX1043" s="92"/>
      <c r="BE1043" s="120"/>
      <c r="BF1043" s="120"/>
      <c r="BG1043" s="120"/>
      <c r="BH1043" s="120"/>
      <c r="BI1043" s="120"/>
      <c r="BJ1043" s="120"/>
      <c r="BK1043" s="120"/>
      <c r="BL1043" s="120"/>
      <c r="BM1043" s="120"/>
      <c r="BN1043" s="120"/>
      <c r="BO1043" s="122"/>
      <c r="BP1043" s="123"/>
      <c r="BQ1043" s="120"/>
      <c r="BR1043" s="120"/>
      <c r="BS1043" s="120"/>
      <c r="BT1043" s="120"/>
      <c r="BV1043" s="120"/>
      <c r="BW1043" s="120"/>
      <c r="BY1043" s="81"/>
      <c r="BZ1043" s="81"/>
      <c r="CA1043" s="81"/>
      <c r="CB1043" s="81"/>
      <c r="CC1043" s="81"/>
      <c r="CD1043" s="81"/>
      <c r="CE1043" s="81"/>
      <c r="CF1043" s="81"/>
      <c r="CG1043" s="81"/>
    </row>
    <row r="1044" customFormat="false" ht="15" hidden="false" customHeight="false" outlineLevel="0" collapsed="false">
      <c r="A1044" s="7"/>
      <c r="B1044" s="66"/>
      <c r="C1044" s="8"/>
      <c r="D1044" s="7"/>
      <c r="E1044" s="4"/>
      <c r="F1044" s="7"/>
      <c r="G1044" s="117"/>
      <c r="H1044" s="117"/>
      <c r="I1044" s="88"/>
      <c r="J1044" s="118"/>
      <c r="K1044" s="88"/>
      <c r="L1044" s="88"/>
      <c r="M1044" s="88"/>
      <c r="N1044" s="88"/>
      <c r="O1044" s="88"/>
      <c r="P1044" s="88"/>
      <c r="Q1044" s="88"/>
      <c r="R1044" s="88"/>
      <c r="S1044" s="34"/>
      <c r="T1044" s="119"/>
      <c r="U1044" s="120"/>
      <c r="V1044" s="74"/>
      <c r="W1044" s="74"/>
      <c r="X1044" s="74"/>
      <c r="Y1044" s="74"/>
      <c r="Z1044" s="74"/>
      <c r="AA1044" s="74"/>
      <c r="AB1044" s="74"/>
      <c r="AC1044" s="121"/>
      <c r="AD1044" s="72"/>
      <c r="AE1044" s="72"/>
      <c r="AF1044" s="72"/>
      <c r="AG1044" s="72"/>
      <c r="AH1044" s="72"/>
      <c r="AI1044" s="72"/>
      <c r="AJ1044" s="91"/>
      <c r="AK1044" s="74"/>
      <c r="AL1044" s="74"/>
      <c r="AM1044" s="74"/>
      <c r="AN1044" s="74"/>
      <c r="AO1044" s="92"/>
      <c r="AP1044" s="92"/>
      <c r="AQ1044" s="92"/>
      <c r="AR1044" s="92"/>
      <c r="AS1044" s="92"/>
      <c r="AT1044" s="92"/>
      <c r="AU1044" s="92"/>
      <c r="AV1044" s="92"/>
      <c r="AW1044" s="92"/>
      <c r="AX1044" s="92"/>
      <c r="BE1044" s="120"/>
      <c r="BF1044" s="120"/>
      <c r="BG1044" s="120"/>
      <c r="BH1044" s="120"/>
      <c r="BI1044" s="120"/>
      <c r="BJ1044" s="120"/>
      <c r="BK1044" s="120"/>
      <c r="BL1044" s="120"/>
      <c r="BM1044" s="120"/>
      <c r="BN1044" s="120"/>
      <c r="BO1044" s="122"/>
      <c r="BP1044" s="123"/>
      <c r="BQ1044" s="120"/>
      <c r="BR1044" s="120"/>
      <c r="BS1044" s="120"/>
      <c r="BT1044" s="120"/>
      <c r="BV1044" s="120"/>
      <c r="BW1044" s="120"/>
      <c r="BY1044" s="81"/>
      <c r="BZ1044" s="81"/>
      <c r="CA1044" s="81"/>
      <c r="CB1044" s="81"/>
      <c r="CC1044" s="81"/>
      <c r="CD1044" s="81"/>
      <c r="CE1044" s="81"/>
      <c r="CF1044" s="81"/>
      <c r="CG1044" s="81"/>
    </row>
    <row r="1045" customFormat="false" ht="15" hidden="false" customHeight="false" outlineLevel="0" collapsed="false">
      <c r="A1045" s="7"/>
      <c r="B1045" s="66"/>
      <c r="C1045" s="8"/>
      <c r="D1045" s="7"/>
      <c r="E1045" s="4"/>
      <c r="F1045" s="7"/>
      <c r="G1045" s="117"/>
      <c r="H1045" s="117"/>
      <c r="I1045" s="88"/>
      <c r="J1045" s="118"/>
      <c r="K1045" s="88"/>
      <c r="L1045" s="88"/>
      <c r="M1045" s="88"/>
      <c r="N1045" s="88"/>
      <c r="O1045" s="88"/>
      <c r="P1045" s="88"/>
      <c r="Q1045" s="88"/>
      <c r="R1045" s="88"/>
      <c r="S1045" s="34"/>
      <c r="T1045" s="119"/>
      <c r="U1045" s="120"/>
      <c r="V1045" s="74"/>
      <c r="W1045" s="74"/>
      <c r="X1045" s="74"/>
      <c r="Y1045" s="74"/>
      <c r="Z1045" s="74"/>
      <c r="AA1045" s="74"/>
      <c r="AB1045" s="74"/>
      <c r="AC1045" s="121"/>
      <c r="AD1045" s="72"/>
      <c r="AE1045" s="72"/>
      <c r="AF1045" s="72"/>
      <c r="AG1045" s="72"/>
      <c r="AH1045" s="72"/>
      <c r="AI1045" s="72"/>
      <c r="AJ1045" s="91"/>
      <c r="AK1045" s="74"/>
      <c r="AL1045" s="74"/>
      <c r="AM1045" s="74"/>
      <c r="AN1045" s="74"/>
      <c r="AO1045" s="92"/>
      <c r="AP1045" s="92"/>
      <c r="AQ1045" s="92"/>
      <c r="AR1045" s="92"/>
      <c r="AS1045" s="92"/>
      <c r="AT1045" s="92"/>
      <c r="AU1045" s="92"/>
      <c r="AV1045" s="92"/>
      <c r="AW1045" s="92"/>
      <c r="AX1045" s="92"/>
      <c r="BE1045" s="120"/>
      <c r="BF1045" s="120"/>
      <c r="BG1045" s="120"/>
      <c r="BH1045" s="120"/>
      <c r="BI1045" s="120"/>
      <c r="BJ1045" s="120"/>
      <c r="BK1045" s="120"/>
      <c r="BL1045" s="120"/>
      <c r="BM1045" s="120"/>
      <c r="BN1045" s="120"/>
      <c r="BO1045" s="122"/>
      <c r="BP1045" s="123"/>
      <c r="BQ1045" s="120"/>
      <c r="BR1045" s="120"/>
      <c r="BS1045" s="120"/>
      <c r="BT1045" s="120"/>
      <c r="BV1045" s="120"/>
      <c r="BW1045" s="120"/>
      <c r="BY1045" s="81"/>
      <c r="BZ1045" s="81"/>
      <c r="CA1045" s="81"/>
      <c r="CB1045" s="81"/>
      <c r="CC1045" s="81"/>
      <c r="CD1045" s="81"/>
      <c r="CE1045" s="81"/>
      <c r="CF1045" s="81"/>
      <c r="CG1045" s="81"/>
    </row>
    <row r="1046" customFormat="false" ht="15" hidden="false" customHeight="false" outlineLevel="0" collapsed="false">
      <c r="A1046" s="7"/>
      <c r="B1046" s="66"/>
      <c r="C1046" s="8"/>
      <c r="D1046" s="7"/>
      <c r="E1046" s="4"/>
      <c r="F1046" s="7"/>
      <c r="G1046" s="117"/>
      <c r="H1046" s="117"/>
      <c r="I1046" s="88"/>
      <c r="J1046" s="118"/>
      <c r="K1046" s="88"/>
      <c r="L1046" s="88"/>
      <c r="M1046" s="88"/>
      <c r="N1046" s="88"/>
      <c r="O1046" s="88"/>
      <c r="P1046" s="88"/>
      <c r="Q1046" s="88"/>
      <c r="R1046" s="88"/>
      <c r="S1046" s="34"/>
      <c r="T1046" s="119"/>
      <c r="U1046" s="120"/>
      <c r="V1046" s="74"/>
      <c r="W1046" s="74"/>
      <c r="X1046" s="74"/>
      <c r="Y1046" s="74"/>
      <c r="Z1046" s="74"/>
      <c r="AA1046" s="74"/>
      <c r="AB1046" s="74"/>
      <c r="AC1046" s="121"/>
      <c r="AD1046" s="72"/>
      <c r="AE1046" s="72"/>
      <c r="AF1046" s="72"/>
      <c r="AG1046" s="72"/>
      <c r="AH1046" s="72"/>
      <c r="AI1046" s="72"/>
      <c r="AJ1046" s="91"/>
      <c r="AK1046" s="74"/>
      <c r="AL1046" s="74"/>
      <c r="AM1046" s="74"/>
      <c r="AN1046" s="74"/>
      <c r="AO1046" s="92"/>
      <c r="AP1046" s="92"/>
      <c r="AQ1046" s="92"/>
      <c r="AR1046" s="92"/>
      <c r="AS1046" s="92"/>
      <c r="AT1046" s="92"/>
      <c r="AU1046" s="92"/>
      <c r="AV1046" s="92"/>
      <c r="AW1046" s="92"/>
      <c r="AX1046" s="92"/>
      <c r="BE1046" s="120"/>
      <c r="BF1046" s="120"/>
      <c r="BG1046" s="120"/>
      <c r="BH1046" s="120"/>
      <c r="BI1046" s="120"/>
      <c r="BJ1046" s="120"/>
      <c r="BK1046" s="120"/>
      <c r="BL1046" s="120"/>
      <c r="BM1046" s="120"/>
      <c r="BN1046" s="120"/>
      <c r="BO1046" s="122"/>
      <c r="BP1046" s="123"/>
      <c r="BQ1046" s="120"/>
      <c r="BR1046" s="120"/>
      <c r="BS1046" s="120"/>
      <c r="BT1046" s="120"/>
      <c r="BV1046" s="120"/>
      <c r="BW1046" s="120"/>
      <c r="BY1046" s="81"/>
      <c r="BZ1046" s="81"/>
      <c r="CA1046" s="81"/>
      <c r="CB1046" s="81"/>
      <c r="CC1046" s="81"/>
      <c r="CD1046" s="81"/>
      <c r="CE1046" s="81"/>
      <c r="CF1046" s="81"/>
      <c r="CG1046" s="81"/>
    </row>
    <row r="1047" customFormat="false" ht="15" hidden="false" customHeight="false" outlineLevel="0" collapsed="false">
      <c r="A1047" s="7"/>
      <c r="B1047" s="66"/>
      <c r="C1047" s="8"/>
      <c r="D1047" s="7"/>
      <c r="E1047" s="4"/>
      <c r="F1047" s="7"/>
      <c r="G1047" s="117"/>
      <c r="H1047" s="117"/>
      <c r="I1047" s="88"/>
      <c r="J1047" s="118"/>
      <c r="K1047" s="88"/>
      <c r="L1047" s="88"/>
      <c r="M1047" s="88"/>
      <c r="N1047" s="88"/>
      <c r="O1047" s="88"/>
      <c r="P1047" s="88"/>
      <c r="Q1047" s="88"/>
      <c r="R1047" s="88"/>
      <c r="S1047" s="34"/>
      <c r="T1047" s="119"/>
      <c r="U1047" s="120"/>
      <c r="V1047" s="74"/>
      <c r="W1047" s="74"/>
      <c r="X1047" s="74"/>
      <c r="Y1047" s="74"/>
      <c r="Z1047" s="74"/>
      <c r="AA1047" s="74"/>
      <c r="AB1047" s="74"/>
      <c r="AC1047" s="121"/>
      <c r="AD1047" s="72"/>
      <c r="AE1047" s="72"/>
      <c r="AF1047" s="72"/>
      <c r="AG1047" s="72"/>
      <c r="AH1047" s="72"/>
      <c r="AI1047" s="72"/>
      <c r="AJ1047" s="91"/>
      <c r="AK1047" s="74"/>
      <c r="AL1047" s="74"/>
      <c r="AM1047" s="74"/>
      <c r="AN1047" s="74"/>
      <c r="AO1047" s="92"/>
      <c r="AP1047" s="92"/>
      <c r="AQ1047" s="92"/>
      <c r="AR1047" s="92"/>
      <c r="AS1047" s="92"/>
      <c r="AT1047" s="92"/>
      <c r="AU1047" s="92"/>
      <c r="AV1047" s="92"/>
      <c r="AW1047" s="92"/>
      <c r="AX1047" s="92"/>
      <c r="BE1047" s="120"/>
      <c r="BF1047" s="120"/>
      <c r="BG1047" s="120"/>
      <c r="BH1047" s="120"/>
      <c r="BI1047" s="120"/>
      <c r="BJ1047" s="120"/>
      <c r="BK1047" s="120"/>
      <c r="BL1047" s="120"/>
      <c r="BM1047" s="120"/>
      <c r="BN1047" s="120"/>
      <c r="BO1047" s="122"/>
      <c r="BP1047" s="123"/>
      <c r="BQ1047" s="120"/>
      <c r="BR1047" s="120"/>
      <c r="BS1047" s="120"/>
      <c r="BT1047" s="120"/>
      <c r="BV1047" s="120"/>
      <c r="BW1047" s="120"/>
      <c r="BY1047" s="81"/>
      <c r="BZ1047" s="81"/>
      <c r="CA1047" s="81"/>
      <c r="CB1047" s="81"/>
      <c r="CC1047" s="81"/>
      <c r="CD1047" s="81"/>
      <c r="CE1047" s="81"/>
      <c r="CF1047" s="81"/>
      <c r="CG1047" s="81"/>
    </row>
    <row r="1048" customFormat="false" ht="15" hidden="false" customHeight="false" outlineLevel="0" collapsed="false">
      <c r="A1048" s="7"/>
      <c r="B1048" s="66"/>
      <c r="C1048" s="8"/>
      <c r="D1048" s="7"/>
      <c r="E1048" s="4"/>
      <c r="F1048" s="7"/>
      <c r="G1048" s="117"/>
      <c r="H1048" s="117"/>
      <c r="I1048" s="88"/>
      <c r="J1048" s="118"/>
      <c r="K1048" s="88"/>
      <c r="L1048" s="88"/>
      <c r="M1048" s="88"/>
      <c r="N1048" s="88"/>
      <c r="O1048" s="88"/>
      <c r="P1048" s="88"/>
      <c r="Q1048" s="88"/>
      <c r="R1048" s="88"/>
      <c r="S1048" s="34"/>
      <c r="T1048" s="119"/>
      <c r="U1048" s="120"/>
      <c r="V1048" s="74"/>
      <c r="W1048" s="74"/>
      <c r="X1048" s="74"/>
      <c r="Y1048" s="74"/>
      <c r="Z1048" s="74"/>
      <c r="AA1048" s="74"/>
      <c r="AB1048" s="74"/>
      <c r="AC1048" s="121"/>
      <c r="AD1048" s="72"/>
      <c r="AE1048" s="72"/>
      <c r="AF1048" s="72"/>
      <c r="AG1048" s="72"/>
      <c r="AH1048" s="72"/>
      <c r="AI1048" s="72"/>
      <c r="AJ1048" s="91"/>
      <c r="AK1048" s="74"/>
      <c r="AL1048" s="74"/>
      <c r="AM1048" s="74"/>
      <c r="AN1048" s="74"/>
      <c r="AO1048" s="92"/>
      <c r="AP1048" s="92"/>
      <c r="AQ1048" s="92"/>
      <c r="AR1048" s="92"/>
      <c r="AS1048" s="92"/>
      <c r="AT1048" s="92"/>
      <c r="AU1048" s="92"/>
      <c r="AV1048" s="92"/>
      <c r="AW1048" s="92"/>
      <c r="AX1048" s="92"/>
      <c r="BE1048" s="120"/>
      <c r="BF1048" s="120"/>
      <c r="BG1048" s="120"/>
      <c r="BH1048" s="120"/>
      <c r="BI1048" s="120"/>
      <c r="BJ1048" s="120"/>
      <c r="BK1048" s="120"/>
      <c r="BL1048" s="120"/>
      <c r="BM1048" s="120"/>
      <c r="BN1048" s="120"/>
      <c r="BO1048" s="122"/>
      <c r="BP1048" s="123"/>
      <c r="BQ1048" s="120"/>
      <c r="BR1048" s="120"/>
      <c r="BS1048" s="120"/>
      <c r="BT1048" s="120"/>
      <c r="BV1048" s="120"/>
      <c r="BW1048" s="120"/>
      <c r="BY1048" s="81"/>
      <c r="BZ1048" s="81"/>
      <c r="CA1048" s="81"/>
      <c r="CB1048" s="81"/>
      <c r="CC1048" s="81"/>
      <c r="CD1048" s="81"/>
      <c r="CE1048" s="81"/>
      <c r="CF1048" s="81"/>
      <c r="CG1048" s="81"/>
    </row>
    <row r="1049" customFormat="false" ht="15" hidden="false" customHeight="false" outlineLevel="0" collapsed="false">
      <c r="A1049" s="7"/>
      <c r="B1049" s="66"/>
      <c r="C1049" s="8"/>
      <c r="D1049" s="7"/>
      <c r="E1049" s="4"/>
      <c r="F1049" s="7"/>
      <c r="G1049" s="117"/>
      <c r="H1049" s="117"/>
      <c r="I1049" s="88"/>
      <c r="J1049" s="118"/>
      <c r="K1049" s="88"/>
      <c r="L1049" s="88"/>
      <c r="M1049" s="88"/>
      <c r="N1049" s="88"/>
      <c r="O1049" s="88"/>
      <c r="P1049" s="88"/>
      <c r="Q1049" s="88"/>
      <c r="R1049" s="88"/>
      <c r="S1049" s="34"/>
      <c r="T1049" s="119"/>
      <c r="U1049" s="120"/>
      <c r="V1049" s="74"/>
      <c r="W1049" s="74"/>
      <c r="X1049" s="74"/>
      <c r="Y1049" s="74"/>
      <c r="Z1049" s="74"/>
      <c r="AA1049" s="74"/>
      <c r="AB1049" s="74"/>
      <c r="AC1049" s="121"/>
      <c r="AD1049" s="72"/>
      <c r="AE1049" s="72"/>
      <c r="AF1049" s="72"/>
      <c r="AG1049" s="72"/>
      <c r="AH1049" s="72"/>
      <c r="AI1049" s="72"/>
      <c r="AJ1049" s="91"/>
      <c r="AK1049" s="74"/>
      <c r="AL1049" s="74"/>
      <c r="AM1049" s="74"/>
      <c r="AN1049" s="74"/>
      <c r="AO1049" s="92"/>
      <c r="AP1049" s="92"/>
      <c r="AQ1049" s="92"/>
      <c r="AR1049" s="92"/>
      <c r="AS1049" s="92"/>
      <c r="AT1049" s="92"/>
      <c r="AU1049" s="92"/>
      <c r="AV1049" s="92"/>
      <c r="AW1049" s="92"/>
      <c r="AX1049" s="92"/>
      <c r="BE1049" s="120"/>
      <c r="BF1049" s="120"/>
      <c r="BG1049" s="120"/>
      <c r="BH1049" s="120"/>
      <c r="BI1049" s="120"/>
      <c r="BJ1049" s="120"/>
      <c r="BK1049" s="120"/>
      <c r="BL1049" s="120"/>
      <c r="BM1049" s="120"/>
      <c r="BN1049" s="120"/>
      <c r="BO1049" s="122"/>
      <c r="BP1049" s="123"/>
      <c r="BQ1049" s="120"/>
      <c r="BR1049" s="120"/>
      <c r="BS1049" s="120"/>
      <c r="BT1049" s="120"/>
      <c r="BV1049" s="120"/>
      <c r="BW1049" s="120"/>
      <c r="BY1049" s="81"/>
      <c r="BZ1049" s="81"/>
      <c r="CA1049" s="81"/>
      <c r="CB1049" s="81"/>
      <c r="CC1049" s="81"/>
      <c r="CD1049" s="81"/>
      <c r="CE1049" s="81"/>
      <c r="CF1049" s="81"/>
      <c r="CG1049" s="81"/>
    </row>
    <row r="1050" customFormat="false" ht="15" hidden="false" customHeight="false" outlineLevel="0" collapsed="false">
      <c r="A1050" s="7"/>
      <c r="B1050" s="66"/>
      <c r="C1050" s="8"/>
      <c r="D1050" s="7"/>
      <c r="E1050" s="4"/>
      <c r="F1050" s="7"/>
      <c r="G1050" s="117"/>
      <c r="H1050" s="117"/>
      <c r="I1050" s="88"/>
      <c r="J1050" s="118"/>
      <c r="K1050" s="88"/>
      <c r="L1050" s="88"/>
      <c r="M1050" s="88"/>
      <c r="N1050" s="88"/>
      <c r="O1050" s="88"/>
      <c r="P1050" s="88"/>
      <c r="Q1050" s="88"/>
      <c r="R1050" s="88"/>
      <c r="S1050" s="34"/>
      <c r="T1050" s="119"/>
      <c r="U1050" s="120"/>
      <c r="V1050" s="74"/>
      <c r="W1050" s="74"/>
      <c r="X1050" s="74"/>
      <c r="Y1050" s="74"/>
      <c r="Z1050" s="74"/>
      <c r="AA1050" s="74"/>
      <c r="AB1050" s="74"/>
      <c r="AC1050" s="121"/>
      <c r="AD1050" s="72"/>
      <c r="AE1050" s="72"/>
      <c r="AF1050" s="72"/>
      <c r="AG1050" s="72"/>
      <c r="AH1050" s="72"/>
      <c r="AI1050" s="72"/>
      <c r="AJ1050" s="91"/>
      <c r="AK1050" s="74"/>
      <c r="AL1050" s="74"/>
      <c r="AM1050" s="74"/>
      <c r="AN1050" s="74"/>
      <c r="AO1050" s="92"/>
      <c r="AP1050" s="92"/>
      <c r="AQ1050" s="92"/>
      <c r="AR1050" s="92"/>
      <c r="AS1050" s="92"/>
      <c r="AT1050" s="92"/>
      <c r="AU1050" s="92"/>
      <c r="AV1050" s="92"/>
      <c r="AW1050" s="92"/>
      <c r="AX1050" s="92"/>
      <c r="BE1050" s="120"/>
      <c r="BF1050" s="120"/>
      <c r="BG1050" s="120"/>
      <c r="BH1050" s="120"/>
      <c r="BI1050" s="120"/>
      <c r="BJ1050" s="120"/>
      <c r="BK1050" s="120"/>
      <c r="BL1050" s="120"/>
      <c r="BM1050" s="120"/>
      <c r="BN1050" s="120"/>
      <c r="BO1050" s="122"/>
      <c r="BP1050" s="123"/>
      <c r="BQ1050" s="120"/>
      <c r="BR1050" s="120"/>
      <c r="BS1050" s="120"/>
      <c r="BT1050" s="120"/>
      <c r="BV1050" s="120"/>
      <c r="BW1050" s="120"/>
      <c r="BY1050" s="81"/>
      <c r="BZ1050" s="81"/>
      <c r="CA1050" s="81"/>
      <c r="CB1050" s="81"/>
      <c r="CC1050" s="81"/>
      <c r="CD1050" s="81"/>
      <c r="CE1050" s="81"/>
      <c r="CF1050" s="81"/>
      <c r="CG1050" s="81"/>
    </row>
    <row r="1051" customFormat="false" ht="15" hidden="false" customHeight="false" outlineLevel="0" collapsed="false">
      <c r="A1051" s="7"/>
      <c r="B1051" s="66"/>
      <c r="C1051" s="8"/>
      <c r="D1051" s="7"/>
      <c r="E1051" s="4"/>
      <c r="F1051" s="7"/>
      <c r="G1051" s="117"/>
      <c r="H1051" s="117"/>
      <c r="I1051" s="88"/>
      <c r="J1051" s="118"/>
      <c r="K1051" s="88"/>
      <c r="L1051" s="88"/>
      <c r="M1051" s="88"/>
      <c r="N1051" s="88"/>
      <c r="O1051" s="88"/>
      <c r="P1051" s="88"/>
      <c r="Q1051" s="88"/>
      <c r="R1051" s="88"/>
      <c r="S1051" s="34"/>
      <c r="T1051" s="119"/>
      <c r="U1051" s="120"/>
      <c r="V1051" s="74"/>
      <c r="W1051" s="74"/>
      <c r="X1051" s="74"/>
      <c r="Y1051" s="74"/>
      <c r="Z1051" s="74"/>
      <c r="AA1051" s="74"/>
      <c r="AB1051" s="74"/>
      <c r="AC1051" s="121"/>
      <c r="AD1051" s="72"/>
      <c r="AE1051" s="72"/>
      <c r="AF1051" s="72"/>
      <c r="AG1051" s="72"/>
      <c r="AH1051" s="72"/>
      <c r="AI1051" s="72"/>
      <c r="AJ1051" s="91"/>
      <c r="AK1051" s="74"/>
      <c r="AL1051" s="74"/>
      <c r="AM1051" s="74"/>
      <c r="AN1051" s="74"/>
      <c r="AO1051" s="92"/>
      <c r="AP1051" s="92"/>
      <c r="AQ1051" s="92"/>
      <c r="AR1051" s="92"/>
      <c r="AS1051" s="92"/>
      <c r="AT1051" s="92"/>
      <c r="AU1051" s="92"/>
      <c r="AV1051" s="92"/>
      <c r="AW1051" s="92"/>
      <c r="AX1051" s="92"/>
      <c r="BE1051" s="120"/>
      <c r="BF1051" s="120"/>
      <c r="BG1051" s="120"/>
      <c r="BH1051" s="120"/>
      <c r="BI1051" s="120"/>
      <c r="BJ1051" s="120"/>
      <c r="BK1051" s="120"/>
      <c r="BL1051" s="120"/>
      <c r="BM1051" s="120"/>
      <c r="BN1051" s="120"/>
      <c r="BO1051" s="122"/>
      <c r="BP1051" s="123"/>
      <c r="BQ1051" s="120"/>
      <c r="BR1051" s="120"/>
      <c r="BS1051" s="120"/>
      <c r="BT1051" s="120"/>
      <c r="BV1051" s="120"/>
      <c r="BW1051" s="120"/>
      <c r="BY1051" s="81"/>
      <c r="BZ1051" s="81"/>
      <c r="CA1051" s="81"/>
      <c r="CB1051" s="81"/>
      <c r="CC1051" s="81"/>
      <c r="CD1051" s="81"/>
      <c r="CE1051" s="81"/>
      <c r="CF1051" s="81"/>
      <c r="CG1051" s="81"/>
    </row>
    <row r="1052" customFormat="false" ht="15" hidden="false" customHeight="false" outlineLevel="0" collapsed="false">
      <c r="A1052" s="7"/>
      <c r="B1052" s="66"/>
      <c r="C1052" s="8"/>
      <c r="D1052" s="7"/>
      <c r="E1052" s="4"/>
      <c r="F1052" s="7"/>
      <c r="G1052" s="117"/>
      <c r="H1052" s="117"/>
      <c r="I1052" s="88"/>
      <c r="J1052" s="118"/>
      <c r="K1052" s="88"/>
      <c r="L1052" s="88"/>
      <c r="M1052" s="88"/>
      <c r="N1052" s="88"/>
      <c r="O1052" s="88"/>
      <c r="P1052" s="88"/>
      <c r="Q1052" s="88"/>
      <c r="R1052" s="88"/>
      <c r="S1052" s="34"/>
      <c r="T1052" s="119"/>
      <c r="U1052" s="120"/>
      <c r="V1052" s="74"/>
      <c r="W1052" s="74"/>
      <c r="X1052" s="74"/>
      <c r="Y1052" s="74"/>
      <c r="Z1052" s="74"/>
      <c r="AA1052" s="74"/>
      <c r="AB1052" s="74"/>
      <c r="AC1052" s="121"/>
      <c r="AD1052" s="72"/>
      <c r="AE1052" s="72"/>
      <c r="AF1052" s="72"/>
      <c r="AG1052" s="72"/>
      <c r="AH1052" s="72"/>
      <c r="AI1052" s="72"/>
      <c r="AJ1052" s="91"/>
      <c r="AK1052" s="74"/>
      <c r="AL1052" s="74"/>
      <c r="AM1052" s="74"/>
      <c r="AN1052" s="74"/>
      <c r="AO1052" s="92"/>
      <c r="AP1052" s="92"/>
      <c r="AQ1052" s="92"/>
      <c r="AR1052" s="92"/>
      <c r="AS1052" s="92"/>
      <c r="AT1052" s="92"/>
      <c r="AU1052" s="92"/>
      <c r="AV1052" s="92"/>
      <c r="AW1052" s="92"/>
      <c r="AX1052" s="92"/>
      <c r="BE1052" s="120"/>
      <c r="BF1052" s="120"/>
      <c r="BG1052" s="120"/>
      <c r="BH1052" s="120"/>
      <c r="BI1052" s="120"/>
      <c r="BJ1052" s="120"/>
      <c r="BK1052" s="120"/>
      <c r="BL1052" s="120"/>
      <c r="BM1052" s="120"/>
      <c r="BN1052" s="120"/>
      <c r="BO1052" s="122"/>
      <c r="BP1052" s="123"/>
      <c r="BQ1052" s="120"/>
      <c r="BR1052" s="120"/>
      <c r="BS1052" s="120"/>
      <c r="BT1052" s="120"/>
      <c r="BV1052" s="120"/>
      <c r="BW1052" s="120"/>
      <c r="BY1052" s="81"/>
      <c r="BZ1052" s="81"/>
      <c r="CA1052" s="81"/>
      <c r="CB1052" s="81"/>
      <c r="CC1052" s="81"/>
      <c r="CD1052" s="81"/>
      <c r="CE1052" s="81"/>
      <c r="CF1052" s="81"/>
      <c r="CG1052" s="81"/>
    </row>
    <row r="1053" customFormat="false" ht="15" hidden="false" customHeight="false" outlineLevel="0" collapsed="false">
      <c r="A1053" s="7"/>
      <c r="B1053" s="66"/>
      <c r="C1053" s="8"/>
      <c r="D1053" s="7"/>
      <c r="E1053" s="4"/>
      <c r="F1053" s="7"/>
      <c r="G1053" s="117"/>
      <c r="H1053" s="117"/>
      <c r="I1053" s="88"/>
      <c r="J1053" s="118"/>
      <c r="K1053" s="88"/>
      <c r="L1053" s="88"/>
      <c r="M1053" s="88"/>
      <c r="N1053" s="88"/>
      <c r="O1053" s="88"/>
      <c r="P1053" s="88"/>
      <c r="Q1053" s="88"/>
      <c r="R1053" s="88"/>
      <c r="S1053" s="34"/>
      <c r="T1053" s="119"/>
      <c r="U1053" s="120"/>
      <c r="V1053" s="74"/>
      <c r="W1053" s="74"/>
      <c r="X1053" s="74"/>
      <c r="Y1053" s="74"/>
      <c r="Z1053" s="74"/>
      <c r="AA1053" s="74"/>
      <c r="AB1053" s="74"/>
      <c r="AC1053" s="121"/>
      <c r="AD1053" s="72"/>
      <c r="AE1053" s="72"/>
      <c r="AF1053" s="72"/>
      <c r="AG1053" s="72"/>
      <c r="AH1053" s="72"/>
      <c r="AI1053" s="72"/>
      <c r="AJ1053" s="91"/>
      <c r="AK1053" s="74"/>
      <c r="AL1053" s="74"/>
      <c r="AM1053" s="74"/>
      <c r="AN1053" s="74"/>
      <c r="AO1053" s="92"/>
      <c r="AP1053" s="92"/>
      <c r="AQ1053" s="92"/>
      <c r="AR1053" s="92"/>
      <c r="AS1053" s="92"/>
      <c r="AT1053" s="92"/>
      <c r="AU1053" s="92"/>
      <c r="AV1053" s="92"/>
      <c r="AW1053" s="92"/>
      <c r="AX1053" s="92"/>
      <c r="BE1053" s="120"/>
      <c r="BF1053" s="120"/>
      <c r="BG1053" s="120"/>
      <c r="BH1053" s="120"/>
      <c r="BI1053" s="120"/>
      <c r="BJ1053" s="120"/>
      <c r="BK1053" s="120"/>
      <c r="BL1053" s="120"/>
      <c r="BM1053" s="120"/>
      <c r="BN1053" s="120"/>
      <c r="BO1053" s="122"/>
      <c r="BP1053" s="123"/>
      <c r="BQ1053" s="120"/>
      <c r="BR1053" s="120"/>
      <c r="BS1053" s="120"/>
      <c r="BT1053" s="120"/>
      <c r="BV1053" s="120"/>
      <c r="BW1053" s="120"/>
      <c r="BY1053" s="81"/>
      <c r="BZ1053" s="81"/>
      <c r="CA1053" s="81"/>
      <c r="CB1053" s="81"/>
      <c r="CC1053" s="81"/>
      <c r="CD1053" s="81"/>
      <c r="CE1053" s="81"/>
      <c r="CF1053" s="81"/>
      <c r="CG1053" s="81"/>
    </row>
    <row r="1054" customFormat="false" ht="15" hidden="false" customHeight="false" outlineLevel="0" collapsed="false">
      <c r="A1054" s="7"/>
      <c r="B1054" s="66"/>
      <c r="C1054" s="8"/>
      <c r="D1054" s="7"/>
      <c r="E1054" s="4"/>
      <c r="F1054" s="7"/>
      <c r="G1054" s="117"/>
      <c r="H1054" s="117"/>
      <c r="I1054" s="88"/>
      <c r="J1054" s="118"/>
      <c r="K1054" s="88"/>
      <c r="L1054" s="88"/>
      <c r="M1054" s="88"/>
      <c r="N1054" s="88"/>
      <c r="O1054" s="88"/>
      <c r="P1054" s="88"/>
      <c r="Q1054" s="88"/>
      <c r="R1054" s="88"/>
      <c r="S1054" s="34"/>
      <c r="T1054" s="119"/>
      <c r="U1054" s="120"/>
      <c r="V1054" s="74"/>
      <c r="W1054" s="74"/>
      <c r="X1054" s="74"/>
      <c r="Y1054" s="74"/>
      <c r="Z1054" s="74"/>
      <c r="AA1054" s="74"/>
      <c r="AB1054" s="74"/>
      <c r="AC1054" s="121"/>
      <c r="AD1054" s="72"/>
      <c r="AE1054" s="72"/>
      <c r="AF1054" s="72"/>
      <c r="AG1054" s="72"/>
      <c r="AH1054" s="72"/>
      <c r="AI1054" s="72"/>
      <c r="AJ1054" s="91"/>
      <c r="AK1054" s="74"/>
      <c r="AL1054" s="74"/>
      <c r="AM1054" s="74"/>
      <c r="AN1054" s="74"/>
      <c r="AO1054" s="92"/>
      <c r="AP1054" s="92"/>
      <c r="AQ1054" s="92"/>
      <c r="AR1054" s="92"/>
      <c r="AS1054" s="92"/>
      <c r="AT1054" s="92"/>
      <c r="AU1054" s="92"/>
      <c r="AV1054" s="92"/>
      <c r="AW1054" s="92"/>
      <c r="AX1054" s="92"/>
      <c r="BE1054" s="120"/>
      <c r="BF1054" s="120"/>
      <c r="BG1054" s="120"/>
      <c r="BH1054" s="120"/>
      <c r="BI1054" s="120"/>
      <c r="BJ1054" s="120"/>
      <c r="BK1054" s="120"/>
      <c r="BL1054" s="120"/>
      <c r="BM1054" s="120"/>
      <c r="BN1054" s="120"/>
      <c r="BO1054" s="122"/>
      <c r="BP1054" s="123"/>
      <c r="BQ1054" s="120"/>
      <c r="BR1054" s="120"/>
      <c r="BS1054" s="120"/>
      <c r="BT1054" s="120"/>
      <c r="BV1054" s="120"/>
      <c r="BW1054" s="120"/>
      <c r="BY1054" s="81"/>
      <c r="BZ1054" s="81"/>
      <c r="CA1054" s="81"/>
      <c r="CB1054" s="81"/>
      <c r="CC1054" s="81"/>
      <c r="CD1054" s="81"/>
      <c r="CE1054" s="81"/>
      <c r="CF1054" s="81"/>
      <c r="CG1054" s="81"/>
    </row>
    <row r="1055" customFormat="false" ht="15" hidden="false" customHeight="false" outlineLevel="0" collapsed="false">
      <c r="A1055" s="7"/>
      <c r="B1055" s="66"/>
      <c r="C1055" s="8"/>
      <c r="D1055" s="7"/>
      <c r="E1055" s="4"/>
      <c r="F1055" s="7"/>
      <c r="G1055" s="117"/>
      <c r="H1055" s="117"/>
      <c r="I1055" s="88"/>
      <c r="J1055" s="118"/>
      <c r="K1055" s="88"/>
      <c r="L1055" s="88"/>
      <c r="M1055" s="88"/>
      <c r="N1055" s="88"/>
      <c r="O1055" s="88"/>
      <c r="P1055" s="88"/>
      <c r="Q1055" s="88"/>
      <c r="R1055" s="88"/>
      <c r="S1055" s="34"/>
      <c r="T1055" s="119"/>
      <c r="U1055" s="120"/>
      <c r="V1055" s="74"/>
      <c r="W1055" s="74"/>
      <c r="X1055" s="74"/>
      <c r="Y1055" s="74"/>
      <c r="Z1055" s="74"/>
      <c r="AA1055" s="74"/>
      <c r="AB1055" s="74"/>
      <c r="AC1055" s="121"/>
      <c r="AD1055" s="72"/>
      <c r="AE1055" s="72"/>
      <c r="AF1055" s="72"/>
      <c r="AG1055" s="72"/>
      <c r="AH1055" s="72"/>
      <c r="AI1055" s="72"/>
      <c r="AJ1055" s="91"/>
      <c r="AK1055" s="74"/>
      <c r="AL1055" s="74"/>
      <c r="AM1055" s="74"/>
      <c r="AN1055" s="74"/>
      <c r="AO1055" s="92"/>
      <c r="AP1055" s="92"/>
      <c r="AQ1055" s="92"/>
      <c r="AR1055" s="92"/>
      <c r="AS1055" s="92"/>
      <c r="AT1055" s="92"/>
      <c r="AU1055" s="92"/>
      <c r="AV1055" s="92"/>
      <c r="AW1055" s="92"/>
      <c r="AX1055" s="92"/>
      <c r="BE1055" s="120"/>
      <c r="BF1055" s="120"/>
      <c r="BG1055" s="120"/>
      <c r="BH1055" s="120"/>
      <c r="BI1055" s="120"/>
      <c r="BJ1055" s="120"/>
      <c r="BK1055" s="120"/>
      <c r="BL1055" s="120"/>
      <c r="BM1055" s="120"/>
      <c r="BN1055" s="120"/>
      <c r="BO1055" s="122"/>
      <c r="BP1055" s="123"/>
      <c r="BQ1055" s="120"/>
      <c r="BR1055" s="120"/>
      <c r="BS1055" s="120"/>
      <c r="BT1055" s="120"/>
      <c r="BV1055" s="120"/>
      <c r="BW1055" s="120"/>
      <c r="BY1055" s="81"/>
      <c r="BZ1055" s="81"/>
      <c r="CA1055" s="81"/>
      <c r="CB1055" s="81"/>
      <c r="CC1055" s="81"/>
      <c r="CD1055" s="81"/>
      <c r="CE1055" s="81"/>
      <c r="CF1055" s="81"/>
      <c r="CG1055" s="81"/>
    </row>
    <row r="1056" customFormat="false" ht="15" hidden="false" customHeight="false" outlineLevel="0" collapsed="false">
      <c r="A1056" s="7"/>
      <c r="B1056" s="66"/>
      <c r="C1056" s="8"/>
      <c r="D1056" s="7"/>
      <c r="E1056" s="4"/>
      <c r="F1056" s="7"/>
      <c r="G1056" s="117"/>
      <c r="H1056" s="117"/>
      <c r="I1056" s="88"/>
      <c r="J1056" s="118"/>
      <c r="K1056" s="88"/>
      <c r="L1056" s="88"/>
      <c r="M1056" s="88"/>
      <c r="N1056" s="88"/>
      <c r="O1056" s="88"/>
      <c r="P1056" s="88"/>
      <c r="Q1056" s="88"/>
      <c r="R1056" s="88"/>
      <c r="S1056" s="34"/>
      <c r="T1056" s="119"/>
      <c r="U1056" s="120"/>
      <c r="V1056" s="74"/>
      <c r="W1056" s="74"/>
      <c r="X1056" s="74"/>
      <c r="Y1056" s="74"/>
      <c r="Z1056" s="74"/>
      <c r="AA1056" s="74"/>
      <c r="AB1056" s="74"/>
      <c r="AC1056" s="121"/>
      <c r="AD1056" s="72"/>
      <c r="AE1056" s="72"/>
      <c r="AF1056" s="72"/>
      <c r="AG1056" s="72"/>
      <c r="AH1056" s="72"/>
      <c r="AI1056" s="72"/>
      <c r="AJ1056" s="91"/>
      <c r="AK1056" s="74"/>
      <c r="AL1056" s="74"/>
      <c r="AM1056" s="74"/>
      <c r="AN1056" s="74"/>
      <c r="AO1056" s="92"/>
      <c r="AP1056" s="92"/>
      <c r="AQ1056" s="92"/>
      <c r="AR1056" s="92"/>
      <c r="AS1056" s="92"/>
      <c r="AT1056" s="92"/>
      <c r="AU1056" s="92"/>
      <c r="AV1056" s="92"/>
      <c r="AW1056" s="92"/>
      <c r="AX1056" s="92"/>
      <c r="BE1056" s="120"/>
      <c r="BF1056" s="120"/>
      <c r="BG1056" s="120"/>
      <c r="BH1056" s="120"/>
      <c r="BI1056" s="120"/>
      <c r="BJ1056" s="120"/>
      <c r="BK1056" s="120"/>
      <c r="BL1056" s="120"/>
      <c r="BM1056" s="120"/>
      <c r="BN1056" s="120"/>
      <c r="BO1056" s="122"/>
      <c r="BP1056" s="123"/>
      <c r="BQ1056" s="120"/>
      <c r="BR1056" s="120"/>
      <c r="BS1056" s="120"/>
      <c r="BT1056" s="120"/>
      <c r="BV1056" s="120"/>
      <c r="BW1056" s="120"/>
      <c r="BY1056" s="81"/>
      <c r="BZ1056" s="81"/>
      <c r="CA1056" s="81"/>
      <c r="CB1056" s="81"/>
      <c r="CC1056" s="81"/>
      <c r="CD1056" s="81"/>
      <c r="CE1056" s="81"/>
      <c r="CF1056" s="81"/>
      <c r="CG1056" s="81"/>
    </row>
    <row r="1057" customFormat="false" ht="15" hidden="false" customHeight="false" outlineLevel="0" collapsed="false">
      <c r="A1057" s="7"/>
      <c r="B1057" s="66"/>
      <c r="C1057" s="8"/>
      <c r="D1057" s="7"/>
      <c r="E1057" s="4"/>
      <c r="F1057" s="7"/>
      <c r="G1057" s="117"/>
      <c r="H1057" s="117"/>
      <c r="I1057" s="88"/>
      <c r="J1057" s="118"/>
      <c r="K1057" s="88"/>
      <c r="L1057" s="88"/>
      <c r="M1057" s="88"/>
      <c r="N1057" s="88"/>
      <c r="O1057" s="88"/>
      <c r="P1057" s="88"/>
      <c r="Q1057" s="88"/>
      <c r="R1057" s="88"/>
      <c r="S1057" s="34"/>
      <c r="T1057" s="119"/>
      <c r="U1057" s="120"/>
      <c r="V1057" s="74"/>
      <c r="W1057" s="74"/>
      <c r="X1057" s="74"/>
      <c r="Y1057" s="74"/>
      <c r="Z1057" s="74"/>
      <c r="AA1057" s="74"/>
      <c r="AB1057" s="74"/>
      <c r="AC1057" s="121"/>
      <c r="AD1057" s="72"/>
      <c r="AE1057" s="72"/>
      <c r="AF1057" s="72"/>
      <c r="AG1057" s="72"/>
      <c r="AH1057" s="72"/>
      <c r="AI1057" s="72"/>
      <c r="AJ1057" s="91"/>
      <c r="AK1057" s="74"/>
      <c r="AL1057" s="74"/>
      <c r="AM1057" s="74"/>
      <c r="AN1057" s="74"/>
      <c r="AO1057" s="92"/>
      <c r="AP1057" s="92"/>
      <c r="AQ1057" s="92"/>
      <c r="AR1057" s="92"/>
      <c r="AS1057" s="92"/>
      <c r="AT1057" s="92"/>
      <c r="AU1057" s="92"/>
      <c r="AV1057" s="92"/>
      <c r="AW1057" s="92"/>
      <c r="AX1057" s="92"/>
      <c r="BE1057" s="120"/>
      <c r="BF1057" s="120"/>
      <c r="BG1057" s="120"/>
      <c r="BH1057" s="120"/>
      <c r="BI1057" s="120"/>
      <c r="BJ1057" s="120"/>
      <c r="BK1057" s="120"/>
      <c r="BL1057" s="120"/>
      <c r="BM1057" s="120"/>
      <c r="BN1057" s="120"/>
      <c r="BO1057" s="122"/>
      <c r="BP1057" s="123"/>
      <c r="BQ1057" s="120"/>
      <c r="BR1057" s="120"/>
      <c r="BS1057" s="120"/>
      <c r="BT1057" s="120"/>
      <c r="BV1057" s="120"/>
      <c r="BW1057" s="120"/>
      <c r="BY1057" s="81"/>
      <c r="BZ1057" s="81"/>
      <c r="CA1057" s="81"/>
      <c r="CB1057" s="81"/>
      <c r="CC1057" s="81"/>
      <c r="CD1057" s="81"/>
      <c r="CE1057" s="81"/>
      <c r="CF1057" s="81"/>
      <c r="CG1057" s="81"/>
    </row>
    <row r="1058" customFormat="false" ht="15" hidden="false" customHeight="false" outlineLevel="0" collapsed="false">
      <c r="A1058" s="7"/>
      <c r="B1058" s="66"/>
      <c r="C1058" s="8"/>
      <c r="D1058" s="7"/>
      <c r="E1058" s="4"/>
      <c r="F1058" s="7"/>
      <c r="G1058" s="117"/>
      <c r="H1058" s="117"/>
      <c r="I1058" s="88"/>
      <c r="J1058" s="118"/>
      <c r="K1058" s="88"/>
      <c r="L1058" s="88"/>
      <c r="M1058" s="88"/>
      <c r="N1058" s="88"/>
      <c r="O1058" s="88"/>
      <c r="P1058" s="88"/>
      <c r="Q1058" s="88"/>
      <c r="R1058" s="88"/>
      <c r="S1058" s="34"/>
      <c r="T1058" s="119"/>
      <c r="U1058" s="120"/>
      <c r="V1058" s="74"/>
      <c r="W1058" s="74"/>
      <c r="X1058" s="74"/>
      <c r="Y1058" s="74"/>
      <c r="Z1058" s="74"/>
      <c r="AA1058" s="74"/>
      <c r="AB1058" s="74"/>
      <c r="AC1058" s="121"/>
      <c r="AD1058" s="72"/>
      <c r="AE1058" s="72"/>
      <c r="AF1058" s="72"/>
      <c r="AG1058" s="72"/>
      <c r="AH1058" s="72"/>
      <c r="AI1058" s="72"/>
      <c r="AJ1058" s="91"/>
      <c r="AK1058" s="74"/>
      <c r="AL1058" s="74"/>
      <c r="AM1058" s="74"/>
      <c r="AN1058" s="74"/>
      <c r="AO1058" s="92"/>
      <c r="AP1058" s="92"/>
      <c r="AQ1058" s="92"/>
      <c r="AR1058" s="92"/>
      <c r="AS1058" s="92"/>
      <c r="AT1058" s="92"/>
      <c r="AU1058" s="92"/>
      <c r="AV1058" s="92"/>
      <c r="AW1058" s="92"/>
      <c r="AX1058" s="92"/>
      <c r="BE1058" s="120"/>
      <c r="BF1058" s="120"/>
      <c r="BG1058" s="120"/>
      <c r="BH1058" s="120"/>
      <c r="BI1058" s="120"/>
      <c r="BJ1058" s="120"/>
      <c r="BK1058" s="120"/>
      <c r="BL1058" s="120"/>
      <c r="BM1058" s="120"/>
      <c r="BN1058" s="120"/>
      <c r="BO1058" s="122"/>
      <c r="BP1058" s="123"/>
      <c r="BQ1058" s="120"/>
      <c r="BR1058" s="120"/>
      <c r="BS1058" s="120"/>
      <c r="BT1058" s="120"/>
      <c r="BV1058" s="120"/>
      <c r="BW1058" s="120"/>
      <c r="BY1058" s="81"/>
      <c r="BZ1058" s="81"/>
      <c r="CA1058" s="81"/>
      <c r="CB1058" s="81"/>
      <c r="CC1058" s="81"/>
      <c r="CD1058" s="81"/>
      <c r="CE1058" s="81"/>
      <c r="CF1058" s="81"/>
      <c r="CG1058" s="81"/>
    </row>
    <row r="1059" customFormat="false" ht="15" hidden="false" customHeight="false" outlineLevel="0" collapsed="false">
      <c r="A1059" s="7"/>
      <c r="B1059" s="66"/>
      <c r="C1059" s="8"/>
      <c r="D1059" s="7"/>
      <c r="E1059" s="4"/>
      <c r="F1059" s="7"/>
      <c r="G1059" s="117"/>
      <c r="H1059" s="117"/>
      <c r="I1059" s="88"/>
      <c r="J1059" s="118"/>
      <c r="K1059" s="88"/>
      <c r="L1059" s="88"/>
      <c r="M1059" s="88"/>
      <c r="N1059" s="88"/>
      <c r="O1059" s="88"/>
      <c r="P1059" s="88"/>
      <c r="Q1059" s="88"/>
      <c r="R1059" s="88"/>
      <c r="S1059" s="34"/>
      <c r="T1059" s="119"/>
      <c r="U1059" s="120"/>
      <c r="V1059" s="74"/>
      <c r="W1059" s="74"/>
      <c r="X1059" s="74"/>
      <c r="Y1059" s="74"/>
      <c r="Z1059" s="74"/>
      <c r="AA1059" s="74"/>
      <c r="AB1059" s="74"/>
      <c r="AC1059" s="121"/>
      <c r="AD1059" s="72"/>
      <c r="AE1059" s="72"/>
      <c r="AF1059" s="72"/>
      <c r="AG1059" s="72"/>
      <c r="AH1059" s="72"/>
      <c r="AI1059" s="72"/>
      <c r="AJ1059" s="91"/>
      <c r="AK1059" s="74"/>
      <c r="AL1059" s="74"/>
      <c r="AM1059" s="74"/>
      <c r="AN1059" s="74"/>
      <c r="AO1059" s="92"/>
      <c r="AP1059" s="92"/>
      <c r="AQ1059" s="92"/>
      <c r="AR1059" s="92"/>
      <c r="AS1059" s="92"/>
      <c r="AT1059" s="92"/>
      <c r="AU1059" s="92"/>
      <c r="AV1059" s="92"/>
      <c r="AW1059" s="92"/>
      <c r="AX1059" s="92"/>
      <c r="BE1059" s="120"/>
      <c r="BF1059" s="120"/>
      <c r="BG1059" s="120"/>
      <c r="BH1059" s="120"/>
      <c r="BI1059" s="120"/>
      <c r="BJ1059" s="120"/>
      <c r="BK1059" s="120"/>
      <c r="BL1059" s="120"/>
      <c r="BM1059" s="120"/>
      <c r="BN1059" s="120"/>
      <c r="BO1059" s="122"/>
      <c r="BP1059" s="123"/>
      <c r="BQ1059" s="120"/>
      <c r="BR1059" s="120"/>
      <c r="BS1059" s="120"/>
      <c r="BT1059" s="120"/>
      <c r="BV1059" s="120"/>
      <c r="BW1059" s="120"/>
      <c r="BY1059" s="81"/>
      <c r="BZ1059" s="81"/>
      <c r="CA1059" s="81"/>
      <c r="CB1059" s="81"/>
      <c r="CC1059" s="81"/>
      <c r="CD1059" s="81"/>
      <c r="CE1059" s="81"/>
      <c r="CF1059" s="81"/>
      <c r="CG1059" s="81"/>
    </row>
    <row r="1060" customFormat="false" ht="15" hidden="false" customHeight="false" outlineLevel="0" collapsed="false">
      <c r="A1060" s="7"/>
      <c r="B1060" s="66"/>
      <c r="C1060" s="8"/>
      <c r="D1060" s="7"/>
      <c r="E1060" s="4"/>
      <c r="F1060" s="7"/>
      <c r="G1060" s="117"/>
      <c r="H1060" s="117"/>
      <c r="I1060" s="88"/>
      <c r="J1060" s="118"/>
      <c r="K1060" s="88"/>
      <c r="L1060" s="88"/>
      <c r="M1060" s="88"/>
      <c r="N1060" s="88"/>
      <c r="O1060" s="88"/>
      <c r="P1060" s="88"/>
      <c r="Q1060" s="88"/>
      <c r="R1060" s="88"/>
      <c r="S1060" s="34"/>
      <c r="T1060" s="119"/>
      <c r="U1060" s="120"/>
      <c r="V1060" s="74"/>
      <c r="W1060" s="74"/>
      <c r="X1060" s="74"/>
      <c r="Y1060" s="74"/>
      <c r="Z1060" s="74"/>
      <c r="AA1060" s="74"/>
      <c r="AB1060" s="74"/>
      <c r="AC1060" s="121"/>
      <c r="AD1060" s="72"/>
      <c r="AE1060" s="72"/>
      <c r="AF1060" s="72"/>
      <c r="AG1060" s="72"/>
      <c r="AH1060" s="72"/>
      <c r="AI1060" s="72"/>
      <c r="AJ1060" s="91"/>
      <c r="AK1060" s="74"/>
      <c r="AL1060" s="74"/>
      <c r="AM1060" s="74"/>
      <c r="AN1060" s="74"/>
      <c r="AO1060" s="92"/>
      <c r="AP1060" s="92"/>
      <c r="AQ1060" s="92"/>
      <c r="AR1060" s="92"/>
      <c r="AS1060" s="92"/>
      <c r="AT1060" s="92"/>
      <c r="AU1060" s="92"/>
      <c r="AV1060" s="92"/>
      <c r="AW1060" s="92"/>
      <c r="AX1060" s="92"/>
      <c r="BE1060" s="120"/>
      <c r="BF1060" s="120"/>
      <c r="BG1060" s="120"/>
      <c r="BH1060" s="120"/>
      <c r="BI1060" s="120"/>
      <c r="BJ1060" s="120"/>
      <c r="BK1060" s="120"/>
      <c r="BL1060" s="120"/>
      <c r="BM1060" s="120"/>
      <c r="BN1060" s="120"/>
      <c r="BO1060" s="122"/>
      <c r="BP1060" s="123"/>
      <c r="BQ1060" s="120"/>
      <c r="BR1060" s="120"/>
      <c r="BS1060" s="120"/>
      <c r="BT1060" s="120"/>
      <c r="BV1060" s="120"/>
      <c r="BW1060" s="120"/>
      <c r="BY1060" s="81"/>
      <c r="BZ1060" s="81"/>
      <c r="CA1060" s="81"/>
      <c r="CB1060" s="81"/>
      <c r="CC1060" s="81"/>
      <c r="CD1060" s="81"/>
      <c r="CE1060" s="81"/>
      <c r="CF1060" s="81"/>
      <c r="CG1060" s="81"/>
    </row>
    <row r="1061" customFormat="false" ht="15" hidden="false" customHeight="false" outlineLevel="0" collapsed="false">
      <c r="A1061" s="7"/>
      <c r="B1061" s="66"/>
      <c r="C1061" s="8"/>
      <c r="D1061" s="7"/>
      <c r="E1061" s="4"/>
      <c r="F1061" s="7"/>
      <c r="G1061" s="117"/>
      <c r="H1061" s="117"/>
      <c r="I1061" s="88"/>
      <c r="J1061" s="118"/>
      <c r="K1061" s="88"/>
      <c r="L1061" s="88"/>
      <c r="M1061" s="88"/>
      <c r="N1061" s="88"/>
      <c r="O1061" s="88"/>
      <c r="P1061" s="88"/>
      <c r="Q1061" s="88"/>
      <c r="R1061" s="88"/>
      <c r="S1061" s="34"/>
      <c r="T1061" s="119"/>
      <c r="U1061" s="120"/>
      <c r="V1061" s="74"/>
      <c r="W1061" s="74"/>
      <c r="X1061" s="74"/>
      <c r="Y1061" s="74"/>
      <c r="Z1061" s="74"/>
      <c r="AA1061" s="74"/>
      <c r="AB1061" s="74"/>
      <c r="AC1061" s="121"/>
      <c r="AD1061" s="72"/>
      <c r="AE1061" s="72"/>
      <c r="AF1061" s="72"/>
      <c r="AG1061" s="72"/>
      <c r="AH1061" s="72"/>
      <c r="AI1061" s="72"/>
      <c r="AJ1061" s="91"/>
      <c r="AK1061" s="74"/>
      <c r="AL1061" s="74"/>
      <c r="AM1061" s="74"/>
      <c r="AN1061" s="74"/>
      <c r="AO1061" s="92"/>
      <c r="AP1061" s="92"/>
      <c r="AQ1061" s="92"/>
      <c r="AR1061" s="92"/>
      <c r="AS1061" s="92"/>
      <c r="AT1061" s="92"/>
      <c r="AU1061" s="92"/>
      <c r="AV1061" s="92"/>
      <c r="AW1061" s="92"/>
      <c r="AX1061" s="92"/>
      <c r="BE1061" s="120"/>
      <c r="BF1061" s="120"/>
      <c r="BG1061" s="120"/>
      <c r="BH1061" s="120"/>
      <c r="BI1061" s="120"/>
      <c r="BJ1061" s="120"/>
      <c r="BK1061" s="120"/>
      <c r="BL1061" s="120"/>
      <c r="BM1061" s="120"/>
      <c r="BN1061" s="120"/>
      <c r="BO1061" s="122"/>
      <c r="BP1061" s="123"/>
      <c r="BQ1061" s="120"/>
      <c r="BR1061" s="120"/>
      <c r="BS1061" s="120"/>
      <c r="BT1061" s="120"/>
      <c r="BV1061" s="120"/>
      <c r="BW1061" s="120"/>
      <c r="BY1061" s="81"/>
      <c r="BZ1061" s="81"/>
      <c r="CA1061" s="81"/>
      <c r="CB1061" s="81"/>
      <c r="CC1061" s="81"/>
      <c r="CD1061" s="81"/>
      <c r="CE1061" s="81"/>
      <c r="CF1061" s="81"/>
      <c r="CG1061" s="81"/>
    </row>
    <row r="1062" customFormat="false" ht="15" hidden="false" customHeight="false" outlineLevel="0" collapsed="false">
      <c r="A1062" s="7"/>
      <c r="B1062" s="66"/>
      <c r="C1062" s="8"/>
      <c r="D1062" s="7"/>
      <c r="E1062" s="4"/>
      <c r="F1062" s="7"/>
      <c r="G1062" s="117"/>
      <c r="H1062" s="117"/>
      <c r="I1062" s="88"/>
      <c r="J1062" s="118"/>
      <c r="K1062" s="88"/>
      <c r="L1062" s="88"/>
      <c r="M1062" s="88"/>
      <c r="N1062" s="88"/>
      <c r="O1062" s="88"/>
      <c r="P1062" s="88"/>
      <c r="Q1062" s="88"/>
      <c r="R1062" s="88"/>
      <c r="S1062" s="34"/>
      <c r="T1062" s="119"/>
      <c r="U1062" s="120"/>
      <c r="V1062" s="74"/>
      <c r="W1062" s="74"/>
      <c r="X1062" s="74"/>
      <c r="Y1062" s="74"/>
      <c r="Z1062" s="74"/>
      <c r="AA1062" s="74"/>
      <c r="AB1062" s="74"/>
      <c r="AC1062" s="121"/>
      <c r="AD1062" s="72"/>
      <c r="AE1062" s="72"/>
      <c r="AF1062" s="72"/>
      <c r="AG1062" s="72"/>
      <c r="AH1062" s="72"/>
      <c r="AI1062" s="72"/>
      <c r="AJ1062" s="91"/>
      <c r="AK1062" s="74"/>
      <c r="AL1062" s="74"/>
      <c r="AM1062" s="74"/>
      <c r="AN1062" s="74"/>
      <c r="AO1062" s="92"/>
      <c r="AP1062" s="92"/>
      <c r="AQ1062" s="92"/>
      <c r="AR1062" s="92"/>
      <c r="AS1062" s="92"/>
      <c r="AT1062" s="92"/>
      <c r="AU1062" s="92"/>
      <c r="AV1062" s="92"/>
      <c r="AW1062" s="92"/>
      <c r="AX1062" s="92"/>
      <c r="BE1062" s="120"/>
      <c r="BF1062" s="120"/>
      <c r="BG1062" s="120"/>
      <c r="BH1062" s="120"/>
      <c r="BI1062" s="120"/>
      <c r="BJ1062" s="120"/>
      <c r="BK1062" s="120"/>
      <c r="BL1062" s="120"/>
      <c r="BM1062" s="120"/>
      <c r="BN1062" s="120"/>
      <c r="BO1062" s="122"/>
      <c r="BP1062" s="123"/>
      <c r="BQ1062" s="120"/>
      <c r="BR1062" s="120"/>
      <c r="BS1062" s="120"/>
      <c r="BT1062" s="120"/>
      <c r="BV1062" s="120"/>
      <c r="BW1062" s="120"/>
      <c r="BY1062" s="81"/>
      <c r="BZ1062" s="81"/>
      <c r="CA1062" s="81"/>
      <c r="CB1062" s="81"/>
      <c r="CC1062" s="81"/>
      <c r="CD1062" s="81"/>
      <c r="CE1062" s="81"/>
      <c r="CF1062" s="81"/>
      <c r="CG1062" s="81"/>
    </row>
    <row r="1063" customFormat="false" ht="15" hidden="false" customHeight="false" outlineLevel="0" collapsed="false">
      <c r="A1063" s="7"/>
      <c r="B1063" s="66"/>
      <c r="C1063" s="8"/>
      <c r="D1063" s="7"/>
      <c r="E1063" s="4"/>
      <c r="F1063" s="7"/>
      <c r="G1063" s="117"/>
      <c r="H1063" s="117"/>
      <c r="I1063" s="88"/>
      <c r="J1063" s="118"/>
      <c r="K1063" s="88"/>
      <c r="L1063" s="88"/>
      <c r="M1063" s="88"/>
      <c r="N1063" s="88"/>
      <c r="O1063" s="88"/>
      <c r="P1063" s="88"/>
      <c r="Q1063" s="88"/>
      <c r="R1063" s="88"/>
      <c r="S1063" s="34"/>
      <c r="T1063" s="119"/>
      <c r="U1063" s="120"/>
      <c r="V1063" s="74"/>
      <c r="W1063" s="74"/>
      <c r="X1063" s="74"/>
      <c r="Y1063" s="74"/>
      <c r="Z1063" s="74"/>
      <c r="AA1063" s="74"/>
      <c r="AB1063" s="74"/>
      <c r="AC1063" s="121"/>
      <c r="AD1063" s="72"/>
      <c r="AE1063" s="72"/>
      <c r="AF1063" s="72"/>
      <c r="AG1063" s="72"/>
      <c r="AH1063" s="72"/>
      <c r="AI1063" s="72"/>
      <c r="AJ1063" s="91"/>
      <c r="AK1063" s="74"/>
      <c r="AL1063" s="74"/>
      <c r="AM1063" s="74"/>
      <c r="AN1063" s="74"/>
      <c r="AO1063" s="92"/>
      <c r="AP1063" s="92"/>
      <c r="AQ1063" s="92"/>
      <c r="AR1063" s="92"/>
      <c r="AS1063" s="92"/>
      <c r="AT1063" s="92"/>
      <c r="AU1063" s="92"/>
      <c r="AV1063" s="92"/>
      <c r="AW1063" s="92"/>
      <c r="AX1063" s="92"/>
      <c r="BE1063" s="120"/>
      <c r="BF1063" s="120"/>
      <c r="BG1063" s="120"/>
      <c r="BH1063" s="120"/>
      <c r="BI1063" s="120"/>
      <c r="BJ1063" s="120"/>
      <c r="BK1063" s="120"/>
      <c r="BL1063" s="120"/>
      <c r="BM1063" s="120"/>
      <c r="BN1063" s="120"/>
      <c r="BO1063" s="122"/>
      <c r="BP1063" s="123"/>
      <c r="BQ1063" s="120"/>
      <c r="BR1063" s="120"/>
      <c r="BS1063" s="120"/>
      <c r="BT1063" s="120"/>
      <c r="BV1063" s="120"/>
      <c r="BW1063" s="120"/>
      <c r="BY1063" s="81"/>
      <c r="BZ1063" s="81"/>
      <c r="CA1063" s="81"/>
      <c r="CB1063" s="81"/>
      <c r="CC1063" s="81"/>
      <c r="CD1063" s="81"/>
      <c r="CE1063" s="81"/>
      <c r="CF1063" s="81"/>
      <c r="CG1063" s="81"/>
    </row>
    <row r="1064" customFormat="false" ht="15" hidden="false" customHeight="false" outlineLevel="0" collapsed="false">
      <c r="A1064" s="7"/>
      <c r="B1064" s="66"/>
      <c r="C1064" s="8"/>
      <c r="D1064" s="7"/>
      <c r="E1064" s="4"/>
      <c r="F1064" s="7"/>
      <c r="G1064" s="117"/>
      <c r="H1064" s="117"/>
      <c r="I1064" s="88"/>
      <c r="J1064" s="118"/>
      <c r="K1064" s="88"/>
      <c r="L1064" s="88"/>
      <c r="M1064" s="88"/>
      <c r="N1064" s="88"/>
      <c r="O1064" s="88"/>
      <c r="P1064" s="88"/>
      <c r="Q1064" s="88"/>
      <c r="R1064" s="88"/>
      <c r="S1064" s="34"/>
      <c r="T1064" s="119"/>
      <c r="U1064" s="120"/>
      <c r="V1064" s="74"/>
      <c r="W1064" s="74"/>
      <c r="X1064" s="74"/>
      <c r="Y1064" s="74"/>
      <c r="Z1064" s="74"/>
      <c r="AA1064" s="74"/>
      <c r="AB1064" s="74"/>
      <c r="AC1064" s="121"/>
      <c r="AD1064" s="72"/>
      <c r="AE1064" s="72"/>
      <c r="AF1064" s="72"/>
      <c r="AG1064" s="72"/>
      <c r="AH1064" s="72"/>
      <c r="AI1064" s="72"/>
      <c r="AJ1064" s="91"/>
      <c r="AK1064" s="74"/>
      <c r="AL1064" s="74"/>
      <c r="AM1064" s="74"/>
      <c r="AN1064" s="74"/>
      <c r="AO1064" s="92"/>
      <c r="AP1064" s="92"/>
      <c r="AQ1064" s="92"/>
      <c r="AR1064" s="92"/>
      <c r="AS1064" s="92"/>
      <c r="AT1064" s="92"/>
      <c r="AU1064" s="92"/>
      <c r="AV1064" s="92"/>
      <c r="AW1064" s="92"/>
      <c r="AX1064" s="92"/>
      <c r="BE1064" s="120"/>
      <c r="BF1064" s="120"/>
      <c r="BG1064" s="120"/>
      <c r="BH1064" s="120"/>
      <c r="BI1064" s="120"/>
      <c r="BJ1064" s="120"/>
      <c r="BK1064" s="120"/>
      <c r="BL1064" s="120"/>
      <c r="BM1064" s="120"/>
      <c r="BN1064" s="120"/>
      <c r="BO1064" s="122"/>
      <c r="BP1064" s="123"/>
      <c r="BQ1064" s="120"/>
      <c r="BR1064" s="120"/>
      <c r="BS1064" s="120"/>
      <c r="BT1064" s="120"/>
      <c r="BV1064" s="120"/>
      <c r="BW1064" s="120"/>
      <c r="BY1064" s="81"/>
      <c r="BZ1064" s="81"/>
      <c r="CA1064" s="81"/>
      <c r="CB1064" s="81"/>
      <c r="CC1064" s="81"/>
      <c r="CD1064" s="81"/>
      <c r="CE1064" s="81"/>
      <c r="CF1064" s="81"/>
      <c r="CG1064" s="81"/>
    </row>
    <row r="1065" customFormat="false" ht="15" hidden="false" customHeight="false" outlineLevel="0" collapsed="false">
      <c r="A1065" s="7"/>
      <c r="B1065" s="66"/>
      <c r="C1065" s="8"/>
      <c r="D1065" s="7"/>
      <c r="E1065" s="4"/>
      <c r="F1065" s="7"/>
      <c r="G1065" s="117"/>
      <c r="H1065" s="117"/>
      <c r="I1065" s="88"/>
      <c r="J1065" s="118"/>
      <c r="K1065" s="88"/>
      <c r="L1065" s="88"/>
      <c r="M1065" s="88"/>
      <c r="N1065" s="88"/>
      <c r="O1065" s="88"/>
      <c r="P1065" s="88"/>
      <c r="Q1065" s="88"/>
      <c r="R1065" s="88"/>
      <c r="S1065" s="34"/>
      <c r="T1065" s="119"/>
      <c r="U1065" s="120"/>
      <c r="V1065" s="74"/>
      <c r="W1065" s="74"/>
      <c r="X1065" s="74"/>
      <c r="Y1065" s="74"/>
      <c r="Z1065" s="74"/>
      <c r="AA1065" s="74"/>
      <c r="AB1065" s="74"/>
      <c r="AC1065" s="121"/>
      <c r="AD1065" s="72"/>
      <c r="AE1065" s="72"/>
      <c r="AF1065" s="72"/>
      <c r="AG1065" s="72"/>
      <c r="AH1065" s="72"/>
      <c r="AI1065" s="72"/>
      <c r="AJ1065" s="91"/>
      <c r="AK1065" s="74"/>
      <c r="AL1065" s="74"/>
      <c r="AM1065" s="74"/>
      <c r="AN1065" s="74"/>
      <c r="AO1065" s="92"/>
      <c r="AP1065" s="92"/>
      <c r="AQ1065" s="92"/>
      <c r="AR1065" s="92"/>
      <c r="AS1065" s="92"/>
      <c r="AT1065" s="92"/>
      <c r="AU1065" s="92"/>
      <c r="AV1065" s="92"/>
      <c r="AW1065" s="92"/>
      <c r="AX1065" s="92"/>
      <c r="BE1065" s="120"/>
      <c r="BF1065" s="120"/>
      <c r="BG1065" s="120"/>
      <c r="BH1065" s="120"/>
      <c r="BI1065" s="120"/>
      <c r="BJ1065" s="120"/>
      <c r="BK1065" s="120"/>
      <c r="BL1065" s="120"/>
      <c r="BM1065" s="120"/>
      <c r="BN1065" s="120"/>
      <c r="BO1065" s="122"/>
      <c r="BP1065" s="123"/>
      <c r="BQ1065" s="120"/>
      <c r="BR1065" s="120"/>
      <c r="BS1065" s="120"/>
      <c r="BT1065" s="120"/>
      <c r="BV1065" s="120"/>
      <c r="BW1065" s="120"/>
      <c r="BY1065" s="81"/>
      <c r="BZ1065" s="81"/>
      <c r="CA1065" s="81"/>
      <c r="CB1065" s="81"/>
      <c r="CC1065" s="81"/>
      <c r="CD1065" s="81"/>
      <c r="CE1065" s="81"/>
      <c r="CF1065" s="81"/>
      <c r="CG1065" s="81"/>
    </row>
    <row r="1066" customFormat="false" ht="15" hidden="false" customHeight="false" outlineLevel="0" collapsed="false">
      <c r="A1066" s="7"/>
      <c r="B1066" s="66"/>
      <c r="C1066" s="8"/>
      <c r="D1066" s="7"/>
      <c r="E1066" s="4"/>
      <c r="F1066" s="7"/>
      <c r="G1066" s="117"/>
      <c r="H1066" s="117"/>
      <c r="I1066" s="88"/>
      <c r="J1066" s="118"/>
      <c r="K1066" s="88"/>
      <c r="L1066" s="88"/>
      <c r="M1066" s="88"/>
      <c r="N1066" s="88"/>
      <c r="O1066" s="88"/>
      <c r="P1066" s="88"/>
      <c r="Q1066" s="88"/>
      <c r="R1066" s="88"/>
      <c r="S1066" s="34"/>
      <c r="T1066" s="119"/>
      <c r="U1066" s="120"/>
      <c r="V1066" s="74"/>
      <c r="W1066" s="74"/>
      <c r="X1066" s="74"/>
      <c r="Y1066" s="74"/>
      <c r="Z1066" s="74"/>
      <c r="AA1066" s="74"/>
      <c r="AB1066" s="74"/>
      <c r="AC1066" s="121"/>
      <c r="AD1066" s="72"/>
      <c r="AE1066" s="72"/>
      <c r="AF1066" s="72"/>
      <c r="AG1066" s="72"/>
      <c r="AH1066" s="72"/>
      <c r="AI1066" s="72"/>
      <c r="AJ1066" s="91"/>
      <c r="AK1066" s="74"/>
      <c r="AL1066" s="74"/>
      <c r="AM1066" s="74"/>
      <c r="AN1066" s="74"/>
      <c r="AO1066" s="92"/>
      <c r="AP1066" s="92"/>
      <c r="AQ1066" s="92"/>
      <c r="AR1066" s="92"/>
      <c r="AS1066" s="92"/>
      <c r="AT1066" s="92"/>
      <c r="AU1066" s="92"/>
      <c r="AV1066" s="92"/>
      <c r="AW1066" s="92"/>
      <c r="AX1066" s="92"/>
      <c r="BE1066" s="120"/>
      <c r="BF1066" s="120"/>
      <c r="BG1066" s="120"/>
      <c r="BH1066" s="120"/>
      <c r="BI1066" s="120"/>
      <c r="BJ1066" s="120"/>
      <c r="BK1066" s="120"/>
      <c r="BL1066" s="120"/>
      <c r="BM1066" s="120"/>
      <c r="BN1066" s="120"/>
      <c r="BO1066" s="122"/>
      <c r="BP1066" s="123"/>
      <c r="BQ1066" s="120"/>
      <c r="BR1066" s="120"/>
      <c r="BS1066" s="120"/>
      <c r="BT1066" s="120"/>
      <c r="BV1066" s="120"/>
      <c r="BW1066" s="120"/>
      <c r="BY1066" s="81"/>
      <c r="BZ1066" s="81"/>
      <c r="CA1066" s="81"/>
      <c r="CB1066" s="81"/>
      <c r="CC1066" s="81"/>
      <c r="CD1066" s="81"/>
      <c r="CE1066" s="81"/>
      <c r="CF1066" s="81"/>
      <c r="CG1066" s="81"/>
    </row>
    <row r="1067" customFormat="false" ht="15" hidden="false" customHeight="false" outlineLevel="0" collapsed="false">
      <c r="A1067" s="7"/>
      <c r="B1067" s="66"/>
      <c r="C1067" s="8"/>
      <c r="D1067" s="7"/>
      <c r="E1067" s="4"/>
      <c r="F1067" s="7"/>
      <c r="G1067" s="117"/>
      <c r="H1067" s="117"/>
      <c r="I1067" s="88"/>
      <c r="J1067" s="118"/>
      <c r="K1067" s="88"/>
      <c r="L1067" s="88"/>
      <c r="M1067" s="88"/>
      <c r="N1067" s="88"/>
      <c r="O1067" s="88"/>
      <c r="P1067" s="88"/>
      <c r="Q1067" s="88"/>
      <c r="R1067" s="88"/>
      <c r="S1067" s="34"/>
      <c r="T1067" s="119"/>
      <c r="U1067" s="120"/>
      <c r="V1067" s="74"/>
      <c r="W1067" s="74"/>
      <c r="X1067" s="74"/>
      <c r="Y1067" s="74"/>
      <c r="Z1067" s="74"/>
      <c r="AA1067" s="74"/>
      <c r="AB1067" s="74"/>
      <c r="AC1067" s="121"/>
      <c r="AD1067" s="72"/>
      <c r="AE1067" s="72"/>
      <c r="AF1067" s="72"/>
      <c r="AG1067" s="72"/>
      <c r="AH1067" s="72"/>
      <c r="AI1067" s="72"/>
      <c r="AJ1067" s="91"/>
      <c r="AK1067" s="74"/>
      <c r="AL1067" s="74"/>
      <c r="AM1067" s="74"/>
      <c r="AN1067" s="74"/>
      <c r="AO1067" s="92"/>
      <c r="AP1067" s="92"/>
      <c r="AQ1067" s="92"/>
      <c r="AR1067" s="92"/>
      <c r="AS1067" s="92"/>
      <c r="AT1067" s="92"/>
      <c r="AU1067" s="92"/>
      <c r="AV1067" s="92"/>
      <c r="AW1067" s="92"/>
      <c r="AX1067" s="92"/>
      <c r="BE1067" s="120"/>
      <c r="BF1067" s="120"/>
      <c r="BG1067" s="120"/>
      <c r="BH1067" s="120"/>
      <c r="BI1067" s="120"/>
      <c r="BJ1067" s="120"/>
      <c r="BK1067" s="120"/>
      <c r="BL1067" s="120"/>
      <c r="BM1067" s="120"/>
      <c r="BN1067" s="120"/>
      <c r="BO1067" s="122"/>
      <c r="BP1067" s="123"/>
      <c r="BQ1067" s="120"/>
      <c r="BR1067" s="120"/>
      <c r="BS1067" s="120"/>
      <c r="BT1067" s="120"/>
      <c r="BV1067" s="120"/>
      <c r="BW1067" s="120"/>
      <c r="BY1067" s="81"/>
      <c r="BZ1067" s="81"/>
      <c r="CA1067" s="81"/>
      <c r="CB1067" s="81"/>
      <c r="CC1067" s="81"/>
      <c r="CD1067" s="81"/>
      <c r="CE1067" s="81"/>
      <c r="CF1067" s="81"/>
      <c r="CG1067" s="81"/>
    </row>
    <row r="1068" customFormat="false" ht="15" hidden="false" customHeight="false" outlineLevel="0" collapsed="false">
      <c r="A1068" s="7"/>
      <c r="B1068" s="66"/>
      <c r="C1068" s="8"/>
      <c r="D1068" s="7"/>
      <c r="E1068" s="4"/>
      <c r="F1068" s="7"/>
      <c r="G1068" s="117"/>
      <c r="H1068" s="117"/>
      <c r="I1068" s="88"/>
      <c r="J1068" s="118"/>
      <c r="K1068" s="88"/>
      <c r="L1068" s="88"/>
      <c r="M1068" s="88"/>
      <c r="N1068" s="88"/>
      <c r="O1068" s="88"/>
      <c r="P1068" s="88"/>
      <c r="Q1068" s="88"/>
      <c r="R1068" s="88"/>
      <c r="S1068" s="34"/>
      <c r="T1068" s="119"/>
      <c r="U1068" s="120"/>
      <c r="V1068" s="74"/>
      <c r="W1068" s="74"/>
      <c r="X1068" s="74"/>
      <c r="Y1068" s="74"/>
      <c r="Z1068" s="74"/>
      <c r="AA1068" s="74"/>
      <c r="AB1068" s="74"/>
      <c r="AC1068" s="121"/>
      <c r="AD1068" s="72"/>
      <c r="AE1068" s="72"/>
      <c r="AF1068" s="72"/>
      <c r="AG1068" s="72"/>
      <c r="AH1068" s="72"/>
      <c r="AI1068" s="72"/>
      <c r="AJ1068" s="91"/>
      <c r="AK1068" s="74"/>
      <c r="AL1068" s="74"/>
      <c r="AM1068" s="74"/>
      <c r="AN1068" s="74"/>
      <c r="AO1068" s="92"/>
      <c r="AP1068" s="92"/>
      <c r="AQ1068" s="92"/>
      <c r="AR1068" s="92"/>
      <c r="AS1068" s="92"/>
      <c r="AT1068" s="92"/>
      <c r="AU1068" s="92"/>
      <c r="AV1068" s="92"/>
      <c r="AW1068" s="92"/>
      <c r="AX1068" s="92"/>
      <c r="BE1068" s="120"/>
      <c r="BF1068" s="120"/>
      <c r="BG1068" s="120"/>
      <c r="BH1068" s="120"/>
      <c r="BI1068" s="120"/>
      <c r="BJ1068" s="120"/>
      <c r="BK1068" s="120"/>
      <c r="BL1068" s="120"/>
      <c r="BM1068" s="120"/>
      <c r="BN1068" s="120"/>
      <c r="BO1068" s="122"/>
      <c r="BP1068" s="123"/>
      <c r="BQ1068" s="120"/>
      <c r="BR1068" s="120"/>
      <c r="BS1068" s="120"/>
      <c r="BT1068" s="120"/>
      <c r="BV1068" s="120"/>
      <c r="BW1068" s="120"/>
      <c r="BY1068" s="81"/>
      <c r="BZ1068" s="81"/>
      <c r="CA1068" s="81"/>
      <c r="CB1068" s="81"/>
      <c r="CC1068" s="81"/>
      <c r="CD1068" s="81"/>
      <c r="CE1068" s="81"/>
      <c r="CF1068" s="81"/>
      <c r="CG1068" s="81"/>
    </row>
    <row r="1069" customFormat="false" ht="15" hidden="false" customHeight="false" outlineLevel="0" collapsed="false">
      <c r="A1069" s="7"/>
      <c r="B1069" s="66"/>
      <c r="C1069" s="8"/>
      <c r="D1069" s="7"/>
      <c r="E1069" s="4"/>
      <c r="F1069" s="7"/>
      <c r="G1069" s="117"/>
      <c r="H1069" s="117"/>
      <c r="I1069" s="88"/>
      <c r="J1069" s="118"/>
      <c r="K1069" s="88"/>
      <c r="L1069" s="88"/>
      <c r="M1069" s="88"/>
      <c r="N1069" s="88"/>
      <c r="O1069" s="88"/>
      <c r="P1069" s="88"/>
      <c r="Q1069" s="88"/>
      <c r="R1069" s="88"/>
      <c r="S1069" s="34"/>
      <c r="T1069" s="119"/>
      <c r="U1069" s="120"/>
      <c r="V1069" s="74"/>
      <c r="W1069" s="74"/>
      <c r="X1069" s="74"/>
      <c r="Y1069" s="74"/>
      <c r="Z1069" s="74"/>
      <c r="AA1069" s="74"/>
      <c r="AB1069" s="74"/>
      <c r="AC1069" s="121"/>
      <c r="AD1069" s="72"/>
      <c r="AE1069" s="72"/>
      <c r="AF1069" s="72"/>
      <c r="AG1069" s="72"/>
      <c r="AH1069" s="72"/>
      <c r="AI1069" s="72"/>
      <c r="AJ1069" s="91"/>
      <c r="AK1069" s="74"/>
      <c r="AL1069" s="74"/>
      <c r="AM1069" s="74"/>
      <c r="AN1069" s="74"/>
      <c r="AO1069" s="92"/>
      <c r="AP1069" s="92"/>
      <c r="AQ1069" s="92"/>
      <c r="AR1069" s="92"/>
      <c r="AS1069" s="92"/>
      <c r="AT1069" s="92"/>
      <c r="AU1069" s="92"/>
      <c r="AV1069" s="92"/>
      <c r="AW1069" s="92"/>
      <c r="AX1069" s="92"/>
      <c r="BE1069" s="120"/>
      <c r="BF1069" s="120"/>
      <c r="BG1069" s="120"/>
      <c r="BH1069" s="120"/>
      <c r="BI1069" s="120"/>
      <c r="BJ1069" s="120"/>
      <c r="BK1069" s="120"/>
      <c r="BL1069" s="120"/>
      <c r="BM1069" s="120"/>
      <c r="BN1069" s="120"/>
      <c r="BO1069" s="122"/>
      <c r="BP1069" s="123"/>
      <c r="BQ1069" s="120"/>
      <c r="BR1069" s="120"/>
      <c r="BS1069" s="120"/>
      <c r="BT1069" s="120"/>
      <c r="BV1069" s="120"/>
      <c r="BW1069" s="120"/>
      <c r="BY1069" s="81"/>
      <c r="BZ1069" s="81"/>
      <c r="CA1069" s="81"/>
      <c r="CB1069" s="81"/>
      <c r="CC1069" s="81"/>
      <c r="CD1069" s="81"/>
      <c r="CE1069" s="81"/>
      <c r="CF1069" s="81"/>
      <c r="CG1069" s="81"/>
    </row>
    <row r="1070" customFormat="false" ht="15" hidden="false" customHeight="false" outlineLevel="0" collapsed="false">
      <c r="A1070" s="7"/>
      <c r="B1070" s="66"/>
      <c r="C1070" s="8"/>
      <c r="D1070" s="7"/>
      <c r="E1070" s="4"/>
      <c r="F1070" s="7"/>
      <c r="G1070" s="117"/>
      <c r="H1070" s="117"/>
      <c r="I1070" s="88"/>
      <c r="J1070" s="118"/>
      <c r="K1070" s="88"/>
      <c r="L1070" s="88"/>
      <c r="M1070" s="88"/>
      <c r="N1070" s="88"/>
      <c r="O1070" s="88"/>
      <c r="P1070" s="88"/>
      <c r="Q1070" s="88"/>
      <c r="R1070" s="88"/>
      <c r="S1070" s="34"/>
      <c r="T1070" s="119"/>
      <c r="U1070" s="120"/>
      <c r="V1070" s="74"/>
      <c r="W1070" s="74"/>
      <c r="X1070" s="74"/>
      <c r="Y1070" s="74"/>
      <c r="Z1070" s="74"/>
      <c r="AA1070" s="74"/>
      <c r="AB1070" s="74"/>
      <c r="AC1070" s="121"/>
      <c r="AD1070" s="72"/>
      <c r="AE1070" s="72"/>
      <c r="AF1070" s="72"/>
      <c r="AG1070" s="72"/>
      <c r="AH1070" s="72"/>
      <c r="AI1070" s="72"/>
      <c r="AJ1070" s="91"/>
      <c r="AK1070" s="74"/>
      <c r="AL1070" s="74"/>
      <c r="AM1070" s="74"/>
      <c r="AN1070" s="74"/>
      <c r="AO1070" s="92"/>
      <c r="AP1070" s="92"/>
      <c r="AQ1070" s="92"/>
      <c r="AR1070" s="92"/>
      <c r="AS1070" s="92"/>
      <c r="AT1070" s="92"/>
      <c r="AU1070" s="92"/>
      <c r="AV1070" s="92"/>
      <c r="AW1070" s="92"/>
      <c r="AX1070" s="92"/>
      <c r="BE1070" s="120"/>
      <c r="BF1070" s="120"/>
      <c r="BG1070" s="120"/>
      <c r="BH1070" s="120"/>
      <c r="BI1070" s="120"/>
      <c r="BJ1070" s="120"/>
      <c r="BK1070" s="120"/>
      <c r="BL1070" s="120"/>
      <c r="BM1070" s="120"/>
      <c r="BN1070" s="120"/>
      <c r="BO1070" s="122"/>
      <c r="BP1070" s="123"/>
      <c r="BQ1070" s="120"/>
      <c r="BR1070" s="120"/>
      <c r="BS1070" s="120"/>
      <c r="BT1070" s="120"/>
      <c r="BV1070" s="120"/>
      <c r="BW1070" s="120"/>
      <c r="BY1070" s="81"/>
      <c r="BZ1070" s="81"/>
      <c r="CA1070" s="81"/>
      <c r="CB1070" s="81"/>
      <c r="CC1070" s="81"/>
      <c r="CD1070" s="81"/>
      <c r="CE1070" s="81"/>
      <c r="CF1070" s="81"/>
      <c r="CG1070" s="81"/>
    </row>
    <row r="1071" customFormat="false" ht="15" hidden="false" customHeight="false" outlineLevel="0" collapsed="false">
      <c r="A1071" s="7"/>
      <c r="B1071" s="66"/>
      <c r="C1071" s="8"/>
      <c r="D1071" s="7"/>
      <c r="E1071" s="4"/>
      <c r="F1071" s="7"/>
      <c r="G1071" s="117"/>
      <c r="H1071" s="117"/>
      <c r="I1071" s="88"/>
      <c r="J1071" s="118"/>
      <c r="K1071" s="88"/>
      <c r="L1071" s="88"/>
      <c r="M1071" s="88"/>
      <c r="N1071" s="88"/>
      <c r="O1071" s="88"/>
      <c r="P1071" s="88"/>
      <c r="Q1071" s="88"/>
      <c r="R1071" s="88"/>
      <c r="S1071" s="34"/>
      <c r="T1071" s="119"/>
      <c r="U1071" s="120"/>
      <c r="V1071" s="74"/>
      <c r="W1071" s="74"/>
      <c r="X1071" s="74"/>
      <c r="Y1071" s="74"/>
      <c r="Z1071" s="74"/>
      <c r="AA1071" s="74"/>
      <c r="AB1071" s="74"/>
      <c r="AC1071" s="121"/>
      <c r="AD1071" s="72"/>
      <c r="AE1071" s="72"/>
      <c r="AF1071" s="72"/>
      <c r="AG1071" s="72"/>
      <c r="AH1071" s="72"/>
      <c r="AI1071" s="72"/>
      <c r="AJ1071" s="91"/>
      <c r="AK1071" s="74"/>
      <c r="AL1071" s="74"/>
      <c r="AM1071" s="74"/>
      <c r="AN1071" s="74"/>
      <c r="AO1071" s="92"/>
      <c r="AP1071" s="92"/>
      <c r="AQ1071" s="92"/>
      <c r="AR1071" s="92"/>
      <c r="AS1071" s="92"/>
      <c r="AT1071" s="92"/>
      <c r="AU1071" s="92"/>
      <c r="AV1071" s="92"/>
      <c r="AW1071" s="92"/>
      <c r="AX1071" s="92"/>
      <c r="BE1071" s="120"/>
      <c r="BF1071" s="120"/>
      <c r="BG1071" s="120"/>
      <c r="BH1071" s="120"/>
      <c r="BI1071" s="120"/>
      <c r="BJ1071" s="120"/>
      <c r="BK1071" s="120"/>
      <c r="BL1071" s="120"/>
      <c r="BM1071" s="120"/>
      <c r="BN1071" s="120"/>
      <c r="BO1071" s="122"/>
      <c r="BP1071" s="123"/>
      <c r="BQ1071" s="120"/>
      <c r="BR1071" s="120"/>
      <c r="BS1071" s="120"/>
      <c r="BT1071" s="120"/>
      <c r="BV1071" s="120"/>
      <c r="BW1071" s="120"/>
      <c r="BY1071" s="81"/>
      <c r="BZ1071" s="81"/>
      <c r="CA1071" s="81"/>
      <c r="CB1071" s="81"/>
      <c r="CC1071" s="81"/>
      <c r="CD1071" s="81"/>
      <c r="CE1071" s="81"/>
      <c r="CF1071" s="81"/>
      <c r="CG1071" s="81"/>
    </row>
    <row r="1072" customFormat="false" ht="15" hidden="false" customHeight="false" outlineLevel="0" collapsed="false">
      <c r="A1072" s="7"/>
      <c r="B1072" s="66"/>
      <c r="C1072" s="8"/>
      <c r="D1072" s="7"/>
      <c r="E1072" s="4"/>
      <c r="F1072" s="7"/>
      <c r="G1072" s="117"/>
      <c r="H1072" s="117"/>
      <c r="I1072" s="88"/>
      <c r="J1072" s="118"/>
      <c r="K1072" s="88"/>
      <c r="L1072" s="88"/>
      <c r="M1072" s="88"/>
      <c r="N1072" s="88"/>
      <c r="O1072" s="88"/>
      <c r="P1072" s="88"/>
      <c r="Q1072" s="88"/>
      <c r="R1072" s="88"/>
      <c r="S1072" s="34"/>
      <c r="T1072" s="119"/>
      <c r="U1072" s="120"/>
      <c r="V1072" s="74"/>
      <c r="W1072" s="74"/>
      <c r="X1072" s="74"/>
      <c r="Y1072" s="74"/>
      <c r="Z1072" s="74"/>
      <c r="AA1072" s="74"/>
      <c r="AB1072" s="74"/>
      <c r="AC1072" s="121"/>
      <c r="AD1072" s="72"/>
      <c r="AE1072" s="72"/>
      <c r="AF1072" s="72"/>
      <c r="AG1072" s="72"/>
      <c r="AH1072" s="72"/>
      <c r="AI1072" s="72"/>
      <c r="AJ1072" s="91"/>
      <c r="AK1072" s="74"/>
      <c r="AL1072" s="74"/>
      <c r="AM1072" s="74"/>
      <c r="AN1072" s="74"/>
      <c r="AO1072" s="92"/>
      <c r="AP1072" s="92"/>
      <c r="AQ1072" s="92"/>
      <c r="AR1072" s="92"/>
      <c r="AS1072" s="92"/>
      <c r="AT1072" s="92"/>
      <c r="AU1072" s="92"/>
      <c r="AV1072" s="92"/>
      <c r="AW1072" s="92"/>
      <c r="AX1072" s="92"/>
      <c r="BE1072" s="120"/>
      <c r="BF1072" s="120"/>
      <c r="BG1072" s="120"/>
      <c r="BH1072" s="120"/>
      <c r="BI1072" s="120"/>
      <c r="BJ1072" s="120"/>
      <c r="BK1072" s="120"/>
      <c r="BL1072" s="120"/>
      <c r="BM1072" s="120"/>
      <c r="BN1072" s="120"/>
      <c r="BO1072" s="122"/>
      <c r="BP1072" s="123"/>
      <c r="BQ1072" s="120"/>
      <c r="BR1072" s="120"/>
      <c r="BS1072" s="120"/>
      <c r="BT1072" s="120"/>
      <c r="BV1072" s="120"/>
      <c r="BW1072" s="120"/>
      <c r="BY1072" s="81"/>
      <c r="BZ1072" s="81"/>
      <c r="CA1072" s="81"/>
      <c r="CB1072" s="81"/>
      <c r="CC1072" s="81"/>
      <c r="CD1072" s="81"/>
      <c r="CE1072" s="81"/>
      <c r="CF1072" s="81"/>
      <c r="CG1072" s="81"/>
    </row>
    <row r="1073" customFormat="false" ht="15" hidden="false" customHeight="false" outlineLevel="0" collapsed="false">
      <c r="A1073" s="7"/>
      <c r="B1073" s="66"/>
      <c r="C1073" s="8"/>
      <c r="D1073" s="7"/>
      <c r="E1073" s="4"/>
      <c r="F1073" s="7"/>
      <c r="G1073" s="117"/>
      <c r="H1073" s="117"/>
      <c r="I1073" s="88"/>
      <c r="J1073" s="118"/>
      <c r="K1073" s="88"/>
      <c r="L1073" s="88"/>
      <c r="M1073" s="88"/>
      <c r="N1073" s="88"/>
      <c r="O1073" s="88"/>
      <c r="P1073" s="88"/>
      <c r="Q1073" s="88"/>
      <c r="R1073" s="88"/>
      <c r="S1073" s="34"/>
      <c r="T1073" s="119"/>
      <c r="U1073" s="120"/>
      <c r="V1073" s="74"/>
      <c r="W1073" s="74"/>
      <c r="X1073" s="74"/>
      <c r="Y1073" s="74"/>
      <c r="Z1073" s="74"/>
      <c r="AA1073" s="74"/>
      <c r="AB1073" s="74"/>
      <c r="AC1073" s="121"/>
      <c r="AD1073" s="72"/>
      <c r="AE1073" s="72"/>
      <c r="AF1073" s="72"/>
      <c r="AG1073" s="72"/>
      <c r="AH1073" s="72"/>
      <c r="AI1073" s="72"/>
      <c r="AJ1073" s="91"/>
      <c r="AK1073" s="74"/>
      <c r="AL1073" s="74"/>
      <c r="AM1073" s="74"/>
      <c r="AN1073" s="74"/>
      <c r="AO1073" s="92"/>
      <c r="AP1073" s="92"/>
      <c r="AQ1073" s="92"/>
      <c r="AR1073" s="92"/>
      <c r="AS1073" s="92"/>
      <c r="AT1073" s="92"/>
      <c r="AU1073" s="92"/>
      <c r="AV1073" s="92"/>
      <c r="AW1073" s="92"/>
      <c r="AX1073" s="92"/>
      <c r="BE1073" s="120"/>
      <c r="BF1073" s="120"/>
      <c r="BG1073" s="120"/>
      <c r="BH1073" s="120"/>
      <c r="BI1073" s="120"/>
      <c r="BJ1073" s="120"/>
      <c r="BK1073" s="120"/>
      <c r="BL1073" s="120"/>
      <c r="BM1073" s="120"/>
      <c r="BN1073" s="120"/>
      <c r="BO1073" s="122"/>
      <c r="BP1073" s="123"/>
      <c r="BQ1073" s="120"/>
      <c r="BR1073" s="120"/>
      <c r="BS1073" s="120"/>
      <c r="BT1073" s="120"/>
      <c r="BV1073" s="120"/>
      <c r="BW1073" s="120"/>
      <c r="BY1073" s="81"/>
      <c r="BZ1073" s="81"/>
      <c r="CA1073" s="81"/>
      <c r="CB1073" s="81"/>
      <c r="CC1073" s="81"/>
      <c r="CD1073" s="81"/>
      <c r="CE1073" s="81"/>
      <c r="CF1073" s="81"/>
      <c r="CG1073" s="81"/>
    </row>
    <row r="1074" customFormat="false" ht="15" hidden="false" customHeight="false" outlineLevel="0" collapsed="false">
      <c r="A1074" s="7"/>
      <c r="B1074" s="66"/>
      <c r="C1074" s="8"/>
      <c r="D1074" s="7"/>
      <c r="E1074" s="4"/>
      <c r="F1074" s="7"/>
      <c r="G1074" s="117"/>
      <c r="H1074" s="117"/>
      <c r="I1074" s="88"/>
      <c r="J1074" s="118"/>
      <c r="K1074" s="88"/>
      <c r="L1074" s="88"/>
      <c r="M1074" s="88"/>
      <c r="N1074" s="88"/>
      <c r="O1074" s="88"/>
      <c r="P1074" s="88"/>
      <c r="Q1074" s="88"/>
      <c r="R1074" s="88"/>
      <c r="S1074" s="34"/>
      <c r="T1074" s="119"/>
      <c r="U1074" s="120"/>
      <c r="V1074" s="74"/>
      <c r="W1074" s="74"/>
      <c r="X1074" s="74"/>
      <c r="Y1074" s="74"/>
      <c r="Z1074" s="74"/>
      <c r="AA1074" s="74"/>
      <c r="AB1074" s="74"/>
      <c r="AC1074" s="121"/>
      <c r="AD1074" s="72"/>
      <c r="AE1074" s="72"/>
      <c r="AF1074" s="72"/>
      <c r="AG1074" s="72"/>
      <c r="AH1074" s="72"/>
      <c r="AI1074" s="72"/>
      <c r="AJ1074" s="91"/>
      <c r="AK1074" s="74"/>
      <c r="AL1074" s="74"/>
      <c r="AM1074" s="74"/>
      <c r="AN1074" s="74"/>
      <c r="AO1074" s="92"/>
      <c r="AP1074" s="92"/>
      <c r="AQ1074" s="92"/>
      <c r="AR1074" s="92"/>
      <c r="AS1074" s="92"/>
      <c r="AT1074" s="92"/>
      <c r="AU1074" s="92"/>
      <c r="AV1074" s="92"/>
      <c r="AW1074" s="92"/>
      <c r="AX1074" s="92"/>
      <c r="BE1074" s="120"/>
      <c r="BF1074" s="120"/>
      <c r="BG1074" s="120"/>
      <c r="BH1074" s="120"/>
      <c r="BI1074" s="120"/>
      <c r="BJ1074" s="120"/>
      <c r="BK1074" s="120"/>
      <c r="BL1074" s="120"/>
      <c r="BM1074" s="120"/>
      <c r="BN1074" s="120"/>
      <c r="BO1074" s="122"/>
      <c r="BP1074" s="123"/>
      <c r="BQ1074" s="120"/>
      <c r="BR1074" s="120"/>
      <c r="BS1074" s="120"/>
      <c r="BT1074" s="120"/>
      <c r="BV1074" s="120"/>
      <c r="BW1074" s="120"/>
      <c r="BY1074" s="81"/>
      <c r="BZ1074" s="81"/>
      <c r="CA1074" s="81"/>
      <c r="CB1074" s="81"/>
      <c r="CC1074" s="81"/>
      <c r="CD1074" s="81"/>
      <c r="CE1074" s="81"/>
      <c r="CF1074" s="81"/>
      <c r="CG1074" s="81"/>
    </row>
    <row r="1075" customFormat="false" ht="15" hidden="false" customHeight="false" outlineLevel="0" collapsed="false">
      <c r="A1075" s="7"/>
      <c r="B1075" s="66"/>
      <c r="C1075" s="8"/>
      <c r="D1075" s="7"/>
      <c r="E1075" s="4"/>
      <c r="F1075" s="7"/>
      <c r="G1075" s="117"/>
      <c r="H1075" s="117"/>
      <c r="I1075" s="88"/>
      <c r="J1075" s="118"/>
      <c r="K1075" s="88"/>
      <c r="L1075" s="88"/>
      <c r="M1075" s="88"/>
      <c r="N1075" s="88"/>
      <c r="O1075" s="88"/>
      <c r="P1075" s="88"/>
      <c r="Q1075" s="88"/>
      <c r="R1075" s="88"/>
      <c r="S1075" s="34"/>
      <c r="T1075" s="119"/>
      <c r="U1075" s="120"/>
      <c r="V1075" s="74"/>
      <c r="W1075" s="74"/>
      <c r="X1075" s="74"/>
      <c r="Y1075" s="74"/>
      <c r="Z1075" s="74"/>
      <c r="AA1075" s="74"/>
      <c r="AB1075" s="74"/>
      <c r="AC1075" s="121"/>
      <c r="AD1075" s="72"/>
      <c r="AE1075" s="72"/>
      <c r="AF1075" s="72"/>
      <c r="AG1075" s="72"/>
      <c r="AH1075" s="72"/>
      <c r="AI1075" s="72"/>
      <c r="AJ1075" s="91"/>
      <c r="AK1075" s="74"/>
      <c r="AL1075" s="74"/>
      <c r="AM1075" s="74"/>
      <c r="AN1075" s="74"/>
      <c r="AO1075" s="92"/>
      <c r="AP1075" s="92"/>
      <c r="AQ1075" s="92"/>
      <c r="AR1075" s="92"/>
      <c r="AS1075" s="92"/>
      <c r="AT1075" s="92"/>
      <c r="AU1075" s="92"/>
      <c r="AV1075" s="92"/>
      <c r="AW1075" s="92"/>
      <c r="AX1075" s="92"/>
      <c r="BE1075" s="120"/>
      <c r="BF1075" s="120"/>
      <c r="BG1075" s="120"/>
      <c r="BH1075" s="120"/>
      <c r="BI1075" s="120"/>
      <c r="BJ1075" s="120"/>
      <c r="BK1075" s="120"/>
      <c r="BL1075" s="120"/>
      <c r="BM1075" s="120"/>
      <c r="BN1075" s="120"/>
      <c r="BO1075" s="122"/>
      <c r="BP1075" s="123"/>
      <c r="BQ1075" s="120"/>
      <c r="BR1075" s="120"/>
      <c r="BS1075" s="120"/>
      <c r="BT1075" s="120"/>
      <c r="BV1075" s="120"/>
      <c r="BW1075" s="120"/>
      <c r="BY1075" s="81"/>
      <c r="BZ1075" s="81"/>
      <c r="CA1075" s="81"/>
      <c r="CB1075" s="81"/>
      <c r="CC1075" s="81"/>
      <c r="CD1075" s="81"/>
      <c r="CE1075" s="81"/>
      <c r="CF1075" s="81"/>
      <c r="CG1075" s="81"/>
    </row>
    <row r="1076" customFormat="false" ht="15" hidden="false" customHeight="false" outlineLevel="0" collapsed="false">
      <c r="A1076" s="7"/>
      <c r="B1076" s="66"/>
      <c r="C1076" s="8"/>
      <c r="D1076" s="7"/>
      <c r="E1076" s="4"/>
      <c r="F1076" s="7"/>
      <c r="G1076" s="117"/>
      <c r="H1076" s="117"/>
      <c r="I1076" s="88"/>
      <c r="J1076" s="118"/>
      <c r="K1076" s="88"/>
      <c r="L1076" s="88"/>
      <c r="M1076" s="88"/>
      <c r="N1076" s="88"/>
      <c r="O1076" s="88"/>
      <c r="P1076" s="88"/>
      <c r="Q1076" s="88"/>
      <c r="R1076" s="88"/>
      <c r="S1076" s="34"/>
      <c r="T1076" s="119"/>
      <c r="U1076" s="120"/>
      <c r="V1076" s="74"/>
      <c r="W1076" s="74"/>
      <c r="X1076" s="74"/>
      <c r="Y1076" s="74"/>
      <c r="Z1076" s="74"/>
      <c r="AA1076" s="74"/>
      <c r="AB1076" s="74"/>
      <c r="AC1076" s="121"/>
      <c r="AD1076" s="72"/>
      <c r="AE1076" s="72"/>
      <c r="AF1076" s="72"/>
      <c r="AG1076" s="72"/>
      <c r="AH1076" s="72"/>
      <c r="AI1076" s="72"/>
      <c r="AJ1076" s="91"/>
      <c r="AK1076" s="74"/>
      <c r="AL1076" s="74"/>
      <c r="AM1076" s="74"/>
      <c r="AN1076" s="74"/>
      <c r="AO1076" s="92"/>
      <c r="AP1076" s="92"/>
      <c r="AQ1076" s="92"/>
      <c r="AR1076" s="92"/>
      <c r="AS1076" s="92"/>
      <c r="AT1076" s="92"/>
      <c r="AU1076" s="92"/>
      <c r="AV1076" s="92"/>
      <c r="AW1076" s="92"/>
      <c r="AX1076" s="92"/>
      <c r="BE1076" s="120"/>
      <c r="BF1076" s="120"/>
      <c r="BG1076" s="120"/>
      <c r="BH1076" s="120"/>
      <c r="BI1076" s="120"/>
      <c r="BJ1076" s="120"/>
      <c r="BK1076" s="120"/>
      <c r="BL1076" s="120"/>
      <c r="BM1076" s="120"/>
      <c r="BN1076" s="120"/>
      <c r="BO1076" s="122"/>
      <c r="BP1076" s="123"/>
      <c r="BQ1076" s="120"/>
      <c r="BR1076" s="120"/>
      <c r="BS1076" s="120"/>
      <c r="BT1076" s="120"/>
      <c r="BV1076" s="120"/>
      <c r="BW1076" s="120"/>
      <c r="BY1076" s="81"/>
      <c r="BZ1076" s="81"/>
      <c r="CA1076" s="81"/>
      <c r="CB1076" s="81"/>
      <c r="CC1076" s="81"/>
      <c r="CD1076" s="81"/>
      <c r="CE1076" s="81"/>
      <c r="CF1076" s="81"/>
      <c r="CG1076" s="81"/>
    </row>
    <row r="1077" customFormat="false" ht="15" hidden="false" customHeight="false" outlineLevel="0" collapsed="false">
      <c r="A1077" s="7"/>
      <c r="B1077" s="66"/>
      <c r="C1077" s="8"/>
      <c r="D1077" s="7"/>
      <c r="E1077" s="4"/>
      <c r="F1077" s="7"/>
      <c r="G1077" s="117"/>
      <c r="H1077" s="117"/>
      <c r="I1077" s="88"/>
      <c r="J1077" s="118"/>
      <c r="K1077" s="88"/>
      <c r="L1077" s="88"/>
      <c r="M1077" s="88"/>
      <c r="N1077" s="88"/>
      <c r="O1077" s="88"/>
      <c r="P1077" s="88"/>
      <c r="Q1077" s="88"/>
      <c r="R1077" s="88"/>
      <c r="S1077" s="34"/>
      <c r="T1077" s="119"/>
      <c r="U1077" s="120"/>
      <c r="V1077" s="74"/>
      <c r="W1077" s="74"/>
      <c r="X1077" s="74"/>
      <c r="Y1077" s="74"/>
      <c r="Z1077" s="74"/>
      <c r="AA1077" s="74"/>
      <c r="AB1077" s="74"/>
      <c r="AC1077" s="121"/>
      <c r="AD1077" s="72"/>
      <c r="AE1077" s="72"/>
      <c r="AF1077" s="72"/>
      <c r="AG1077" s="72"/>
      <c r="AH1077" s="72"/>
      <c r="AI1077" s="72"/>
      <c r="AJ1077" s="91"/>
      <c r="AK1077" s="74"/>
      <c r="AL1077" s="74"/>
      <c r="AM1077" s="74"/>
      <c r="AN1077" s="74"/>
      <c r="AO1077" s="92"/>
      <c r="AP1077" s="92"/>
      <c r="AQ1077" s="92"/>
      <c r="AR1077" s="92"/>
      <c r="AS1077" s="92"/>
      <c r="AT1077" s="92"/>
      <c r="AU1077" s="92"/>
      <c r="AV1077" s="92"/>
      <c r="AW1077" s="92"/>
      <c r="AX1077" s="92"/>
      <c r="BE1077" s="120"/>
      <c r="BF1077" s="120"/>
      <c r="BG1077" s="120"/>
      <c r="BH1077" s="120"/>
      <c r="BI1077" s="120"/>
      <c r="BJ1077" s="120"/>
      <c r="BK1077" s="120"/>
      <c r="BL1077" s="120"/>
      <c r="BM1077" s="120"/>
      <c r="BN1077" s="120"/>
      <c r="BO1077" s="122"/>
      <c r="BP1077" s="123"/>
      <c r="BQ1077" s="120"/>
      <c r="BR1077" s="120"/>
      <c r="BS1077" s="120"/>
      <c r="BT1077" s="120"/>
      <c r="BV1077" s="120"/>
      <c r="BW1077" s="120"/>
      <c r="BY1077" s="81"/>
      <c r="BZ1077" s="81"/>
      <c r="CA1077" s="81"/>
      <c r="CB1077" s="81"/>
      <c r="CC1077" s="81"/>
      <c r="CD1077" s="81"/>
      <c r="CE1077" s="81"/>
      <c r="CF1077" s="81"/>
      <c r="CG1077" s="81"/>
    </row>
    <row r="1078" customFormat="false" ht="15" hidden="false" customHeight="false" outlineLevel="0" collapsed="false">
      <c r="A1078" s="7"/>
      <c r="B1078" s="66"/>
      <c r="C1078" s="8"/>
      <c r="D1078" s="7"/>
      <c r="E1078" s="4"/>
      <c r="F1078" s="7"/>
      <c r="G1078" s="117"/>
      <c r="H1078" s="117"/>
      <c r="I1078" s="88"/>
      <c r="J1078" s="118"/>
      <c r="K1078" s="88"/>
      <c r="L1078" s="88"/>
      <c r="M1078" s="88"/>
      <c r="N1078" s="88"/>
      <c r="O1078" s="88"/>
      <c r="P1078" s="88"/>
      <c r="Q1078" s="88"/>
      <c r="R1078" s="88"/>
      <c r="S1078" s="34"/>
      <c r="T1078" s="119"/>
      <c r="U1078" s="120"/>
      <c r="V1078" s="74"/>
      <c r="W1078" s="74"/>
      <c r="X1078" s="74"/>
      <c r="Y1078" s="74"/>
      <c r="Z1078" s="74"/>
      <c r="AA1078" s="74"/>
      <c r="AB1078" s="74"/>
      <c r="AC1078" s="121"/>
      <c r="AD1078" s="72"/>
      <c r="AE1078" s="72"/>
      <c r="AF1078" s="72"/>
      <c r="AG1078" s="72"/>
      <c r="AH1078" s="72"/>
      <c r="AI1078" s="72"/>
      <c r="AJ1078" s="91"/>
      <c r="AK1078" s="74"/>
      <c r="AL1078" s="74"/>
      <c r="AM1078" s="74"/>
      <c r="AN1078" s="74"/>
      <c r="AO1078" s="92"/>
      <c r="AP1078" s="92"/>
      <c r="AQ1078" s="92"/>
      <c r="AR1078" s="92"/>
      <c r="AS1078" s="92"/>
      <c r="AT1078" s="92"/>
      <c r="AU1078" s="92"/>
      <c r="AV1078" s="92"/>
      <c r="AW1078" s="92"/>
      <c r="AX1078" s="92"/>
      <c r="BE1078" s="120"/>
      <c r="BF1078" s="120"/>
      <c r="BG1078" s="120"/>
      <c r="BH1078" s="120"/>
      <c r="BI1078" s="120"/>
      <c r="BJ1078" s="120"/>
      <c r="BK1078" s="120"/>
      <c r="BL1078" s="120"/>
      <c r="BM1078" s="120"/>
      <c r="BN1078" s="120"/>
      <c r="BO1078" s="122"/>
      <c r="BP1078" s="123"/>
      <c r="BQ1078" s="120"/>
      <c r="BR1078" s="120"/>
      <c r="BS1078" s="120"/>
      <c r="BT1078" s="120"/>
      <c r="BV1078" s="120"/>
      <c r="BW1078" s="120"/>
      <c r="BY1078" s="81"/>
      <c r="BZ1078" s="81"/>
      <c r="CA1078" s="81"/>
      <c r="CB1078" s="81"/>
      <c r="CC1078" s="81"/>
      <c r="CD1078" s="81"/>
      <c r="CE1078" s="81"/>
      <c r="CF1078" s="81"/>
      <c r="CG1078" s="81"/>
    </row>
    <row r="1079" customFormat="false" ht="15" hidden="false" customHeight="false" outlineLevel="0" collapsed="false">
      <c r="A1079" s="7"/>
      <c r="B1079" s="66"/>
      <c r="C1079" s="8"/>
      <c r="D1079" s="7"/>
      <c r="E1079" s="4"/>
      <c r="F1079" s="7"/>
      <c r="G1079" s="117"/>
      <c r="H1079" s="117"/>
      <c r="I1079" s="88"/>
      <c r="J1079" s="118"/>
      <c r="K1079" s="88"/>
      <c r="L1079" s="88"/>
      <c r="M1079" s="88"/>
      <c r="N1079" s="88"/>
      <c r="O1079" s="88"/>
      <c r="P1079" s="88"/>
      <c r="Q1079" s="88"/>
      <c r="R1079" s="88"/>
      <c r="S1079" s="34"/>
      <c r="T1079" s="119"/>
      <c r="U1079" s="120"/>
      <c r="V1079" s="74"/>
      <c r="W1079" s="74"/>
      <c r="X1079" s="74"/>
      <c r="Y1079" s="74"/>
      <c r="Z1079" s="74"/>
      <c r="AA1079" s="74"/>
      <c r="AB1079" s="74"/>
      <c r="AC1079" s="121"/>
      <c r="AD1079" s="72"/>
      <c r="AE1079" s="72"/>
      <c r="AF1079" s="72"/>
      <c r="AG1079" s="72"/>
      <c r="AH1079" s="72"/>
      <c r="AI1079" s="72"/>
      <c r="AJ1079" s="91"/>
      <c r="AK1079" s="74"/>
      <c r="AL1079" s="74"/>
      <c r="AM1079" s="74"/>
      <c r="AN1079" s="74"/>
      <c r="AO1079" s="92"/>
      <c r="AP1079" s="92"/>
      <c r="AQ1079" s="92"/>
      <c r="AR1079" s="92"/>
      <c r="AS1079" s="92"/>
      <c r="AT1079" s="92"/>
      <c r="AU1079" s="92"/>
      <c r="AV1079" s="92"/>
      <c r="AW1079" s="92"/>
      <c r="AX1079" s="92"/>
      <c r="BE1079" s="120"/>
      <c r="BF1079" s="120"/>
      <c r="BG1079" s="120"/>
      <c r="BH1079" s="120"/>
      <c r="BI1079" s="120"/>
      <c r="BJ1079" s="120"/>
      <c r="BK1079" s="120"/>
      <c r="BL1079" s="120"/>
      <c r="BM1079" s="120"/>
      <c r="BN1079" s="120"/>
      <c r="BO1079" s="122"/>
      <c r="BP1079" s="123"/>
      <c r="BQ1079" s="120"/>
      <c r="BR1079" s="120"/>
      <c r="BS1079" s="120"/>
      <c r="BT1079" s="120"/>
      <c r="BV1079" s="120"/>
      <c r="BW1079" s="120"/>
      <c r="BY1079" s="81"/>
      <c r="BZ1079" s="81"/>
      <c r="CA1079" s="81"/>
      <c r="CB1079" s="81"/>
      <c r="CC1079" s="81"/>
      <c r="CD1079" s="81"/>
      <c r="CE1079" s="81"/>
      <c r="CF1079" s="81"/>
      <c r="CG1079" s="81"/>
    </row>
    <row r="1080" customFormat="false" ht="15" hidden="false" customHeight="false" outlineLevel="0" collapsed="false">
      <c r="A1080" s="7"/>
      <c r="B1080" s="66"/>
      <c r="C1080" s="8"/>
      <c r="D1080" s="7"/>
      <c r="E1080" s="4"/>
      <c r="F1080" s="7"/>
      <c r="G1080" s="117"/>
      <c r="H1080" s="117"/>
      <c r="I1080" s="88"/>
      <c r="J1080" s="118"/>
      <c r="K1080" s="88"/>
      <c r="L1080" s="88"/>
      <c r="M1080" s="88"/>
      <c r="N1080" s="88"/>
      <c r="O1080" s="88"/>
      <c r="P1080" s="88"/>
      <c r="Q1080" s="88"/>
      <c r="R1080" s="88"/>
      <c r="S1080" s="34"/>
      <c r="T1080" s="119"/>
      <c r="U1080" s="120"/>
      <c r="V1080" s="74"/>
      <c r="W1080" s="74"/>
      <c r="X1080" s="74"/>
      <c r="Y1080" s="74"/>
      <c r="Z1080" s="74"/>
      <c r="AA1080" s="74"/>
      <c r="AB1080" s="74"/>
      <c r="AC1080" s="121"/>
      <c r="AD1080" s="72"/>
      <c r="AE1080" s="72"/>
      <c r="AF1080" s="72"/>
      <c r="AG1080" s="72"/>
      <c r="AH1080" s="72"/>
      <c r="AI1080" s="72"/>
      <c r="AJ1080" s="91"/>
      <c r="AK1080" s="74"/>
      <c r="AL1080" s="74"/>
      <c r="AM1080" s="74"/>
      <c r="AN1080" s="74"/>
      <c r="AO1080" s="92"/>
      <c r="AP1080" s="92"/>
      <c r="AQ1080" s="92"/>
      <c r="AR1080" s="92"/>
      <c r="AS1080" s="92"/>
      <c r="AT1080" s="92"/>
      <c r="AU1080" s="92"/>
      <c r="AV1080" s="92"/>
      <c r="AW1080" s="92"/>
      <c r="AX1080" s="92"/>
      <c r="BE1080" s="120"/>
      <c r="BF1080" s="120"/>
      <c r="BG1080" s="120"/>
      <c r="BH1080" s="120"/>
      <c r="BI1080" s="120"/>
      <c r="BJ1080" s="120"/>
      <c r="BK1080" s="120"/>
      <c r="BL1080" s="120"/>
      <c r="BM1080" s="120"/>
      <c r="BN1080" s="120"/>
      <c r="BO1080" s="122"/>
      <c r="BP1080" s="123"/>
      <c r="BQ1080" s="120"/>
      <c r="BR1080" s="120"/>
      <c r="BS1080" s="120"/>
      <c r="BT1080" s="120"/>
      <c r="BV1080" s="120"/>
      <c r="BW1080" s="120"/>
      <c r="BY1080" s="81"/>
      <c r="BZ1080" s="81"/>
      <c r="CA1080" s="81"/>
      <c r="CB1080" s="81"/>
      <c r="CC1080" s="81"/>
      <c r="CD1080" s="81"/>
      <c r="CE1080" s="81"/>
      <c r="CF1080" s="81"/>
      <c r="CG1080" s="81"/>
    </row>
    <row r="1081" customFormat="false" ht="15" hidden="false" customHeight="false" outlineLevel="0" collapsed="false">
      <c r="A1081" s="7"/>
      <c r="B1081" s="66"/>
      <c r="C1081" s="8"/>
      <c r="D1081" s="7"/>
      <c r="E1081" s="4"/>
      <c r="F1081" s="7"/>
      <c r="G1081" s="117"/>
      <c r="H1081" s="117"/>
      <c r="I1081" s="88"/>
      <c r="J1081" s="118"/>
      <c r="K1081" s="88"/>
      <c r="L1081" s="88"/>
      <c r="M1081" s="88"/>
      <c r="N1081" s="88"/>
      <c r="O1081" s="88"/>
      <c r="P1081" s="88"/>
      <c r="Q1081" s="88"/>
      <c r="R1081" s="88"/>
      <c r="S1081" s="34"/>
      <c r="T1081" s="119"/>
      <c r="U1081" s="120"/>
      <c r="V1081" s="74"/>
      <c r="W1081" s="74"/>
      <c r="X1081" s="74"/>
      <c r="Y1081" s="74"/>
      <c r="Z1081" s="74"/>
      <c r="AA1081" s="74"/>
      <c r="AB1081" s="74"/>
      <c r="AC1081" s="121"/>
      <c r="AD1081" s="72"/>
      <c r="AE1081" s="72"/>
      <c r="AF1081" s="72"/>
      <c r="AG1081" s="72"/>
      <c r="AH1081" s="72"/>
      <c r="AI1081" s="72"/>
      <c r="AJ1081" s="91"/>
      <c r="AK1081" s="74"/>
      <c r="AL1081" s="74"/>
      <c r="AM1081" s="74"/>
      <c r="AN1081" s="74"/>
      <c r="AO1081" s="92"/>
      <c r="AP1081" s="92"/>
      <c r="AQ1081" s="92"/>
      <c r="AR1081" s="92"/>
      <c r="AS1081" s="92"/>
      <c r="AT1081" s="92"/>
      <c r="AU1081" s="92"/>
      <c r="AV1081" s="92"/>
      <c r="AW1081" s="92"/>
      <c r="AX1081" s="92"/>
      <c r="BE1081" s="120"/>
      <c r="BF1081" s="120"/>
      <c r="BG1081" s="120"/>
      <c r="BH1081" s="120"/>
      <c r="BI1081" s="120"/>
      <c r="BJ1081" s="120"/>
      <c r="BK1081" s="120"/>
      <c r="BL1081" s="120"/>
      <c r="BM1081" s="120"/>
      <c r="BN1081" s="120"/>
      <c r="BO1081" s="122"/>
      <c r="BP1081" s="123"/>
      <c r="BQ1081" s="120"/>
      <c r="BR1081" s="120"/>
      <c r="BS1081" s="120"/>
      <c r="BT1081" s="120"/>
      <c r="BV1081" s="120"/>
      <c r="BW1081" s="120"/>
      <c r="BY1081" s="81"/>
      <c r="BZ1081" s="81"/>
      <c r="CA1081" s="81"/>
      <c r="CB1081" s="81"/>
      <c r="CC1081" s="81"/>
      <c r="CD1081" s="81"/>
      <c r="CE1081" s="81"/>
      <c r="CF1081" s="81"/>
      <c r="CG1081" s="81"/>
    </row>
    <row r="1082" customFormat="false" ht="15" hidden="false" customHeight="false" outlineLevel="0" collapsed="false">
      <c r="A1082" s="7"/>
      <c r="B1082" s="66"/>
      <c r="C1082" s="8"/>
      <c r="D1082" s="7"/>
      <c r="E1082" s="4"/>
      <c r="F1082" s="7"/>
      <c r="G1082" s="117"/>
      <c r="H1082" s="117"/>
      <c r="I1082" s="88"/>
      <c r="J1082" s="118"/>
      <c r="K1082" s="88"/>
      <c r="L1082" s="88"/>
      <c r="M1082" s="88"/>
      <c r="N1082" s="88"/>
      <c r="O1082" s="88"/>
      <c r="P1082" s="88"/>
      <c r="Q1082" s="88"/>
      <c r="R1082" s="88"/>
      <c r="S1082" s="34"/>
      <c r="T1082" s="119"/>
      <c r="U1082" s="120"/>
      <c r="V1082" s="74"/>
      <c r="W1082" s="74"/>
      <c r="X1082" s="74"/>
      <c r="Y1082" s="74"/>
      <c r="Z1082" s="74"/>
      <c r="AA1082" s="74"/>
      <c r="AB1082" s="74"/>
      <c r="AC1082" s="121"/>
      <c r="AD1082" s="72"/>
      <c r="AE1082" s="72"/>
      <c r="AF1082" s="72"/>
      <c r="AG1082" s="72"/>
      <c r="AH1082" s="72"/>
      <c r="AI1082" s="72"/>
      <c r="AJ1082" s="91"/>
      <c r="AK1082" s="74"/>
      <c r="AL1082" s="74"/>
      <c r="AM1082" s="74"/>
      <c r="AN1082" s="74"/>
      <c r="AO1082" s="92"/>
      <c r="AP1082" s="92"/>
      <c r="AQ1082" s="92"/>
      <c r="AR1082" s="92"/>
      <c r="AS1082" s="92"/>
      <c r="AT1082" s="92"/>
      <c r="AU1082" s="92"/>
      <c r="AV1082" s="92"/>
      <c r="AW1082" s="92"/>
      <c r="AX1082" s="92"/>
      <c r="BE1082" s="120"/>
      <c r="BF1082" s="120"/>
      <c r="BG1082" s="120"/>
      <c r="BH1082" s="120"/>
      <c r="BI1082" s="120"/>
      <c r="BJ1082" s="120"/>
      <c r="BK1082" s="120"/>
      <c r="BL1082" s="120"/>
      <c r="BM1082" s="120"/>
      <c r="BN1082" s="120"/>
      <c r="BO1082" s="122"/>
      <c r="BP1082" s="123"/>
      <c r="BQ1082" s="120"/>
      <c r="BR1082" s="120"/>
      <c r="BS1082" s="120"/>
      <c r="BT1082" s="120"/>
      <c r="BV1082" s="120"/>
      <c r="BW1082" s="120"/>
      <c r="BY1082" s="81"/>
      <c r="BZ1082" s="81"/>
      <c r="CA1082" s="81"/>
      <c r="CB1082" s="81"/>
      <c r="CC1082" s="81"/>
      <c r="CD1082" s="81"/>
      <c r="CE1082" s="81"/>
      <c r="CF1082" s="81"/>
      <c r="CG1082" s="81"/>
    </row>
    <row r="1083" customFormat="false" ht="15" hidden="false" customHeight="false" outlineLevel="0" collapsed="false">
      <c r="A1083" s="7"/>
      <c r="B1083" s="66"/>
      <c r="C1083" s="8"/>
      <c r="D1083" s="7"/>
      <c r="E1083" s="4"/>
      <c r="F1083" s="7"/>
      <c r="G1083" s="117"/>
      <c r="H1083" s="117"/>
      <c r="I1083" s="88"/>
      <c r="J1083" s="118"/>
      <c r="K1083" s="88"/>
      <c r="L1083" s="88"/>
      <c r="M1083" s="88"/>
      <c r="N1083" s="88"/>
      <c r="O1083" s="88"/>
      <c r="P1083" s="88"/>
      <c r="Q1083" s="88"/>
      <c r="R1083" s="88"/>
      <c r="S1083" s="34"/>
      <c r="T1083" s="119"/>
      <c r="U1083" s="120"/>
      <c r="V1083" s="74"/>
      <c r="W1083" s="74"/>
      <c r="X1083" s="74"/>
      <c r="Y1083" s="74"/>
      <c r="Z1083" s="74"/>
      <c r="AA1083" s="74"/>
      <c r="AB1083" s="74"/>
      <c r="AC1083" s="121"/>
      <c r="AD1083" s="72"/>
      <c r="AE1083" s="72"/>
      <c r="AF1083" s="72"/>
      <c r="AG1083" s="72"/>
      <c r="AH1083" s="72"/>
      <c r="AI1083" s="72"/>
      <c r="AJ1083" s="91"/>
      <c r="AK1083" s="74"/>
      <c r="AL1083" s="74"/>
      <c r="AM1083" s="74"/>
      <c r="AN1083" s="74"/>
      <c r="AO1083" s="92"/>
      <c r="AP1083" s="92"/>
      <c r="AQ1083" s="92"/>
      <c r="AR1083" s="92"/>
      <c r="AS1083" s="92"/>
      <c r="AT1083" s="92"/>
      <c r="AU1083" s="92"/>
      <c r="AV1083" s="92"/>
      <c r="AW1083" s="92"/>
      <c r="AX1083" s="92"/>
      <c r="BE1083" s="120"/>
      <c r="BF1083" s="120"/>
      <c r="BG1083" s="120"/>
      <c r="BH1083" s="120"/>
      <c r="BI1083" s="120"/>
      <c r="BJ1083" s="120"/>
      <c r="BK1083" s="120"/>
      <c r="BL1083" s="120"/>
      <c r="BM1083" s="120"/>
      <c r="BN1083" s="120"/>
      <c r="BO1083" s="122"/>
      <c r="BP1083" s="123"/>
      <c r="BQ1083" s="120"/>
      <c r="BR1083" s="120"/>
      <c r="BS1083" s="120"/>
      <c r="BT1083" s="120"/>
      <c r="BV1083" s="120"/>
      <c r="BW1083" s="120"/>
      <c r="BY1083" s="81"/>
      <c r="BZ1083" s="81"/>
      <c r="CA1083" s="81"/>
      <c r="CB1083" s="81"/>
      <c r="CC1083" s="81"/>
      <c r="CD1083" s="81"/>
      <c r="CE1083" s="81"/>
      <c r="CF1083" s="81"/>
      <c r="CG1083" s="81"/>
    </row>
    <row r="1084" customFormat="false" ht="15" hidden="false" customHeight="false" outlineLevel="0" collapsed="false">
      <c r="A1084" s="7"/>
      <c r="B1084" s="66"/>
      <c r="C1084" s="8"/>
      <c r="D1084" s="7"/>
      <c r="E1084" s="4"/>
      <c r="F1084" s="7"/>
      <c r="G1084" s="117"/>
      <c r="H1084" s="117"/>
      <c r="I1084" s="88"/>
      <c r="J1084" s="118"/>
      <c r="K1084" s="88"/>
      <c r="L1084" s="88"/>
      <c r="M1084" s="88"/>
      <c r="N1084" s="88"/>
      <c r="O1084" s="88"/>
      <c r="P1084" s="88"/>
      <c r="Q1084" s="88"/>
      <c r="R1084" s="88"/>
      <c r="S1084" s="34"/>
      <c r="T1084" s="119"/>
      <c r="U1084" s="120"/>
      <c r="V1084" s="74"/>
      <c r="W1084" s="74"/>
      <c r="X1084" s="74"/>
      <c r="Y1084" s="74"/>
      <c r="Z1084" s="74"/>
      <c r="AA1084" s="74"/>
      <c r="AB1084" s="74"/>
      <c r="AC1084" s="121"/>
      <c r="AD1084" s="72"/>
      <c r="AE1084" s="72"/>
      <c r="AF1084" s="72"/>
      <c r="AG1084" s="72"/>
      <c r="AH1084" s="72"/>
      <c r="AI1084" s="72"/>
      <c r="AJ1084" s="91"/>
      <c r="AK1084" s="74"/>
      <c r="AL1084" s="74"/>
      <c r="AM1084" s="74"/>
      <c r="AN1084" s="74"/>
      <c r="AO1084" s="92"/>
      <c r="AP1084" s="92"/>
      <c r="AQ1084" s="92"/>
      <c r="AR1084" s="92"/>
      <c r="AS1084" s="92"/>
      <c r="AT1084" s="92"/>
      <c r="AU1084" s="92"/>
      <c r="AV1084" s="92"/>
      <c r="AW1084" s="92"/>
      <c r="AX1084" s="92"/>
      <c r="BE1084" s="120"/>
      <c r="BF1084" s="120"/>
      <c r="BG1084" s="120"/>
      <c r="BH1084" s="120"/>
      <c r="BI1084" s="120"/>
      <c r="BJ1084" s="120"/>
      <c r="BK1084" s="120"/>
      <c r="BL1084" s="120"/>
      <c r="BM1084" s="120"/>
      <c r="BN1084" s="120"/>
      <c r="BO1084" s="122"/>
      <c r="BP1084" s="123"/>
      <c r="BQ1084" s="120"/>
      <c r="BR1084" s="120"/>
      <c r="BS1084" s="120"/>
      <c r="BT1084" s="120"/>
      <c r="BV1084" s="120"/>
      <c r="BW1084" s="120"/>
      <c r="BY1084" s="81"/>
      <c r="BZ1084" s="81"/>
      <c r="CA1084" s="81"/>
      <c r="CB1084" s="81"/>
      <c r="CC1084" s="81"/>
      <c r="CD1084" s="81"/>
      <c r="CE1084" s="81"/>
      <c r="CF1084" s="81"/>
      <c r="CG1084" s="81"/>
    </row>
    <row r="1085" customFormat="false" ht="15" hidden="false" customHeight="false" outlineLevel="0" collapsed="false">
      <c r="A1085" s="7"/>
      <c r="B1085" s="66"/>
      <c r="C1085" s="8"/>
      <c r="D1085" s="7"/>
      <c r="E1085" s="4"/>
      <c r="F1085" s="7"/>
      <c r="G1085" s="117"/>
      <c r="H1085" s="117"/>
      <c r="I1085" s="88"/>
      <c r="J1085" s="118"/>
      <c r="K1085" s="88"/>
      <c r="L1085" s="88"/>
      <c r="M1085" s="88"/>
      <c r="N1085" s="88"/>
      <c r="O1085" s="88"/>
      <c r="P1085" s="88"/>
      <c r="Q1085" s="88"/>
      <c r="R1085" s="88"/>
      <c r="S1085" s="34"/>
      <c r="T1085" s="119"/>
      <c r="U1085" s="120"/>
      <c r="V1085" s="74"/>
      <c r="W1085" s="74"/>
      <c r="X1085" s="74"/>
      <c r="Y1085" s="74"/>
      <c r="Z1085" s="74"/>
      <c r="AA1085" s="74"/>
      <c r="AB1085" s="74"/>
      <c r="AC1085" s="121"/>
      <c r="AD1085" s="72"/>
      <c r="AE1085" s="72"/>
      <c r="AF1085" s="72"/>
      <c r="AG1085" s="72"/>
      <c r="AH1085" s="72"/>
      <c r="AI1085" s="72"/>
      <c r="AJ1085" s="91"/>
      <c r="AK1085" s="74"/>
      <c r="AL1085" s="74"/>
      <c r="AM1085" s="74"/>
      <c r="AN1085" s="74"/>
      <c r="AO1085" s="92"/>
      <c r="AP1085" s="92"/>
      <c r="AQ1085" s="92"/>
      <c r="AR1085" s="92"/>
      <c r="AS1085" s="92"/>
      <c r="AT1085" s="92"/>
      <c r="AU1085" s="92"/>
      <c r="AV1085" s="92"/>
      <c r="AW1085" s="92"/>
      <c r="AX1085" s="92"/>
      <c r="BE1085" s="120"/>
      <c r="BF1085" s="120"/>
      <c r="BG1085" s="120"/>
      <c r="BH1085" s="120"/>
      <c r="BI1085" s="120"/>
      <c r="BJ1085" s="120"/>
      <c r="BK1085" s="120"/>
      <c r="BL1085" s="120"/>
      <c r="BM1085" s="120"/>
      <c r="BN1085" s="120"/>
      <c r="BO1085" s="122"/>
      <c r="BP1085" s="123"/>
      <c r="BQ1085" s="120"/>
      <c r="BR1085" s="120"/>
      <c r="BS1085" s="120"/>
      <c r="BT1085" s="120"/>
      <c r="BV1085" s="120"/>
      <c r="BW1085" s="120"/>
      <c r="BY1085" s="81"/>
      <c r="BZ1085" s="81"/>
      <c r="CA1085" s="81"/>
      <c r="CB1085" s="81"/>
      <c r="CC1085" s="81"/>
      <c r="CD1085" s="81"/>
      <c r="CE1085" s="81"/>
      <c r="CF1085" s="81"/>
      <c r="CG1085" s="81"/>
    </row>
    <row r="1086" customFormat="false" ht="15" hidden="false" customHeight="false" outlineLevel="0" collapsed="false">
      <c r="A1086" s="7"/>
      <c r="B1086" s="66"/>
      <c r="C1086" s="8"/>
      <c r="D1086" s="7"/>
      <c r="E1086" s="4"/>
      <c r="F1086" s="7"/>
      <c r="G1086" s="117"/>
      <c r="H1086" s="117"/>
      <c r="I1086" s="88"/>
      <c r="J1086" s="118"/>
      <c r="K1086" s="88"/>
      <c r="L1086" s="88"/>
      <c r="M1086" s="88"/>
      <c r="N1086" s="88"/>
      <c r="O1086" s="88"/>
      <c r="P1086" s="88"/>
      <c r="Q1086" s="88"/>
      <c r="R1086" s="88"/>
      <c r="S1086" s="34"/>
      <c r="T1086" s="119"/>
      <c r="U1086" s="120"/>
      <c r="V1086" s="74"/>
      <c r="W1086" s="74"/>
      <c r="X1086" s="74"/>
      <c r="Y1086" s="74"/>
      <c r="Z1086" s="74"/>
      <c r="AA1086" s="74"/>
      <c r="AB1086" s="74"/>
      <c r="AC1086" s="121"/>
      <c r="AD1086" s="72"/>
      <c r="AE1086" s="72"/>
      <c r="AF1086" s="72"/>
      <c r="AG1086" s="72"/>
      <c r="AH1086" s="72"/>
      <c r="AI1086" s="72"/>
      <c r="AJ1086" s="91"/>
      <c r="AK1086" s="74"/>
      <c r="AL1086" s="74"/>
      <c r="AM1086" s="74"/>
      <c r="AN1086" s="74"/>
      <c r="AO1086" s="92"/>
      <c r="AP1086" s="92"/>
      <c r="AQ1086" s="92"/>
      <c r="AR1086" s="92"/>
      <c r="AS1086" s="92"/>
      <c r="AT1086" s="92"/>
      <c r="AU1086" s="92"/>
      <c r="AV1086" s="92"/>
      <c r="AW1086" s="92"/>
      <c r="AX1086" s="92"/>
      <c r="BE1086" s="120"/>
      <c r="BF1086" s="120"/>
      <c r="BG1086" s="120"/>
      <c r="BH1086" s="120"/>
      <c r="BI1086" s="120"/>
      <c r="BJ1086" s="120"/>
      <c r="BK1086" s="120"/>
      <c r="BL1086" s="120"/>
      <c r="BM1086" s="120"/>
      <c r="BN1086" s="120"/>
      <c r="BO1086" s="122"/>
      <c r="BP1086" s="123"/>
      <c r="BQ1086" s="120"/>
      <c r="BR1086" s="120"/>
      <c r="BS1086" s="120"/>
      <c r="BT1086" s="120"/>
      <c r="BV1086" s="120"/>
      <c r="BW1086" s="120"/>
      <c r="BY1086" s="81"/>
      <c r="BZ1086" s="81"/>
      <c r="CA1086" s="81"/>
      <c r="CB1086" s="81"/>
      <c r="CC1086" s="81"/>
      <c r="CD1086" s="81"/>
      <c r="CE1086" s="81"/>
      <c r="CF1086" s="81"/>
      <c r="CG1086" s="81"/>
    </row>
    <row r="1087" customFormat="false" ht="15" hidden="false" customHeight="false" outlineLevel="0" collapsed="false">
      <c r="A1087" s="7"/>
      <c r="B1087" s="66"/>
      <c r="C1087" s="8"/>
      <c r="D1087" s="7"/>
      <c r="E1087" s="4"/>
      <c r="F1087" s="7"/>
      <c r="G1087" s="117"/>
      <c r="H1087" s="117"/>
      <c r="I1087" s="88"/>
      <c r="J1087" s="118"/>
      <c r="K1087" s="88"/>
      <c r="L1087" s="88"/>
      <c r="M1087" s="88"/>
      <c r="N1087" s="88"/>
      <c r="O1087" s="88"/>
      <c r="P1087" s="88"/>
      <c r="Q1087" s="88"/>
      <c r="R1087" s="88"/>
      <c r="S1087" s="34"/>
      <c r="T1087" s="119"/>
      <c r="U1087" s="120"/>
      <c r="V1087" s="74"/>
      <c r="W1087" s="74"/>
      <c r="X1087" s="74"/>
      <c r="Y1087" s="74"/>
      <c r="Z1087" s="74"/>
      <c r="AA1087" s="74"/>
      <c r="AB1087" s="74"/>
      <c r="AC1087" s="121"/>
      <c r="AD1087" s="72"/>
      <c r="AE1087" s="72"/>
      <c r="AF1087" s="72"/>
      <c r="AG1087" s="72"/>
      <c r="AH1087" s="72"/>
      <c r="AI1087" s="72"/>
      <c r="AJ1087" s="91"/>
      <c r="AK1087" s="74"/>
      <c r="AL1087" s="74"/>
      <c r="AM1087" s="74"/>
      <c r="AN1087" s="74"/>
      <c r="AO1087" s="92"/>
      <c r="AP1087" s="92"/>
      <c r="AQ1087" s="92"/>
      <c r="AR1087" s="92"/>
      <c r="AS1087" s="92"/>
      <c r="AT1087" s="92"/>
      <c r="AU1087" s="92"/>
      <c r="AV1087" s="92"/>
      <c r="AW1087" s="92"/>
      <c r="AX1087" s="92"/>
      <c r="BE1087" s="120"/>
      <c r="BF1087" s="120"/>
      <c r="BG1087" s="120"/>
      <c r="BH1087" s="120"/>
      <c r="BI1087" s="120"/>
      <c r="BJ1087" s="120"/>
      <c r="BK1087" s="120"/>
      <c r="BL1087" s="120"/>
      <c r="BM1087" s="120"/>
      <c r="BN1087" s="120"/>
      <c r="BO1087" s="122"/>
      <c r="BP1087" s="123"/>
      <c r="BQ1087" s="120"/>
      <c r="BR1087" s="120"/>
      <c r="BS1087" s="120"/>
      <c r="BT1087" s="120"/>
      <c r="BV1087" s="120"/>
      <c r="BW1087" s="120"/>
      <c r="BY1087" s="81"/>
      <c r="BZ1087" s="81"/>
      <c r="CA1087" s="81"/>
      <c r="CB1087" s="81"/>
      <c r="CC1087" s="81"/>
      <c r="CD1087" s="81"/>
      <c r="CE1087" s="81"/>
      <c r="CF1087" s="81"/>
      <c r="CG1087" s="81"/>
    </row>
    <row r="1088" customFormat="false" ht="15" hidden="false" customHeight="false" outlineLevel="0" collapsed="false">
      <c r="A1088" s="7"/>
      <c r="B1088" s="66"/>
      <c r="C1088" s="8"/>
      <c r="D1088" s="7"/>
      <c r="E1088" s="4"/>
      <c r="F1088" s="7"/>
      <c r="G1088" s="117"/>
      <c r="H1088" s="117"/>
      <c r="I1088" s="88"/>
      <c r="J1088" s="118"/>
      <c r="K1088" s="88"/>
      <c r="L1088" s="88"/>
      <c r="M1088" s="88"/>
      <c r="N1088" s="88"/>
      <c r="O1088" s="88"/>
      <c r="P1088" s="88"/>
      <c r="Q1088" s="88"/>
      <c r="R1088" s="88"/>
      <c r="S1088" s="34"/>
      <c r="T1088" s="119"/>
      <c r="U1088" s="120"/>
      <c r="V1088" s="74"/>
      <c r="W1088" s="74"/>
      <c r="X1088" s="74"/>
      <c r="Y1088" s="74"/>
      <c r="Z1088" s="74"/>
      <c r="AA1088" s="74"/>
      <c r="AB1088" s="74"/>
      <c r="AC1088" s="121"/>
      <c r="AD1088" s="72"/>
      <c r="AE1088" s="72"/>
      <c r="AF1088" s="72"/>
      <c r="AG1088" s="72"/>
      <c r="AH1088" s="72"/>
      <c r="AI1088" s="72"/>
      <c r="AJ1088" s="91"/>
      <c r="AK1088" s="74"/>
      <c r="AL1088" s="74"/>
      <c r="AM1088" s="74"/>
      <c r="AN1088" s="74"/>
      <c r="AO1088" s="92"/>
      <c r="AP1088" s="92"/>
      <c r="AQ1088" s="92"/>
      <c r="AR1088" s="92"/>
      <c r="AS1088" s="92"/>
      <c r="AT1088" s="92"/>
      <c r="AU1088" s="92"/>
      <c r="AV1088" s="92"/>
      <c r="AW1088" s="92"/>
      <c r="AX1088" s="92"/>
      <c r="BE1088" s="120"/>
      <c r="BF1088" s="120"/>
      <c r="BG1088" s="120"/>
      <c r="BH1088" s="120"/>
      <c r="BI1088" s="120"/>
      <c r="BJ1088" s="120"/>
      <c r="BK1088" s="120"/>
      <c r="BL1088" s="120"/>
      <c r="BM1088" s="120"/>
      <c r="BN1088" s="120"/>
      <c r="BO1088" s="122"/>
      <c r="BP1088" s="123"/>
      <c r="BQ1088" s="120"/>
      <c r="BR1088" s="120"/>
      <c r="BS1088" s="120"/>
      <c r="BT1088" s="120"/>
      <c r="BV1088" s="120"/>
      <c r="BW1088" s="120"/>
      <c r="BY1088" s="81"/>
      <c r="BZ1088" s="81"/>
      <c r="CA1088" s="81"/>
      <c r="CB1088" s="81"/>
      <c r="CC1088" s="81"/>
      <c r="CD1088" s="81"/>
      <c r="CE1088" s="81"/>
      <c r="CF1088" s="81"/>
      <c r="CG1088" s="81"/>
    </row>
    <row r="1089" customFormat="false" ht="15" hidden="false" customHeight="false" outlineLevel="0" collapsed="false">
      <c r="A1089" s="7"/>
      <c r="B1089" s="66"/>
      <c r="C1089" s="8"/>
      <c r="D1089" s="7"/>
      <c r="E1089" s="4"/>
      <c r="F1089" s="7"/>
      <c r="G1089" s="117"/>
      <c r="H1089" s="117"/>
      <c r="I1089" s="88"/>
      <c r="J1089" s="118"/>
      <c r="K1089" s="88"/>
      <c r="L1089" s="88"/>
      <c r="M1089" s="88"/>
      <c r="N1089" s="88"/>
      <c r="O1089" s="88"/>
      <c r="P1089" s="88"/>
      <c r="Q1089" s="88"/>
      <c r="R1089" s="88"/>
      <c r="S1089" s="34"/>
      <c r="T1089" s="119"/>
      <c r="U1089" s="120"/>
      <c r="V1089" s="74"/>
      <c r="W1089" s="74"/>
      <c r="X1089" s="74"/>
      <c r="Y1089" s="74"/>
      <c r="Z1089" s="74"/>
      <c r="AA1089" s="74"/>
      <c r="AB1089" s="74"/>
      <c r="AC1089" s="121"/>
      <c r="AD1089" s="72"/>
      <c r="AE1089" s="72"/>
      <c r="AF1089" s="72"/>
      <c r="AG1089" s="72"/>
      <c r="AH1089" s="72"/>
      <c r="AI1089" s="72"/>
      <c r="AJ1089" s="91"/>
      <c r="AK1089" s="74"/>
      <c r="AL1089" s="74"/>
      <c r="AM1089" s="74"/>
      <c r="AN1089" s="74"/>
      <c r="AO1089" s="92"/>
      <c r="AP1089" s="92"/>
      <c r="AQ1089" s="92"/>
      <c r="AR1089" s="92"/>
      <c r="AS1089" s="92"/>
      <c r="AT1089" s="92"/>
      <c r="AU1089" s="92"/>
      <c r="AV1089" s="92"/>
      <c r="AW1089" s="92"/>
      <c r="AX1089" s="92"/>
      <c r="BE1089" s="120"/>
      <c r="BF1089" s="120"/>
      <c r="BG1089" s="120"/>
      <c r="BH1089" s="120"/>
      <c r="BI1089" s="120"/>
      <c r="BJ1089" s="120"/>
      <c r="BK1089" s="120"/>
      <c r="BL1089" s="120"/>
      <c r="BM1089" s="120"/>
      <c r="BN1089" s="120"/>
      <c r="BO1089" s="122"/>
      <c r="BP1089" s="123"/>
      <c r="BQ1089" s="120"/>
      <c r="BR1089" s="120"/>
      <c r="BS1089" s="120"/>
      <c r="BT1089" s="120"/>
      <c r="BV1089" s="120"/>
      <c r="BW1089" s="120"/>
      <c r="BY1089" s="81"/>
      <c r="BZ1089" s="81"/>
      <c r="CA1089" s="81"/>
      <c r="CB1089" s="81"/>
      <c r="CC1089" s="81"/>
      <c r="CD1089" s="81"/>
      <c r="CE1089" s="81"/>
      <c r="CF1089" s="81"/>
      <c r="CG1089" s="81"/>
    </row>
    <row r="1090" customFormat="false" ht="15" hidden="false" customHeight="false" outlineLevel="0" collapsed="false">
      <c r="A1090" s="7"/>
      <c r="B1090" s="66"/>
      <c r="C1090" s="8"/>
      <c r="D1090" s="7"/>
      <c r="E1090" s="4"/>
      <c r="F1090" s="7"/>
      <c r="G1090" s="117"/>
      <c r="H1090" s="117"/>
      <c r="I1090" s="88"/>
      <c r="J1090" s="118"/>
      <c r="K1090" s="88"/>
      <c r="L1090" s="88"/>
      <c r="M1090" s="88"/>
      <c r="N1090" s="88"/>
      <c r="O1090" s="88"/>
      <c r="P1090" s="88"/>
      <c r="Q1090" s="88"/>
      <c r="R1090" s="88"/>
      <c r="S1090" s="34"/>
      <c r="T1090" s="119"/>
      <c r="U1090" s="120"/>
      <c r="V1090" s="74"/>
      <c r="W1090" s="74"/>
      <c r="X1090" s="74"/>
      <c r="Y1090" s="74"/>
      <c r="Z1090" s="74"/>
      <c r="AA1090" s="74"/>
      <c r="AB1090" s="74"/>
      <c r="AC1090" s="121"/>
      <c r="AD1090" s="72"/>
      <c r="AE1090" s="72"/>
      <c r="AF1090" s="72"/>
      <c r="AG1090" s="72"/>
      <c r="AH1090" s="72"/>
      <c r="AI1090" s="72"/>
      <c r="AJ1090" s="91"/>
      <c r="AK1090" s="74"/>
      <c r="AL1090" s="74"/>
      <c r="AM1090" s="74"/>
      <c r="AN1090" s="74"/>
      <c r="AO1090" s="92"/>
      <c r="AP1090" s="92"/>
      <c r="AQ1090" s="92"/>
      <c r="AR1090" s="92"/>
      <c r="AS1090" s="92"/>
      <c r="AT1090" s="92"/>
      <c r="AU1090" s="92"/>
      <c r="AV1090" s="92"/>
      <c r="AW1090" s="92"/>
      <c r="AX1090" s="92"/>
      <c r="BE1090" s="120"/>
      <c r="BF1090" s="120"/>
      <c r="BG1090" s="120"/>
      <c r="BH1090" s="120"/>
      <c r="BI1090" s="120"/>
      <c r="BJ1090" s="120"/>
      <c r="BK1090" s="120"/>
      <c r="BL1090" s="120"/>
      <c r="BM1090" s="120"/>
      <c r="BN1090" s="120"/>
      <c r="BO1090" s="122"/>
      <c r="BP1090" s="123"/>
      <c r="BQ1090" s="120"/>
      <c r="BR1090" s="120"/>
      <c r="BS1090" s="120"/>
      <c r="BT1090" s="120"/>
      <c r="BV1090" s="120"/>
      <c r="BW1090" s="120"/>
      <c r="BY1090" s="81"/>
      <c r="BZ1090" s="81"/>
      <c r="CA1090" s="81"/>
      <c r="CB1090" s="81"/>
      <c r="CC1090" s="81"/>
      <c r="CD1090" s="81"/>
      <c r="CE1090" s="81"/>
      <c r="CF1090" s="81"/>
      <c r="CG1090" s="81"/>
    </row>
    <row r="1091" customFormat="false" ht="15" hidden="false" customHeight="false" outlineLevel="0" collapsed="false">
      <c r="A1091" s="7"/>
      <c r="B1091" s="66"/>
      <c r="C1091" s="8"/>
      <c r="D1091" s="7"/>
      <c r="E1091" s="4"/>
      <c r="F1091" s="7"/>
      <c r="G1091" s="117"/>
      <c r="H1091" s="117"/>
      <c r="I1091" s="88"/>
      <c r="J1091" s="118"/>
      <c r="K1091" s="88"/>
      <c r="L1091" s="88"/>
      <c r="M1091" s="88"/>
      <c r="N1091" s="88"/>
      <c r="O1091" s="88"/>
      <c r="P1091" s="88"/>
      <c r="Q1091" s="88"/>
      <c r="R1091" s="88"/>
      <c r="S1091" s="34"/>
      <c r="T1091" s="119"/>
      <c r="U1091" s="120"/>
      <c r="V1091" s="74"/>
      <c r="W1091" s="74"/>
      <c r="X1091" s="74"/>
      <c r="Y1091" s="74"/>
      <c r="Z1091" s="74"/>
      <c r="AA1091" s="74"/>
      <c r="AB1091" s="74"/>
      <c r="AC1091" s="121"/>
      <c r="AD1091" s="72"/>
      <c r="AE1091" s="72"/>
      <c r="AF1091" s="72"/>
      <c r="AG1091" s="72"/>
      <c r="AH1091" s="72"/>
      <c r="AI1091" s="72"/>
      <c r="AJ1091" s="91"/>
      <c r="AK1091" s="74"/>
      <c r="AL1091" s="74"/>
      <c r="AM1091" s="74"/>
      <c r="AN1091" s="74"/>
      <c r="AO1091" s="92"/>
      <c r="AP1091" s="92"/>
      <c r="AQ1091" s="92"/>
      <c r="AR1091" s="92"/>
      <c r="AS1091" s="92"/>
      <c r="AT1091" s="92"/>
      <c r="AU1091" s="92"/>
      <c r="AV1091" s="92"/>
      <c r="AW1091" s="92"/>
      <c r="AX1091" s="92"/>
      <c r="BE1091" s="120"/>
      <c r="BF1091" s="120"/>
      <c r="BG1091" s="120"/>
      <c r="BH1091" s="120"/>
      <c r="BI1091" s="120"/>
      <c r="BJ1091" s="120"/>
      <c r="BK1091" s="120"/>
      <c r="BL1091" s="120"/>
      <c r="BM1091" s="120"/>
      <c r="BN1091" s="120"/>
      <c r="BO1091" s="122"/>
      <c r="BP1091" s="123"/>
      <c r="BQ1091" s="120"/>
      <c r="BR1091" s="120"/>
      <c r="BS1091" s="120"/>
      <c r="BT1091" s="120"/>
      <c r="BV1091" s="120"/>
      <c r="BW1091" s="120"/>
      <c r="BY1091" s="81"/>
      <c r="BZ1091" s="81"/>
      <c r="CA1091" s="81"/>
      <c r="CB1091" s="81"/>
      <c r="CC1091" s="81"/>
      <c r="CD1091" s="81"/>
      <c r="CE1091" s="81"/>
      <c r="CF1091" s="81"/>
      <c r="CG1091" s="81"/>
    </row>
    <row r="1092" customFormat="false" ht="15" hidden="false" customHeight="false" outlineLevel="0" collapsed="false">
      <c r="A1092" s="7"/>
      <c r="B1092" s="66"/>
      <c r="C1092" s="8"/>
      <c r="D1092" s="7"/>
      <c r="E1092" s="4"/>
      <c r="F1092" s="7"/>
      <c r="G1092" s="117"/>
      <c r="H1092" s="117"/>
      <c r="I1092" s="88"/>
      <c r="J1092" s="118"/>
      <c r="K1092" s="88"/>
      <c r="L1092" s="88"/>
      <c r="M1092" s="88"/>
      <c r="N1092" s="88"/>
      <c r="O1092" s="88"/>
      <c r="P1092" s="88"/>
      <c r="Q1092" s="88"/>
      <c r="R1092" s="88"/>
      <c r="S1092" s="34"/>
      <c r="T1092" s="119"/>
      <c r="U1092" s="120"/>
      <c r="V1092" s="74"/>
      <c r="W1092" s="74"/>
      <c r="X1092" s="74"/>
      <c r="Y1092" s="74"/>
      <c r="Z1092" s="74"/>
      <c r="AA1092" s="74"/>
      <c r="AB1092" s="74"/>
      <c r="AC1092" s="121"/>
      <c r="AD1092" s="72"/>
      <c r="AE1092" s="72"/>
      <c r="AF1092" s="72"/>
      <c r="AG1092" s="72"/>
      <c r="AH1092" s="72"/>
      <c r="AI1092" s="72"/>
      <c r="AJ1092" s="91"/>
      <c r="AK1092" s="74"/>
      <c r="AL1092" s="74"/>
      <c r="AM1092" s="74"/>
      <c r="AN1092" s="74"/>
      <c r="AO1092" s="92"/>
      <c r="AP1092" s="92"/>
      <c r="AQ1092" s="92"/>
      <c r="AR1092" s="92"/>
      <c r="AS1092" s="92"/>
      <c r="AT1092" s="92"/>
      <c r="AU1092" s="92"/>
      <c r="AV1092" s="92"/>
      <c r="AW1092" s="92"/>
      <c r="AX1092" s="92"/>
      <c r="BE1092" s="120"/>
      <c r="BF1092" s="120"/>
      <c r="BG1092" s="120"/>
      <c r="BH1092" s="120"/>
      <c r="BI1092" s="120"/>
      <c r="BJ1092" s="120"/>
      <c r="BK1092" s="120"/>
      <c r="BL1092" s="120"/>
      <c r="BM1092" s="120"/>
      <c r="BN1092" s="120"/>
      <c r="BO1092" s="122"/>
      <c r="BP1092" s="123"/>
      <c r="BQ1092" s="120"/>
      <c r="BR1092" s="120"/>
      <c r="BS1092" s="120"/>
      <c r="BT1092" s="120"/>
      <c r="BV1092" s="120"/>
      <c r="BW1092" s="120"/>
      <c r="BY1092" s="81"/>
      <c r="BZ1092" s="81"/>
      <c r="CA1092" s="81"/>
      <c r="CB1092" s="81"/>
      <c r="CC1092" s="81"/>
      <c r="CD1092" s="81"/>
      <c r="CE1092" s="81"/>
      <c r="CF1092" s="81"/>
      <c r="CG1092" s="81"/>
    </row>
    <row r="1093" customFormat="false" ht="15" hidden="false" customHeight="false" outlineLevel="0" collapsed="false">
      <c r="A1093" s="7"/>
      <c r="B1093" s="66"/>
      <c r="C1093" s="8"/>
      <c r="D1093" s="7"/>
      <c r="E1093" s="4"/>
      <c r="F1093" s="7"/>
      <c r="G1093" s="117"/>
      <c r="H1093" s="117"/>
      <c r="I1093" s="88"/>
      <c r="J1093" s="118"/>
      <c r="K1093" s="88"/>
      <c r="L1093" s="88"/>
      <c r="M1093" s="88"/>
      <c r="N1093" s="88"/>
      <c r="O1093" s="88"/>
      <c r="P1093" s="88"/>
      <c r="Q1093" s="88"/>
      <c r="R1093" s="88"/>
      <c r="S1093" s="34"/>
      <c r="T1093" s="119"/>
      <c r="U1093" s="120"/>
      <c r="V1093" s="74"/>
      <c r="W1093" s="74"/>
      <c r="X1093" s="74"/>
      <c r="Y1093" s="74"/>
      <c r="Z1093" s="74"/>
      <c r="AA1093" s="74"/>
      <c r="AB1093" s="74"/>
      <c r="AC1093" s="121"/>
      <c r="AD1093" s="72"/>
      <c r="AE1093" s="72"/>
      <c r="AF1093" s="72"/>
      <c r="AG1093" s="72"/>
      <c r="AH1093" s="72"/>
      <c r="AI1093" s="72"/>
      <c r="AJ1093" s="91"/>
      <c r="AK1093" s="74"/>
      <c r="AL1093" s="74"/>
      <c r="AM1093" s="74"/>
      <c r="AN1093" s="74"/>
      <c r="AO1093" s="92"/>
      <c r="AP1093" s="92"/>
      <c r="AQ1093" s="92"/>
      <c r="AR1093" s="92"/>
      <c r="AS1093" s="92"/>
      <c r="AT1093" s="92"/>
      <c r="AU1093" s="92"/>
      <c r="AV1093" s="92"/>
      <c r="AW1093" s="92"/>
      <c r="AX1093" s="92"/>
      <c r="BE1093" s="120"/>
      <c r="BF1093" s="120"/>
      <c r="BG1093" s="120"/>
      <c r="BH1093" s="120"/>
      <c r="BI1093" s="120"/>
      <c r="BJ1093" s="120"/>
      <c r="BK1093" s="120"/>
      <c r="BL1093" s="120"/>
      <c r="BM1093" s="120"/>
      <c r="BN1093" s="120"/>
      <c r="BO1093" s="122"/>
      <c r="BP1093" s="123"/>
      <c r="BQ1093" s="120"/>
      <c r="BR1093" s="120"/>
      <c r="BS1093" s="120"/>
      <c r="BT1093" s="120"/>
      <c r="BV1093" s="120"/>
      <c r="BW1093" s="120"/>
      <c r="BY1093" s="81"/>
      <c r="BZ1093" s="81"/>
      <c r="CA1093" s="81"/>
      <c r="CB1093" s="81"/>
      <c r="CC1093" s="81"/>
      <c r="CD1093" s="81"/>
      <c r="CE1093" s="81"/>
      <c r="CF1093" s="81"/>
      <c r="CG1093" s="81"/>
    </row>
    <row r="1094" customFormat="false" ht="15" hidden="false" customHeight="false" outlineLevel="0" collapsed="false">
      <c r="A1094" s="7"/>
      <c r="B1094" s="66"/>
      <c r="C1094" s="8"/>
      <c r="D1094" s="7"/>
      <c r="E1094" s="4"/>
      <c r="F1094" s="7"/>
      <c r="G1094" s="117"/>
      <c r="H1094" s="117"/>
      <c r="I1094" s="88"/>
      <c r="J1094" s="118"/>
      <c r="K1094" s="88"/>
      <c r="L1094" s="88"/>
      <c r="M1094" s="88"/>
      <c r="N1094" s="88"/>
      <c r="O1094" s="88"/>
      <c r="P1094" s="88"/>
      <c r="Q1094" s="88"/>
      <c r="R1094" s="88"/>
      <c r="S1094" s="34"/>
      <c r="T1094" s="119"/>
      <c r="U1094" s="120"/>
      <c r="V1094" s="74"/>
      <c r="W1094" s="74"/>
      <c r="X1094" s="74"/>
      <c r="Y1094" s="74"/>
      <c r="Z1094" s="74"/>
      <c r="AA1094" s="74"/>
      <c r="AB1094" s="74"/>
      <c r="AC1094" s="121"/>
      <c r="AD1094" s="72"/>
      <c r="AE1094" s="72"/>
      <c r="AF1094" s="72"/>
      <c r="AG1094" s="72"/>
      <c r="AH1094" s="72"/>
      <c r="AI1094" s="72"/>
      <c r="AJ1094" s="91"/>
      <c r="AK1094" s="74"/>
      <c r="AL1094" s="74"/>
      <c r="AM1094" s="74"/>
      <c r="AN1094" s="74"/>
      <c r="AO1094" s="92"/>
      <c r="AP1094" s="92"/>
      <c r="AQ1094" s="92"/>
      <c r="AR1094" s="92"/>
      <c r="AS1094" s="92"/>
      <c r="AT1094" s="92"/>
      <c r="AU1094" s="92"/>
      <c r="AV1094" s="92"/>
      <c r="AW1094" s="92"/>
      <c r="AX1094" s="92"/>
      <c r="BE1094" s="120"/>
      <c r="BF1094" s="120"/>
      <c r="BG1094" s="120"/>
      <c r="BH1094" s="120"/>
      <c r="BI1094" s="120"/>
      <c r="BJ1094" s="120"/>
      <c r="BK1094" s="120"/>
      <c r="BL1094" s="120"/>
      <c r="BM1094" s="120"/>
      <c r="BN1094" s="120"/>
      <c r="BO1094" s="122"/>
      <c r="BP1094" s="123"/>
      <c r="BQ1094" s="120"/>
      <c r="BR1094" s="120"/>
      <c r="BS1094" s="120"/>
      <c r="BT1094" s="120"/>
      <c r="BV1094" s="120"/>
      <c r="BW1094" s="120"/>
      <c r="BY1094" s="81"/>
      <c r="BZ1094" s="81"/>
      <c r="CA1094" s="81"/>
      <c r="CB1094" s="81"/>
      <c r="CC1094" s="81"/>
      <c r="CD1094" s="81"/>
      <c r="CE1094" s="81"/>
      <c r="CF1094" s="81"/>
      <c r="CG1094" s="81"/>
    </row>
    <row r="1095" customFormat="false" ht="15" hidden="false" customHeight="false" outlineLevel="0" collapsed="false">
      <c r="A1095" s="7"/>
      <c r="B1095" s="66"/>
      <c r="C1095" s="8"/>
      <c r="D1095" s="7"/>
      <c r="E1095" s="4"/>
      <c r="F1095" s="7"/>
      <c r="G1095" s="117"/>
      <c r="H1095" s="117"/>
      <c r="I1095" s="88"/>
      <c r="J1095" s="118"/>
      <c r="K1095" s="88"/>
      <c r="L1095" s="88"/>
      <c r="M1095" s="88"/>
      <c r="N1095" s="88"/>
      <c r="O1095" s="88"/>
      <c r="P1095" s="88"/>
      <c r="Q1095" s="88"/>
      <c r="R1095" s="88"/>
      <c r="S1095" s="34"/>
      <c r="T1095" s="119"/>
      <c r="U1095" s="120"/>
      <c r="V1095" s="74"/>
      <c r="W1095" s="74"/>
      <c r="X1095" s="74"/>
      <c r="Y1095" s="74"/>
      <c r="Z1095" s="74"/>
      <c r="AA1095" s="74"/>
      <c r="AB1095" s="74"/>
      <c r="AC1095" s="121"/>
      <c r="AD1095" s="72"/>
      <c r="AE1095" s="72"/>
      <c r="AF1095" s="72"/>
      <c r="AG1095" s="72"/>
      <c r="AH1095" s="72"/>
      <c r="AI1095" s="72"/>
      <c r="AJ1095" s="91"/>
      <c r="AK1095" s="74"/>
      <c r="AL1095" s="74"/>
      <c r="AM1095" s="74"/>
      <c r="AN1095" s="74"/>
      <c r="AO1095" s="92"/>
      <c r="AP1095" s="92"/>
      <c r="AQ1095" s="92"/>
      <c r="AR1095" s="92"/>
      <c r="AS1095" s="92"/>
      <c r="AT1095" s="92"/>
      <c r="AU1095" s="92"/>
      <c r="AV1095" s="92"/>
      <c r="AW1095" s="92"/>
      <c r="AX1095" s="92"/>
      <c r="BE1095" s="120"/>
      <c r="BF1095" s="120"/>
      <c r="BG1095" s="120"/>
      <c r="BH1095" s="120"/>
      <c r="BI1095" s="120"/>
      <c r="BJ1095" s="120"/>
      <c r="BK1095" s="120"/>
      <c r="BL1095" s="120"/>
      <c r="BM1095" s="120"/>
      <c r="BN1095" s="120"/>
      <c r="BO1095" s="122"/>
      <c r="BP1095" s="123"/>
      <c r="BQ1095" s="120"/>
      <c r="BR1095" s="120"/>
      <c r="BS1095" s="120"/>
      <c r="BT1095" s="120"/>
      <c r="BV1095" s="120"/>
      <c r="BW1095" s="120"/>
      <c r="BY1095" s="81"/>
      <c r="BZ1095" s="81"/>
      <c r="CA1095" s="81"/>
      <c r="CB1095" s="81"/>
      <c r="CC1095" s="81"/>
      <c r="CD1095" s="81"/>
      <c r="CE1095" s="81"/>
      <c r="CF1095" s="81"/>
      <c r="CG1095" s="81"/>
    </row>
    <row r="1096" customFormat="false" ht="15" hidden="false" customHeight="false" outlineLevel="0" collapsed="false">
      <c r="A1096" s="7"/>
      <c r="B1096" s="66"/>
      <c r="C1096" s="8"/>
      <c r="D1096" s="7"/>
      <c r="E1096" s="4"/>
      <c r="F1096" s="7"/>
      <c r="G1096" s="117"/>
      <c r="H1096" s="117"/>
      <c r="I1096" s="88"/>
      <c r="J1096" s="118"/>
      <c r="K1096" s="88"/>
      <c r="L1096" s="88"/>
      <c r="M1096" s="88"/>
      <c r="N1096" s="88"/>
      <c r="O1096" s="88"/>
      <c r="P1096" s="88"/>
      <c r="Q1096" s="88"/>
      <c r="R1096" s="88"/>
      <c r="S1096" s="34"/>
      <c r="T1096" s="119"/>
      <c r="U1096" s="120"/>
      <c r="V1096" s="74"/>
      <c r="W1096" s="74"/>
      <c r="X1096" s="74"/>
      <c r="Y1096" s="74"/>
      <c r="Z1096" s="74"/>
      <c r="AA1096" s="74"/>
      <c r="AB1096" s="74"/>
      <c r="AC1096" s="121"/>
      <c r="AD1096" s="72"/>
      <c r="AE1096" s="72"/>
      <c r="AF1096" s="72"/>
      <c r="AG1096" s="72"/>
      <c r="AH1096" s="72"/>
      <c r="AI1096" s="72"/>
      <c r="AJ1096" s="91"/>
      <c r="AK1096" s="74"/>
      <c r="AL1096" s="74"/>
      <c r="AM1096" s="74"/>
      <c r="AN1096" s="74"/>
      <c r="AO1096" s="92"/>
      <c r="AP1096" s="92"/>
      <c r="AQ1096" s="92"/>
      <c r="AR1096" s="92"/>
      <c r="AS1096" s="92"/>
      <c r="AT1096" s="92"/>
      <c r="AU1096" s="92"/>
      <c r="AV1096" s="92"/>
      <c r="AW1096" s="92"/>
      <c r="AX1096" s="92"/>
      <c r="BE1096" s="120"/>
      <c r="BF1096" s="120"/>
      <c r="BG1096" s="120"/>
      <c r="BH1096" s="120"/>
      <c r="BI1096" s="120"/>
      <c r="BJ1096" s="120"/>
      <c r="BK1096" s="120"/>
      <c r="BL1096" s="120"/>
      <c r="BM1096" s="120"/>
      <c r="BN1096" s="120"/>
      <c r="BO1096" s="122"/>
      <c r="BP1096" s="123"/>
      <c r="BQ1096" s="120"/>
      <c r="BR1096" s="120"/>
      <c r="BS1096" s="120"/>
      <c r="BT1096" s="120"/>
      <c r="BV1096" s="120"/>
      <c r="BW1096" s="120"/>
      <c r="BY1096" s="81"/>
      <c r="BZ1096" s="81"/>
      <c r="CA1096" s="81"/>
      <c r="CB1096" s="81"/>
      <c r="CC1096" s="81"/>
      <c r="CD1096" s="81"/>
      <c r="CE1096" s="81"/>
      <c r="CF1096" s="81"/>
      <c r="CG1096" s="81"/>
    </row>
    <row r="1097" customFormat="false" ht="15" hidden="false" customHeight="false" outlineLevel="0" collapsed="false">
      <c r="A1097" s="7"/>
      <c r="B1097" s="66"/>
      <c r="C1097" s="8"/>
      <c r="D1097" s="7"/>
      <c r="E1097" s="4"/>
      <c r="F1097" s="7"/>
      <c r="G1097" s="117"/>
      <c r="H1097" s="117"/>
      <c r="I1097" s="88"/>
      <c r="J1097" s="118"/>
      <c r="K1097" s="88"/>
      <c r="L1097" s="88"/>
      <c r="M1097" s="88"/>
      <c r="N1097" s="88"/>
      <c r="O1097" s="88"/>
      <c r="P1097" s="88"/>
      <c r="Q1097" s="88"/>
      <c r="R1097" s="88"/>
      <c r="S1097" s="34"/>
      <c r="T1097" s="119"/>
      <c r="U1097" s="120"/>
      <c r="V1097" s="74"/>
      <c r="W1097" s="74"/>
      <c r="X1097" s="74"/>
      <c r="Y1097" s="74"/>
      <c r="Z1097" s="74"/>
      <c r="AA1097" s="74"/>
      <c r="AB1097" s="74"/>
      <c r="AC1097" s="121"/>
      <c r="AD1097" s="72"/>
      <c r="AE1097" s="72"/>
      <c r="AF1097" s="72"/>
      <c r="AG1097" s="72"/>
      <c r="AH1097" s="72"/>
      <c r="AI1097" s="72"/>
      <c r="AJ1097" s="91"/>
      <c r="AK1097" s="74"/>
      <c r="AL1097" s="74"/>
      <c r="AM1097" s="74"/>
      <c r="AN1097" s="74"/>
      <c r="AO1097" s="92"/>
      <c r="AP1097" s="92"/>
      <c r="AQ1097" s="92"/>
      <c r="AR1097" s="92"/>
      <c r="AS1097" s="92"/>
      <c r="AT1097" s="92"/>
      <c r="AU1097" s="92"/>
      <c r="AV1097" s="92"/>
      <c r="AW1097" s="92"/>
      <c r="AX1097" s="92"/>
      <c r="BE1097" s="120"/>
      <c r="BF1097" s="120"/>
      <c r="BG1097" s="120"/>
      <c r="BH1097" s="120"/>
      <c r="BI1097" s="120"/>
      <c r="BJ1097" s="120"/>
      <c r="BK1097" s="120"/>
      <c r="BL1097" s="120"/>
      <c r="BM1097" s="120"/>
      <c r="BN1097" s="120"/>
      <c r="BO1097" s="122"/>
      <c r="BP1097" s="123"/>
      <c r="BQ1097" s="120"/>
      <c r="BR1097" s="120"/>
      <c r="BS1097" s="120"/>
      <c r="BT1097" s="120"/>
      <c r="BV1097" s="120"/>
      <c r="BW1097" s="120"/>
      <c r="BY1097" s="81"/>
      <c r="BZ1097" s="81"/>
      <c r="CA1097" s="81"/>
      <c r="CB1097" s="81"/>
      <c r="CC1097" s="81"/>
      <c r="CD1097" s="81"/>
      <c r="CE1097" s="81"/>
      <c r="CF1097" s="81"/>
      <c r="CG1097" s="81"/>
    </row>
    <row r="1098" customFormat="false" ht="15" hidden="false" customHeight="false" outlineLevel="0" collapsed="false">
      <c r="A1098" s="7"/>
      <c r="B1098" s="66"/>
      <c r="C1098" s="8"/>
      <c r="D1098" s="7"/>
      <c r="E1098" s="4"/>
      <c r="F1098" s="7"/>
      <c r="G1098" s="117"/>
      <c r="H1098" s="117"/>
      <c r="I1098" s="88"/>
      <c r="J1098" s="118"/>
      <c r="K1098" s="88"/>
      <c r="L1098" s="88"/>
      <c r="M1098" s="88"/>
      <c r="N1098" s="88"/>
      <c r="O1098" s="88"/>
      <c r="P1098" s="88"/>
      <c r="Q1098" s="88"/>
      <c r="R1098" s="88"/>
      <c r="S1098" s="34"/>
      <c r="T1098" s="119"/>
      <c r="U1098" s="120"/>
      <c r="V1098" s="74"/>
      <c r="W1098" s="74"/>
      <c r="X1098" s="74"/>
      <c r="Y1098" s="74"/>
      <c r="Z1098" s="74"/>
      <c r="AA1098" s="74"/>
      <c r="AB1098" s="74"/>
      <c r="AC1098" s="121"/>
      <c r="AD1098" s="72"/>
      <c r="AE1098" s="72"/>
      <c r="AF1098" s="72"/>
      <c r="AG1098" s="72"/>
      <c r="AH1098" s="72"/>
      <c r="AI1098" s="72"/>
      <c r="AJ1098" s="91"/>
      <c r="AK1098" s="74"/>
      <c r="AL1098" s="74"/>
      <c r="AM1098" s="74"/>
      <c r="AN1098" s="74"/>
      <c r="AO1098" s="92"/>
      <c r="AP1098" s="92"/>
      <c r="AQ1098" s="92"/>
      <c r="AR1098" s="92"/>
      <c r="AS1098" s="92"/>
      <c r="AT1098" s="92"/>
      <c r="AU1098" s="92"/>
      <c r="AV1098" s="92"/>
      <c r="AW1098" s="92"/>
      <c r="AX1098" s="92"/>
      <c r="BE1098" s="120"/>
      <c r="BF1098" s="120"/>
      <c r="BG1098" s="120"/>
      <c r="BH1098" s="120"/>
      <c r="BI1098" s="120"/>
      <c r="BJ1098" s="120"/>
      <c r="BK1098" s="120"/>
      <c r="BL1098" s="120"/>
      <c r="BM1098" s="120"/>
      <c r="BN1098" s="120"/>
      <c r="BO1098" s="122"/>
      <c r="BP1098" s="123"/>
      <c r="BQ1098" s="120"/>
      <c r="BR1098" s="120"/>
      <c r="BS1098" s="120"/>
      <c r="BT1098" s="120"/>
      <c r="BV1098" s="120"/>
      <c r="BW1098" s="120"/>
      <c r="BY1098" s="81"/>
      <c r="BZ1098" s="81"/>
      <c r="CA1098" s="81"/>
      <c r="CB1098" s="81"/>
      <c r="CC1098" s="81"/>
      <c r="CD1098" s="81"/>
      <c r="CE1098" s="81"/>
      <c r="CF1098" s="81"/>
      <c r="CG1098" s="81"/>
    </row>
    <row r="1099" customFormat="false" ht="15" hidden="false" customHeight="false" outlineLevel="0" collapsed="false">
      <c r="A1099" s="7"/>
      <c r="B1099" s="66"/>
      <c r="C1099" s="8"/>
      <c r="D1099" s="7"/>
      <c r="E1099" s="4"/>
      <c r="F1099" s="7"/>
      <c r="G1099" s="117"/>
      <c r="H1099" s="117"/>
      <c r="I1099" s="88"/>
      <c r="J1099" s="118"/>
      <c r="K1099" s="88"/>
      <c r="L1099" s="88"/>
      <c r="M1099" s="88"/>
      <c r="N1099" s="88"/>
      <c r="O1099" s="88"/>
      <c r="P1099" s="88"/>
      <c r="Q1099" s="88"/>
      <c r="R1099" s="88"/>
      <c r="S1099" s="34"/>
      <c r="T1099" s="119"/>
      <c r="U1099" s="120"/>
      <c r="V1099" s="74"/>
      <c r="W1099" s="74"/>
      <c r="X1099" s="74"/>
      <c r="Y1099" s="74"/>
      <c r="Z1099" s="74"/>
      <c r="AA1099" s="74"/>
      <c r="AB1099" s="74"/>
      <c r="AC1099" s="121"/>
      <c r="AD1099" s="72"/>
      <c r="AE1099" s="72"/>
      <c r="AF1099" s="72"/>
      <c r="AG1099" s="72"/>
      <c r="AH1099" s="72"/>
      <c r="AI1099" s="72"/>
      <c r="AJ1099" s="91"/>
      <c r="AK1099" s="74"/>
      <c r="AL1099" s="74"/>
      <c r="AM1099" s="74"/>
      <c r="AN1099" s="74"/>
      <c r="AO1099" s="92"/>
      <c r="AP1099" s="92"/>
      <c r="AQ1099" s="92"/>
      <c r="AR1099" s="92"/>
      <c r="AS1099" s="92"/>
      <c r="AT1099" s="92"/>
      <c r="AU1099" s="92"/>
      <c r="AV1099" s="92"/>
      <c r="AW1099" s="92"/>
      <c r="AX1099" s="92"/>
      <c r="BE1099" s="120"/>
      <c r="BF1099" s="120"/>
      <c r="BG1099" s="120"/>
      <c r="BH1099" s="120"/>
      <c r="BI1099" s="120"/>
      <c r="BJ1099" s="120"/>
      <c r="BK1099" s="120"/>
      <c r="BL1099" s="120"/>
      <c r="BM1099" s="120"/>
      <c r="BN1099" s="120"/>
      <c r="BO1099" s="122"/>
      <c r="BP1099" s="123"/>
      <c r="BQ1099" s="120"/>
      <c r="BR1099" s="120"/>
      <c r="BS1099" s="120"/>
      <c r="BT1099" s="120"/>
      <c r="BV1099" s="120"/>
      <c r="BW1099" s="120"/>
      <c r="BY1099" s="81"/>
      <c r="BZ1099" s="81"/>
      <c r="CA1099" s="81"/>
      <c r="CB1099" s="81"/>
      <c r="CC1099" s="81"/>
      <c r="CD1099" s="81"/>
      <c r="CE1099" s="81"/>
      <c r="CF1099" s="81"/>
      <c r="CG1099" s="81"/>
    </row>
    <row r="1100" customFormat="false" ht="15" hidden="false" customHeight="false" outlineLevel="0" collapsed="false">
      <c r="A1100" s="7"/>
      <c r="B1100" s="66"/>
      <c r="C1100" s="8"/>
      <c r="D1100" s="7"/>
      <c r="E1100" s="4"/>
      <c r="F1100" s="7"/>
      <c r="G1100" s="117"/>
      <c r="H1100" s="117"/>
      <c r="I1100" s="88"/>
      <c r="J1100" s="118"/>
      <c r="K1100" s="88"/>
      <c r="L1100" s="88"/>
      <c r="M1100" s="88"/>
      <c r="N1100" s="88"/>
      <c r="O1100" s="88"/>
      <c r="P1100" s="88"/>
      <c r="Q1100" s="88"/>
      <c r="R1100" s="88"/>
      <c r="S1100" s="34"/>
      <c r="T1100" s="119"/>
      <c r="U1100" s="120"/>
      <c r="V1100" s="74"/>
      <c r="W1100" s="74"/>
      <c r="X1100" s="74"/>
      <c r="Y1100" s="74"/>
      <c r="Z1100" s="74"/>
      <c r="AA1100" s="74"/>
      <c r="AB1100" s="74"/>
      <c r="AC1100" s="121"/>
      <c r="AD1100" s="72"/>
      <c r="AE1100" s="72"/>
      <c r="AF1100" s="72"/>
      <c r="AG1100" s="72"/>
      <c r="AH1100" s="72"/>
      <c r="AI1100" s="72"/>
      <c r="AJ1100" s="91"/>
      <c r="AK1100" s="74"/>
      <c r="AL1100" s="74"/>
      <c r="AM1100" s="74"/>
      <c r="AN1100" s="74"/>
      <c r="AO1100" s="92"/>
      <c r="AP1100" s="92"/>
      <c r="AQ1100" s="92"/>
      <c r="AR1100" s="92"/>
      <c r="AS1100" s="92"/>
      <c r="AT1100" s="92"/>
      <c r="AU1100" s="92"/>
      <c r="AV1100" s="92"/>
      <c r="AW1100" s="92"/>
      <c r="AX1100" s="92"/>
      <c r="BE1100" s="120"/>
      <c r="BF1100" s="120"/>
      <c r="BG1100" s="120"/>
      <c r="BH1100" s="120"/>
      <c r="BI1100" s="120"/>
      <c r="BJ1100" s="120"/>
      <c r="BK1100" s="120"/>
      <c r="BL1100" s="120"/>
      <c r="BM1100" s="120"/>
      <c r="BN1100" s="120"/>
      <c r="BO1100" s="122"/>
      <c r="BP1100" s="123"/>
      <c r="BQ1100" s="120"/>
      <c r="BR1100" s="120"/>
      <c r="BS1100" s="120"/>
      <c r="BT1100" s="120"/>
      <c r="BV1100" s="120"/>
      <c r="BW1100" s="120"/>
      <c r="BY1100" s="81"/>
      <c r="BZ1100" s="81"/>
      <c r="CA1100" s="81"/>
      <c r="CB1100" s="81"/>
      <c r="CC1100" s="81"/>
      <c r="CD1100" s="81"/>
      <c r="CE1100" s="81"/>
      <c r="CF1100" s="81"/>
      <c r="CG1100" s="81"/>
    </row>
    <row r="1101" customFormat="false" ht="15" hidden="false" customHeight="false" outlineLevel="0" collapsed="false">
      <c r="A1101" s="7"/>
      <c r="B1101" s="66"/>
      <c r="C1101" s="8"/>
      <c r="D1101" s="7"/>
      <c r="E1101" s="4"/>
      <c r="F1101" s="7"/>
      <c r="G1101" s="117"/>
      <c r="H1101" s="117"/>
      <c r="I1101" s="88"/>
      <c r="J1101" s="118"/>
      <c r="K1101" s="88"/>
      <c r="L1101" s="88"/>
      <c r="M1101" s="88"/>
      <c r="N1101" s="88"/>
      <c r="O1101" s="88"/>
      <c r="P1101" s="88"/>
      <c r="Q1101" s="88"/>
      <c r="R1101" s="88"/>
      <c r="S1101" s="34"/>
      <c r="T1101" s="119"/>
      <c r="U1101" s="120"/>
      <c r="V1101" s="74"/>
      <c r="W1101" s="74"/>
      <c r="X1101" s="74"/>
      <c r="Y1101" s="74"/>
      <c r="Z1101" s="74"/>
      <c r="AA1101" s="74"/>
      <c r="AB1101" s="74"/>
      <c r="AC1101" s="121"/>
      <c r="AD1101" s="72"/>
      <c r="AE1101" s="72"/>
      <c r="AF1101" s="72"/>
      <c r="AG1101" s="72"/>
      <c r="AH1101" s="72"/>
      <c r="AI1101" s="72"/>
      <c r="AJ1101" s="91"/>
      <c r="AK1101" s="74"/>
      <c r="AL1101" s="74"/>
      <c r="AM1101" s="74"/>
      <c r="AN1101" s="74"/>
      <c r="AO1101" s="92"/>
      <c r="AP1101" s="92"/>
      <c r="AQ1101" s="92"/>
      <c r="AR1101" s="92"/>
      <c r="AS1101" s="92"/>
      <c r="AT1101" s="92"/>
      <c r="AU1101" s="92"/>
      <c r="AV1101" s="92"/>
      <c r="AW1101" s="92"/>
      <c r="AX1101" s="92"/>
      <c r="BE1101" s="120"/>
      <c r="BF1101" s="120"/>
      <c r="BG1101" s="120"/>
      <c r="BH1101" s="120"/>
      <c r="BI1101" s="120"/>
      <c r="BJ1101" s="120"/>
      <c r="BK1101" s="120"/>
      <c r="BL1101" s="120"/>
      <c r="BM1101" s="120"/>
      <c r="BN1101" s="120"/>
      <c r="BO1101" s="122"/>
      <c r="BP1101" s="123"/>
      <c r="BQ1101" s="120"/>
      <c r="BR1101" s="120"/>
      <c r="BS1101" s="120"/>
      <c r="BT1101" s="120"/>
      <c r="BV1101" s="120"/>
      <c r="BW1101" s="120"/>
      <c r="BY1101" s="81"/>
      <c r="BZ1101" s="81"/>
      <c r="CA1101" s="81"/>
      <c r="CB1101" s="81"/>
      <c r="CC1101" s="81"/>
      <c r="CD1101" s="81"/>
      <c r="CE1101" s="81"/>
      <c r="CF1101" s="81"/>
      <c r="CG1101" s="81"/>
    </row>
    <row r="1102" customFormat="false" ht="15" hidden="false" customHeight="false" outlineLevel="0" collapsed="false">
      <c r="A1102" s="7"/>
      <c r="B1102" s="66"/>
      <c r="C1102" s="8"/>
      <c r="D1102" s="7"/>
      <c r="E1102" s="4"/>
      <c r="F1102" s="7"/>
      <c r="G1102" s="117"/>
      <c r="H1102" s="117"/>
      <c r="I1102" s="88"/>
      <c r="J1102" s="118"/>
      <c r="K1102" s="88"/>
      <c r="L1102" s="88"/>
      <c r="M1102" s="88"/>
      <c r="N1102" s="88"/>
      <c r="O1102" s="88"/>
      <c r="P1102" s="88"/>
      <c r="Q1102" s="88"/>
      <c r="R1102" s="88"/>
      <c r="S1102" s="34"/>
      <c r="T1102" s="119"/>
      <c r="U1102" s="120"/>
      <c r="V1102" s="74"/>
      <c r="W1102" s="74"/>
      <c r="X1102" s="74"/>
      <c r="Y1102" s="74"/>
      <c r="Z1102" s="74"/>
      <c r="AA1102" s="74"/>
      <c r="AB1102" s="74"/>
      <c r="AC1102" s="121"/>
      <c r="AD1102" s="72"/>
      <c r="AE1102" s="72"/>
      <c r="AF1102" s="72"/>
      <c r="AG1102" s="72"/>
      <c r="AH1102" s="72"/>
      <c r="AI1102" s="72"/>
      <c r="AJ1102" s="91"/>
      <c r="AK1102" s="74"/>
      <c r="AL1102" s="74"/>
      <c r="AM1102" s="74"/>
      <c r="AN1102" s="74"/>
      <c r="AO1102" s="92"/>
      <c r="AP1102" s="92"/>
      <c r="AQ1102" s="92"/>
      <c r="AR1102" s="92"/>
      <c r="AS1102" s="92"/>
      <c r="AT1102" s="92"/>
      <c r="AU1102" s="92"/>
      <c r="AV1102" s="92"/>
      <c r="AW1102" s="92"/>
      <c r="AX1102" s="92"/>
      <c r="BE1102" s="120"/>
      <c r="BF1102" s="120"/>
      <c r="BG1102" s="120"/>
      <c r="BH1102" s="120"/>
      <c r="BI1102" s="120"/>
      <c r="BJ1102" s="120"/>
      <c r="BK1102" s="120"/>
      <c r="BL1102" s="120"/>
      <c r="BM1102" s="120"/>
      <c r="BN1102" s="120"/>
      <c r="BO1102" s="122"/>
      <c r="BP1102" s="123"/>
      <c r="BQ1102" s="120"/>
      <c r="BR1102" s="120"/>
      <c r="BS1102" s="120"/>
      <c r="BT1102" s="120"/>
      <c r="BV1102" s="120"/>
      <c r="BW1102" s="120"/>
      <c r="BY1102" s="81"/>
      <c r="BZ1102" s="81"/>
      <c r="CA1102" s="81"/>
      <c r="CB1102" s="81"/>
      <c r="CC1102" s="81"/>
      <c r="CD1102" s="81"/>
      <c r="CE1102" s="81"/>
      <c r="CF1102" s="81"/>
      <c r="CG1102" s="81"/>
    </row>
    <row r="1103" customFormat="false" ht="15" hidden="false" customHeight="false" outlineLevel="0" collapsed="false">
      <c r="A1103" s="7"/>
      <c r="B1103" s="66"/>
      <c r="C1103" s="8"/>
      <c r="D1103" s="7"/>
      <c r="E1103" s="4"/>
      <c r="F1103" s="7"/>
      <c r="G1103" s="117"/>
      <c r="H1103" s="117"/>
      <c r="I1103" s="88"/>
      <c r="J1103" s="118"/>
      <c r="K1103" s="88"/>
      <c r="L1103" s="88"/>
      <c r="M1103" s="88"/>
      <c r="N1103" s="88"/>
      <c r="O1103" s="88"/>
      <c r="P1103" s="88"/>
      <c r="Q1103" s="88"/>
      <c r="R1103" s="88"/>
      <c r="S1103" s="34"/>
      <c r="T1103" s="119"/>
      <c r="U1103" s="120"/>
      <c r="V1103" s="74"/>
      <c r="W1103" s="74"/>
      <c r="X1103" s="74"/>
      <c r="Y1103" s="74"/>
      <c r="Z1103" s="74"/>
      <c r="AA1103" s="74"/>
      <c r="AB1103" s="74"/>
      <c r="AC1103" s="121"/>
      <c r="AD1103" s="72"/>
      <c r="AE1103" s="72"/>
      <c r="AF1103" s="72"/>
      <c r="AG1103" s="72"/>
      <c r="AH1103" s="72"/>
      <c r="AI1103" s="72"/>
      <c r="AJ1103" s="91"/>
      <c r="AK1103" s="74"/>
      <c r="AL1103" s="74"/>
      <c r="AM1103" s="74"/>
      <c r="AN1103" s="74"/>
      <c r="AO1103" s="92"/>
      <c r="AP1103" s="92"/>
      <c r="AQ1103" s="92"/>
      <c r="AR1103" s="92"/>
      <c r="AS1103" s="92"/>
      <c r="AT1103" s="92"/>
      <c r="AU1103" s="92"/>
      <c r="AV1103" s="92"/>
      <c r="AW1103" s="92"/>
      <c r="AX1103" s="92"/>
      <c r="BE1103" s="120"/>
      <c r="BF1103" s="120"/>
      <c r="BG1103" s="120"/>
      <c r="BH1103" s="120"/>
      <c r="BI1103" s="120"/>
      <c r="BJ1103" s="120"/>
      <c r="BK1103" s="120"/>
      <c r="BL1103" s="120"/>
      <c r="BM1103" s="120"/>
      <c r="BN1103" s="120"/>
      <c r="BO1103" s="122"/>
      <c r="BP1103" s="123"/>
      <c r="BQ1103" s="120"/>
      <c r="BR1103" s="120"/>
      <c r="BS1103" s="120"/>
      <c r="BT1103" s="120"/>
      <c r="BV1103" s="120"/>
      <c r="BW1103" s="120"/>
      <c r="BY1103" s="81"/>
      <c r="BZ1103" s="81"/>
      <c r="CA1103" s="81"/>
      <c r="CB1103" s="81"/>
      <c r="CC1103" s="81"/>
      <c r="CD1103" s="81"/>
      <c r="CE1103" s="81"/>
      <c r="CF1103" s="81"/>
      <c r="CG1103" s="81"/>
    </row>
    <row r="1104" customFormat="false" ht="15" hidden="false" customHeight="false" outlineLevel="0" collapsed="false">
      <c r="A1104" s="7"/>
      <c r="B1104" s="66"/>
      <c r="C1104" s="8"/>
      <c r="D1104" s="7"/>
      <c r="E1104" s="4"/>
      <c r="F1104" s="7"/>
      <c r="G1104" s="117"/>
      <c r="H1104" s="117"/>
      <c r="I1104" s="88"/>
      <c r="J1104" s="118"/>
      <c r="K1104" s="88"/>
      <c r="L1104" s="88"/>
      <c r="M1104" s="88"/>
      <c r="N1104" s="88"/>
      <c r="O1104" s="88"/>
      <c r="P1104" s="88"/>
      <c r="Q1104" s="88"/>
      <c r="R1104" s="88"/>
      <c r="S1104" s="34"/>
      <c r="T1104" s="119"/>
      <c r="U1104" s="120"/>
      <c r="V1104" s="74"/>
      <c r="W1104" s="74"/>
      <c r="X1104" s="74"/>
      <c r="Y1104" s="74"/>
      <c r="Z1104" s="74"/>
      <c r="AA1104" s="74"/>
      <c r="AB1104" s="74"/>
      <c r="AC1104" s="121"/>
      <c r="AD1104" s="72"/>
      <c r="AE1104" s="72"/>
      <c r="AF1104" s="72"/>
      <c r="AG1104" s="72"/>
      <c r="AH1104" s="72"/>
      <c r="AI1104" s="72"/>
      <c r="AJ1104" s="91"/>
      <c r="AK1104" s="74"/>
      <c r="AL1104" s="74"/>
      <c r="AM1104" s="74"/>
      <c r="AN1104" s="74"/>
      <c r="AO1104" s="92"/>
      <c r="AP1104" s="92"/>
      <c r="AQ1104" s="92"/>
      <c r="AR1104" s="92"/>
      <c r="AS1104" s="92"/>
      <c r="AT1104" s="92"/>
      <c r="AU1104" s="92"/>
      <c r="AV1104" s="92"/>
      <c r="AW1104" s="92"/>
      <c r="AX1104" s="92"/>
      <c r="BE1104" s="120"/>
      <c r="BF1104" s="120"/>
      <c r="BG1104" s="120"/>
      <c r="BH1104" s="120"/>
      <c r="BI1104" s="120"/>
      <c r="BJ1104" s="120"/>
      <c r="BK1104" s="120"/>
      <c r="BL1104" s="120"/>
      <c r="BM1104" s="120"/>
      <c r="BN1104" s="120"/>
      <c r="BO1104" s="122"/>
      <c r="BP1104" s="123"/>
      <c r="BQ1104" s="120"/>
      <c r="BR1104" s="120"/>
      <c r="BS1104" s="120"/>
      <c r="BT1104" s="120"/>
      <c r="BV1104" s="120"/>
      <c r="BW1104" s="120"/>
      <c r="BY1104" s="81"/>
      <c r="BZ1104" s="81"/>
      <c r="CA1104" s="81"/>
      <c r="CB1104" s="81"/>
      <c r="CC1104" s="81"/>
      <c r="CD1104" s="81"/>
      <c r="CE1104" s="81"/>
      <c r="CF1104" s="81"/>
      <c r="CG1104" s="81"/>
    </row>
    <row r="1105" customFormat="false" ht="15" hidden="false" customHeight="false" outlineLevel="0" collapsed="false">
      <c r="A1105" s="7"/>
      <c r="B1105" s="66"/>
      <c r="C1105" s="8"/>
      <c r="D1105" s="7"/>
      <c r="E1105" s="4"/>
      <c r="F1105" s="7"/>
      <c r="G1105" s="117"/>
      <c r="H1105" s="117"/>
      <c r="I1105" s="88"/>
      <c r="J1105" s="118"/>
      <c r="K1105" s="88"/>
      <c r="L1105" s="88"/>
      <c r="M1105" s="88"/>
      <c r="N1105" s="88"/>
      <c r="O1105" s="88"/>
      <c r="P1105" s="88"/>
      <c r="Q1105" s="88"/>
      <c r="R1105" s="88"/>
      <c r="S1105" s="34"/>
      <c r="T1105" s="119"/>
      <c r="U1105" s="120"/>
      <c r="V1105" s="74"/>
      <c r="W1105" s="74"/>
      <c r="X1105" s="74"/>
      <c r="Y1105" s="74"/>
      <c r="Z1105" s="74"/>
      <c r="AA1105" s="74"/>
      <c r="AB1105" s="74"/>
      <c r="AC1105" s="121"/>
      <c r="AD1105" s="72"/>
      <c r="AE1105" s="72"/>
      <c r="AF1105" s="72"/>
      <c r="AG1105" s="72"/>
      <c r="AH1105" s="72"/>
      <c r="AI1105" s="72"/>
      <c r="AJ1105" s="91"/>
      <c r="AK1105" s="74"/>
      <c r="AL1105" s="74"/>
      <c r="AM1105" s="74"/>
      <c r="AN1105" s="74"/>
      <c r="AO1105" s="92"/>
      <c r="AP1105" s="92"/>
      <c r="AQ1105" s="92"/>
      <c r="AR1105" s="92"/>
      <c r="AS1105" s="92"/>
      <c r="AT1105" s="92"/>
      <c r="AU1105" s="92"/>
      <c r="AV1105" s="92"/>
      <c r="AW1105" s="92"/>
      <c r="AX1105" s="92"/>
      <c r="BE1105" s="120"/>
      <c r="BF1105" s="120"/>
      <c r="BG1105" s="120"/>
      <c r="BH1105" s="120"/>
      <c r="BI1105" s="120"/>
      <c r="BJ1105" s="120"/>
      <c r="BK1105" s="120"/>
      <c r="BL1105" s="120"/>
      <c r="BM1105" s="120"/>
      <c r="BN1105" s="120"/>
      <c r="BO1105" s="122"/>
      <c r="BP1105" s="123"/>
      <c r="BQ1105" s="120"/>
      <c r="BR1105" s="120"/>
      <c r="BS1105" s="120"/>
      <c r="BT1105" s="120"/>
      <c r="BV1105" s="120"/>
      <c r="BW1105" s="120"/>
      <c r="BY1105" s="81"/>
      <c r="BZ1105" s="81"/>
      <c r="CA1105" s="81"/>
      <c r="CB1105" s="81"/>
      <c r="CC1105" s="81"/>
      <c r="CD1105" s="81"/>
      <c r="CE1105" s="81"/>
      <c r="CF1105" s="81"/>
      <c r="CG1105" s="81"/>
    </row>
    <row r="1106" customFormat="false" ht="15" hidden="false" customHeight="false" outlineLevel="0" collapsed="false">
      <c r="A1106" s="7"/>
      <c r="B1106" s="66"/>
      <c r="C1106" s="8"/>
      <c r="D1106" s="7"/>
      <c r="E1106" s="4"/>
      <c r="F1106" s="7"/>
      <c r="G1106" s="117"/>
      <c r="H1106" s="117"/>
      <c r="I1106" s="88"/>
      <c r="J1106" s="118"/>
      <c r="K1106" s="88"/>
      <c r="L1106" s="88"/>
      <c r="M1106" s="88"/>
      <c r="N1106" s="88"/>
      <c r="O1106" s="88"/>
      <c r="P1106" s="88"/>
      <c r="Q1106" s="88"/>
      <c r="R1106" s="88"/>
      <c r="S1106" s="34"/>
      <c r="T1106" s="119"/>
      <c r="U1106" s="120"/>
      <c r="V1106" s="74"/>
      <c r="W1106" s="74"/>
      <c r="X1106" s="74"/>
      <c r="Y1106" s="74"/>
      <c r="Z1106" s="74"/>
      <c r="AA1106" s="74"/>
      <c r="AB1106" s="74"/>
      <c r="AC1106" s="121"/>
      <c r="AD1106" s="72"/>
      <c r="AE1106" s="72"/>
      <c r="AF1106" s="72"/>
      <c r="AG1106" s="72"/>
      <c r="AH1106" s="72"/>
      <c r="AI1106" s="72"/>
      <c r="AJ1106" s="91"/>
      <c r="AK1106" s="74"/>
      <c r="AL1106" s="74"/>
      <c r="AM1106" s="74"/>
      <c r="AN1106" s="74"/>
      <c r="AO1106" s="92"/>
      <c r="AP1106" s="92"/>
      <c r="AQ1106" s="92"/>
      <c r="AR1106" s="92"/>
      <c r="AS1106" s="92"/>
      <c r="AT1106" s="92"/>
      <c r="AU1106" s="92"/>
      <c r="AV1106" s="92"/>
      <c r="AW1106" s="92"/>
      <c r="AX1106" s="92"/>
      <c r="BE1106" s="120"/>
      <c r="BF1106" s="120"/>
      <c r="BG1106" s="120"/>
      <c r="BH1106" s="120"/>
      <c r="BI1106" s="120"/>
      <c r="BJ1106" s="120"/>
      <c r="BK1106" s="120"/>
      <c r="BL1106" s="120"/>
      <c r="BM1106" s="120"/>
      <c r="BN1106" s="120"/>
      <c r="BO1106" s="122"/>
      <c r="BP1106" s="123"/>
      <c r="BQ1106" s="120"/>
      <c r="BR1106" s="120"/>
      <c r="BS1106" s="120"/>
      <c r="BT1106" s="120"/>
      <c r="BV1106" s="120"/>
      <c r="BW1106" s="120"/>
      <c r="BY1106" s="81"/>
      <c r="BZ1106" s="81"/>
      <c r="CA1106" s="81"/>
      <c r="CB1106" s="81"/>
      <c r="CC1106" s="81"/>
      <c r="CD1106" s="81"/>
      <c r="CE1106" s="81"/>
      <c r="CF1106" s="81"/>
      <c r="CG1106" s="81"/>
    </row>
    <row r="1107" customFormat="false" ht="15" hidden="false" customHeight="false" outlineLevel="0" collapsed="false">
      <c r="A1107" s="7"/>
      <c r="B1107" s="66"/>
      <c r="C1107" s="8"/>
      <c r="D1107" s="7"/>
      <c r="E1107" s="4"/>
      <c r="F1107" s="7"/>
      <c r="G1107" s="117"/>
      <c r="H1107" s="117"/>
      <c r="I1107" s="88"/>
      <c r="J1107" s="118"/>
      <c r="K1107" s="88"/>
      <c r="L1107" s="88"/>
      <c r="M1107" s="88"/>
      <c r="N1107" s="88"/>
      <c r="O1107" s="88"/>
      <c r="P1107" s="88"/>
      <c r="Q1107" s="88"/>
      <c r="R1107" s="88"/>
      <c r="S1107" s="34"/>
      <c r="T1107" s="119"/>
      <c r="U1107" s="120"/>
      <c r="V1107" s="74"/>
      <c r="W1107" s="74"/>
      <c r="X1107" s="74"/>
      <c r="Y1107" s="74"/>
      <c r="Z1107" s="74"/>
      <c r="AA1107" s="74"/>
      <c r="AB1107" s="74"/>
      <c r="AC1107" s="121"/>
      <c r="AD1107" s="72"/>
      <c r="AE1107" s="72"/>
      <c r="AF1107" s="72"/>
      <c r="AG1107" s="72"/>
      <c r="AH1107" s="72"/>
      <c r="AI1107" s="72"/>
      <c r="AJ1107" s="91"/>
      <c r="AK1107" s="74"/>
      <c r="AL1107" s="74"/>
      <c r="AM1107" s="74"/>
      <c r="AN1107" s="74"/>
      <c r="AO1107" s="92"/>
      <c r="AP1107" s="92"/>
      <c r="AQ1107" s="92"/>
      <c r="AR1107" s="92"/>
      <c r="AS1107" s="92"/>
      <c r="AT1107" s="92"/>
      <c r="AU1107" s="92"/>
      <c r="AV1107" s="92"/>
      <c r="AW1107" s="92"/>
      <c r="AX1107" s="92"/>
      <c r="BE1107" s="120"/>
      <c r="BF1107" s="120"/>
      <c r="BG1107" s="120"/>
      <c r="BH1107" s="120"/>
      <c r="BI1107" s="120"/>
      <c r="BJ1107" s="120"/>
      <c r="BK1107" s="120"/>
      <c r="BL1107" s="120"/>
      <c r="BM1107" s="120"/>
      <c r="BN1107" s="120"/>
      <c r="BO1107" s="122"/>
      <c r="BP1107" s="123"/>
      <c r="BQ1107" s="120"/>
      <c r="BR1107" s="120"/>
      <c r="BS1107" s="120"/>
      <c r="BT1107" s="120"/>
      <c r="BV1107" s="120"/>
      <c r="BW1107" s="120"/>
      <c r="BY1107" s="81"/>
      <c r="BZ1107" s="81"/>
      <c r="CA1107" s="81"/>
      <c r="CB1107" s="81"/>
      <c r="CC1107" s="81"/>
      <c r="CD1107" s="81"/>
      <c r="CE1107" s="81"/>
      <c r="CF1107" s="81"/>
      <c r="CG1107" s="81"/>
    </row>
    <row r="1108" customFormat="false" ht="15" hidden="false" customHeight="false" outlineLevel="0" collapsed="false">
      <c r="A1108" s="7"/>
      <c r="B1108" s="66"/>
      <c r="C1108" s="8"/>
      <c r="D1108" s="7"/>
      <c r="E1108" s="4"/>
      <c r="F1108" s="7"/>
      <c r="G1108" s="117"/>
      <c r="H1108" s="117"/>
      <c r="I1108" s="88"/>
      <c r="J1108" s="118"/>
      <c r="K1108" s="88"/>
      <c r="L1108" s="88"/>
      <c r="M1108" s="88"/>
      <c r="N1108" s="88"/>
      <c r="O1108" s="88"/>
      <c r="P1108" s="88"/>
      <c r="Q1108" s="88"/>
      <c r="R1108" s="88"/>
      <c r="S1108" s="34"/>
      <c r="T1108" s="119"/>
      <c r="U1108" s="120"/>
      <c r="V1108" s="74"/>
      <c r="W1108" s="74"/>
      <c r="X1108" s="74"/>
      <c r="Y1108" s="74"/>
      <c r="Z1108" s="74"/>
      <c r="AA1108" s="74"/>
      <c r="AB1108" s="74"/>
      <c r="AC1108" s="121"/>
      <c r="AD1108" s="72"/>
      <c r="AE1108" s="72"/>
      <c r="AF1108" s="72"/>
      <c r="AG1108" s="72"/>
      <c r="AH1108" s="72"/>
      <c r="AI1108" s="72"/>
      <c r="AJ1108" s="91"/>
      <c r="AK1108" s="74"/>
      <c r="AL1108" s="74"/>
      <c r="AM1108" s="74"/>
      <c r="AN1108" s="74"/>
      <c r="AO1108" s="92"/>
      <c r="AP1108" s="92"/>
      <c r="AQ1108" s="92"/>
      <c r="AR1108" s="92"/>
      <c r="AS1108" s="92"/>
      <c r="AT1108" s="92"/>
      <c r="AU1108" s="92"/>
      <c r="AV1108" s="92"/>
      <c r="AW1108" s="92"/>
      <c r="AX1108" s="92"/>
      <c r="BE1108" s="120"/>
      <c r="BF1108" s="120"/>
      <c r="BG1108" s="120"/>
      <c r="BH1108" s="120"/>
      <c r="BI1108" s="120"/>
      <c r="BJ1108" s="120"/>
      <c r="BK1108" s="120"/>
      <c r="BL1108" s="120"/>
      <c r="BM1108" s="120"/>
      <c r="BN1108" s="120"/>
      <c r="BO1108" s="122"/>
      <c r="BP1108" s="123"/>
      <c r="BQ1108" s="120"/>
      <c r="BR1108" s="120"/>
      <c r="BS1108" s="120"/>
      <c r="BT1108" s="120"/>
      <c r="BV1108" s="120"/>
      <c r="BW1108" s="120"/>
      <c r="BY1108" s="81"/>
      <c r="BZ1108" s="81"/>
      <c r="CA1108" s="81"/>
      <c r="CB1108" s="81"/>
      <c r="CC1108" s="81"/>
      <c r="CD1108" s="81"/>
      <c r="CE1108" s="81"/>
      <c r="CF1108" s="81"/>
      <c r="CG1108" s="81"/>
    </row>
    <row r="1109" customFormat="false" ht="15" hidden="false" customHeight="false" outlineLevel="0" collapsed="false">
      <c r="A1109" s="7"/>
      <c r="B1109" s="66"/>
      <c r="C1109" s="8"/>
      <c r="D1109" s="7"/>
      <c r="E1109" s="4"/>
      <c r="F1109" s="7"/>
      <c r="G1109" s="117"/>
      <c r="H1109" s="117"/>
      <c r="I1109" s="88"/>
      <c r="J1109" s="118"/>
      <c r="K1109" s="88"/>
      <c r="L1109" s="88"/>
      <c r="M1109" s="88"/>
      <c r="N1109" s="88"/>
      <c r="O1109" s="88"/>
      <c r="P1109" s="88"/>
      <c r="Q1109" s="88"/>
      <c r="R1109" s="88"/>
      <c r="S1109" s="34"/>
      <c r="T1109" s="119"/>
      <c r="U1109" s="120"/>
      <c r="V1109" s="74"/>
      <c r="W1109" s="74"/>
      <c r="X1109" s="74"/>
      <c r="Y1109" s="74"/>
      <c r="Z1109" s="74"/>
      <c r="AA1109" s="74"/>
      <c r="AB1109" s="74"/>
      <c r="AC1109" s="121"/>
      <c r="AD1109" s="72"/>
      <c r="AE1109" s="72"/>
      <c r="AF1109" s="72"/>
      <c r="AG1109" s="72"/>
      <c r="AH1109" s="72"/>
      <c r="AI1109" s="72"/>
      <c r="AJ1109" s="91"/>
      <c r="AK1109" s="74"/>
      <c r="AL1109" s="74"/>
      <c r="AM1109" s="74"/>
      <c r="AN1109" s="74"/>
      <c r="AO1109" s="92"/>
      <c r="AP1109" s="92"/>
      <c r="AQ1109" s="92"/>
      <c r="AR1109" s="92"/>
      <c r="AS1109" s="92"/>
      <c r="AT1109" s="92"/>
      <c r="AU1109" s="92"/>
      <c r="AV1109" s="92"/>
      <c r="AW1109" s="92"/>
      <c r="AX1109" s="92"/>
      <c r="BE1109" s="120"/>
      <c r="BF1109" s="120"/>
      <c r="BG1109" s="120"/>
      <c r="BH1109" s="120"/>
      <c r="BI1109" s="120"/>
      <c r="BJ1109" s="120"/>
      <c r="BK1109" s="120"/>
      <c r="BL1109" s="120"/>
      <c r="BM1109" s="120"/>
      <c r="BN1109" s="120"/>
      <c r="BO1109" s="122"/>
      <c r="BP1109" s="123"/>
      <c r="BQ1109" s="120"/>
      <c r="BR1109" s="120"/>
      <c r="BS1109" s="120"/>
      <c r="BT1109" s="120"/>
      <c r="BV1109" s="120"/>
      <c r="BW1109" s="120"/>
      <c r="BY1109" s="81"/>
      <c r="BZ1109" s="81"/>
      <c r="CA1109" s="81"/>
      <c r="CB1109" s="81"/>
      <c r="CC1109" s="81"/>
      <c r="CD1109" s="81"/>
      <c r="CE1109" s="81"/>
      <c r="CF1109" s="81"/>
      <c r="CG1109" s="81"/>
    </row>
    <row r="1110" customFormat="false" ht="15" hidden="false" customHeight="false" outlineLevel="0" collapsed="false">
      <c r="A1110" s="7"/>
      <c r="B1110" s="66"/>
      <c r="C1110" s="8"/>
      <c r="D1110" s="7"/>
      <c r="E1110" s="4"/>
      <c r="F1110" s="7"/>
      <c r="G1110" s="117"/>
      <c r="H1110" s="117"/>
      <c r="I1110" s="88"/>
      <c r="J1110" s="118"/>
      <c r="K1110" s="88"/>
      <c r="L1110" s="88"/>
      <c r="M1110" s="88"/>
      <c r="N1110" s="88"/>
      <c r="O1110" s="88"/>
      <c r="P1110" s="88"/>
      <c r="Q1110" s="88"/>
      <c r="R1110" s="88"/>
      <c r="S1110" s="34"/>
      <c r="T1110" s="119"/>
      <c r="U1110" s="120"/>
      <c r="V1110" s="74"/>
      <c r="W1110" s="74"/>
      <c r="X1110" s="74"/>
      <c r="Y1110" s="74"/>
      <c r="Z1110" s="74"/>
      <c r="AA1110" s="74"/>
      <c r="AB1110" s="74"/>
      <c r="AC1110" s="121"/>
      <c r="AD1110" s="72"/>
      <c r="AE1110" s="72"/>
      <c r="AF1110" s="72"/>
      <c r="AG1110" s="72"/>
      <c r="AH1110" s="72"/>
      <c r="AI1110" s="72"/>
      <c r="AJ1110" s="91"/>
      <c r="AK1110" s="74"/>
      <c r="AL1110" s="74"/>
      <c r="AM1110" s="74"/>
      <c r="AN1110" s="74"/>
      <c r="AO1110" s="92"/>
      <c r="AP1110" s="92"/>
      <c r="AQ1110" s="92"/>
      <c r="AR1110" s="92"/>
      <c r="AS1110" s="92"/>
      <c r="AT1110" s="92"/>
      <c r="AU1110" s="92"/>
      <c r="AV1110" s="92"/>
      <c r="AW1110" s="92"/>
      <c r="AX1110" s="92"/>
      <c r="BE1110" s="120"/>
      <c r="BF1110" s="120"/>
      <c r="BG1110" s="120"/>
      <c r="BH1110" s="120"/>
      <c r="BI1110" s="120"/>
      <c r="BJ1110" s="120"/>
      <c r="BK1110" s="120"/>
      <c r="BL1110" s="120"/>
      <c r="BM1110" s="120"/>
      <c r="BN1110" s="120"/>
      <c r="BO1110" s="122"/>
      <c r="BP1110" s="123"/>
      <c r="BQ1110" s="120"/>
      <c r="BR1110" s="120"/>
      <c r="BS1110" s="120"/>
      <c r="BT1110" s="120"/>
      <c r="BV1110" s="120"/>
      <c r="BW1110" s="120"/>
      <c r="BY1110" s="81"/>
      <c r="BZ1110" s="81"/>
      <c r="CA1110" s="81"/>
      <c r="CB1110" s="81"/>
      <c r="CC1110" s="81"/>
      <c r="CD1110" s="81"/>
      <c r="CE1110" s="81"/>
      <c r="CF1110" s="81"/>
      <c r="CG1110" s="81"/>
    </row>
    <row r="1111" customFormat="false" ht="15" hidden="false" customHeight="false" outlineLevel="0" collapsed="false">
      <c r="A1111" s="7"/>
      <c r="B1111" s="66"/>
      <c r="C1111" s="8"/>
      <c r="D1111" s="7"/>
      <c r="E1111" s="4"/>
      <c r="F1111" s="7"/>
      <c r="G1111" s="117"/>
      <c r="H1111" s="117"/>
      <c r="I1111" s="88"/>
      <c r="J1111" s="118"/>
      <c r="K1111" s="88"/>
      <c r="L1111" s="88"/>
      <c r="M1111" s="88"/>
      <c r="N1111" s="88"/>
      <c r="O1111" s="88"/>
      <c r="P1111" s="88"/>
      <c r="Q1111" s="88"/>
      <c r="R1111" s="88"/>
      <c r="S1111" s="34"/>
      <c r="T1111" s="119"/>
      <c r="U1111" s="120"/>
      <c r="V1111" s="74"/>
      <c r="W1111" s="74"/>
      <c r="X1111" s="74"/>
      <c r="Y1111" s="74"/>
      <c r="Z1111" s="74"/>
      <c r="AA1111" s="74"/>
      <c r="AB1111" s="74"/>
      <c r="AC1111" s="121"/>
      <c r="AD1111" s="72"/>
      <c r="AE1111" s="72"/>
      <c r="AF1111" s="72"/>
      <c r="AG1111" s="72"/>
      <c r="AH1111" s="72"/>
      <c r="AI1111" s="72"/>
      <c r="AJ1111" s="91"/>
      <c r="AK1111" s="74"/>
      <c r="AL1111" s="74"/>
      <c r="AM1111" s="74"/>
      <c r="AN1111" s="74"/>
      <c r="AO1111" s="92"/>
      <c r="AP1111" s="92"/>
      <c r="AQ1111" s="92"/>
      <c r="AR1111" s="92"/>
      <c r="AS1111" s="92"/>
      <c r="AT1111" s="92"/>
      <c r="AU1111" s="92"/>
      <c r="AV1111" s="92"/>
      <c r="AW1111" s="92"/>
      <c r="AX1111" s="92"/>
      <c r="BE1111" s="120"/>
      <c r="BF1111" s="120"/>
      <c r="BG1111" s="120"/>
      <c r="BH1111" s="120"/>
      <c r="BI1111" s="120"/>
      <c r="BJ1111" s="120"/>
      <c r="BK1111" s="120"/>
      <c r="BL1111" s="120"/>
      <c r="BM1111" s="120"/>
      <c r="BN1111" s="120"/>
      <c r="BO1111" s="122"/>
      <c r="BP1111" s="123"/>
      <c r="BQ1111" s="120"/>
      <c r="BR1111" s="120"/>
      <c r="BS1111" s="120"/>
      <c r="BT1111" s="120"/>
      <c r="BV1111" s="120"/>
      <c r="BW1111" s="120"/>
      <c r="BY1111" s="81"/>
      <c r="BZ1111" s="81"/>
      <c r="CA1111" s="81"/>
      <c r="CB1111" s="81"/>
      <c r="CC1111" s="81"/>
      <c r="CD1111" s="81"/>
      <c r="CE1111" s="81"/>
      <c r="CF1111" s="81"/>
      <c r="CG1111" s="81"/>
    </row>
    <row r="1112" customFormat="false" ht="15" hidden="false" customHeight="false" outlineLevel="0" collapsed="false">
      <c r="A1112" s="7"/>
      <c r="B1112" s="66"/>
      <c r="C1112" s="8"/>
      <c r="D1112" s="7"/>
      <c r="E1112" s="4"/>
      <c r="F1112" s="7"/>
      <c r="G1112" s="117"/>
      <c r="H1112" s="117"/>
      <c r="I1112" s="88"/>
      <c r="J1112" s="118"/>
      <c r="K1112" s="88"/>
      <c r="L1112" s="88"/>
      <c r="M1112" s="88"/>
      <c r="N1112" s="88"/>
      <c r="O1112" s="88"/>
      <c r="P1112" s="88"/>
      <c r="Q1112" s="88"/>
      <c r="R1112" s="88"/>
      <c r="S1112" s="34"/>
      <c r="T1112" s="119"/>
      <c r="U1112" s="120"/>
      <c r="V1112" s="74"/>
      <c r="W1112" s="74"/>
      <c r="X1112" s="74"/>
      <c r="Y1112" s="74"/>
      <c r="Z1112" s="74"/>
      <c r="AA1112" s="74"/>
      <c r="AB1112" s="74"/>
      <c r="AC1112" s="121"/>
      <c r="AD1112" s="72"/>
      <c r="AE1112" s="72"/>
      <c r="AF1112" s="72"/>
      <c r="AG1112" s="72"/>
      <c r="AH1112" s="72"/>
      <c r="AI1112" s="72"/>
      <c r="AJ1112" s="91"/>
      <c r="AK1112" s="74"/>
      <c r="AL1112" s="74"/>
      <c r="AM1112" s="74"/>
      <c r="AN1112" s="74"/>
      <c r="AO1112" s="92"/>
      <c r="AP1112" s="92"/>
      <c r="AQ1112" s="92"/>
      <c r="AR1112" s="92"/>
      <c r="AS1112" s="92"/>
      <c r="AT1112" s="92"/>
      <c r="AU1112" s="92"/>
      <c r="AV1112" s="92"/>
      <c r="AW1112" s="92"/>
      <c r="AX1112" s="92"/>
      <c r="BE1112" s="120"/>
      <c r="BF1112" s="120"/>
      <c r="BG1112" s="120"/>
      <c r="BH1112" s="120"/>
      <c r="BI1112" s="120"/>
      <c r="BJ1112" s="120"/>
      <c r="BK1112" s="120"/>
      <c r="BL1112" s="120"/>
      <c r="BM1112" s="120"/>
      <c r="BN1112" s="120"/>
      <c r="BO1112" s="122"/>
      <c r="BP1112" s="123"/>
      <c r="BQ1112" s="120"/>
      <c r="BR1112" s="120"/>
      <c r="BS1112" s="120"/>
      <c r="BT1112" s="120"/>
      <c r="BV1112" s="120"/>
      <c r="BW1112" s="120"/>
      <c r="BY1112" s="81"/>
      <c r="BZ1112" s="81"/>
      <c r="CA1112" s="81"/>
      <c r="CB1112" s="81"/>
      <c r="CC1112" s="81"/>
      <c r="CD1112" s="81"/>
      <c r="CE1112" s="81"/>
      <c r="CF1112" s="81"/>
      <c r="CG1112" s="81"/>
    </row>
    <row r="1113" customFormat="false" ht="15" hidden="false" customHeight="false" outlineLevel="0" collapsed="false">
      <c r="A1113" s="7"/>
      <c r="B1113" s="66"/>
      <c r="C1113" s="8"/>
      <c r="D1113" s="7"/>
      <c r="E1113" s="4"/>
      <c r="F1113" s="7"/>
      <c r="G1113" s="117"/>
      <c r="H1113" s="117"/>
      <c r="I1113" s="88"/>
      <c r="J1113" s="118"/>
      <c r="K1113" s="88"/>
      <c r="L1113" s="88"/>
      <c r="M1113" s="88"/>
      <c r="N1113" s="88"/>
      <c r="O1113" s="88"/>
      <c r="P1113" s="88"/>
      <c r="Q1113" s="88"/>
      <c r="R1113" s="88"/>
      <c r="S1113" s="34"/>
      <c r="T1113" s="119"/>
      <c r="U1113" s="120"/>
      <c r="V1113" s="74"/>
      <c r="W1113" s="74"/>
      <c r="X1113" s="74"/>
      <c r="Y1113" s="74"/>
      <c r="Z1113" s="74"/>
      <c r="AA1113" s="74"/>
      <c r="AB1113" s="74"/>
      <c r="AC1113" s="121"/>
      <c r="AD1113" s="72"/>
      <c r="AE1113" s="72"/>
      <c r="AF1113" s="72"/>
      <c r="AG1113" s="72"/>
      <c r="AH1113" s="72"/>
      <c r="AI1113" s="72"/>
      <c r="AJ1113" s="91"/>
      <c r="AK1113" s="74"/>
      <c r="AL1113" s="74"/>
      <c r="AM1113" s="74"/>
      <c r="AN1113" s="74"/>
      <c r="AO1113" s="92"/>
      <c r="AP1113" s="92"/>
      <c r="AQ1113" s="92"/>
      <c r="AR1113" s="92"/>
      <c r="AS1113" s="92"/>
      <c r="AT1113" s="92"/>
      <c r="AU1113" s="92"/>
      <c r="AV1113" s="92"/>
      <c r="AW1113" s="92"/>
      <c r="AX1113" s="92"/>
      <c r="BE1113" s="120"/>
      <c r="BF1113" s="120"/>
      <c r="BG1113" s="120"/>
      <c r="BH1113" s="120"/>
      <c r="BI1113" s="120"/>
      <c r="BJ1113" s="120"/>
      <c r="BK1113" s="120"/>
      <c r="BL1113" s="120"/>
      <c r="BM1113" s="120"/>
      <c r="BN1113" s="120"/>
      <c r="BO1113" s="122"/>
      <c r="BP1113" s="123"/>
      <c r="BQ1113" s="120"/>
      <c r="BR1113" s="120"/>
      <c r="BS1113" s="120"/>
      <c r="BT1113" s="120"/>
      <c r="BV1113" s="120"/>
      <c r="BW1113" s="120"/>
      <c r="BY1113" s="81"/>
      <c r="BZ1113" s="81"/>
      <c r="CA1113" s="81"/>
      <c r="CB1113" s="81"/>
      <c r="CC1113" s="81"/>
      <c r="CD1113" s="81"/>
      <c r="CE1113" s="81"/>
      <c r="CF1113" s="81"/>
      <c r="CG1113" s="81"/>
    </row>
    <row r="1114" customFormat="false" ht="15" hidden="false" customHeight="true" outlineLevel="0" collapsed="false">
      <c r="BE1114" s="120"/>
      <c r="BF1114" s="120"/>
      <c r="BG1114" s="120"/>
      <c r="BH1114" s="120"/>
      <c r="BI1114" s="120"/>
      <c r="BJ1114" s="120"/>
      <c r="BK1114" s="120"/>
      <c r="BL1114" s="120"/>
      <c r="BM1114" s="120"/>
      <c r="BN1114" s="120"/>
      <c r="BO1114" s="122"/>
      <c r="BP1114" s="123"/>
      <c r="BQ1114" s="120"/>
      <c r="BR1114" s="120"/>
      <c r="BS1114" s="120"/>
      <c r="BT1114" s="120"/>
      <c r="BV1114" s="120"/>
      <c r="BW1114" s="120"/>
      <c r="BY1114" s="81"/>
      <c r="BZ1114" s="81"/>
      <c r="CA1114" s="81"/>
      <c r="CB1114" s="81"/>
      <c r="CC1114" s="81"/>
      <c r="CD1114" s="81"/>
      <c r="CE1114" s="81"/>
      <c r="CF1114" s="81"/>
      <c r="CG1114" s="81"/>
    </row>
    <row r="1115" customFormat="false" ht="15" hidden="false" customHeight="true" outlineLevel="0" collapsed="false">
      <c r="BE1115" s="120"/>
      <c r="BF1115" s="120"/>
      <c r="BG1115" s="120"/>
      <c r="BH1115" s="120"/>
      <c r="BI1115" s="120"/>
      <c r="BJ1115" s="120"/>
      <c r="BK1115" s="120"/>
      <c r="BL1115" s="120"/>
      <c r="BM1115" s="120"/>
      <c r="BN1115" s="120"/>
      <c r="BO1115" s="122"/>
      <c r="BP1115" s="123"/>
      <c r="BQ1115" s="120"/>
      <c r="BR1115" s="120"/>
      <c r="BS1115" s="120"/>
      <c r="BT1115" s="120"/>
      <c r="BV1115" s="120"/>
      <c r="BW1115" s="120"/>
      <c r="BY1115" s="81"/>
      <c r="BZ1115" s="81"/>
      <c r="CA1115" s="81"/>
      <c r="CB1115" s="81"/>
      <c r="CC1115" s="81"/>
      <c r="CD1115" s="81"/>
      <c r="CE1115" s="81"/>
      <c r="CF1115" s="81"/>
      <c r="CG1115" s="81"/>
    </row>
    <row r="1116" customFormat="false" ht="15" hidden="false" customHeight="true" outlineLevel="0" collapsed="false">
      <c r="BE1116" s="120"/>
      <c r="BF1116" s="120"/>
      <c r="BG1116" s="120"/>
      <c r="BH1116" s="120"/>
      <c r="BI1116" s="120"/>
      <c r="BJ1116" s="120"/>
      <c r="BK1116" s="120"/>
      <c r="BL1116" s="120"/>
      <c r="BM1116" s="120"/>
      <c r="BN1116" s="120"/>
      <c r="BO1116" s="122"/>
      <c r="BP1116" s="123"/>
      <c r="BQ1116" s="120"/>
      <c r="BR1116" s="120"/>
      <c r="BS1116" s="120"/>
      <c r="BT1116" s="120"/>
      <c r="BV1116" s="120"/>
      <c r="BW1116" s="120"/>
      <c r="BY1116" s="81"/>
      <c r="BZ1116" s="81"/>
      <c r="CA1116" s="81"/>
      <c r="CB1116" s="81"/>
      <c r="CC1116" s="81"/>
      <c r="CD1116" s="81"/>
      <c r="CE1116" s="81"/>
      <c r="CF1116" s="81"/>
      <c r="CG1116" s="81"/>
    </row>
    <row r="1117" customFormat="false" ht="15" hidden="false" customHeight="true" outlineLevel="0" collapsed="false">
      <c r="BE1117" s="120"/>
      <c r="BF1117" s="120"/>
      <c r="BG1117" s="120"/>
      <c r="BH1117" s="120"/>
      <c r="BI1117" s="120"/>
      <c r="BJ1117" s="120"/>
      <c r="BK1117" s="120"/>
      <c r="BL1117" s="120"/>
      <c r="BM1117" s="120"/>
      <c r="BN1117" s="120"/>
      <c r="BO1117" s="122"/>
      <c r="BP1117" s="123"/>
      <c r="BQ1117" s="120"/>
      <c r="BR1117" s="120"/>
      <c r="BS1117" s="120"/>
      <c r="BT1117" s="120"/>
      <c r="BV1117" s="120"/>
      <c r="BW1117" s="120"/>
      <c r="BY1117" s="81"/>
      <c r="BZ1117" s="81"/>
      <c r="CA1117" s="81"/>
      <c r="CB1117" s="81"/>
      <c r="CC1117" s="81"/>
      <c r="CD1117" s="81"/>
      <c r="CE1117" s="81"/>
      <c r="CF1117" s="81"/>
      <c r="CG1117" s="81"/>
    </row>
    <row r="1118" customFormat="false" ht="15" hidden="false" customHeight="true" outlineLevel="0" collapsed="false">
      <c r="BE1118" s="120"/>
      <c r="BF1118" s="120"/>
      <c r="BG1118" s="120"/>
      <c r="BH1118" s="120"/>
      <c r="BI1118" s="120"/>
      <c r="BJ1118" s="120"/>
      <c r="BK1118" s="120"/>
      <c r="BL1118" s="120"/>
      <c r="BM1118" s="120"/>
      <c r="BN1118" s="120"/>
      <c r="BO1118" s="122"/>
      <c r="BP1118" s="123"/>
      <c r="BQ1118" s="120"/>
      <c r="BR1118" s="120"/>
      <c r="BS1118" s="120"/>
      <c r="BT1118" s="120"/>
      <c r="BV1118" s="120"/>
      <c r="BW1118" s="120"/>
      <c r="BY1118" s="81"/>
      <c r="BZ1118" s="81"/>
      <c r="CA1118" s="81"/>
      <c r="CB1118" s="81"/>
      <c r="CC1118" s="81"/>
      <c r="CD1118" s="81"/>
      <c r="CE1118" s="81"/>
      <c r="CF1118" s="81"/>
      <c r="CG1118" s="81"/>
    </row>
    <row r="1119" customFormat="false" ht="15" hidden="false" customHeight="true" outlineLevel="0" collapsed="false">
      <c r="BE1119" s="120"/>
      <c r="BF1119" s="120"/>
      <c r="BG1119" s="120"/>
      <c r="BH1119" s="120"/>
      <c r="BI1119" s="120"/>
      <c r="BJ1119" s="120"/>
      <c r="BK1119" s="120"/>
      <c r="BL1119" s="120"/>
      <c r="BM1119" s="120"/>
      <c r="BN1119" s="120"/>
      <c r="BO1119" s="122"/>
      <c r="BP1119" s="123"/>
      <c r="BQ1119" s="120"/>
      <c r="BR1119" s="120"/>
      <c r="BS1119" s="120"/>
      <c r="BT1119" s="120"/>
      <c r="BV1119" s="120"/>
      <c r="BW1119" s="120"/>
      <c r="BY1119" s="81"/>
      <c r="BZ1119" s="81"/>
      <c r="CA1119" s="81"/>
      <c r="CB1119" s="81"/>
      <c r="CC1119" s="81"/>
      <c r="CD1119" s="81"/>
      <c r="CE1119" s="81"/>
      <c r="CF1119" s="81"/>
      <c r="CG1119" s="81"/>
    </row>
    <row r="1120" customFormat="false" ht="15" hidden="false" customHeight="true" outlineLevel="0" collapsed="false">
      <c r="BE1120" s="120"/>
      <c r="BF1120" s="120"/>
      <c r="BG1120" s="120"/>
      <c r="BH1120" s="120"/>
      <c r="BI1120" s="120"/>
      <c r="BJ1120" s="120"/>
      <c r="BK1120" s="120"/>
      <c r="BL1120" s="120"/>
      <c r="BM1120" s="120"/>
      <c r="BN1120" s="120"/>
      <c r="BO1120" s="122"/>
      <c r="BP1120" s="123"/>
      <c r="BQ1120" s="120"/>
      <c r="BR1120" s="120"/>
      <c r="BS1120" s="120"/>
      <c r="BT1120" s="120"/>
      <c r="BV1120" s="120"/>
      <c r="BW1120" s="120"/>
      <c r="BY1120" s="81"/>
      <c r="BZ1120" s="81"/>
      <c r="CA1120" s="81"/>
      <c r="CB1120" s="81"/>
      <c r="CC1120" s="81"/>
      <c r="CD1120" s="81"/>
      <c r="CE1120" s="81"/>
      <c r="CF1120" s="81"/>
      <c r="CG1120" s="8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6.42"/>
  </cols>
  <sheetData>
    <row r="1" customFormat="false" ht="15" hidden="false" customHeight="false" outlineLevel="0" collapsed="false">
      <c r="A1" s="0" t="s">
        <v>0</v>
      </c>
      <c r="B1" s="0" t="s">
        <v>1132</v>
      </c>
    </row>
    <row r="2" customFormat="false" ht="15" hidden="false" customHeight="false" outlineLevel="0" collapsed="false">
      <c r="A2" s="0" t="s">
        <v>1</v>
      </c>
      <c r="B2" s="0" t="s">
        <v>1133</v>
      </c>
    </row>
    <row r="3" customFormat="false" ht="15" hidden="false" customHeight="false" outlineLevel="0" collapsed="false">
      <c r="A3" s="0" t="s">
        <v>2</v>
      </c>
      <c r="B3" s="0" t="s">
        <v>1134</v>
      </c>
    </row>
    <row r="4" customFormat="false" ht="15" hidden="false" customHeight="false" outlineLevel="0" collapsed="false">
      <c r="A4" s="0" t="s">
        <v>3</v>
      </c>
      <c r="B4" s="0" t="s">
        <v>1135</v>
      </c>
    </row>
    <row r="5" customFormat="false" ht="15" hidden="false" customHeight="false" outlineLevel="0" collapsed="false">
      <c r="A5" s="0" t="s">
        <v>4</v>
      </c>
      <c r="B5" s="0" t="s">
        <v>1136</v>
      </c>
    </row>
    <row r="6" customFormat="false" ht="15" hidden="false" customHeight="false" outlineLevel="0" collapsed="false">
      <c r="A6" s="0" t="s">
        <v>5</v>
      </c>
      <c r="B6" s="0" t="s">
        <v>1137</v>
      </c>
    </row>
    <row r="7" customFormat="false" ht="15" hidden="false" customHeight="false" outlineLevel="0" collapsed="false">
      <c r="A7" s="0" t="s">
        <v>1138</v>
      </c>
      <c r="B7" s="0" t="s">
        <v>6</v>
      </c>
    </row>
    <row r="8" customFormat="false" ht="15" hidden="false" customHeight="false" outlineLevel="0" collapsed="false">
      <c r="A8" s="0" t="s">
        <v>7</v>
      </c>
      <c r="B8" s="1" t="s">
        <v>1139</v>
      </c>
    </row>
    <row r="9" customFormat="false" ht="15" hidden="false" customHeight="false" outlineLevel="0" collapsed="false">
      <c r="A9" s="0" t="s">
        <v>8</v>
      </c>
      <c r="B9" s="1" t="s">
        <v>8</v>
      </c>
    </row>
    <row r="10" customFormat="false" ht="15" hidden="false" customHeight="false" outlineLevel="0" collapsed="false">
      <c r="A10" s="0" t="s">
        <v>9</v>
      </c>
      <c r="B10" s="1" t="s">
        <v>1140</v>
      </c>
    </row>
    <row r="11" customFormat="false" ht="15" hidden="false" customHeight="false" outlineLevel="0" collapsed="false">
      <c r="A11" s="0" t="s">
        <v>1141</v>
      </c>
      <c r="B11" s="1" t="s">
        <v>1142</v>
      </c>
    </row>
    <row r="12" customFormat="false" ht="15" hidden="false" customHeight="false" outlineLevel="0" collapsed="false">
      <c r="A12" s="0" t="s">
        <v>1143</v>
      </c>
      <c r="B12" s="0" t="s">
        <v>1144</v>
      </c>
    </row>
    <row r="13" customFormat="false" ht="15" hidden="false" customHeight="false" outlineLevel="0" collapsed="false">
      <c r="A13" s="0" t="s">
        <v>1145</v>
      </c>
      <c r="B13" s="1" t="s">
        <v>1146</v>
      </c>
    </row>
    <row r="14" customFormat="false" ht="15" hidden="false" customHeight="false" outlineLevel="0" collapsed="false">
      <c r="A14" s="0" t="s">
        <v>1147</v>
      </c>
      <c r="B14" s="1" t="s">
        <v>1148</v>
      </c>
    </row>
    <row r="15" customFormat="false" ht="15" hidden="false" customHeight="false" outlineLevel="0" collapsed="false">
      <c r="A15" s="0" t="s">
        <v>1149</v>
      </c>
      <c r="B15" s="1" t="s">
        <v>1150</v>
      </c>
    </row>
    <row r="16" customFormat="false" ht="15" hidden="false" customHeight="false" outlineLevel="0" collapsed="false">
      <c r="A16" s="0" t="s">
        <v>1151</v>
      </c>
      <c r="B16" s="1" t="s">
        <v>1152</v>
      </c>
    </row>
    <row r="17" customFormat="false" ht="15" hidden="false" customHeight="false" outlineLevel="0" collapsed="false">
      <c r="A17" s="0" t="s">
        <v>1153</v>
      </c>
      <c r="B17" s="1" t="s">
        <v>1154</v>
      </c>
    </row>
    <row r="18" customFormat="false" ht="15" hidden="false" customHeight="false" outlineLevel="0" collapsed="false">
      <c r="A18" s="0" t="s">
        <v>1155</v>
      </c>
      <c r="B18" s="1" t="s">
        <v>1156</v>
      </c>
    </row>
    <row r="19" customFormat="false" ht="15" hidden="false" customHeight="false" outlineLevel="0" collapsed="false">
      <c r="A19" s="0" t="s">
        <v>18</v>
      </c>
      <c r="B19" s="1" t="s">
        <v>1157</v>
      </c>
    </row>
    <row r="20" customFormat="false" ht="15" hidden="false" customHeight="false" outlineLevel="0" collapsed="false">
      <c r="A20" s="0" t="s">
        <v>1158</v>
      </c>
      <c r="B20" s="1" t="s">
        <v>1159</v>
      </c>
    </row>
    <row r="21" customFormat="false" ht="15" hidden="false" customHeight="false" outlineLevel="0" collapsed="false">
      <c r="A21" s="0" t="s">
        <v>1160</v>
      </c>
      <c r="B21" s="1" t="s">
        <v>1161</v>
      </c>
    </row>
    <row r="22" customFormat="false" ht="15" hidden="false" customHeight="false" outlineLevel="0" collapsed="false">
      <c r="A22" s="0" t="s">
        <v>1162</v>
      </c>
      <c r="B22" s="1" t="s">
        <v>1163</v>
      </c>
    </row>
    <row r="23" customFormat="false" ht="15" hidden="false" customHeight="false" outlineLevel="0" collapsed="false">
      <c r="A23" s="0" t="s">
        <v>1164</v>
      </c>
      <c r="B23" s="1" t="s">
        <v>1165</v>
      </c>
    </row>
    <row r="24" customFormat="false" ht="15" hidden="false" customHeight="false" outlineLevel="0" collapsed="false">
      <c r="A24" s="0" t="s">
        <v>1166</v>
      </c>
      <c r="B24" s="1" t="s">
        <v>1167</v>
      </c>
    </row>
    <row r="25" customFormat="false" ht="15" hidden="false" customHeight="false" outlineLevel="0" collapsed="false">
      <c r="A25" s="0" t="s">
        <v>1168</v>
      </c>
      <c r="B25" s="1" t="s">
        <v>1169</v>
      </c>
    </row>
    <row r="26" customFormat="false" ht="15" hidden="false" customHeight="false" outlineLevel="0" collapsed="false">
      <c r="A26" s="0" t="s">
        <v>1170</v>
      </c>
      <c r="B26" s="1" t="s">
        <v>1171</v>
      </c>
    </row>
    <row r="27" customFormat="false" ht="15" hidden="false" customHeight="false" outlineLevel="0" collapsed="false">
      <c r="A27" s="0" t="s">
        <v>1172</v>
      </c>
      <c r="B27" s="1" t="s">
        <v>1173</v>
      </c>
    </row>
    <row r="28" customFormat="false" ht="15" hidden="false" customHeight="false" outlineLevel="0" collapsed="false">
      <c r="A28" s="0" t="s">
        <v>1174</v>
      </c>
      <c r="B28" s="1" t="s">
        <v>1175</v>
      </c>
    </row>
    <row r="29" customFormat="false" ht="15" hidden="false" customHeight="false" outlineLevel="0" collapsed="false">
      <c r="A29" s="0" t="s">
        <v>1176</v>
      </c>
      <c r="B29" s="1" t="s">
        <v>1177</v>
      </c>
    </row>
    <row r="30" customFormat="false" ht="15" hidden="false" customHeight="false" outlineLevel="0" collapsed="false">
      <c r="A30" s="0" t="s">
        <v>1178</v>
      </c>
      <c r="B30" s="1" t="s">
        <v>1179</v>
      </c>
    </row>
    <row r="31" customFormat="false" ht="15" hidden="false" customHeight="false" outlineLevel="0" collapsed="false">
      <c r="A31" s="0" t="s">
        <v>1180</v>
      </c>
      <c r="B31" s="1" t="s">
        <v>1181</v>
      </c>
    </row>
    <row r="32" customFormat="false" ht="15" hidden="false" customHeight="false" outlineLevel="0" collapsed="false">
      <c r="A32" s="0" t="s">
        <v>1182</v>
      </c>
      <c r="B32" s="1" t="s">
        <v>1183</v>
      </c>
    </row>
    <row r="33" customFormat="false" ht="15" hidden="false" customHeight="false" outlineLevel="0" collapsed="false">
      <c r="A33" s="0" t="s">
        <v>1184</v>
      </c>
      <c r="B33" s="1" t="s">
        <v>1185</v>
      </c>
    </row>
    <row r="34" customFormat="false" ht="15" hidden="false" customHeight="false" outlineLevel="0" collapsed="false">
      <c r="A34" s="0" t="s">
        <v>1186</v>
      </c>
      <c r="B34" s="1" t="s">
        <v>1187</v>
      </c>
    </row>
    <row r="35" customFormat="false" ht="15" hidden="false" customHeight="false" outlineLevel="0" collapsed="false">
      <c r="A35" s="0" t="s">
        <v>1188</v>
      </c>
      <c r="B35" s="0" t="s">
        <v>1189</v>
      </c>
    </row>
    <row r="36" customFormat="false" ht="15" hidden="false" customHeight="false" outlineLevel="0" collapsed="false">
      <c r="A36" s="0" t="s">
        <v>23</v>
      </c>
      <c r="B36" s="1" t="s">
        <v>1190</v>
      </c>
    </row>
    <row r="37" customFormat="false" ht="15" hidden="false" customHeight="false" outlineLevel="0" collapsed="false">
      <c r="A37" s="0" t="s">
        <v>1191</v>
      </c>
      <c r="B37" s="1" t="s">
        <v>1192</v>
      </c>
    </row>
    <row r="38" customFormat="false" ht="15" hidden="false" customHeight="false" outlineLevel="0" collapsed="false">
      <c r="A38" s="0" t="s">
        <v>1193</v>
      </c>
      <c r="B38" s="1" t="s">
        <v>1194</v>
      </c>
    </row>
    <row r="39" customFormat="false" ht="15" hidden="false" customHeight="false" outlineLevel="0" collapsed="false">
      <c r="A39" s="0" t="s">
        <v>1195</v>
      </c>
      <c r="B39" s="1" t="s">
        <v>1196</v>
      </c>
    </row>
    <row r="40" customFormat="false" ht="15" hidden="false" customHeight="false" outlineLevel="0" collapsed="false">
      <c r="A40" s="0" t="s">
        <v>1197</v>
      </c>
      <c r="B40" s="1" t="s">
        <v>1198</v>
      </c>
    </row>
    <row r="41" customFormat="false" ht="15" hidden="false" customHeight="false" outlineLevel="0" collapsed="false">
      <c r="A41" s="0" t="s">
        <v>1199</v>
      </c>
      <c r="B41" s="1" t="s">
        <v>1200</v>
      </c>
    </row>
    <row r="42" customFormat="false" ht="15" hidden="false" customHeight="false" outlineLevel="0" collapsed="false">
      <c r="A42" s="0" t="s">
        <v>1201</v>
      </c>
      <c r="B42" s="1" t="s">
        <v>1202</v>
      </c>
    </row>
    <row r="43" customFormat="false" ht="15" hidden="false" customHeight="false" outlineLevel="0" collapsed="false">
      <c r="A43" s="0" t="s">
        <v>1203</v>
      </c>
      <c r="B43" s="1" t="s">
        <v>1204</v>
      </c>
    </row>
    <row r="44" customFormat="false" ht="15" hidden="false" customHeight="false" outlineLevel="0" collapsed="false">
      <c r="A44" s="0" t="s">
        <v>1205</v>
      </c>
      <c r="B44" s="1" t="s">
        <v>1206</v>
      </c>
    </row>
    <row r="45" customFormat="false" ht="15" hidden="false" customHeight="false" outlineLevel="0" collapsed="false">
      <c r="A45" s="0" t="s">
        <v>1207</v>
      </c>
      <c r="B45" s="1" t="s">
        <v>1208</v>
      </c>
    </row>
    <row r="46" customFormat="false" ht="15" hidden="false" customHeight="false" outlineLevel="0" collapsed="false">
      <c r="A46" s="0" t="s">
        <v>1209</v>
      </c>
      <c r="B46" s="1" t="s">
        <v>1210</v>
      </c>
    </row>
    <row r="47" customFormat="false" ht="15" hidden="false" customHeight="false" outlineLevel="0" collapsed="false">
      <c r="A47" s="0" t="s">
        <v>30</v>
      </c>
      <c r="B47" s="1" t="s">
        <v>1211</v>
      </c>
    </row>
    <row r="48" customFormat="false" ht="15" hidden="false" customHeight="false" outlineLevel="0" collapsed="false">
      <c r="A48" s="0" t="s">
        <v>31</v>
      </c>
      <c r="B48" s="1" t="s">
        <v>1212</v>
      </c>
    </row>
    <row r="49" customFormat="false" ht="15" hidden="false" customHeight="false" outlineLevel="0" collapsed="false">
      <c r="A49" s="0" t="s">
        <v>32</v>
      </c>
      <c r="B49" s="1" t="s">
        <v>1213</v>
      </c>
    </row>
    <row r="50" customFormat="false" ht="15" hidden="false" customHeight="false" outlineLevel="0" collapsed="false">
      <c r="A50" s="0" t="s">
        <v>33</v>
      </c>
      <c r="B50" s="1" t="s">
        <v>1214</v>
      </c>
    </row>
    <row r="51" customFormat="false" ht="15" hidden="false" customHeight="false" outlineLevel="0" collapsed="false">
      <c r="A51" s="0" t="s">
        <v>34</v>
      </c>
      <c r="B51" s="1" t="s">
        <v>1215</v>
      </c>
    </row>
    <row r="52" customFormat="false" ht="15" hidden="false" customHeight="false" outlineLevel="0" collapsed="false">
      <c r="A52" s="0" t="s">
        <v>35</v>
      </c>
      <c r="B52" s="0" t="s">
        <v>1216</v>
      </c>
    </row>
    <row r="53" customFormat="false" ht="15" hidden="false" customHeight="false" outlineLevel="0" collapsed="false">
      <c r="A53" s="0" t="s">
        <v>36</v>
      </c>
      <c r="B53" s="0" t="s">
        <v>1217</v>
      </c>
    </row>
    <row r="54" customFormat="false" ht="15" hidden="false" customHeight="false" outlineLevel="0" collapsed="false">
      <c r="A54" s="0" t="s">
        <v>40</v>
      </c>
      <c r="B54" s="1" t="s">
        <v>40</v>
      </c>
    </row>
    <row r="55" customFormat="false" ht="15" hidden="false" customHeight="false" outlineLevel="0" collapsed="false">
      <c r="A55" s="0" t="s">
        <v>41</v>
      </c>
      <c r="B55" s="1" t="s">
        <v>1218</v>
      </c>
    </row>
    <row r="56" customFormat="false" ht="15" hidden="false" customHeight="false" outlineLevel="0" collapsed="false">
      <c r="A56" s="0" t="s">
        <v>42</v>
      </c>
      <c r="B56" s="1" t="s">
        <v>42</v>
      </c>
    </row>
    <row r="57" customFormat="false" ht="15" hidden="false" customHeight="false" outlineLevel="0" collapsed="false">
      <c r="A57" s="0" t="s">
        <v>43</v>
      </c>
      <c r="B57" s="1" t="s">
        <v>43</v>
      </c>
    </row>
    <row r="58" customFormat="false" ht="15" hidden="false" customHeight="false" outlineLevel="0" collapsed="false">
      <c r="A58" s="0" t="s">
        <v>44</v>
      </c>
      <c r="B58" s="1" t="s">
        <v>44</v>
      </c>
    </row>
    <row r="59" customFormat="false" ht="15" hidden="false" customHeight="false" outlineLevel="0" collapsed="false">
      <c r="A59" s="0" t="s">
        <v>45</v>
      </c>
      <c r="B59" s="1" t="s">
        <v>45</v>
      </c>
    </row>
    <row r="60" customFormat="false" ht="15" hidden="false" customHeight="false" outlineLevel="0" collapsed="false">
      <c r="A60" s="0" t="s">
        <v>46</v>
      </c>
      <c r="B60" s="1" t="s">
        <v>46</v>
      </c>
    </row>
    <row r="61" customFormat="false" ht="15" hidden="false" customHeight="false" outlineLevel="0" collapsed="false">
      <c r="A61" s="0" t="s">
        <v>47</v>
      </c>
      <c r="B61" s="1" t="s">
        <v>47</v>
      </c>
    </row>
    <row r="62" customFormat="false" ht="15" hidden="false" customHeight="false" outlineLevel="0" collapsed="false">
      <c r="A62" s="0" t="s">
        <v>48</v>
      </c>
      <c r="B62" s="1" t="s">
        <v>48</v>
      </c>
    </row>
    <row r="63" customFormat="false" ht="15" hidden="false" customHeight="false" outlineLevel="0" collapsed="false">
      <c r="A63" s="0" t="s">
        <v>50</v>
      </c>
      <c r="B63" s="1" t="s">
        <v>50</v>
      </c>
    </row>
    <row r="64" customFormat="false" ht="15" hidden="false" customHeight="false" outlineLevel="0" collapsed="false">
      <c r="A64" s="0" t="s">
        <v>1219</v>
      </c>
      <c r="B64" s="1" t="s">
        <v>1220</v>
      </c>
    </row>
    <row r="65" customFormat="false" ht="15" hidden="false" customHeight="false" outlineLevel="0" collapsed="false">
      <c r="A65" s="0" t="s">
        <v>1221</v>
      </c>
      <c r="B65" s="0" t="s">
        <v>1222</v>
      </c>
    </row>
    <row r="66" customFormat="false" ht="15" hidden="false" customHeight="false" outlineLevel="0" collapsed="false">
      <c r="A66" s="1" t="s">
        <v>1221</v>
      </c>
      <c r="B66" s="0" t="s">
        <v>1223</v>
      </c>
    </row>
    <row r="67" customFormat="false" ht="15" hidden="false" customHeight="false" outlineLevel="0" collapsed="false">
      <c r="A67" s="1" t="s">
        <v>1221</v>
      </c>
      <c r="B67" s="0" t="s">
        <v>1224</v>
      </c>
    </row>
    <row r="68" customFormat="false" ht="15" hidden="false" customHeight="false" outlineLevel="0" collapsed="false">
      <c r="A68" s="1" t="s">
        <v>1221</v>
      </c>
      <c r="B68" s="0" t="s">
        <v>1225</v>
      </c>
    </row>
    <row r="69" customFormat="false" ht="15" hidden="false" customHeight="false" outlineLevel="0" collapsed="false">
      <c r="A69" s="1" t="s">
        <v>1226</v>
      </c>
      <c r="B69" s="0" t="s">
        <v>1222</v>
      </c>
    </row>
    <row r="70" customFormat="false" ht="15" hidden="false" customHeight="false" outlineLevel="0" collapsed="false">
      <c r="A70" s="1" t="s">
        <v>1226</v>
      </c>
      <c r="B70" s="0" t="s">
        <v>1223</v>
      </c>
    </row>
    <row r="71" customFormat="false" ht="15" hidden="false" customHeight="false" outlineLevel="0" collapsed="false">
      <c r="A71" s="1" t="s">
        <v>1226</v>
      </c>
      <c r="B71" s="0" t="s">
        <v>1224</v>
      </c>
    </row>
    <row r="72" customFormat="false" ht="15" hidden="false" customHeight="false" outlineLevel="0" collapsed="false">
      <c r="A72" s="1" t="s">
        <v>1226</v>
      </c>
      <c r="B72" s="0" t="s">
        <v>1225</v>
      </c>
    </row>
    <row r="73" customFormat="false" ht="15" hidden="false" customHeight="false" outlineLevel="0" collapsed="false">
      <c r="A73" s="0" t="s">
        <v>60</v>
      </c>
      <c r="B73" s="0" t="s">
        <v>1227</v>
      </c>
    </row>
    <row r="74" customFormat="false" ht="15" hidden="false" customHeight="false" outlineLevel="0" collapsed="false">
      <c r="A74" s="0" t="s">
        <v>61</v>
      </c>
      <c r="B74" s="0" t="s">
        <v>1228</v>
      </c>
    </row>
    <row r="75" customFormat="false" ht="15" hidden="false" customHeight="false" outlineLevel="0" collapsed="false">
      <c r="A75" s="0" t="s">
        <v>62</v>
      </c>
      <c r="B75" s="0" t="s">
        <v>1229</v>
      </c>
    </row>
    <row r="76" customFormat="false" ht="15" hidden="false" customHeight="false" outlineLevel="0" collapsed="false">
      <c r="A76" s="0" t="s">
        <v>63</v>
      </c>
      <c r="B76" s="0" t="s">
        <v>1230</v>
      </c>
    </row>
    <row r="77" customFormat="false" ht="15" hidden="false" customHeight="false" outlineLevel="0" collapsed="false">
      <c r="A77" s="0" t="s">
        <v>64</v>
      </c>
      <c r="B77" s="0" t="s">
        <v>1231</v>
      </c>
    </row>
    <row r="78" customFormat="false" ht="15" hidden="false" customHeight="false" outlineLevel="0" collapsed="false">
      <c r="A78" s="0" t="s">
        <v>65</v>
      </c>
      <c r="B78" s="1" t="s">
        <v>1232</v>
      </c>
    </row>
    <row r="79" customFormat="false" ht="15" hidden="false" customHeight="false" outlineLevel="0" collapsed="false">
      <c r="A79" s="0" t="s">
        <v>66</v>
      </c>
      <c r="B79" s="1" t="s">
        <v>1233</v>
      </c>
    </row>
    <row r="80" customFormat="false" ht="15" hidden="false" customHeight="false" outlineLevel="0" collapsed="false">
      <c r="A80" s="0" t="s">
        <v>67</v>
      </c>
      <c r="B80" s="1" t="s">
        <v>1234</v>
      </c>
    </row>
    <row r="81" customFormat="false" ht="15" hidden="false" customHeight="false" outlineLevel="0" collapsed="false">
      <c r="A81" s="0" t="s">
        <v>68</v>
      </c>
      <c r="B81" s="1" t="s">
        <v>1235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2015-09-17T14:19:15Z</dcterms:created>
  <dc:creator>Garnsworthy Phil</dc:creator>
  <dc:description/>
  <dc:language>en-GB</dc:language>
  <cp:lastModifiedBy/>
  <dcterms:modified xsi:type="dcterms:W3CDTF">2023-02-23T21:33:43Z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